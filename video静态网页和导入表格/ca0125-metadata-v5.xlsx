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C:\Users\jiaru\Desktop\海报 元数据\影视数据\0125\"/>
    </mc:Choice>
  </mc:AlternateContent>
  <xr:revisionPtr revIDLastSave="0" documentId="13_ncr:1_{79385787-B701-4CEF-BB56-B70FC34EF82A}" xr6:coauthVersionLast="47" xr6:coauthVersionMax="47" xr10:uidLastSave="{00000000-0000-0000-0000-000000000000}"/>
  <bookViews>
    <workbookView xWindow="-110" yWindow="-110" windowWidth="25820" windowHeight="15500" activeTab="3" xr2:uid="{00000000-000D-0000-FFFF-FFFF00000000}"/>
  </bookViews>
  <sheets>
    <sheet name="Revision History" sheetId="4" r:id="rId1"/>
    <sheet name="Movie" sheetId="2" r:id="rId2"/>
    <sheet name="TV" sheetId="3" r:id="rId3"/>
    <sheet name="Short video" sheetId="1" r:id="rId4"/>
  </sheets>
  <definedNames>
    <definedName name="_xlnm._FilterDatabase" localSheetId="1" hidden="1">Movie!$A$1:$K$115</definedName>
    <definedName name="_xlnm._FilterDatabase" localSheetId="3" hidden="1">'Short video'!$A$1:$G$79</definedName>
    <definedName name="_xlnm._FilterDatabase" localSheetId="2" hidden="1">TV!$A$1:$G$213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G79" i="1"/>
  <c r="F79" i="1"/>
  <c r="G78" i="1"/>
  <c r="F78" i="1"/>
  <c r="B78" i="1"/>
  <c r="G77" i="1"/>
  <c r="F77" i="1"/>
  <c r="G76" i="1"/>
  <c r="F76" i="1"/>
  <c r="B76" i="1"/>
  <c r="G75" i="1"/>
  <c r="F75" i="1"/>
  <c r="G74" i="1"/>
  <c r="F74" i="1"/>
  <c r="B74" i="1"/>
  <c r="G73" i="1"/>
  <c r="F73" i="1"/>
  <c r="G72" i="1"/>
  <c r="F72" i="1"/>
  <c r="B72" i="1"/>
  <c r="G71" i="1"/>
  <c r="F71" i="1"/>
  <c r="G70" i="1"/>
  <c r="F70" i="1"/>
  <c r="B70" i="1"/>
  <c r="G69" i="1"/>
  <c r="F69" i="1"/>
  <c r="G68" i="1"/>
  <c r="F68" i="1"/>
  <c r="B68" i="1"/>
  <c r="G67" i="1"/>
  <c r="F67" i="1"/>
  <c r="G66" i="1"/>
  <c r="F66" i="1"/>
  <c r="B66" i="1"/>
  <c r="G65" i="1"/>
  <c r="F65" i="1"/>
  <c r="G64" i="1"/>
  <c r="F64" i="1"/>
  <c r="B64" i="1"/>
  <c r="G63" i="1"/>
  <c r="F63" i="1"/>
  <c r="G62" i="1"/>
  <c r="F62" i="1"/>
  <c r="B62" i="1"/>
  <c r="G61" i="1"/>
  <c r="F61" i="1"/>
  <c r="G60" i="1"/>
  <c r="F60" i="1"/>
  <c r="B60" i="1"/>
  <c r="G59" i="1"/>
  <c r="F59" i="1"/>
  <c r="G58" i="1"/>
  <c r="F58" i="1"/>
  <c r="B58" i="1"/>
  <c r="G57" i="1"/>
  <c r="F57" i="1"/>
  <c r="G56" i="1"/>
  <c r="F56" i="1"/>
  <c r="B56" i="1"/>
  <c r="G55" i="1"/>
  <c r="F55" i="1"/>
  <c r="G54" i="1"/>
  <c r="F54" i="1"/>
  <c r="B54" i="1"/>
  <c r="G53" i="1"/>
  <c r="F53" i="1"/>
  <c r="G52" i="1"/>
  <c r="F52" i="1"/>
  <c r="B52" i="1"/>
  <c r="G51" i="1"/>
  <c r="F51" i="1"/>
  <c r="G50" i="1"/>
  <c r="F50" i="1"/>
  <c r="B50" i="1"/>
  <c r="G49" i="1"/>
  <c r="F49" i="1"/>
  <c r="G48" i="1"/>
  <c r="F48" i="1"/>
  <c r="B48" i="1"/>
  <c r="G47" i="1"/>
  <c r="F47" i="1"/>
  <c r="G46" i="1"/>
  <c r="F46" i="1"/>
  <c r="B46" i="1"/>
  <c r="G45" i="1"/>
  <c r="F45" i="1"/>
  <c r="G44" i="1"/>
  <c r="F44" i="1"/>
  <c r="B44" i="1"/>
  <c r="G43" i="1"/>
  <c r="F43" i="1"/>
  <c r="G42" i="1"/>
  <c r="F42" i="1"/>
  <c r="B42" i="1"/>
  <c r="G41" i="1"/>
  <c r="F41" i="1"/>
  <c r="G40" i="1"/>
  <c r="F40" i="1"/>
  <c r="B40" i="1"/>
  <c r="G39" i="1"/>
  <c r="F39" i="1"/>
  <c r="G38" i="1"/>
  <c r="F38" i="1"/>
  <c r="B38" i="1"/>
  <c r="G37" i="1"/>
  <c r="F37" i="1"/>
  <c r="G36" i="1"/>
  <c r="F36" i="1"/>
  <c r="B36" i="1"/>
  <c r="G35" i="1"/>
  <c r="F35" i="1"/>
  <c r="G34" i="1"/>
  <c r="F34" i="1"/>
  <c r="B34" i="1"/>
  <c r="G33" i="1"/>
  <c r="F33" i="1"/>
  <c r="G32" i="1"/>
  <c r="F32" i="1"/>
  <c r="B32" i="1"/>
  <c r="G31" i="1"/>
  <c r="F31" i="1"/>
  <c r="G30" i="1"/>
  <c r="F30" i="1"/>
  <c r="B30" i="1"/>
  <c r="G29" i="1"/>
  <c r="F29" i="1"/>
  <c r="G28" i="1"/>
  <c r="F28" i="1"/>
  <c r="B28" i="1"/>
  <c r="G27" i="1"/>
  <c r="F27" i="1"/>
  <c r="G26" i="1"/>
  <c r="F26" i="1"/>
  <c r="B26" i="1"/>
  <c r="G25" i="1"/>
  <c r="F25" i="1"/>
  <c r="G24" i="1"/>
  <c r="F24" i="1"/>
  <c r="B24" i="1"/>
  <c r="G23" i="1"/>
  <c r="F23" i="1"/>
  <c r="G22" i="1"/>
  <c r="F22" i="1"/>
  <c r="B22" i="1"/>
  <c r="G21" i="1"/>
  <c r="F21" i="1"/>
  <c r="G20" i="1"/>
  <c r="F20" i="1"/>
  <c r="B20" i="1"/>
  <c r="G19" i="1"/>
  <c r="F19" i="1"/>
  <c r="G18" i="1"/>
  <c r="F18" i="1"/>
  <c r="B18" i="1"/>
  <c r="G17" i="1"/>
  <c r="F17" i="1"/>
  <c r="G16" i="1"/>
  <c r="F16" i="1"/>
  <c r="B16" i="1"/>
  <c r="G15" i="1"/>
  <c r="F15" i="1"/>
  <c r="G14" i="1"/>
  <c r="F14" i="1"/>
  <c r="B14" i="1"/>
  <c r="G13" i="1"/>
  <c r="F13" i="1"/>
  <c r="G12" i="1"/>
  <c r="F12" i="1"/>
  <c r="B12" i="1"/>
  <c r="G11" i="1"/>
  <c r="F11" i="1"/>
  <c r="G10" i="1"/>
  <c r="F10" i="1"/>
  <c r="B10" i="1"/>
  <c r="G9" i="1"/>
  <c r="F9" i="1"/>
  <c r="G8" i="1"/>
  <c r="F8" i="1"/>
  <c r="B8" i="1"/>
  <c r="G7" i="1"/>
  <c r="F7" i="1"/>
  <c r="G6" i="1"/>
  <c r="F6" i="1"/>
  <c r="B6" i="1"/>
  <c r="G5" i="1"/>
  <c r="F5" i="1"/>
  <c r="G4" i="1"/>
  <c r="F4" i="1"/>
  <c r="B4" i="1"/>
  <c r="G3" i="1"/>
  <c r="F3" i="1"/>
  <c r="G2" i="1"/>
  <c r="F2" i="1"/>
  <c r="B2" i="1"/>
  <c r="G213" i="3"/>
  <c r="F213" i="3"/>
  <c r="G212" i="3"/>
  <c r="F212" i="3"/>
  <c r="B212" i="3"/>
  <c r="G211" i="3"/>
  <c r="F211" i="3"/>
  <c r="G210" i="3"/>
  <c r="F210" i="3"/>
  <c r="B210" i="3"/>
  <c r="G209" i="3"/>
  <c r="F209" i="3"/>
  <c r="G208" i="3"/>
  <c r="F208" i="3"/>
  <c r="B208" i="3"/>
  <c r="G207" i="3"/>
  <c r="F207" i="3"/>
  <c r="G206" i="3"/>
  <c r="F206" i="3"/>
  <c r="B206" i="3"/>
  <c r="G205" i="3"/>
  <c r="F205" i="3"/>
  <c r="G204" i="3"/>
  <c r="F204" i="3"/>
  <c r="B204" i="3"/>
  <c r="G203" i="3"/>
  <c r="F203" i="3"/>
  <c r="G202" i="3"/>
  <c r="F202" i="3"/>
  <c r="B202" i="3"/>
  <c r="G201" i="3"/>
  <c r="F201" i="3"/>
  <c r="G200" i="3"/>
  <c r="F200" i="3"/>
  <c r="B200" i="3"/>
  <c r="G199" i="3"/>
  <c r="F199" i="3"/>
  <c r="G198" i="3"/>
  <c r="F198" i="3"/>
  <c r="B198" i="3"/>
  <c r="G197" i="3"/>
  <c r="F197" i="3"/>
  <c r="G196" i="3"/>
  <c r="F196" i="3"/>
  <c r="B196" i="3"/>
  <c r="G195" i="3"/>
  <c r="F195" i="3"/>
  <c r="G194" i="3"/>
  <c r="F194" i="3"/>
  <c r="B194" i="3"/>
  <c r="G193" i="3"/>
  <c r="F193" i="3"/>
  <c r="G192" i="3"/>
  <c r="F192" i="3"/>
  <c r="B192" i="3"/>
  <c r="G191" i="3"/>
  <c r="F191" i="3"/>
  <c r="G190" i="3"/>
  <c r="F190" i="3"/>
  <c r="B190" i="3"/>
  <c r="G189" i="3"/>
  <c r="F189" i="3"/>
  <c r="G188" i="3"/>
  <c r="F188" i="3"/>
  <c r="B188" i="3"/>
  <c r="G187" i="3"/>
  <c r="F187" i="3"/>
  <c r="G186" i="3"/>
  <c r="F186" i="3"/>
  <c r="B186" i="3"/>
  <c r="G185" i="3"/>
  <c r="F185" i="3"/>
  <c r="G184" i="3"/>
  <c r="F184" i="3"/>
  <c r="B184" i="3"/>
  <c r="G183" i="3"/>
  <c r="F183" i="3"/>
  <c r="G182" i="3"/>
  <c r="F182" i="3"/>
  <c r="B182" i="3"/>
  <c r="G181" i="3"/>
  <c r="F181" i="3"/>
  <c r="G180" i="3"/>
  <c r="F180" i="3"/>
  <c r="B180" i="3"/>
  <c r="G179" i="3"/>
  <c r="F179" i="3"/>
  <c r="G178" i="3"/>
  <c r="F178" i="3"/>
  <c r="B178" i="3"/>
  <c r="G177" i="3"/>
  <c r="F177" i="3"/>
  <c r="G176" i="3"/>
  <c r="F176" i="3"/>
  <c r="B176" i="3"/>
  <c r="G175" i="3"/>
  <c r="F175" i="3"/>
  <c r="G174" i="3"/>
  <c r="F174" i="3"/>
  <c r="B174" i="3"/>
  <c r="G173" i="3"/>
  <c r="F173" i="3"/>
  <c r="G172" i="3"/>
  <c r="F172" i="3"/>
  <c r="B172" i="3"/>
  <c r="G171" i="3"/>
  <c r="F171" i="3"/>
  <c r="G170" i="3"/>
  <c r="F170" i="3"/>
  <c r="B170" i="3"/>
  <c r="G169" i="3"/>
  <c r="F169" i="3"/>
  <c r="G168" i="3"/>
  <c r="F168" i="3"/>
  <c r="B168" i="3"/>
  <c r="G167" i="3"/>
  <c r="F167" i="3"/>
  <c r="G166" i="3"/>
  <c r="F166" i="3"/>
  <c r="B166" i="3"/>
  <c r="G165" i="3"/>
  <c r="F165" i="3"/>
  <c r="G164" i="3"/>
  <c r="F164" i="3"/>
  <c r="B164" i="3"/>
  <c r="G163" i="3"/>
  <c r="F163" i="3"/>
  <c r="G162" i="3"/>
  <c r="F162" i="3"/>
  <c r="B162" i="3"/>
  <c r="G161" i="3"/>
  <c r="F161" i="3"/>
  <c r="G160" i="3"/>
  <c r="F160" i="3"/>
  <c r="B160" i="3"/>
  <c r="G159" i="3"/>
  <c r="F159" i="3"/>
  <c r="G158" i="3"/>
  <c r="F158" i="3"/>
  <c r="B158" i="3"/>
  <c r="G157" i="3"/>
  <c r="F157" i="3"/>
  <c r="G156" i="3"/>
  <c r="F156" i="3"/>
  <c r="B156" i="3"/>
  <c r="G155" i="3"/>
  <c r="F155" i="3"/>
  <c r="G154" i="3"/>
  <c r="F154" i="3"/>
  <c r="B154" i="3"/>
  <c r="G153" i="3"/>
  <c r="F153" i="3"/>
  <c r="G152" i="3"/>
  <c r="F152" i="3"/>
  <c r="B152" i="3"/>
  <c r="G151" i="3"/>
  <c r="F151" i="3"/>
  <c r="G150" i="3"/>
  <c r="F150" i="3"/>
  <c r="B150" i="3"/>
  <c r="G149" i="3"/>
  <c r="F149" i="3"/>
  <c r="G148" i="3"/>
  <c r="F148" i="3"/>
  <c r="B148" i="3"/>
  <c r="G147" i="3"/>
  <c r="F147" i="3"/>
  <c r="G146" i="3"/>
  <c r="F146" i="3"/>
  <c r="B146" i="3"/>
  <c r="G145" i="3"/>
  <c r="F145" i="3"/>
  <c r="G144" i="3"/>
  <c r="F144" i="3"/>
  <c r="B144" i="3"/>
  <c r="G143" i="3"/>
  <c r="F143" i="3"/>
  <c r="G142" i="3"/>
  <c r="F142" i="3"/>
  <c r="B142" i="3"/>
  <c r="G141" i="3"/>
  <c r="F141" i="3"/>
  <c r="G140" i="3"/>
  <c r="F140" i="3"/>
  <c r="B140" i="3"/>
  <c r="G139" i="3"/>
  <c r="F139" i="3"/>
  <c r="G138" i="3"/>
  <c r="F138" i="3"/>
  <c r="B138" i="3"/>
  <c r="G137" i="3"/>
  <c r="F137" i="3"/>
  <c r="G136" i="3"/>
  <c r="F136" i="3"/>
  <c r="B136" i="3"/>
  <c r="G135" i="3"/>
  <c r="F135" i="3"/>
  <c r="G134" i="3"/>
  <c r="F134" i="3"/>
  <c r="B134" i="3"/>
  <c r="G133" i="3"/>
  <c r="F133" i="3"/>
  <c r="G132" i="3"/>
  <c r="F132" i="3"/>
  <c r="B132" i="3"/>
  <c r="G131" i="3"/>
  <c r="F131" i="3"/>
  <c r="G130" i="3"/>
  <c r="F130" i="3"/>
  <c r="B130" i="3"/>
  <c r="G129" i="3"/>
  <c r="F129" i="3"/>
  <c r="G128" i="3"/>
  <c r="F128" i="3"/>
  <c r="B128" i="3"/>
  <c r="G127" i="3"/>
  <c r="F127" i="3"/>
  <c r="G126" i="3"/>
  <c r="F126" i="3"/>
  <c r="B126" i="3"/>
  <c r="G125" i="3"/>
  <c r="F125" i="3"/>
  <c r="G124" i="3"/>
  <c r="F124" i="3"/>
  <c r="B124" i="3"/>
  <c r="G123" i="3"/>
  <c r="F123" i="3"/>
  <c r="G122" i="3"/>
  <c r="F122" i="3"/>
  <c r="B122" i="3"/>
  <c r="G121" i="3"/>
  <c r="F121" i="3"/>
  <c r="G120" i="3"/>
  <c r="F120" i="3"/>
  <c r="B120" i="3"/>
  <c r="G119" i="3"/>
  <c r="F119" i="3"/>
  <c r="G118" i="3"/>
  <c r="F118" i="3"/>
  <c r="B118" i="3"/>
  <c r="G117" i="3"/>
  <c r="F117" i="3"/>
  <c r="G116" i="3"/>
  <c r="F116" i="3"/>
  <c r="B116" i="3"/>
  <c r="G115" i="3"/>
  <c r="F115" i="3"/>
  <c r="G114" i="3"/>
  <c r="F114" i="3"/>
  <c r="B114" i="3"/>
  <c r="G113" i="3"/>
  <c r="F113" i="3"/>
  <c r="G112" i="3"/>
  <c r="F112" i="3"/>
  <c r="B112" i="3"/>
  <c r="G111" i="3"/>
  <c r="F111" i="3"/>
  <c r="G110" i="3"/>
  <c r="F110" i="3"/>
  <c r="B110" i="3"/>
  <c r="G109" i="3"/>
  <c r="F109" i="3"/>
  <c r="G108" i="3"/>
  <c r="F108" i="3"/>
  <c r="B108" i="3"/>
  <c r="G107" i="3"/>
  <c r="F107" i="3"/>
  <c r="G106" i="3"/>
  <c r="F106" i="3"/>
  <c r="B106" i="3"/>
  <c r="G105" i="3"/>
  <c r="F105" i="3"/>
  <c r="G104" i="3"/>
  <c r="F104" i="3"/>
  <c r="B104" i="3"/>
  <c r="G103" i="3"/>
  <c r="F103" i="3"/>
  <c r="G102" i="3"/>
  <c r="F102" i="3"/>
  <c r="B102" i="3"/>
  <c r="G101" i="3"/>
  <c r="F101" i="3"/>
  <c r="G100" i="3"/>
  <c r="F100" i="3"/>
  <c r="B100" i="3"/>
  <c r="G99" i="3"/>
  <c r="F99" i="3"/>
  <c r="G98" i="3"/>
  <c r="F98" i="3"/>
  <c r="B98" i="3"/>
  <c r="G97" i="3"/>
  <c r="F97" i="3"/>
  <c r="G96" i="3"/>
  <c r="F96" i="3"/>
  <c r="B96" i="3"/>
  <c r="G95" i="3"/>
  <c r="F95" i="3"/>
  <c r="G94" i="3"/>
  <c r="F94" i="3"/>
  <c r="B94" i="3"/>
  <c r="G93" i="3"/>
  <c r="F93" i="3"/>
  <c r="G92" i="3"/>
  <c r="F92" i="3"/>
  <c r="B92" i="3"/>
  <c r="G91" i="3"/>
  <c r="F91" i="3"/>
  <c r="G90" i="3"/>
  <c r="F90" i="3"/>
  <c r="B90" i="3"/>
  <c r="G89" i="3"/>
  <c r="F89" i="3"/>
  <c r="G88" i="3"/>
  <c r="F88" i="3"/>
  <c r="B88" i="3"/>
  <c r="G87" i="3"/>
  <c r="F87" i="3"/>
  <c r="G86" i="3"/>
  <c r="F86" i="3"/>
  <c r="B86" i="3"/>
  <c r="G85" i="3"/>
  <c r="F85" i="3"/>
  <c r="G84" i="3"/>
  <c r="F84" i="3"/>
  <c r="B84" i="3"/>
  <c r="G83" i="3"/>
  <c r="F83" i="3"/>
  <c r="G82" i="3"/>
  <c r="F82" i="3"/>
  <c r="B82" i="3"/>
  <c r="G81" i="3"/>
  <c r="F81" i="3"/>
  <c r="G80" i="3"/>
  <c r="F80" i="3"/>
  <c r="B80" i="3"/>
  <c r="G79" i="3"/>
  <c r="F79" i="3"/>
  <c r="G78" i="3"/>
  <c r="F78" i="3"/>
  <c r="B78" i="3"/>
  <c r="G77" i="3"/>
  <c r="F77" i="3"/>
  <c r="G76" i="3"/>
  <c r="F76" i="3"/>
  <c r="B76" i="3"/>
  <c r="G75" i="3"/>
  <c r="F75" i="3"/>
  <c r="G74" i="3"/>
  <c r="F74" i="3"/>
  <c r="G73" i="3"/>
  <c r="F73" i="3"/>
  <c r="B73" i="3"/>
  <c r="G72" i="3"/>
  <c r="F72" i="3"/>
  <c r="G71" i="3"/>
  <c r="F71" i="3"/>
  <c r="G70" i="3"/>
  <c r="F70" i="3"/>
  <c r="B70" i="3"/>
  <c r="G69" i="3"/>
  <c r="F69" i="3"/>
  <c r="G68" i="3"/>
  <c r="F68" i="3"/>
  <c r="G67" i="3"/>
  <c r="F67" i="3"/>
  <c r="B67" i="3"/>
  <c r="G66" i="3"/>
  <c r="F66" i="3"/>
  <c r="G65" i="3"/>
  <c r="F65" i="3"/>
  <c r="G64" i="3"/>
  <c r="F64" i="3"/>
  <c r="B64" i="3"/>
  <c r="G63" i="3"/>
  <c r="F63" i="3"/>
  <c r="G62" i="3"/>
  <c r="F62" i="3"/>
  <c r="B62" i="3"/>
  <c r="G61" i="3"/>
  <c r="F61" i="3"/>
  <c r="G60" i="3"/>
  <c r="F60" i="3"/>
  <c r="B60" i="3"/>
  <c r="G59" i="3"/>
  <c r="F59" i="3"/>
  <c r="G58" i="3"/>
  <c r="F58" i="3"/>
  <c r="B58" i="3"/>
  <c r="G57" i="3"/>
  <c r="F57" i="3"/>
  <c r="G56" i="3"/>
  <c r="F56" i="3"/>
  <c r="B56" i="3"/>
  <c r="G55" i="3"/>
  <c r="F55" i="3"/>
  <c r="G54" i="3"/>
  <c r="F54" i="3"/>
  <c r="B54" i="3"/>
  <c r="G53" i="3"/>
  <c r="F53" i="3"/>
  <c r="G52" i="3"/>
  <c r="F52" i="3"/>
  <c r="B52" i="3"/>
  <c r="G51" i="3"/>
  <c r="F51" i="3"/>
  <c r="G50" i="3"/>
  <c r="F50" i="3"/>
  <c r="B50" i="3"/>
  <c r="G49" i="3"/>
  <c r="F49" i="3"/>
  <c r="G48" i="3"/>
  <c r="F48" i="3"/>
  <c r="B48" i="3"/>
  <c r="G47" i="3"/>
  <c r="F47" i="3"/>
  <c r="G46" i="3"/>
  <c r="F46" i="3"/>
  <c r="B46" i="3"/>
  <c r="G45" i="3"/>
  <c r="F45" i="3"/>
  <c r="G44" i="3"/>
  <c r="F44" i="3"/>
  <c r="B44" i="3"/>
  <c r="G43" i="3"/>
  <c r="F43" i="3"/>
  <c r="G42" i="3"/>
  <c r="F42" i="3"/>
  <c r="B42" i="3"/>
  <c r="G41" i="3"/>
  <c r="F41" i="3"/>
  <c r="G40" i="3"/>
  <c r="F40" i="3"/>
  <c r="B40" i="3"/>
  <c r="G39" i="3"/>
  <c r="F39" i="3"/>
  <c r="G38" i="3"/>
  <c r="F38" i="3"/>
  <c r="B38" i="3"/>
  <c r="G37" i="3"/>
  <c r="F37" i="3"/>
  <c r="G36" i="3"/>
  <c r="F36" i="3"/>
  <c r="B36" i="3"/>
  <c r="G35" i="3"/>
  <c r="F35" i="3"/>
  <c r="G34" i="3"/>
  <c r="F34" i="3"/>
  <c r="B34" i="3"/>
  <c r="G33" i="3"/>
  <c r="F33" i="3"/>
  <c r="G32" i="3"/>
  <c r="F32" i="3"/>
  <c r="B32" i="3"/>
  <c r="G31" i="3"/>
  <c r="F31" i="3"/>
  <c r="G30" i="3"/>
  <c r="F30" i="3"/>
  <c r="B30" i="3"/>
  <c r="G29" i="3"/>
  <c r="F29" i="3"/>
  <c r="G28" i="3"/>
  <c r="F28" i="3"/>
  <c r="B28" i="3"/>
  <c r="G27" i="3"/>
  <c r="F27" i="3"/>
  <c r="G26" i="3"/>
  <c r="F26" i="3"/>
  <c r="B26" i="3"/>
  <c r="G25" i="3"/>
  <c r="F25" i="3"/>
  <c r="G24" i="3"/>
  <c r="F24" i="3"/>
  <c r="B24" i="3"/>
  <c r="G23" i="3"/>
  <c r="F23" i="3"/>
  <c r="G22" i="3"/>
  <c r="F22" i="3"/>
  <c r="B22" i="3"/>
  <c r="G21" i="3"/>
  <c r="F21" i="3"/>
  <c r="G20" i="3"/>
  <c r="F20" i="3"/>
  <c r="B20" i="3"/>
  <c r="G19" i="3"/>
  <c r="F19" i="3"/>
  <c r="G18" i="3"/>
  <c r="F18" i="3"/>
  <c r="B18" i="3"/>
  <c r="G17" i="3"/>
  <c r="F17" i="3"/>
  <c r="G16" i="3"/>
  <c r="F16" i="3"/>
  <c r="B16" i="3"/>
  <c r="G15" i="3"/>
  <c r="F15" i="3"/>
  <c r="G14" i="3"/>
  <c r="F14" i="3"/>
  <c r="B14" i="3"/>
  <c r="G13" i="3"/>
  <c r="F13" i="3"/>
  <c r="G12" i="3"/>
  <c r="F12" i="3"/>
  <c r="B12" i="3"/>
  <c r="G11" i="3"/>
  <c r="F11" i="3"/>
  <c r="G10" i="3"/>
  <c r="F10" i="3"/>
  <c r="B10" i="3"/>
  <c r="G9" i="3"/>
  <c r="F9" i="3"/>
  <c r="G8" i="3"/>
  <c r="F8" i="3"/>
  <c r="B8" i="3"/>
  <c r="G7" i="3"/>
  <c r="F7" i="3"/>
  <c r="G6" i="3"/>
  <c r="F6" i="3"/>
  <c r="B6" i="3"/>
  <c r="G5" i="3"/>
  <c r="F5" i="3"/>
  <c r="G4" i="3"/>
  <c r="F4" i="3"/>
  <c r="B4" i="3"/>
  <c r="G3" i="3"/>
  <c r="F3" i="3"/>
  <c r="G2" i="3"/>
  <c r="F2" i="3"/>
  <c r="B2" i="3"/>
  <c r="K115" i="2"/>
  <c r="J115" i="2"/>
  <c r="I115" i="2"/>
  <c r="H115" i="2"/>
  <c r="K114" i="2"/>
  <c r="J114" i="2"/>
  <c r="I114" i="2"/>
  <c r="H114" i="2"/>
  <c r="B114" i="2"/>
  <c r="K113" i="2"/>
  <c r="J113" i="2"/>
  <c r="I113" i="2"/>
  <c r="H113" i="2"/>
  <c r="K112" i="2"/>
  <c r="J112" i="2"/>
  <c r="I112" i="2"/>
  <c r="H112" i="2"/>
  <c r="K111" i="2"/>
  <c r="J111" i="2"/>
  <c r="I111" i="2"/>
  <c r="H111" i="2"/>
  <c r="B111" i="2"/>
  <c r="K110" i="2"/>
  <c r="J110" i="2"/>
  <c r="I110" i="2"/>
  <c r="H110" i="2"/>
  <c r="K109" i="2"/>
  <c r="J109" i="2"/>
  <c r="I109" i="2"/>
  <c r="H109" i="2"/>
  <c r="B109" i="2"/>
  <c r="K108" i="2"/>
  <c r="J108" i="2"/>
  <c r="I108" i="2"/>
  <c r="H108" i="2"/>
  <c r="K107" i="2"/>
  <c r="J107" i="2"/>
  <c r="I107" i="2"/>
  <c r="H107" i="2"/>
  <c r="B107" i="2"/>
  <c r="K106" i="2"/>
  <c r="J106" i="2"/>
  <c r="I106" i="2"/>
  <c r="H106" i="2"/>
  <c r="K105" i="2"/>
  <c r="J105" i="2"/>
  <c r="I105" i="2"/>
  <c r="H105" i="2"/>
  <c r="B105" i="2"/>
  <c r="K104" i="2"/>
  <c r="J104" i="2"/>
  <c r="I104" i="2"/>
  <c r="H104" i="2"/>
  <c r="K103" i="2"/>
  <c r="J103" i="2"/>
  <c r="I103" i="2"/>
  <c r="H103" i="2"/>
  <c r="B103" i="2"/>
  <c r="K102" i="2"/>
  <c r="J102" i="2"/>
  <c r="I102" i="2"/>
  <c r="H102" i="2"/>
  <c r="K101" i="2"/>
  <c r="J101" i="2"/>
  <c r="I101" i="2"/>
  <c r="H101" i="2"/>
  <c r="B101" i="2"/>
  <c r="K100" i="2"/>
  <c r="J100" i="2"/>
  <c r="I100" i="2"/>
  <c r="H100" i="2"/>
  <c r="K99" i="2"/>
  <c r="J99" i="2"/>
  <c r="I99" i="2"/>
  <c r="H99" i="2"/>
  <c r="B99" i="2"/>
  <c r="K98" i="2"/>
  <c r="J98" i="2"/>
  <c r="I98" i="2"/>
  <c r="H98" i="2"/>
  <c r="K97" i="2"/>
  <c r="J97" i="2"/>
  <c r="I97" i="2"/>
  <c r="H97" i="2"/>
  <c r="B97" i="2"/>
  <c r="K96" i="2"/>
  <c r="J96" i="2"/>
  <c r="I96" i="2"/>
  <c r="H96" i="2"/>
  <c r="K95" i="2"/>
  <c r="J95" i="2"/>
  <c r="I95" i="2"/>
  <c r="H95" i="2"/>
  <c r="B95" i="2"/>
  <c r="K94" i="2"/>
  <c r="J94" i="2"/>
  <c r="I94" i="2"/>
  <c r="H94" i="2"/>
  <c r="K93" i="2"/>
  <c r="J93" i="2"/>
  <c r="I93" i="2"/>
  <c r="H93" i="2"/>
  <c r="B93" i="2"/>
  <c r="K92" i="2"/>
  <c r="J92" i="2"/>
  <c r="I92" i="2"/>
  <c r="H92" i="2"/>
  <c r="K91" i="2"/>
  <c r="J91" i="2"/>
  <c r="I91" i="2"/>
  <c r="H91" i="2"/>
  <c r="B91" i="2"/>
  <c r="K90" i="2"/>
  <c r="J90" i="2"/>
  <c r="I90" i="2"/>
  <c r="H90" i="2"/>
  <c r="K89" i="2"/>
  <c r="J89" i="2"/>
  <c r="I89" i="2"/>
  <c r="H89" i="2"/>
  <c r="B89" i="2"/>
  <c r="K88" i="2"/>
  <c r="J88" i="2"/>
  <c r="I88" i="2"/>
  <c r="H88" i="2"/>
  <c r="K87" i="2"/>
  <c r="J87" i="2"/>
  <c r="I87" i="2"/>
  <c r="H87" i="2"/>
  <c r="B87" i="2"/>
  <c r="K86" i="2"/>
  <c r="J86" i="2"/>
  <c r="I86" i="2"/>
  <c r="H86" i="2"/>
  <c r="K85" i="2"/>
  <c r="J85" i="2"/>
  <c r="I85" i="2"/>
  <c r="H85" i="2"/>
  <c r="B85" i="2"/>
  <c r="K84" i="2"/>
  <c r="J84" i="2"/>
  <c r="I84" i="2"/>
  <c r="H84" i="2"/>
  <c r="K83" i="2"/>
  <c r="J83" i="2"/>
  <c r="I83" i="2"/>
  <c r="H83" i="2"/>
  <c r="B83" i="2"/>
  <c r="K82" i="2"/>
  <c r="J82" i="2"/>
  <c r="I82" i="2"/>
  <c r="H82" i="2"/>
  <c r="K81" i="2"/>
  <c r="J81" i="2"/>
  <c r="I81" i="2"/>
  <c r="H81" i="2"/>
  <c r="B81" i="2"/>
  <c r="K80" i="2"/>
  <c r="J80" i="2"/>
  <c r="I80" i="2"/>
  <c r="H80" i="2"/>
  <c r="K79" i="2"/>
  <c r="J79" i="2"/>
  <c r="I79" i="2"/>
  <c r="H79" i="2"/>
  <c r="B79" i="2"/>
  <c r="K78" i="2"/>
  <c r="J78" i="2"/>
  <c r="I78" i="2"/>
  <c r="H78" i="2"/>
  <c r="K77" i="2"/>
  <c r="J77" i="2"/>
  <c r="I77" i="2"/>
  <c r="H77" i="2"/>
  <c r="K76" i="2"/>
  <c r="J76" i="2"/>
  <c r="I76" i="2"/>
  <c r="H76" i="2"/>
  <c r="B76" i="2"/>
  <c r="K75" i="2"/>
  <c r="J75" i="2"/>
  <c r="I75" i="2"/>
  <c r="H75" i="2"/>
  <c r="K74" i="2"/>
  <c r="J74" i="2"/>
  <c r="I74" i="2"/>
  <c r="H74" i="2"/>
  <c r="B74" i="2"/>
  <c r="K73" i="2"/>
  <c r="J73" i="2"/>
  <c r="I73" i="2"/>
  <c r="H73" i="2"/>
  <c r="K72" i="2"/>
  <c r="J72" i="2"/>
  <c r="I72" i="2"/>
  <c r="H72" i="2"/>
  <c r="B72" i="2"/>
  <c r="K71" i="2"/>
  <c r="J71" i="2"/>
  <c r="I71" i="2"/>
  <c r="H71" i="2"/>
  <c r="K70" i="2"/>
  <c r="J70" i="2"/>
  <c r="I70" i="2"/>
  <c r="H70" i="2"/>
  <c r="B70" i="2"/>
  <c r="K69" i="2"/>
  <c r="J69" i="2"/>
  <c r="I69" i="2"/>
  <c r="H69" i="2"/>
  <c r="K68" i="2"/>
  <c r="J68" i="2"/>
  <c r="I68" i="2"/>
  <c r="H68" i="2"/>
  <c r="B68" i="2"/>
  <c r="K67" i="2"/>
  <c r="J67" i="2"/>
  <c r="I67" i="2"/>
  <c r="H67" i="2"/>
  <c r="K66" i="2"/>
  <c r="J66" i="2"/>
  <c r="I66" i="2"/>
  <c r="H66" i="2"/>
  <c r="B66" i="2"/>
  <c r="K65" i="2"/>
  <c r="J65" i="2"/>
  <c r="I65" i="2"/>
  <c r="H65" i="2"/>
  <c r="K64" i="2"/>
  <c r="J64" i="2"/>
  <c r="I64" i="2"/>
  <c r="H64" i="2"/>
  <c r="B64" i="2"/>
  <c r="K63" i="2"/>
  <c r="J63" i="2"/>
  <c r="I63" i="2"/>
  <c r="H63" i="2"/>
  <c r="K62" i="2"/>
  <c r="J62" i="2"/>
  <c r="I62" i="2"/>
  <c r="H62" i="2"/>
  <c r="B62" i="2"/>
  <c r="K61" i="2"/>
  <c r="J61" i="2"/>
  <c r="I61" i="2"/>
  <c r="H61" i="2"/>
  <c r="K60" i="2"/>
  <c r="J60" i="2"/>
  <c r="I60" i="2"/>
  <c r="H60" i="2"/>
  <c r="B60" i="2"/>
  <c r="K59" i="2"/>
  <c r="J59" i="2"/>
  <c r="I59" i="2"/>
  <c r="H59" i="2"/>
  <c r="K58" i="2"/>
  <c r="J58" i="2"/>
  <c r="I58" i="2"/>
  <c r="H58" i="2"/>
  <c r="B58" i="2"/>
  <c r="K57" i="2"/>
  <c r="J57" i="2"/>
  <c r="I57" i="2"/>
  <c r="H57" i="2"/>
  <c r="K56" i="2"/>
  <c r="J56" i="2"/>
  <c r="I56" i="2"/>
  <c r="H56" i="2"/>
  <c r="B56" i="2"/>
  <c r="K55" i="2"/>
  <c r="J55" i="2"/>
  <c r="I55" i="2"/>
  <c r="H55" i="2"/>
  <c r="K54" i="2"/>
  <c r="J54" i="2"/>
  <c r="I54" i="2"/>
  <c r="H54" i="2"/>
  <c r="K53" i="2"/>
  <c r="J53" i="2"/>
  <c r="I53" i="2"/>
  <c r="H53" i="2"/>
  <c r="B53" i="2"/>
  <c r="K52" i="2"/>
  <c r="J52" i="2"/>
  <c r="I52" i="2"/>
  <c r="H52" i="2"/>
  <c r="K51" i="2"/>
  <c r="J51" i="2"/>
  <c r="I51" i="2"/>
  <c r="H51" i="2"/>
  <c r="K50" i="2"/>
  <c r="J50" i="2"/>
  <c r="I50" i="2"/>
  <c r="H50" i="2"/>
  <c r="B50" i="2"/>
  <c r="K49" i="2"/>
  <c r="J49" i="2"/>
  <c r="I49" i="2"/>
  <c r="H49" i="2"/>
  <c r="K48" i="2"/>
  <c r="J48" i="2"/>
  <c r="I48" i="2"/>
  <c r="H48" i="2"/>
  <c r="K47" i="2"/>
  <c r="J47" i="2"/>
  <c r="I47" i="2"/>
  <c r="H47" i="2"/>
  <c r="B47" i="2"/>
  <c r="K46" i="2"/>
  <c r="J46" i="2"/>
  <c r="I46" i="2"/>
  <c r="H46" i="2"/>
  <c r="K45" i="2"/>
  <c r="J45" i="2"/>
  <c r="I45" i="2"/>
  <c r="H45" i="2"/>
  <c r="B45" i="2"/>
  <c r="K44" i="2"/>
  <c r="J44" i="2"/>
  <c r="I44" i="2"/>
  <c r="H44" i="2"/>
  <c r="K43" i="2"/>
  <c r="J43" i="2"/>
  <c r="I43" i="2"/>
  <c r="H43" i="2"/>
  <c r="B43" i="2"/>
  <c r="K42" i="2"/>
  <c r="J42" i="2"/>
  <c r="I42" i="2"/>
  <c r="H42" i="2"/>
  <c r="K41" i="2"/>
  <c r="J41" i="2"/>
  <c r="I41" i="2"/>
  <c r="H41" i="2"/>
  <c r="B41" i="2"/>
  <c r="K40" i="2"/>
  <c r="J40" i="2"/>
  <c r="I40" i="2"/>
  <c r="H40" i="2"/>
  <c r="K39" i="2"/>
  <c r="J39" i="2"/>
  <c r="I39" i="2"/>
  <c r="H39" i="2"/>
  <c r="B39" i="2"/>
  <c r="K38" i="2"/>
  <c r="J38" i="2"/>
  <c r="I38" i="2"/>
  <c r="H38" i="2"/>
  <c r="K37" i="2"/>
  <c r="J37" i="2"/>
  <c r="I37" i="2"/>
  <c r="H37" i="2"/>
  <c r="B37" i="2"/>
  <c r="K36" i="2"/>
  <c r="J36" i="2"/>
  <c r="I36" i="2"/>
  <c r="H36" i="2"/>
  <c r="K35" i="2"/>
  <c r="J35" i="2"/>
  <c r="I35" i="2"/>
  <c r="H35" i="2"/>
  <c r="B35" i="2"/>
  <c r="K34" i="2"/>
  <c r="J34" i="2"/>
  <c r="I34" i="2"/>
  <c r="H34" i="2"/>
  <c r="K33" i="2"/>
  <c r="J33" i="2"/>
  <c r="I33" i="2"/>
  <c r="H33" i="2"/>
  <c r="K32" i="2"/>
  <c r="J32" i="2"/>
  <c r="I32" i="2"/>
  <c r="H32" i="2"/>
  <c r="B32" i="2"/>
  <c r="K31" i="2"/>
  <c r="J31" i="2"/>
  <c r="I31" i="2"/>
  <c r="H31" i="2"/>
  <c r="K30" i="2"/>
  <c r="J30" i="2"/>
  <c r="I30" i="2"/>
  <c r="H30" i="2"/>
  <c r="B30" i="2"/>
  <c r="K29" i="2"/>
  <c r="J29" i="2"/>
  <c r="I29" i="2"/>
  <c r="H29" i="2"/>
  <c r="K28" i="2"/>
  <c r="J28" i="2"/>
  <c r="I28" i="2"/>
  <c r="H28" i="2"/>
  <c r="B28" i="2"/>
  <c r="K27" i="2"/>
  <c r="J27" i="2"/>
  <c r="I27" i="2"/>
  <c r="H27" i="2"/>
  <c r="K26" i="2"/>
  <c r="J26" i="2"/>
  <c r="I26" i="2"/>
  <c r="H26" i="2"/>
  <c r="B26" i="2"/>
  <c r="K25" i="2"/>
  <c r="J25" i="2"/>
  <c r="I25" i="2"/>
  <c r="H25" i="2"/>
  <c r="K24" i="2"/>
  <c r="J24" i="2"/>
  <c r="I24" i="2"/>
  <c r="H24" i="2"/>
  <c r="B24" i="2"/>
  <c r="K23" i="2"/>
  <c r="J23" i="2"/>
  <c r="I23" i="2"/>
  <c r="H23" i="2"/>
  <c r="K22" i="2"/>
  <c r="J22" i="2"/>
  <c r="I22" i="2"/>
  <c r="H22" i="2"/>
  <c r="B22" i="2"/>
  <c r="K21" i="2"/>
  <c r="J21" i="2"/>
  <c r="I21" i="2"/>
  <c r="H21" i="2"/>
  <c r="K20" i="2"/>
  <c r="J20" i="2"/>
  <c r="I20" i="2"/>
  <c r="H20" i="2"/>
  <c r="B20" i="2"/>
  <c r="K19" i="2"/>
  <c r="J19" i="2"/>
  <c r="I19" i="2"/>
  <c r="H19" i="2"/>
  <c r="K18" i="2"/>
  <c r="J18" i="2"/>
  <c r="I18" i="2"/>
  <c r="H18" i="2"/>
  <c r="B18" i="2"/>
  <c r="K17" i="2"/>
  <c r="J17" i="2"/>
  <c r="I17" i="2"/>
  <c r="H17" i="2"/>
  <c r="K16" i="2"/>
  <c r="J16" i="2"/>
  <c r="I16" i="2"/>
  <c r="H16" i="2"/>
  <c r="B16" i="2"/>
  <c r="K15" i="2"/>
  <c r="J15" i="2"/>
  <c r="I15" i="2"/>
  <c r="H15" i="2"/>
  <c r="K14" i="2"/>
  <c r="J14" i="2"/>
  <c r="I14" i="2"/>
  <c r="H14" i="2"/>
  <c r="B14" i="2"/>
  <c r="K13" i="2"/>
  <c r="J13" i="2"/>
  <c r="I13" i="2"/>
  <c r="H13" i="2"/>
  <c r="K12" i="2"/>
  <c r="J12" i="2"/>
  <c r="I12" i="2"/>
  <c r="H12" i="2"/>
  <c r="B12" i="2"/>
  <c r="K11" i="2"/>
  <c r="J11" i="2"/>
  <c r="I11" i="2"/>
  <c r="H11" i="2"/>
  <c r="K10" i="2"/>
  <c r="J10" i="2"/>
  <c r="I10" i="2"/>
  <c r="H10" i="2"/>
  <c r="B10" i="2"/>
  <c r="K9" i="2"/>
  <c r="J9" i="2"/>
  <c r="I9" i="2"/>
  <c r="H9" i="2"/>
  <c r="K8" i="2"/>
  <c r="J8" i="2"/>
  <c r="I8" i="2"/>
  <c r="H8" i="2"/>
  <c r="B8" i="2"/>
  <c r="K7" i="2"/>
  <c r="J7" i="2"/>
  <c r="I7" i="2"/>
  <c r="H7" i="2"/>
  <c r="K6" i="2"/>
  <c r="J6" i="2"/>
  <c r="I6" i="2"/>
  <c r="H6" i="2"/>
  <c r="B6" i="2"/>
  <c r="K5" i="2"/>
  <c r="J5" i="2"/>
  <c r="I5" i="2"/>
  <c r="H5" i="2"/>
  <c r="K4" i="2"/>
  <c r="J4" i="2"/>
  <c r="I4" i="2"/>
  <c r="H4" i="2"/>
  <c r="B4" i="2"/>
  <c r="K3" i="2"/>
  <c r="J3" i="2"/>
  <c r="I3" i="2"/>
  <c r="H3" i="2"/>
  <c r="K2" i="2"/>
  <c r="J2" i="2"/>
  <c r="I2" i="2"/>
  <c r="H2" i="2"/>
</calcChain>
</file>

<file path=xl/sharedStrings.xml><?xml version="1.0" encoding="utf-8"?>
<sst xmlns="http://schemas.openxmlformats.org/spreadsheetml/2006/main" count="1488" uniqueCount="898">
  <si>
    <t>Versions</t>
  </si>
  <si>
    <t>Updates</t>
  </si>
  <si>
    <t>Made by</t>
  </si>
  <si>
    <t>Date</t>
  </si>
  <si>
    <t>V1</t>
  </si>
  <si>
    <t>Initial</t>
  </si>
  <si>
    <t>Envee</t>
  </si>
  <si>
    <t>2024.11.12</t>
  </si>
  <si>
    <t>V2</t>
  </si>
  <si>
    <t>电影：
删除《十全九美》；修改《他是龙》英文title，标黄
电视片：
删除《航拍天下 第四季 5》《墨雨云间 8》《新闻女王 15》《八闽有鲜味 7》</t>
  </si>
  <si>
    <t>2024.11.14</t>
  </si>
  <si>
    <t>V3</t>
  </si>
  <si>
    <t>修改电影《巴乔：神奇的马尾辫》中英文简介；修改《吉聚欢喜 20230123》英文标题，标黄</t>
  </si>
  <si>
    <t>2024.11.20</t>
  </si>
  <si>
    <t>V4</t>
  </si>
  <si>
    <t>修改《汉唐文化》中英文简介，标黄</t>
  </si>
  <si>
    <t>2024.11.21</t>
  </si>
  <si>
    <t>V5</t>
  </si>
  <si>
    <t>修改《全球绝美国家公园 第17集》中英文简介，标黄</t>
  </si>
  <si>
    <t>2024.11.29</t>
  </si>
  <si>
    <t>V6</t>
  </si>
  <si>
    <t>V7</t>
  </si>
  <si>
    <t>V8</t>
  </si>
  <si>
    <t>Video ID</t>
  </si>
  <si>
    <t>Video to Receive</t>
  </si>
  <si>
    <t>Language</t>
  </si>
  <si>
    <t>Release Title</t>
  </si>
  <si>
    <t>Director</t>
  </si>
  <si>
    <t>Actor</t>
  </si>
  <si>
    <t>Synopsis</t>
  </si>
  <si>
    <t>Title</t>
  </si>
  <si>
    <r>
      <rPr>
        <sz val="10"/>
        <color theme="1"/>
        <rFont val="宋体"/>
        <charset val="134"/>
      </rPr>
      <t>英</t>
    </r>
  </si>
  <si>
    <t>Haofeng Xu, Junfeng Xu</t>
  </si>
  <si>
    <t>Jacky Heung, Bea Hayden Kuo, Andy On</t>
  </si>
  <si>
    <t>中</t>
  </si>
  <si>
    <t>徐浩峰 / 徐骏峰</t>
  </si>
  <si>
    <t>向佐 / 郭碧婷 / 安志杰</t>
  </si>
  <si>
    <t>Ching-Po Wong</t>
  </si>
  <si>
    <t>Ethan Juan, Fu-wah Yuen, Yiwen Chen</t>
  </si>
  <si>
    <t>黄精甫</t>
  </si>
  <si>
    <t>阮经天 / 袁富华 / 陈以文</t>
  </si>
  <si>
    <t>Hamilton: I Nationens Interesse</t>
  </si>
  <si>
    <t>Kathrine Windfeld</t>
  </si>
  <si>
    <t>Mikael Persbrandt, Saba Mubarak</t>
  </si>
  <si>
    <t>Swedish agent Hamilton tracks 200 stolen grenades to Russians at the Uzbek/Afghan border.</t>
  </si>
  <si>
    <t>凯瑟琳·温德菲尔德</t>
  </si>
  <si>
    <t>米卡埃尔·佩斯布兰特 / 萨巴·穆巴拉克</t>
  </si>
  <si>
    <t>瑞典情报官员打入一个偷了瑞典先进的GPS制导导弹的国际犯罪团伙，挫败他们的阴谋。</t>
  </si>
  <si>
    <t>Enjoy Yourself</t>
  </si>
  <si>
    <t>Bo Kang</t>
  </si>
  <si>
    <t>Yang Xiao, Jia Song, Dahong Ni</t>
  </si>
  <si>
    <t>A couple get involved in a legal dispute over embryo ownership.</t>
  </si>
  <si>
    <t>祝你幸福！</t>
  </si>
  <si>
    <t>肖央 / 宋佳 / 倪大红</t>
  </si>
  <si>
    <t>一对夫妻罗宇与白慧在离婚冷静期中，以律师和医生的身份卷入一桩家庭纠纷的案件。</t>
  </si>
  <si>
    <t>No More Bets</t>
  </si>
  <si>
    <t>Ao Shen</t>
  </si>
  <si>
    <t>Yixing Zhang, Chen Jin, Mei Yong</t>
  </si>
  <si>
    <t>A Chinese programmer and a model find themselves trapped in a foreign country. Best Actor (Nominee) of The 37th Hundred Flowers Awards.</t>
  </si>
  <si>
    <t>孤注一掷</t>
  </si>
  <si>
    <t>申奥</t>
  </si>
  <si>
    <t>张艺兴 / 金晨 / 咏梅</t>
  </si>
  <si>
    <t>程序员潘生和模特安娜被海外高薪招聘吸引，意外落入境外诈骗工厂的陷阱，两人想尽办法逃离。第37届大众电影百花奖 最佳男主角（提名）。</t>
  </si>
  <si>
    <t>The Yangtze River</t>
  </si>
  <si>
    <t>Takeuchi Ryo</t>
  </si>
  <si>
    <t>Ten years later, Takeuchi Ryo retraced the Yangtze River, showing local customs and the great changes in ten years. The movie version brings a new experience and lets the world see the real China.</t>
  </si>
  <si>
    <t>再会长江</t>
  </si>
  <si>
    <t>竹内亮</t>
  </si>
  <si>
    <t>竹内亮十年后重走长江，展现风土人情与十年巨变，电影版带来全新体验，让世界看到真实中国。</t>
  </si>
  <si>
    <t>Gone with the Boat</t>
  </si>
  <si>
    <t>Xiaoyu Chen</t>
  </si>
  <si>
    <t>Zhaomei Ge, Dan Liu, Zhoukai Wu</t>
  </si>
  <si>
    <t>An old woman living alone suddenly fell ill and her children had to take care of her. Asian New Talent Award Best Script Writer (Nominee) of The 25th Shanghai International Film Festival.</t>
  </si>
  <si>
    <t>乘船而去</t>
  </si>
  <si>
    <t>陈小雨</t>
  </si>
  <si>
    <t>葛兆美 / 刘丹 / 吴洲凯</t>
  </si>
  <si>
    <t>独自生活在运河边农村的老太太周瑾突然被确诊脑瘤，漂在外地的子女不得不回乡照顾。第25届上海国际电影节 亚洲新人奖 最佳影片（提名）。</t>
  </si>
  <si>
    <t>Growing Apart</t>
  </si>
  <si>
    <t>Lingyun Long</t>
  </si>
  <si>
    <t>Yuxian Shang, Liya Ai, Xiaoke Yue</t>
  </si>
  <si>
    <t>A 20-year-old boy unfolds family secret that has been kept for long. Forward Future Award Jury Special Mention of The 13th Beijing International Film Festival.</t>
  </si>
  <si>
    <t>何处生长</t>
  </si>
  <si>
    <t>龙凌云</t>
  </si>
  <si>
    <t>尚语贤 / 艾丽娅 / 岳骁恪</t>
  </si>
  <si>
    <t>20岁少年程非逐步揭开家庭秘密的故事。第13届北京国际电影节 注目未来单元 评审团特别提及影片。</t>
  </si>
  <si>
    <t>Land of Broken Hearts</t>
  </si>
  <si>
    <t>Shipei Wen</t>
  </si>
  <si>
    <t>Yilong Zhu, Tian Qiu, Qiming Jiang, Zhu Zhu, Roy Wang</t>
  </si>
  <si>
    <t>Huang Zhenkai doubts living in a movie. After meeting mysterious roommate Li Xiaole, he regains the ability to perceive love.</t>
  </si>
  <si>
    <t>负负得正</t>
  </si>
  <si>
    <t>温仕培</t>
  </si>
  <si>
    <t>朱一龙 / 邱天 / 蒋奇明 / 朱珠 / 王一通</t>
  </si>
  <si>
    <t>黄振开怀疑活在电影里，遇神秘室友李小乐后重获感知爱的能力。</t>
  </si>
  <si>
    <t>Being Mortal</t>
  </si>
  <si>
    <t>Ze Liu</t>
  </si>
  <si>
    <t>Xiaoran Tang, Hongjing Zhang, Kunmian Li</t>
  </si>
  <si>
    <t>Xia Tian returns to her homeland to take care of her father, who suffers from Alzheimer's. Made-in-Shanxi-Best Film of The 4th Pingyao Crouching Tiger Hidden Dragon International Film Festival.</t>
  </si>
  <si>
    <t>来处是归途</t>
  </si>
  <si>
    <t>刘泽</t>
  </si>
  <si>
    <t>唐小然 / 张鸿敬 / 李坤棉</t>
  </si>
  <si>
    <t>夏天回到老家晋剧团工作，帮母亲照顾患阿尔兹海默症的父亲，进而生发出整个家庭的焦虑和重压。第4届平遥国际电影展 从山西出发单元最受欢迎影片。</t>
  </si>
  <si>
    <t>Zhang Deng Jie Cai</t>
  </si>
  <si>
    <t>Yuanyuan Cai, Zheng Cao</t>
  </si>
  <si>
    <t>Zhigang Ma, Zhen Jin, Xiu Ma</t>
  </si>
  <si>
    <t>Bride's family ask too many marriage betrothal gifts which groom's family cannot afford.</t>
  </si>
  <si>
    <t>张灯结彩</t>
  </si>
  <si>
    <t>蔡元元 / 曹征</t>
  </si>
  <si>
    <t>马志刚 / 金珍 / 马秀</t>
  </si>
  <si>
    <t>电影讲述了人们反对高价彩礼的不良风俗和抵制索取彩礼的封建包办买卖婚姻的故事。</t>
  </si>
  <si>
    <t>England Is Mine</t>
  </si>
  <si>
    <t>Mark Gill</t>
  </si>
  <si>
    <t>Jack Lowden, Jessica Brown Findlay</t>
  </si>
  <si>
    <t>A portrait of Morrissey and his early life in 1970s Manchester.</t>
  </si>
  <si>
    <t>我的英格兰</t>
  </si>
  <si>
    <t>马克·吉尔</t>
  </si>
  <si>
    <t>杰克·劳登 / 杰西卡·布朗·芬德利</t>
  </si>
  <si>
    <t>英国史密斯乐队主唱莫里西少年时的经历。</t>
  </si>
  <si>
    <t>Lemonade</t>
  </si>
  <si>
    <t>Ioana Uricaru</t>
  </si>
  <si>
    <t>Mãlina Manovici, Dylan Smith, Steve Bacic</t>
  </si>
  <si>
    <t>A single mother from Romania with her children to start a new life in the United States. Someone to Watch Award (Nominee) of The 34th Independent Spirit Awards.</t>
  </si>
  <si>
    <t>柠檬汽水</t>
  </si>
  <si>
    <t>约阿娜·乌里卡鲁</t>
  </si>
  <si>
    <t>马利娜·马诺维奇 / 迪伦·史密斯 / 斯蒂夫·巴西奇</t>
  </si>
  <si>
    <t>来自罗马尼亚的单亲妈妈玛拉带着孩子在美国开始新生活。第34届美国独立精神奖 值得关注新人奖（提名）。</t>
  </si>
  <si>
    <t>Dune: Part Two</t>
  </si>
  <si>
    <t>Denis Villeneuve</t>
  </si>
  <si>
    <t>Timothée Chalamet, Zendaya</t>
  </si>
  <si>
    <t>Paul Atreides unites with Chani and the Fremen while seeking revenge against the conspirators who destroyed his family.</t>
  </si>
  <si>
    <t>沙丘2</t>
  </si>
  <si>
    <t>丹尼斯·维伦纽瓦</t>
  </si>
  <si>
    <t>提莫西·查拉梅 / 赞达亚</t>
  </si>
  <si>
    <t>保罗·厄崔迪被灭族后开启新的旅程；一场大战在所难免，个人与宇宙的命运风雨飘摇。</t>
  </si>
  <si>
    <t>Running Forever</t>
  </si>
  <si>
    <t>Dan Garcia, Mike Mayhall</t>
  </si>
  <si>
    <t>Martin Kove, Jaimie Steck, Mike Mayhall</t>
  </si>
  <si>
    <t>Unable to accept the family mutation, Taylor chose to escape, years later she returned to his side, gradually unraveling the knot.</t>
  </si>
  <si>
    <t>愿得一人心</t>
  </si>
  <si>
    <t>丹·加西亚 / 迈克·梅霍尔</t>
  </si>
  <si>
    <t>马丁·科夫 / 杰米·斯泰克 / 迈克·梅霍尔</t>
  </si>
  <si>
    <t>泰勒无法接受家庭的突变，选择了逃避，多年后她再次回到父亲身边，逐渐解开心结。</t>
  </si>
  <si>
    <t>Our Struggles</t>
  </si>
  <si>
    <t>Guillaume Senez</t>
  </si>
  <si>
    <t>Laure Calamy, Lucie Debay</t>
  </si>
  <si>
    <t>When Olivier's wife leaves him and the kids, he must face up to his new responsibilities. Golden Camera (Caméra d'or) (Nominee) of The 71st Cannes Film Festival.</t>
  </si>
  <si>
    <t>法</t>
  </si>
  <si>
    <t>Nos batailles</t>
  </si>
  <si>
    <t>水逆老爸</t>
  </si>
  <si>
    <t>吉咏姆·贤内兹</t>
  </si>
  <si>
    <t>劳尔·卡拉米 / 露西·德拜</t>
  </si>
  <si>
    <t>当妻子离开后，长期把家长责任推给妻子的奥利维，必须面对自己身为两个孩子父亲的身份。第71届戛纳电影节 金摄影机奖（导演首作奖）（提名）。</t>
  </si>
  <si>
    <t>The Major Tones</t>
  </si>
  <si>
    <t>Ingrid Pokropek</t>
  </si>
  <si>
    <t>Sofía Clausen, Santiago Ferreira</t>
  </si>
  <si>
    <t>After an accident, 14-year-old Ana has a metal plate in her arm. Unexpectedly, the plate begins to receive peculiar messages conveyed in Morse code.</t>
  </si>
  <si>
    <t>主要音调</t>
  </si>
  <si>
    <t>英格丽德·波克洛佩克</t>
  </si>
  <si>
    <t>索菲亚·克劳森 / 圣地亚哥·费雷拉</t>
  </si>
  <si>
    <t>少女安娜身体里金属片的神秘节奏让她百思不得其解，这些密码到底是什么？</t>
  </si>
  <si>
    <t>Not A Word</t>
  </si>
  <si>
    <t>Hanna Antonina Wojcik-Slak</t>
  </si>
  <si>
    <t>Maren Eggert, Jona Levin Nicolai</t>
  </si>
  <si>
    <t>A mother and son must deal with years of quiet and misunderstandings on a desolate island.</t>
  </si>
  <si>
    <t>沉默</t>
  </si>
  <si>
    <t>汉娜·安东尼娜·沃西克-斯拉克</t>
  </si>
  <si>
    <t>玛伦·艾格特 / 乔纳·莱文·尼古拉</t>
  </si>
  <si>
    <t>青春期的孩子拉尔斯提出在寒冬回到全家度假的小岛，而忙于事业的妮娜似乎没有发现真正的问题…</t>
  </si>
  <si>
    <t>Baggio: The Divine Ponytail</t>
  </si>
  <si>
    <t>Letizia Lamartire</t>
  </si>
  <si>
    <t>Andrea Arcangeli, Valentina Bellè, Thomas Trabacchi</t>
  </si>
  <si>
    <t>The film records the bits and pieces of star Roberto Baggio's 22-year career.</t>
  </si>
  <si>
    <t>巴乔：神奇的马尾辫</t>
  </si>
  <si>
    <t>莱蒂齐娅・拉马蒂雷</t>
  </si>
  <si>
    <t>安德烈・阿坎杰利 / 瓦伦蒂娜・贝莱 / 托马斯・特拉巴齐</t>
  </si>
  <si>
    <t>影片记录了球星罗伯托・巴乔22年职业生涯的点滴。</t>
  </si>
  <si>
    <t>An Encounter to Remember</t>
  </si>
  <si>
    <t>Zhichao Ha</t>
  </si>
  <si>
    <t>Shijia Jin, Ze Qiu, Junning Zhang</t>
  </si>
  <si>
    <t>A doctor meets a special couple in a welfare home. Best film (Nominee) of The 17th FIRST International Film Festival.</t>
  </si>
  <si>
    <t>最好的相遇</t>
  </si>
  <si>
    <t>哈智超</t>
  </si>
  <si>
    <t>金世佳 / 邱泽 / 张钧甯</t>
  </si>
  <si>
    <t>医生曹卢医在福利院遇到了英俊和燕子这一对特别的恋人，以及福利院护工李文静和一群可爱的人。第17届FIRST青年电影展 竞赛 最佳剧情长片（提名）。</t>
  </si>
  <si>
    <t>I Love You to the Moon and Back</t>
  </si>
  <si>
    <t>Weiran Li</t>
  </si>
  <si>
    <t>Zifeng Zhang, Xianxu Hu, Ke Ren</t>
  </si>
  <si>
    <t>Newlyweds Lin and Wang, living apart due to work, seize a holiday for a loving journey. Tiantan Award Best Film (Nominee) of The 14th Beijing International Film Festival.</t>
  </si>
  <si>
    <t>穿过月亮的旅行</t>
  </si>
  <si>
    <t>李蔚然</t>
  </si>
  <si>
    <t>张子枫 / 胡先煦 / 仁科</t>
  </si>
  <si>
    <t>异地小夫妻为了给对方制造惊喜，分别乘坐相向而行的列车奔赴一场心血来潮的浪漫旅行。第14届北京国际电影节 天坛奖 最佳影片奖（提名）。</t>
  </si>
  <si>
    <t>Moments We Shared</t>
  </si>
  <si>
    <t>Jiajia Zhang</t>
  </si>
  <si>
    <t>Yuchang Peng, Ye Zhou, Liya Ai</t>
  </si>
  <si>
    <t>A city graduate faces challenges in love and career, returning to hometown.</t>
  </si>
  <si>
    <t>云边有个小卖部</t>
  </si>
  <si>
    <t>张嘉佳</t>
  </si>
  <si>
    <t>彭昱畅 / 周也 / 艾丽娅</t>
  </si>
  <si>
    <t>刘十三在城市中迷失自我，跟随外婆回到故乡，与童年好友程霜和外婆相伴，并意外遇到小女孩球球。</t>
  </si>
  <si>
    <t>Back to Alexandria</t>
  </si>
  <si>
    <t>Tamer Ruggli</t>
  </si>
  <si>
    <t>Nadine Labaki, Fanny Ardant</t>
  </si>
  <si>
    <t>As her blue-blooded mother lies on her deathbed, Sue has to confront her painful past during a journey leading her back to Egypt.</t>
  </si>
  <si>
    <t>Retour en Alexandrie</t>
  </si>
  <si>
    <t>回到亚历山大港</t>
  </si>
  <si>
    <t>塔梅尔·鲁格利</t>
  </si>
  <si>
    <t>娜丁·拉巴基 / 芬妮·阿尔丹</t>
  </si>
  <si>
    <t>苏茜因为母亲的过世回到亚历山大港，她开始理解母亲看似快乐的人生背后隐藏的失落与记忆。</t>
  </si>
  <si>
    <t>Out of Season</t>
  </si>
  <si>
    <t>Stéphane Brizé</t>
  </si>
  <si>
    <t>Guillaume Canet, Alba Rohrwacher</t>
  </si>
  <si>
    <t>To wash his melancholy, Mathieu goes to a thalasso, where by chance he finds Alice, his ex.</t>
  </si>
  <si>
    <t>Hors-saison</t>
  </si>
  <si>
    <t>过季</t>
  </si>
  <si>
    <t>史蒂芬·布塞</t>
  </si>
  <si>
    <t>吉约姆·卡内 / 阿尔芭·罗尔瓦赫尔</t>
  </si>
  <si>
    <t>明星马修抛弃了剧组独自逃回旧日海边小镇寻求宁静，然而重遇十五年前的旧情人艾丽丝让他记忆翻涌而来。</t>
  </si>
  <si>
    <t>Grounded</t>
  </si>
  <si>
    <t>Alexandre Castagnetti</t>
  </si>
  <si>
    <t>Arthur Mazet, Karidja Touré, Thomas Vandenberghe</t>
  </si>
  <si>
    <t>Ben left a message on the website hoping to be with Leila, thus entering the cycle of time.</t>
  </si>
  <si>
    <t>La Colle</t>
  </si>
  <si>
    <t>留校奇缘</t>
  </si>
  <si>
    <t>亚历山大·卡斯塔涅蒂</t>
  </si>
  <si>
    <t>亚瑟·马赛特 / 卡里迪亚·图尔 / 托马斯·范登伯格</t>
  </si>
  <si>
    <t>本在网站留言希望和勒伊拉在一起，由此进入了时间轮回，只有成功与勒伊拉在一起才能重获自由。</t>
  </si>
  <si>
    <t>Winter Lemons</t>
  </si>
  <si>
    <t>Caterina Carone</t>
  </si>
  <si>
    <t>Christian De Sica, Teresa Saponangelo</t>
  </si>
  <si>
    <t>Pietro and Eleonora, both avid gardeners, are strangers who only meet because their two terraces are close to each other.</t>
  </si>
  <si>
    <t>冬天的柠檬</t>
  </si>
  <si>
    <t>卡特琳娜·卡隆</t>
  </si>
  <si>
    <t>克里斯蒂安·德西卡 / 特蕾莎·萨班农盖</t>
  </si>
  <si>
    <t>教授皮耶罗特偶遇同样热爱园艺的新邻居埃莉，二人成了忘年交，然而皮耶罗特最怕的事情正在发生。</t>
  </si>
  <si>
    <t>Dragon</t>
  </si>
  <si>
    <t>Indar Dzhendubaev</t>
  </si>
  <si>
    <t>Matvey Lykov, Mariya Poezzhaeva</t>
  </si>
  <si>
    <t>Princess Miroslava is kidnapped by a dragon and carried away into his castle.</t>
  </si>
  <si>
    <t>他是龙</t>
  </si>
  <si>
    <t>英达尔·珍杜巴耶夫</t>
  </si>
  <si>
    <t>马特维·雷科夫 / 玛利亚·波叶扎耶娃</t>
  </si>
  <si>
    <t>公爵的小女儿米拉被恶龙掳走后唤醒了恶龙的人性，最终和阿尔曼相爱。</t>
  </si>
  <si>
    <t>Successor</t>
  </si>
  <si>
    <t>Fei Yan, Damo Peng</t>
  </si>
  <si>
    <t>Teng Shen, Li Ma, Pengyuan Shi, Rina Sa, Bochen Xiao</t>
  </si>
  <si>
    <t>Ma Chenggang and Chunlan are in hardship. Their son Ma Jiye is the hope. As Xiaoma grows up, he finds people around him abnormal. Golden Deer Award, Grand Jury Prize of the 19th China Changchun Film Festival (2024).</t>
  </si>
  <si>
    <t>抓娃娃</t>
  </si>
  <si>
    <t>闫非 / 彭大魔</t>
  </si>
  <si>
    <t>沈腾 / 马丽 / 史彭元 / 萨日娜 / 肖帛辰</t>
  </si>
  <si>
    <t>马成钢和春兰困苦，儿子马继业是希望，小马长大却发现身边人不对劲。第19届中国长春电影节（2024）金鹿奖 评委会大奖。</t>
  </si>
  <si>
    <t>The Movie Emperor</t>
  </si>
  <si>
    <t>Hao Ning</t>
  </si>
  <si>
    <t>Andy Lau, Pal Sinn, Rima Zeidan</t>
  </si>
  <si>
    <t>In order to win the best actor, Liu cooperated with director Lin to shoot a rural film.</t>
  </si>
  <si>
    <t>红毯先生</t>
  </si>
  <si>
    <t>宁浩</t>
  </si>
  <si>
    <t>刘德华 / 单立文 / 瑞玛·席丹</t>
  </si>
  <si>
    <t>香港天王巨星刘伟驰为赢得影帝，与导演林浩合作拍摄农村题材影片，引发一系列荒诞闹剧。</t>
  </si>
  <si>
    <t>Sorry Baby</t>
  </si>
  <si>
    <t>Xiaogang Feng</t>
  </si>
  <si>
    <t>You Ge, Qianlian Wu, Biao Fu</t>
  </si>
  <si>
    <t>A taxi driver kidnaps the girlfriend of a travel agency boss in revenge for unpaid wages. Best Supporting Actor (Nominee) of The 20th Golden Rooster Awards.</t>
  </si>
  <si>
    <t>没完没了</t>
  </si>
  <si>
    <t>冯小刚</t>
  </si>
  <si>
    <t>葛优 / 吴倩莲 / 傅彪</t>
  </si>
  <si>
    <t>一个出租车司机为了报复拖欠他工资的旅行社老板将老板的女朋友绑架。第20届中国电影金鸡奖 最佳男配角（提名）。</t>
  </si>
  <si>
    <t>Be There or Be Square</t>
  </si>
  <si>
    <t>You Ge, Fan Xu</t>
  </si>
  <si>
    <t>A love story between two Beijingers living in the United States. Favorite Film of The 6th Beijing College Student Film Festival.</t>
  </si>
  <si>
    <t>不见不散</t>
  </si>
  <si>
    <t>葛优 / 徐帆</t>
  </si>
  <si>
    <t>电影讲述了两个流落到美国的北京人之间的爱情故事。第6届北京大学生电影节 最受大学生欢迎影片。</t>
  </si>
  <si>
    <t>A Tree in the House</t>
  </si>
  <si>
    <t>Yazhou Yang</t>
  </si>
  <si>
    <t>Gong Feng, Jiali Ding, Weili Zheng</t>
  </si>
  <si>
    <t>Garrulous Zhang lives together with his mum, brothers and sisters, in a orderly life. Best Actor of the 18th Golden Rooster Awards.</t>
  </si>
  <si>
    <t>没事偷着乐</t>
  </si>
  <si>
    <t>杨亚洲</t>
  </si>
  <si>
    <t>冯巩 / 丁嘉丽 / 郑卫莉</t>
  </si>
  <si>
    <t>尽管张大民的生活中有许多不如意的事，但大民心中始终充满着乐观。第18届中国电影金鸡奖 最佳男主角。</t>
  </si>
  <si>
    <t>Eat Hot Tofu Slowly</t>
  </si>
  <si>
    <t>Gong Feng</t>
  </si>
  <si>
    <t>Gong Feng, Fan Xu, Zi Liu</t>
  </si>
  <si>
    <t>Rickshaw driver Liu's life experience and positive attitude towards life. Best Comedy of The 12th Beijing College Student Film Festival.</t>
  </si>
  <si>
    <t>心急吃不了热豆腐</t>
  </si>
  <si>
    <t>冯巩</t>
  </si>
  <si>
    <t>冯巩 / 徐帆 / 刘孜</t>
  </si>
  <si>
    <t>一名普通三轮车司机，刘好酸甜苦辣的生活经历以及乐观积极的人生态度。第12届北京大学生电影节 最佳喜剧片奖。</t>
  </si>
  <si>
    <t>Mr. Donkey</t>
  </si>
  <si>
    <t>Shen Zhou, Lu Liu</t>
  </si>
  <si>
    <t>Suxi Ren, Dali Hou, Shuailiang Liu, Kuishan Pei</t>
  </si>
  <si>
    <t>The rural school teachers get embroiled in a test of humanity due to the lie about a donkey in an absurd story. The 17th Chinese Film Media Awards. Best Actress (nominated): Suxi Ren.</t>
  </si>
  <si>
    <t>驴得水</t>
  </si>
  <si>
    <t>周申 / 刘露</t>
  </si>
  <si>
    <t>任素汐 / 大力 / 刘帅良 / 裴魁山</t>
  </si>
  <si>
    <t>乡村学校教师因一头驴的谎言，陷入人性考验的荒诞故事。第17届华语电影传媒大奖（2017）最佳女主角（提名）任素汐。</t>
  </si>
  <si>
    <t>Detective Chinatown 3</t>
  </si>
  <si>
    <t>Sicheng Chen</t>
  </si>
  <si>
    <t>Baoqiang Wang, Haoran Liu, Satoshi Tsumabuki, Tony Jaa, Masami Nagasawa</t>
  </si>
  <si>
    <t>Southeast Asian gangs and Japanese yakuza have disputes over the development right of Tokyo's new Chinatown. A locked-room murder case causes a crisis. Detectives unravel the truth.</t>
  </si>
  <si>
    <t>唐人街探案3</t>
  </si>
  <si>
    <t>陈思诚</t>
  </si>
  <si>
    <t>王宝强 / 刘昊然 / 妻夫木聪 / 托尼·贾 / 长泽雅美</t>
  </si>
  <si>
    <t>东南亚帮派与日本黑帮因东京新唐人街开发权起纷争，一起密室杀人案引发危机，侦探们抽丝剥茧寻真相。</t>
  </si>
  <si>
    <t>7 Days No More</t>
  </si>
  <si>
    <t>Héctor Cabello Reyes</t>
  </si>
  <si>
    <t>Benoît Poelvoorde, Pitobash, Alexandra Lamy</t>
  </si>
  <si>
    <t>Tells the story of Pierre and Arkitt two people who met by chance to help each other.</t>
  </si>
  <si>
    <t>7 Jours Pas Plus</t>
  </si>
  <si>
    <t>七天之内</t>
  </si>
  <si>
    <t>赫克托尔·卡贝略·雷耶斯</t>
  </si>
  <si>
    <t>贝诺伊特·波尔沃德 / 皮托巴斯 / 亚历山德拉·拉米</t>
  </si>
  <si>
    <t>讲述了皮埃尔和阿基特两个人偶然相遇互相帮助对方的故事。</t>
  </si>
  <si>
    <t>Daddy Cool</t>
  </si>
  <si>
    <t>Maxime Govare</t>
  </si>
  <si>
    <t>Vincent Elbaz, Laurence Arné</t>
  </si>
  <si>
    <t>Maud is disappointed with Adrian's lack of ambition and wants to leave the other side, until he sees a change in Adrian, the two men get back together.</t>
  </si>
  <si>
    <t>酷爸爸</t>
  </si>
  <si>
    <t>马克西姆·戈瓦尔</t>
  </si>
  <si>
    <t>文森特·巴兹 / 劳伦斯·阿恩</t>
  </si>
  <si>
    <t>莫德对阿德里安的不求上进感到失望，想要离开对方，直到看到了阿德里安的改变，两人才重归于好。</t>
  </si>
  <si>
    <t>Full of Grace</t>
  </si>
  <si>
    <t>Roberto Carlos Sánchez Bueso</t>
  </si>
  <si>
    <t>Carmen Machi, Paula Usero, Nuria González</t>
  </si>
  <si>
    <t>"Holy Football Team" tells the story of Sister Marina forming a football team and cultivating a star.</t>
  </si>
  <si>
    <t>充满恩典</t>
  </si>
  <si>
    <t>罗伯托·卡洛斯·桑切斯·布埃索</t>
  </si>
  <si>
    <t>卡门·马奇 / 宝拉·乌塞罗 / 努丽雅·冈萨雷斯</t>
  </si>
  <si>
    <t>《圣恩足球队》讲述玛丽娜修女在寄宿学校组建足球队并培养出球星的故事。</t>
  </si>
  <si>
    <t>Rosa's Wedding</t>
  </si>
  <si>
    <t>Icíar Bollaín</t>
  </si>
  <si>
    <t>Candela Peña, Sergi López, Nathalie Poza, Ramón Barea, Paula Usero</t>
  </si>
  <si>
    <t>Rosa wants to control her life before 45 but finds family has plans. Changing family isn't easy. Best Film (Nominees) of the 35th Goya Awards (Spain) (2021).</t>
  </si>
  <si>
    <t>罗莎的婚礼</t>
  </si>
  <si>
    <t>伊西亚尔·博利亚因</t>
  </si>
  <si>
    <t>坎德拉·佩尼亚 / 塞尔希·洛佩斯 / 娜塔莉·波萨 / 拉蒙·巴雷阿 / 宝拉·乌塞罗</t>
  </si>
  <si>
    <t>罗莎45岁前想掌控生活，却发现家人各有打算，改变家庭局面不易。第35届西班牙戈雅奖（2021）最佳影片（提名）。</t>
  </si>
  <si>
    <t>Memory Lane</t>
  </si>
  <si>
    <t>Jelle de Jonge</t>
  </si>
  <si>
    <t>Martin van Waardenberg, Leny Breederveld</t>
  </si>
  <si>
    <t>A bitter-aged man reluctantly drives to Spain to pay a last visit to a dying friend, along with his wife who's suffering from dementia.</t>
  </si>
  <si>
    <t>记忆中的远方</t>
  </si>
  <si>
    <t>杰勒·德容格</t>
  </si>
  <si>
    <t>马丁·范·万德伯格 / 莱尼·布莱德威尔德</t>
  </si>
  <si>
    <t>亚普夫妇年过七旬，总是怀念几十年前在西班牙的欢乐时光，于是他们开始了寻找青春记忆的旅程。</t>
  </si>
  <si>
    <t>River Rascals</t>
  </si>
  <si>
    <t>Jiri Chlumsky</t>
  </si>
  <si>
    <t>Hynek Cermak, Jiri Langmajer, Pavel Liska</t>
  </si>
  <si>
    <t>Tells the story of David, Igor, Odra three men with their children kayaking to celebrate their grandparents' golden wedding, this adventure story along the way.</t>
  </si>
  <si>
    <t>河上划船的家伙们</t>
  </si>
  <si>
    <t>吉里·克鲁姆斯基</t>
  </si>
  <si>
    <t>海尼克·瑟马克 / 吉里·朗马杰 / 帕维尔·里斯卡</t>
  </si>
  <si>
    <t>讲述了大卫、伊戈尔、欧德拉三个男人带着孩子们划皮划艇去为祖父母庆祝金婚，沿途的冒险故事。</t>
  </si>
  <si>
    <t>Pleasant Goat and Big Big Wolf: The World Guardians</t>
  </si>
  <si>
    <t>Junming Huang, Lijin Chen</t>
  </si>
  <si>
    <t>Qing Zu, Lin Zhang, Yuting Deng</t>
  </si>
  <si>
    <t>The characters protect a magical gem from a mysterious force.</t>
  </si>
  <si>
    <t>喜羊羊与灰太狼之守护</t>
  </si>
  <si>
    <t>黄俊铭 / 陈力进</t>
  </si>
  <si>
    <t>祖晴 / 张琳 / 邓玉婷</t>
  </si>
  <si>
    <t>众羊狼与新伙伴在守护世界的征途中共同成长、明白守护意义。</t>
  </si>
  <si>
    <t>Pleasant Goat and Big Big Wolf: Dunk For Future</t>
  </si>
  <si>
    <t>Leo Huang</t>
  </si>
  <si>
    <t>Pleasant Goat, Big Big Wolf and a group of experts competing for the championship.</t>
  </si>
  <si>
    <t>喜羊羊与灰太狼之筐出未来</t>
  </si>
  <si>
    <t>黄伟明</t>
  </si>
  <si>
    <t>讲述了喜羊羊、灰太狼与一众高手角逐冠军的故事。</t>
  </si>
  <si>
    <t>Boonie Bears: Back to Earth</t>
  </si>
  <si>
    <t>Huida Lin</t>
  </si>
  <si>
    <t>Bingjun Zhang, Wei Zhang, Xiao Tan, Wanyao Li, Ziyang Cheng</t>
  </si>
  <si>
    <t>The story of Briar, Bramble and Logger Vick embarking on a space adventure to protect the homeland of the Earth. Best Animated Film at the 35th China Golden Rooster Awards.</t>
  </si>
  <si>
    <t>熊出没：重返地球</t>
  </si>
  <si>
    <t>林汇达</t>
  </si>
  <si>
    <t>张秉君 / 张伟 / 谭笑 / 李婉瑶 / 程子洋</t>
  </si>
  <si>
    <t>熊大、熊二和光头强开启太空冒险，守护地球家园的故事。第35届中国电影金鸡奖（2022）最佳美术片。</t>
  </si>
  <si>
    <t>Bonnie Bears: Entangled Worlds</t>
  </si>
  <si>
    <t>Yongchang Lin, Huida Lin, Liang Ding</t>
  </si>
  <si>
    <t>Wenjie Shang, Chunlai Bao, Jianhong Sun, Shunxi Zeng</t>
  </si>
  <si>
    <t>Boonie bears and Bald Qiang work together to smash a conspiracy to destroy forest. Best Animated Feature (Nominee) of The 31st Golden Rooster Awards.</t>
  </si>
  <si>
    <t>熊出没·奇幻空间</t>
  </si>
  <si>
    <t>林永长 / 林汇达 / 丁亮</t>
  </si>
  <si>
    <t>尚雯婕 / 鲍春来 / 孙建弘 / 曾舜晞</t>
  </si>
  <si>
    <t>熊大、熊二和光头强与鹿族女孩协力保护金鹿角，击垮反派，让森林复苏。第31届中国电影金鸡奖 最佳美术片（提名）。</t>
  </si>
  <si>
    <t>Boonie Bears: The Big Top Secret</t>
  </si>
  <si>
    <t>Liang Ding, Yongchang Lin</t>
  </si>
  <si>
    <t>Wei Zhang, Bingjun Zhang, Xiao Tan</t>
  </si>
  <si>
    <t>Briar, who was washed away by the mudslide, was rescued by the circus.</t>
  </si>
  <si>
    <t>熊出没之熊心归来</t>
  </si>
  <si>
    <t>丁亮 / 林永长</t>
  </si>
  <si>
    <t>张伟 / 张秉君 / 谭笑</t>
  </si>
  <si>
    <t>被泥石流冲走的熊大被马戏团所救并收留，成为马戏明星开始新生活。</t>
  </si>
  <si>
    <t>Boonie Bears: Mystical Winter</t>
  </si>
  <si>
    <t>Liang Ding, Fuyuan Liu</t>
  </si>
  <si>
    <t>Driven by the legend, they travel to White Bear Mountain and meet the snow bear.</t>
  </si>
  <si>
    <t>熊出没之雪岭熊风</t>
  </si>
  <si>
    <t>丁亮 / 刘富源</t>
  </si>
  <si>
    <t>熊二意外掉入梦幻仙境见到大白熊，在传说的驱使下，前往白熊山，结识雪熊“团子”。</t>
  </si>
  <si>
    <t>GG BOND: Super Racing</t>
  </si>
  <si>
    <t>Zhong Yu</t>
  </si>
  <si>
    <t>Lu Shuang, Shi Bei</t>
  </si>
  <si>
    <t>GG bond has received an urgent task: to stop the core power from being stolen.</t>
  </si>
  <si>
    <t>新猪猪侠大电影·超级赛车</t>
  </si>
  <si>
    <t>钟彧</t>
  </si>
  <si>
    <t>陆双 / 石贝</t>
  </si>
  <si>
    <t>猪猪侠接到紧急任务：支撑竞速之城悬浮的核心能源被盗，城市将坠毁，猪猪侠必须在72小时内找回。</t>
  </si>
  <si>
    <t>Little Chicken Troops</t>
  </si>
  <si>
    <t>Cao Feng</t>
  </si>
  <si>
    <t>Yuting Deng, Junchao Jiang</t>
  </si>
  <si>
    <t>Cute chickens walk through the city where human beings live.</t>
  </si>
  <si>
    <t>萌鸡小队：萌闯新世界</t>
  </si>
  <si>
    <t>冯操</t>
  </si>
  <si>
    <t>邓玉婷 / 江俊潮</t>
  </si>
  <si>
    <t>萌鸡们穿过人类生活的城市。</t>
  </si>
  <si>
    <t>Cosmicrew: Storm Force</t>
  </si>
  <si>
    <t>Liu Peng</t>
  </si>
  <si>
    <t>Li Jing, Liu Yuyinzi, Liu Rui</t>
  </si>
  <si>
    <t>Feng Bao began his journey in search of his father who was in different time and space.</t>
  </si>
  <si>
    <t>宇宙护卫队：风暴力量</t>
  </si>
  <si>
    <t>刘彭</t>
  </si>
  <si>
    <t>李靖 / 刘妤姻子 / 刘蕊</t>
  </si>
  <si>
    <t>风暴成为宇宙护卫队的队长后偶然间得知十年前父亲被困在异时空中，于是他开始寻找父亲之旅。</t>
  </si>
  <si>
    <t>New Happy Dad and Son 5: My Alien Friend</t>
  </si>
  <si>
    <t>He Cheng, Liu Kexin</t>
  </si>
  <si>
    <t>Ju Ping, Dong Hao, Chen Yi</t>
  </si>
  <si>
    <t>Big Head son and his "alien friends" together to complete the difficult space mission.</t>
  </si>
  <si>
    <t>新大头儿子和小头爸爸5：我的外星朋友</t>
  </si>
  <si>
    <t>何澄 / 刘可欣</t>
  </si>
  <si>
    <t>鞠萍 / 董浩 / 陈怡</t>
  </si>
  <si>
    <t>拥有航天梦的大头儿子，和“外星人朋友”一起完成艰巨的航天任务。</t>
  </si>
  <si>
    <t>Autumn and the Black Jaguar</t>
  </si>
  <si>
    <t>Gilles de Maistre</t>
  </si>
  <si>
    <t>Lumi Pollack, Emily Bett Rickards</t>
  </si>
  <si>
    <t>14-year-old Autumn returns to the Amazon rainforest to save her childhood village and beloved jaguar friend.</t>
  </si>
  <si>
    <t>最后的美洲豹</t>
  </si>
  <si>
    <t>吉勒斯·戴·迈斯特</t>
  </si>
  <si>
    <t>卢米·博莱克 / 艾米莉·理查兹</t>
  </si>
  <si>
    <t>女孩秋天出生在亚马逊雨林，当她得知自己的小美洲豹希望面临偷猎者的威胁，她决定重返部落。</t>
  </si>
  <si>
    <t>Sirocco and the Kingdom of the Winds</t>
  </si>
  <si>
    <t>Benoît Chieux</t>
  </si>
  <si>
    <t>Loïse Charpentier, Maryne Bertieaux</t>
  </si>
  <si>
    <t>Juliette and Carmen, two audacious sisters discovering a passage to the universe of their favorite book: "The Kingdom of the Winds" where they will be transformed and trapped.</t>
  </si>
  <si>
    <t>Sirocco et le royaume des courants d'air</t>
  </si>
  <si>
    <t>风之王国</t>
  </si>
  <si>
    <t>贝诺·基约</t>
  </si>
  <si>
    <t>洛伊斯·察皮提尔 / 玛丽娜·伯蒂奥</t>
  </si>
  <si>
    <t>姐妹二人穿越入风的王国变成了猫，面对大魔法师西斯科，一段过往的姐妹情才是重返人间的关键。</t>
  </si>
  <si>
    <t>New Onboard</t>
  </si>
  <si>
    <t>Enjoy your dream flight with our superb collection of audio-visual entertaining content. Welcome aboard this Air China flight. This month, we are offering not only the latest and hottest Hollywood and Chinese movies that are now being shown in theaters around the world, but also more than 100 classic Chinese and foreign movies. Relax and enjoy your flight!</t>
  </si>
  <si>
    <t>佳片速递</t>
  </si>
  <si>
    <t>梦幻视听，乐享飞行。欢迎您搭乘中国国际航空公司的航班。本月国航不但为您精选了全球热映的好莱坞与中文最新电影，还有百余部中外经典佳片供您赏阅。国航带您放松心情，尽享舒适旅程。</t>
  </si>
  <si>
    <t>title</t>
  </si>
  <si>
    <t>synopsis</t>
  </si>
  <si>
    <t>英</t>
  </si>
  <si>
    <t>The Princess Royal 4</t>
  </si>
  <si>
    <t>This drama is an adaptation of Mo Shubai's novel "The Princess Royal". The story follows the Princess Royal of the Xia dynasty, Li Rong, as she reminisces about her youth with the current Senior Grand Secretary Pei Wenxuan. They transform from being enemies to close friends, and then from close friends to lovers. They develop a deep trust and complement each other, ultimately working together to uncover the truth and find love.</t>
  </si>
  <si>
    <t>度华年 4</t>
  </si>
  <si>
    <t>该剧根据墨书白小说《长公主》改编。故事中，大夏朝的长公主李蓉与当朝首辅裴文宣梦回华年，由仇人变闺蜜，闺蜜变成有情人。他们彼此信赖，彼此成全，终于破镜重圆，一起搞事业，一起发现真相，一起发现爱。</t>
  </si>
  <si>
    <t>The Double 7</t>
  </si>
  <si>
    <t>The drama narrates the tale of Xue Fangfei, a privileged daughter leading a contented life, who loses everything due to a significant upheaval. Rescued by Jiang Li, the daughter of the Director of the Central Secretariat, she returns to the capital as Jiang Li and, with the assistance of Imperial Duke Xiao Heng and other allies, surmounts innumerable obstacles, battles against injustice, secures her wrongly incarcerated father's release, aids Xiao Heng in upholding justice, and safeguards the populace, ultimately reclaiming a splendid existence.</t>
  </si>
  <si>
    <t>墨雨云间 7</t>
  </si>
  <si>
    <t>本剧讲述了家庭优渥、生活幸福的县令之女薛芳菲在遭逢巨变之后失去一切，受救命恩人、中书令之女姜梨之托，以姜梨的身份回到京城，并在肃国公萧蘅等人的帮助下，克服重重艰险，不断努力对抗不公，救出意外入狱的父亲，并帮助萧蘅匡扶正义，守护黎民百姓，最终重获美好生活的故事。</t>
  </si>
  <si>
    <t>I Hear You 7 Ma Yansong: I Hope My Architecture Can Change Cities</t>
  </si>
  <si>
    <t>Li Jing engages in conversations with exceptional individuals from diverse backgrounds and of all ages, who live among us and possess captivating stories and unique perspectives. The program delves into the guests' current endeavors and significant life events, providing a platform for meaningful dialogue.</t>
  </si>
  <si>
    <t>听你这么说 7 马岩松：我希望我的建筑可以改变城市</t>
  </si>
  <si>
    <t>李静将与来自各行各业、各个年龄层面优秀人士进行对话，他们就生活在我们身边，他们是有故事的人、有趣的人。节目以嘉宾正在进行的工作、生活节点切入，对嘉宾进行谈话。</t>
  </si>
  <si>
    <t>Gathering Fragments of the Past 7 A Courtyard Is the Essence of Chinese Life</t>
  </si>
  <si>
    <t>"Traveling Around the World with Wentao" Season 3 takes us on a journey through the misty and rainy regions south of the Yangtze River, akin to a slowly unfolding picture scroll. Visiting renowned mountains, appreciating strange stones, and seeking wonderful fate, in the program, Dou Wentao and his long-time companions fully immerse themselves in the poetic beauty of Jiangnan.</t>
  </si>
  <si>
    <t>锵锵拾遗 7 有院子才是中国人的生活</t>
  </si>
  <si>
    <t>《锵锵行天下》第三季江南烟雨，一路如一副徐徐铺开的画卷。访名山，赏奇石，寻妙缘。窦文涛与老友们浸润在江南的诗情画意中。</t>
  </si>
  <si>
    <t>Funny Traveling Around the World 7 The Funny Family Challenges the High-Altitude Suspension Bridge! Building a Funny Campsite at the Foot of the Snow Mountain</t>
  </si>
  <si>
    <t>The Funny Family embarks on a journey to Yunnan and Northeast China with the aim of immersing themselves in the diverse cultures of China's 56 ethnic groups and leading children to discover new landscapes and cuisines of these ethnic regions.</t>
  </si>
  <si>
    <t>蕃尼看世界之奇遇冒险 7 蕃尼家族挑战高空吊桥！在雪山下搭建蕃尼营地</t>
  </si>
  <si>
    <t>蕃尼家族前往云南、东北等地，抱着对中国56个民族不同文化的好奇心和探索欲，发掘小朋友们不曾见过的不同民族美景和美食。</t>
  </si>
  <si>
    <t>The Magic Chef of Ice and Fire 7</t>
  </si>
  <si>
    <t>Since childhood, Rong Nianbing has been chased after by the Ice God Tower. After bravely jumping off a cliff to assert his high ideals, he is rescued by the renowned "Ghost Chef" Zha Ji, who takes him under his wing as a disciple. Under Zha Ji's guidance, Nianbing's remarkable magical abilities begin to show. However, crises continue to arise. Is Nianbing able to overcome these obstacles and grow into the top wizard on the Yangguang Continent?</t>
  </si>
  <si>
    <t>冰火魔厨 7</t>
  </si>
  <si>
    <t>念冰自小被冰神塔追杀，跳崖明志后被“鬼厨”查极所救并收为徒，念冰惊人的实力初现端倪。然而，危机接踵而至，念冰是否能化险为夷，成为仰光大陆顶级魔法师？</t>
  </si>
  <si>
    <t>Legend of Assassin 7</t>
  </si>
  <si>
    <t>Dark River is the most mysterious killer gang in Jianghu. Upon the arrival of the news, the three factions of Dark River seize the opportunity to initiate a rebellion. Su Muyu, leader of the Spider Shadow escort group mastered by Patriarch, seeks out the magic doctor Bai Hehuai from the Medicine King Valley to cure the Patriarch while protecting the Patriarch from assassins of other factions.</t>
  </si>
  <si>
    <t>暗河传 7</t>
  </si>
  <si>
    <t>暗河，江湖最神秘的杀手组织，暗河三家势力得知消息后，趁机发起叛乱。苏暮雨作为大家长护卫团蛛影的首领傀，一边找来药王谷神医白鹤淮为大家长医治，一边击退各家杀手护大家长周全。</t>
  </si>
  <si>
    <t>The Demon Hunter 7</t>
  </si>
  <si>
    <t>Evil monsters cause trouble in the World of Cangyuan, and the human race suffers greatly. Meng Chuan, the protagonist, has vowed to seek revenge for his mother since childhood. From the Mirror Lake Taoist Temple, he starts an adventure of punishing the wicked and evil, displaying perseverance, courage, and agility in wielding the sword. He manages to arrive at the Top Four Taoist Temples and finally becomes a great Divine Wizard of the age.</t>
  </si>
  <si>
    <t>沧元图 7</t>
  </si>
  <si>
    <t>沧元界妖邪作乱，人族饱受摧残，主角孟川自小立下为母复仇的誓言，以镜湖道院为起点，凭借坚毅无畏的心志与利落果决的刀法身手，惩处奸恶，登顶四大道院，成就一代神魔的故事。</t>
  </si>
  <si>
    <t>Pegasus·Passion 7</t>
  </si>
  <si>
    <t>Zhang Chi sustains serious injuries after being thrown off the track in auto racing. By accident, he is transported to the past and his spirit enters the body of 21-year-old Lin Zhendong. Bestowed with another chance, Lin Zhendong spares no effort in preventing his 24-year-old self from making the same mistake.</t>
  </si>
  <si>
    <t>飞驰人生热爱篇 7</t>
  </si>
  <si>
    <t>张驰飞出赛道后身受重伤，意外穿越到21岁的林臻东身上，他想尽一切办法去阻止24岁的自己重蹈覆辙的故事。</t>
  </si>
  <si>
    <t>Everyone Loves Me 7</t>
  </si>
  <si>
    <t>On the day when Yue Qianling resigned from her company, she coincidentally came across her crush, Gu Xun, who had just been recruited to be the director of the Ninth Division. This encounter prompts her to return to the company and pursue him boldly, but Gu Xun is cold towards her and even rejects her confession in front of the entire school faculty and students. It turns out that Gu Xun has already been in love with a tough and forthright netizen named "glutinous rice little Mahua". Knowing the truth that the two girls are the same person, Gu Xun has to engage in a funny and romantic "hunt for a lost lover".</t>
  </si>
  <si>
    <t>别对我动心 7</t>
  </si>
  <si>
    <t>岳千灵在离职的当天，与暗恋对象，新入职的第九事业部负责人顾寻擦肩而过，为此，她不惜回到公司，对顾寻大胆追爱，顾寻却冷淡以待，甚至当着全校师生面将岳千灵的告白狠狠拒绝。原来，顾寻早已倾心彪悍飒爽的网友“糯米小麻花”。最后知道真相的顾寻不得不开启搞笑与心动并存的“反向追妻路”。</t>
  </si>
  <si>
    <t>Shared Flavor Across the Straits 11 Roast a Pig Together: Golden Crispy Skin, Overflowing with Aroma</t>
  </si>
  <si>
    <t>This documentary, woven through the flavors that permeate the streets and alleys, tells the stories of people on both sides of the strait, creating a resonance with shared emotions and cultures. It is structured around six main thematic sections, featuring thirty culinary delights from each side, and sixty compelling human interest stories. The common taste of food, a shared heritage, highlights the underlying human warmth and seeks to evoke the nostalgic flavors of the homeland of the Chinese nation.</t>
  </si>
  <si>
    <t>两岸一味 11 一起烤个猪：表皮金黄，肉香四溢</t>
  </si>
  <si>
    <t>以街头巷尾的民间味道为联结，讲述两岸故事，共鸣情感与文化。6大主题版块，30种两岸吃食，60组人文故事，用两岸一脉共生的食之味，展现两岸一根同源的人情味，追寻中华民族的味觉乡愁。</t>
  </si>
  <si>
    <t>My Senior Brother Is Too Steady 6</t>
  </si>
  <si>
    <t>Li Changshou, a young man, was unexpectedly reborn in ancient times before the Deification War and grew up to become a Qi cultivator. To cultivate the ability to live forever and survive in the harsh primitive age, he has to keep a low profile and look before leap, and he barely ventures into danger. One day, however, his master unexpectedly entrusts a younger sister to him, and Li Changshou, who intends to cultivate quietly, finds himself embroiled in one adventure after another.</t>
  </si>
  <si>
    <t>师兄啊师兄 6</t>
  </si>
  <si>
    <t>年轻人李长寿，意外重生在封神大战之前的上古时代，成了一个炼气士。为了修得长生不老且能在残酷的洪荒安身立命，他低调行事，凡事谋而后动，从不轻易步入危险之中，直到有一天，他的师傅突然给他收了个师妹回来，本想低调修行的李长寿被卷入了一场场冒险。</t>
  </si>
  <si>
    <t>Hantang Culture</t>
  </si>
  <si>
    <t>This episode presents several fashion, art and crafts events celebrating cultural exchanges between China and France, including the major exhibition "Résonances Art Déco : Paris Chic - Shanghai Moderne" unveiled at Bund 33, Shanghai, and the exhibition Jeux de mains.</t>
  </si>
  <si>
    <t>汉唐文化</t>
  </si>
  <si>
    <t>呈现上海外滩源壹号跨年大展「摩登：交错的世界」，及其他中法文化、时尚及手工艺领域交流活动。</t>
  </si>
  <si>
    <t>China S01E01</t>
  </si>
  <si>
    <t>The program explores the people and stories of ancient Chinese civilization. Best Documentary Series of The 31st Golden Eagle Awards.</t>
  </si>
  <si>
    <t>中国 第一季 1</t>
  </si>
  <si>
    <t>节目再现华夏历史切面，挖掘古代中华文明中对今日中国社会最具深远影响的人与故事。第31届中国电视金鹰奖 最佳电视纪录片。</t>
  </si>
  <si>
    <t>The Gifts from the Palace Museum 3</t>
  </si>
  <si>
    <t>The Hong Kong Palace Museum officially opened in July 2022, with approximately 900 precious cultural relics selected by the Palace Museum in Beijing transported to Hong Kong.</t>
  </si>
  <si>
    <t>故宫的礼物 3</t>
  </si>
  <si>
    <t>香港故宫文化博物馆2022年7月开馆，节目以文物与人物为切入点，解读展出文物背后的故事。</t>
  </si>
  <si>
    <t>New Three Gorges 3 Mountain</t>
  </si>
  <si>
    <t>The past and present of the magnificent Three Gorges. Remy Award for Best Documentary at Houston International Film Festival (2018).</t>
  </si>
  <si>
    <t>新三峡 3 山</t>
  </si>
  <si>
    <t>瑰丽三峡的前世今生。休斯顿国际电影节最佳记录片雷米奖（2018）。</t>
  </si>
  <si>
    <t>Mount Tai 1 Birthplace of Mount Tai</t>
  </si>
  <si>
    <t>By recording the nature, history and humanity of Mount Tai, it presents the historical and cultural context and trend of Mount Tai from multiple directions and angles, folds the millennium civilization, and allows the audience to read the "sea and mulberry field" of Mount Tai in the film.</t>
  </si>
  <si>
    <t>大泰山 1 河山元脉</t>
  </si>
  <si>
    <t>通过记录泰山的自然、历史、人文，多方位、多角度呈现泰山历史文化脉络与走向，折叠了千年文明，让观众在片子中阅尽泰山千年的“沧海与桑田”。</t>
  </si>
  <si>
    <t>Chinese Juncao 1 My Name Is Juncao</t>
  </si>
  <si>
    <t>Centering on the theme of Juncao technology taking root overseas for the first time, helping poor people improve their lives, helping to cope with climate change, promoting local people's livelihood and economic development, and becoming a new driving force for talent training and sustainable development.</t>
  </si>
  <si>
    <t>中国草 1 我叫菌草</t>
  </si>
  <si>
    <t>围绕菌草技术首次在海外落地生根、助力贫困群众改善生活、帮助应对气候变化、推动当地民生和经济发展、成为人才培养和可持续发展的新动能等主题展开。</t>
  </si>
  <si>
    <t>Pompeii: The New Dig Ep02</t>
  </si>
  <si>
    <t>Join the biggest dig in a generation as secrets and treasures are unearthed at the famous archeological site.</t>
  </si>
  <si>
    <t>庞贝新发现 2</t>
  </si>
  <si>
    <t>和镜头一起加入当代人从事的规模最大的挖掘活动，在著名的考古遗址发掘秘密和宝藏。</t>
  </si>
  <si>
    <t>Food Markets Ep07</t>
  </si>
  <si>
    <t>Going to the local market when we visit a foreign city is something we all love to do. Markets attract us for their colours, smells, people, sounds and taste.</t>
  </si>
  <si>
    <t>行走世界菜市场 7</t>
  </si>
  <si>
    <t>城市的菜市场养活了大量的居民，但我们对食品市场的实际运作方式了解多少？走入全球24个大型城市的菜市场，从一个全新的角度描绘了城市供应系统的变化。</t>
  </si>
  <si>
    <t>Hong Kong Nature Stories 4 The Mountain Forest (Part 2)</t>
  </si>
  <si>
    <t>Explore the mysterious ecology and natural treasures of the forests in Hong Kong and embark on a green journey.</t>
  </si>
  <si>
    <t>香港自然故事 4 山林篇 下</t>
  </si>
  <si>
    <t>探寻香港山林的神秘生态与自然宝藏，开启绿色之旅。</t>
  </si>
  <si>
    <t>Hong Kong Nature Stories 3 The Mountain Forest (Part 1)</t>
  </si>
  <si>
    <t>香港自然故事 3 山林篇 上</t>
  </si>
  <si>
    <t>Natural Legend: Wild World</t>
  </si>
  <si>
    <t>Focus on the legend of life in the animal and plant world, and explore and reveal the mysterious mystery of the universe. A platform full of magic natural life legend and the charm of astronomical and geographical wonders is carefully built.</t>
  </si>
  <si>
    <t>自然传奇 野性世界</t>
  </si>
  <si>
    <t>聚焦动植物世界生命传奇故事、探寻揭示宇宙万象的神奇奥秘。精心打造一个充满神奇自然生命传奇、展现天文地理奇观魅力的平台。</t>
  </si>
  <si>
    <t>Our Great National Parks EP17</t>
  </si>
  <si>
    <t>African beaches, Japanese islands and Australian Great Barrier Reef show the original beauty of nature.</t>
  </si>
  <si>
    <t>全球绝美国家公园 第17集</t>
  </si>
  <si>
    <t>非洲海滩、日本岛屿和澳大利亚大堡礁，尽显自然界原生态之美。</t>
  </si>
  <si>
    <t>If There Was No Land on Earth Ep07</t>
  </si>
  <si>
    <t>There are places where people and nature wisely coexist. People coexist with animals and even earn money from them without killing them and destroying the local ecosystem.</t>
  </si>
  <si>
    <t>如果地球上没有陆地 7</t>
  </si>
  <si>
    <t>如果地球上没有陆地，人类文明与自然生物会是怎样的情景？</t>
  </si>
  <si>
    <t>All Creatures Great and Small S05E06</t>
  </si>
  <si>
    <t>It is Spring 1941 and with the Second World War under way, people living in the Yorkshire Dales have to manage to deal with it.</t>
  </si>
  <si>
    <t>万物生灵 第五季 6</t>
  </si>
  <si>
    <t>秋风起，《万物生灵》第五季温暖回归，讲述战争阴云笼罩之下普通人的生活。</t>
  </si>
  <si>
    <t>All Creatures Great and Small S05E05</t>
  </si>
  <si>
    <t>万物生灵 第五季 5</t>
  </si>
  <si>
    <t>All Creatures Great and Small S05E04</t>
  </si>
  <si>
    <t>万物生灵 第五季 4</t>
  </si>
  <si>
    <t>All Creatures Great and Small S05E03</t>
  </si>
  <si>
    <t>万物生灵 第五季 3</t>
  </si>
  <si>
    <t>All Creatures Great and Small S05E02</t>
  </si>
  <si>
    <t>万物生灵 第五季 2</t>
  </si>
  <si>
    <t>All Creatures Great and Small S05E01</t>
  </si>
  <si>
    <t>万物生灵 第五季 1</t>
  </si>
  <si>
    <t>Air Panorama International Outbound</t>
  </si>
  <si>
    <t>Air Panorama collects short videos from across the world that focus on people and events making headlines. The aim of the videos is to explore the small beauties in everyday life. The contents capture diverse topics ranging from business brands and charity work to travel, food and entertainment. Air Panorama is committed to creating meaningful and substantial in-flight cultural experience.</t>
  </si>
  <si>
    <t>Désolé, ce programme n'est pas disponible en français.</t>
  </si>
  <si>
    <t>空中博览1月国际去程</t>
  </si>
  <si>
    <t>《空中博览》全球热搜综合短视频集萃栏目。打造精品化短视频合集，将镜头对准时代下的人和物，探索与人们生活美好点滴，内容以热点性、文化性、多元性为特点，涵盖各界KOL、旅游、美食、娱乐、商业品牌、公益等，致力于打造有料、有情怀的飞行文化体验。</t>
  </si>
  <si>
    <t>Air Panorama International Inbound</t>
  </si>
  <si>
    <t>空中博览1月国际回程</t>
  </si>
  <si>
    <t>Air Panorama Domestic Outbound</t>
  </si>
  <si>
    <t>空中博览1月国内去程</t>
  </si>
  <si>
    <t>Air Panorama Domestic Inbound</t>
  </si>
  <si>
    <t>空中博览1月国内回程</t>
  </si>
  <si>
    <t>The 12 two-hour Periods in Beijing 10</t>
  </si>
  <si>
    <t>The show invites guests to open a new consumer experience.</t>
  </si>
  <si>
    <t>京城十二时辰 10</t>
  </si>
  <si>
    <t>节目邀请一众嘉宾开启商旅文体业态融合的商圈消费新体验。</t>
  </si>
  <si>
    <t>Divas Hit The Road·Good Friends E09</t>
  </si>
  <si>
    <t>Previous guests are invited to explore China's friendly countries.</t>
  </si>
  <si>
    <t>花儿与少年·好友记 第9期</t>
  </si>
  <si>
    <t>节目邀请之前的嘉宾重返舞台，与他们的老朋友一起探索“中国朋友圈”的国家。</t>
  </si>
  <si>
    <t>Divas Hit The Road·Good Friends E08</t>
  </si>
  <si>
    <t>花儿与少年·好友记 第8期</t>
  </si>
  <si>
    <t>Snow and Ice Welcome Guests 2 "Erbin", a Fire in Winter</t>
  </si>
  <si>
    <t>Harbin in winter, the ice and snow contain warm currents, snowy, frozen thousands of miles away, from all over the world, washed away the cold of the vast land, woke up the melody of the corner of the street, bringing an unprecedented joy and excitement to the city.</t>
  </si>
  <si>
    <t>冰雪迎宾 2 “尔滨”，冬天里的一团火</t>
  </si>
  <si>
    <t>冬天的哈尔滨，冰雪里蕴藏着暖流，白雪皑皑、冰封万里之外，来自五湖四海的身影，冲散了广袤大地的冷峻，唤醒了街角巷尾的旋律，将一场前所未有的欢喜与热闹带给这座城市。</t>
  </si>
  <si>
    <t>Snow and Ice Welcome Guests 1 "Erbin", We Have a Visitor</t>
  </si>
  <si>
    <t>冰雪迎宾 1 “尔滨”，家里来客人了</t>
  </si>
  <si>
    <t>Lives in Chagan Lake 2 Explore It Freely</t>
  </si>
  <si>
    <t>The ecological changes of Chagan Lake not only inject new vitality and vitality into the production and life of the people, but also reflect the life situation reflected in the transition of individual fate under the background of The Times.</t>
  </si>
  <si>
    <t>家住查干湖 2 畅游其间</t>
  </si>
  <si>
    <t>查干湖的生态变化不仅为百姓生产生活注入了新的生机和活力，也体现了在大的时代背景下，个体命运的转折所体现的人生况味。</t>
  </si>
  <si>
    <t>Lives in Chagan Lake 1 Surplus Year after Year</t>
  </si>
  <si>
    <t>家住查干湖 1 年年有余</t>
  </si>
  <si>
    <t>100 Places to Visit in This Lifetime 8 Cryptomeria</t>
  </si>
  <si>
    <t>With beautiful scenery, food, culture and life as the starting point, we will explore local scenery, experience local intangible cultural heritage projects and feel local customs and customs in the form of reality shows.</t>
  </si>
  <si>
    <t>此生要去的100个地方 8 柳杉</t>
  </si>
  <si>
    <t>以美景、美食、文化、生活为原点出发，以真人秀的形式发掘各地风景、体验当地非遗项目、感受地方风土人情。</t>
  </si>
  <si>
    <t>100 Places to Visit in This Lifetime 7 Gongtong Flowers</t>
  </si>
  <si>
    <t>此生要去的100个地方 7 珙桐花</t>
  </si>
  <si>
    <t>My Greek Odyssey S06E07</t>
  </si>
  <si>
    <t>My Greek Odyssey takes viewers to some of the most spectacular and unique islands in Greece.</t>
  </si>
  <si>
    <t>我的希腊之旅 第六季 7</t>
  </si>
  <si>
    <t>《我的希腊之旅》最新一季将观众带到希腊一些最壮观、最独特的岛屿。</t>
  </si>
  <si>
    <t>The Garfield Show Ep08</t>
  </si>
  <si>
    <t>A lasagne-loving pussycat adventures and explores the differences between good and bad, and right and wrong.</t>
  </si>
  <si>
    <t>加菲猫的幸福生活 8</t>
  </si>
  <si>
    <t>超级活泼可爱的加菲猫回来啦！看起来好吃懒做的他也会有机会成为盖世英雄。</t>
  </si>
  <si>
    <t>The Garfield Show Ep07</t>
  </si>
  <si>
    <t>加菲猫的幸福生活 7</t>
  </si>
  <si>
    <t>If History Is a Group of Cats S01E04 Yu the Great Founding the Xia Dynasty</t>
  </si>
  <si>
    <t>Cats transform into historical figures and present five thousand years of Chinese history. "If History Is a Group of Cats" leads you into the fascinating world of history.</t>
  </si>
  <si>
    <t>如果历史是一群喵 第一季 4 大禹建国</t>
  </si>
  <si>
    <t>猫咪化身历史人物，演绎华夏上下五千年，《如果历史是一群喵》带您走进趣味历史世界。</t>
  </si>
  <si>
    <t>If History Is a Group of Cats S01E03 Three Sovereigns and Five Emperors</t>
  </si>
  <si>
    <t>如果历史是一群喵 第一季 3 三皇五帝</t>
  </si>
  <si>
    <t>Jing-Ju Cats S02E15</t>
  </si>
  <si>
    <t>The first animation IP in China to combine elements of traditional Beijing Opera with animation, featuring cats as the main character and the essence of Chinese Peking Opera as the core.</t>
  </si>
  <si>
    <t>京剧猫之信念的冒险 15</t>
  </si>
  <si>
    <t>中国首部将传统文化中的京剧元素与动画相结合的动画IP，以猫为主角，以国粹京剧为核心。</t>
  </si>
  <si>
    <t>Boonie Bears Project Monster 2 (5-6)</t>
  </si>
  <si>
    <t>In order to maintain the harmony and peace of the forest and the safety of the animal partners, the thrilling and amusing battle for the energy stone fragments began.</t>
  </si>
  <si>
    <t>熊出没 怪兽计划2（5-6）</t>
  </si>
  <si>
    <t>为了维护森林的和谐安宁和动物伙伴们的安全，于是，惊险而逗趣的能量石碎片争夺战开始了。</t>
  </si>
  <si>
    <t>Legends of Mountains and Seas 7</t>
  </si>
  <si>
    <t>The animation is based on legends and historical books such as "Classic of Mountains and Seas", "Records of the Grand Historian(Shi Ji)", "Yue Jue Shu" and "History of the Later Han Dynasty", and chooses Da Yu as the protagonist, showing the persistent spirit of exploration of the ancestors of the Chinese nation.</t>
  </si>
  <si>
    <t>山海传奇 7</t>
  </si>
  <si>
    <t>动画片取材于《山海经》《史记》《越绝书》《后汉书》等神话传说及历史典籍，选取大禹为主角，呈现中华民族先民执着的探索精神。</t>
  </si>
  <si>
    <t>Tianzhen and Kung Fu Socks 43-44</t>
  </si>
  <si>
    <t>The ordinary girl suddenly found a strange sock in the washing machine at home, a talking sock! It's kungfu socks. Kungfu socks are actually kungfu masters from another world. Naively put kungfu socks on their feet, they can become superheroes - kungfu women heroes.</t>
  </si>
  <si>
    <t>天真与功夫袜 43-44</t>
  </si>
  <si>
    <t>平凡的女孩天真突然在家里的洗衣机里发现了一只奇怪的袜子，一只会说话的袜子！它就是功夫袜。功夫袜实际上是来自另一个世界的功夫大师。天真把功夫袜穿在自己的脚上，他们就可以变成超级英雄——功夫女侠。</t>
  </si>
  <si>
    <t>Chicky Rainbow Season 7 19-20</t>
  </si>
  <si>
    <t>In the vast blue sky, there is a large island of clouds, here is full of dreams and wonders. Red, orange, yellow, green, blue, blue, purple seven rainbow chicks live on this cloud island, they play together, explore together, and frolic together.</t>
  </si>
  <si>
    <t>小鸡彩虹 第七季 19-20</t>
  </si>
  <si>
    <t>在蔚蓝无垠的天空中，有一片大大的云岛，这里充满着梦幻奇妙。红橙黄绿青蓝紫七只彩虹里的小鸡就生活在这片云岛上，他们一起玩耍、一起探险、一起嬉闹。</t>
  </si>
  <si>
    <t>Versatile School Bus Season 11 17-18</t>
  </si>
  <si>
    <t>The school bus led the students to go outdoors to sketch, through careful observation they drew cute animals, magical natural phenomena, special buildings, etc., whenever encountered difficulties, the school bus transformed into a super form to solve problems. During the painting tour, the children's imagination is stimulated, so that they can actively explore the things around them.</t>
  </si>
  <si>
    <t>百变校巴 第十一季 17-18</t>
  </si>
  <si>
    <t>百变校巴带领同学们到户外写生，通过仔细观察他们画下可爱的动物，神奇的自然现象，特别的建筑等，每当遇到困难百变校巴变身超级形态解决难题。在游学绘画过程中，激发小朋友的想象力，从而让他们主动探索身边事物。</t>
  </si>
  <si>
    <t>Youth of a Strong Nation S03E03 Equestrian Ladies on Horseback</t>
  </si>
  <si>
    <t>The program invites young representatives from different fields to share their remarkable journeys of pursuing their dreams, showcasing the wisdom of choice and the power of youth! To enhance the interactivity of the program, three dream mentors were invited to interact with young speakers from different perspectives, providing guidance and elevating their spirits.</t>
  </si>
  <si>
    <t>强国青年说 第三季 3 马背上的女骑手</t>
  </si>
  <si>
    <t>《强国青年说》第三季是腾讯新闻出品的一档青年励志纪录演讲节目，节目邀请来自不同领域的青年代表，讲述他们令人瞩目的追梦之旅，展示选择的智慧，青春的力量！为提升节目互动性，邀约三位梦想导师，从不同角度与青年讲者互动，为其指点方向、升华精神。</t>
  </si>
  <si>
    <t>Brilliant Garden Ep12</t>
  </si>
  <si>
    <t>The actors lived in the garden, describing the harvest and difficulties, growth and confusion in the road of life.</t>
  </si>
  <si>
    <t>灿烂的花园 12</t>
  </si>
  <si>
    <t>多位演员在花园即兴生活，畅叙人生路途中的收获与困顿、成长与迷茫。</t>
  </si>
  <si>
    <t>Brilliant Garden Ep11</t>
  </si>
  <si>
    <t>灿烂的花园 11</t>
  </si>
  <si>
    <t>Brilliant Garden Ep10</t>
  </si>
  <si>
    <t>灿烂的花园 10</t>
  </si>
  <si>
    <t>Daddy at Home S02E15P02</t>
  </si>
  <si>
    <t>Focusing on the phenomenon of full-time fathers raising children, exploring new forms of family interaction and management models in society.</t>
  </si>
  <si>
    <t>爸爸当家 第二季 第15期下</t>
  </si>
  <si>
    <t>聚焦“全职爸爸”育儿现象，探讨社会新形态家庭相处经营模式。</t>
  </si>
  <si>
    <t>Daddy at Home S02E15P01</t>
  </si>
  <si>
    <t>爸爸当家 第二季 第15期上</t>
  </si>
  <si>
    <t>Daddy at Home S02E14P02</t>
  </si>
  <si>
    <t>爸爸当家 第二季 第14期下</t>
  </si>
  <si>
    <t>Daddy at Home S02E14P01</t>
  </si>
  <si>
    <t>爸爸当家 第二季 第14期上</t>
  </si>
  <si>
    <t>Happy Friends S02E01</t>
  </si>
  <si>
    <t>The friends participated in 12 "life themes" to tell more stories that belong to "home".</t>
  </si>
  <si>
    <t>快乐老友记 第二季 第1期</t>
  </si>
  <si>
    <t>老友们以“组团”的形式，参与12个不同的“生活主题”，讲述更多独属于“家”的故事。</t>
  </si>
  <si>
    <t>Happy Friends S02Intro</t>
  </si>
  <si>
    <t>快乐老友记 第二季 超前企划</t>
  </si>
  <si>
    <t>Circle of Life New Year's Day Special Production: Healthy Open the New Year to Be Healthy</t>
  </si>
  <si>
    <t>Reflect the life skills, life wisdom and life attitude of Chinese people, and pass on the life values of "truth, kindness and beauty, diligence and frugality".</t>
  </si>
  <si>
    <t>生活圈 元旦特别制作：健康开新年 新年要健康</t>
  </si>
  <si>
    <t>反映中国老百姓的生活技巧、生活智慧和生活态度，传递“真善美，勤俭巧”的生活价值观。</t>
  </si>
  <si>
    <t>New Year's Eve Dinner in Four Seasons S03E03 Taste of Home</t>
  </si>
  <si>
    <t>Starting from the ordinary people's New Year's Eve dinner of the four seasons of food, the Chinese people's feelings for the New Year, into the history and culture, folk culture, food culture and regional culture, together to explore nostalgia, explore the tradition.</t>
  </si>
  <si>
    <t>四季流转年夜饭 第三季 3 家乡味道</t>
  </si>
  <si>
    <t>从平常百姓年夜饭中四季流转的美食出发，把中国人对过年的情感，融入历史文化、民俗文化、饮食文化和地域文化，一起寻味乡愁、寻味传统。</t>
  </si>
  <si>
    <t>New Year's Eve Dinner in Four Seasons S03E02 Take Root on the Ground</t>
  </si>
  <si>
    <t>四季流转年夜饭 第三季 2 落地生根</t>
  </si>
  <si>
    <t>New Year's Eve Dinner in Four Seasons S03E01 The Year Is Rich and Delicious</t>
  </si>
  <si>
    <t>四季流转年夜饭 第三季 1 珍味丰年</t>
  </si>
  <si>
    <t>Peakedness Food Moment - Chinese and French Chef Competition - Shrimp and Crab Food</t>
  </si>
  <si>
    <t>Explore Chinese and French cooking skills and food culture.</t>
  </si>
  <si>
    <t>巅峰食刻—中法厨王竞技 弓身披甲</t>
  </si>
  <si>
    <t>探寻中法两国烹饪技艺与饮食文化。</t>
  </si>
  <si>
    <t>Three Meals and Four Seasons 20240707</t>
  </si>
  <si>
    <t>Show the local unique food and local customs, present the hot social life in the new era and the myriad weather of Chinese modernization.</t>
  </si>
  <si>
    <t>三餐四季 20240707</t>
  </si>
  <si>
    <t>展现地方独特美食和风土人情，呈现各地新时代火热的社会生活面貌和中国式现代化的万千气象。</t>
  </si>
  <si>
    <t>A Home among Mountains and Rivers Season 3 20240908</t>
  </si>
  <si>
    <t>Lead the audience to immerse themselves in rural production and life, visit the beautiful transformations between the mountains and rivers from the first perspective, and record the magnificent picture of rural revitalization.</t>
  </si>
  <si>
    <t>山水间的家 第三季 20240908</t>
  </si>
  <si>
    <t>带领观众沉浸式体验乡村生产生活，以第一视角探访山水间的美丽蝶变，记录乡村振兴壮美画卷。</t>
  </si>
  <si>
    <t>Fitness Moves Fitness Dance: Olympic Champion Took Me to Practice</t>
  </si>
  <si>
    <t>Fitness Moves is a mass fitness program, which integrates appreciation, teaching, entertainment and interaction. The main content of the program is to show and teach fitness dance in the way of mass fitness.</t>
  </si>
  <si>
    <t>健身动起来 奥运冠军带我练</t>
  </si>
  <si>
    <t>《健身动起来》是一档大众健身栏目，它集欣赏性、教学性、娱乐性、互动性于一体，以展示和教授大众健身方式中的健身舞蹈为节目主要内容。</t>
  </si>
  <si>
    <t>Billiards: Snooker Wuhan Open 3rd round: Ding Junhui VS Yuan Sijun</t>
  </si>
  <si>
    <t>Beijing time on October 8, the third round of snooker Wuhan Open, Ding Junhui VS Yuan Sijun, and Ding Junhui won the final victory.</t>
  </si>
  <si>
    <t>台球 斯诺克武汉公开赛第3轮：丁俊晖VS袁思俊</t>
  </si>
  <si>
    <t>北京时间10月8日，斯诺克武汉公开赛第3轮，丁俊晖VS袁思俊，最终丁俊晖获得胜利。</t>
  </si>
  <si>
    <t>Total Soccer: Mbappe: It's Getting Better</t>
  </si>
  <si>
    <t>A column focusing on reporting the latest events and news in international football.</t>
  </si>
  <si>
    <t>天下足球 姆巴佩：渐入佳境</t>
  </si>
  <si>
    <t>一个以报道国际足坛最新赛事和新闻为主的栏目。</t>
  </si>
  <si>
    <t>Total Soccer: Ten Retired and Then Came Back</t>
  </si>
  <si>
    <t>天下足球 十大退役再复出</t>
  </si>
  <si>
    <t>Basketball Park: Shandong Men's Basketball Coach Qiu Biao</t>
  </si>
  <si>
    <t>Basketball themed sports programs, covering entertainment basketball, NBA basketball, world basketball, etc.</t>
  </si>
  <si>
    <t>篮球公园 山东男篮主帅邱彪</t>
  </si>
  <si>
    <t>以篮球为主题的体育节目，节目内容涵盖娱乐篮球、NBA篮球、世界篮球等。</t>
  </si>
  <si>
    <t>Basketball Park: A City, A Team, A Coach: Yangming</t>
  </si>
  <si>
    <t>篮球公园 一城一队一帅：杨鸣</t>
  </si>
  <si>
    <t>FIBA World Basketball Ep02</t>
  </si>
  <si>
    <t>The very best basketball action, news and results from the world over, every week.</t>
  </si>
  <si>
    <t>国际篮联赛事集锦 2</t>
  </si>
  <si>
    <t>最全面的国际篮联全球赛事信息，更多内幕球员访谈，尽在本片。</t>
  </si>
  <si>
    <t>How Good Is Golf Ep02</t>
  </si>
  <si>
    <t>A premium high end golf/lifestyle program and it has a bit of everything including rounds with celebrities, instructional tips, travel and features exploration of Australia's most beautiful golf courses.</t>
  </si>
  <si>
    <t>燃情竞技高尔夫 2</t>
  </si>
  <si>
    <t>跟随前职业高尔夫巡回赛球员，从职业赛事到技术训练，走入火热的竞技世界。</t>
  </si>
  <si>
    <t>The Inside Line Ep02</t>
  </si>
  <si>
    <t>The only program 100% dedicated to Formula 1 - the most comprehensive coverage of the F1 World Championship.</t>
  </si>
  <si>
    <t>内线：F1方程式赛车 2</t>
  </si>
  <si>
    <t>最专业的F1赛车全面战报。</t>
  </si>
  <si>
    <t>More Than a Dive Ep3</t>
  </si>
  <si>
    <t>Red Bull Cliff Diving athletes have to overcome fear and train their bodies to withstand the extremes. Get an inside look into the competitive cliff diving community. Keep up to speed with all the aerial action throughout the season right here!</t>
  </si>
  <si>
    <t>极限悬崖跳水 3</t>
  </si>
  <si>
    <t>悬崖跳水，挑战自然与运动员的心理极限。</t>
  </si>
  <si>
    <t>The Greatest of All Time Ep04</t>
  </si>
  <si>
    <t>It pays tributes to the greatest athletes of all time.</t>
  </si>
  <si>
    <t>体坛最极致 4</t>
  </si>
  <si>
    <t>盘点体坛史上那些最极致的传奇和纪录，各种运动项目的王者之选尽在本片。</t>
  </si>
  <si>
    <t>Arena Esports 79</t>
  </si>
  <si>
    <t>The first of its kind weekly program that covers everything in the massively popular world of professional level gaming.</t>
  </si>
  <si>
    <t>电子竞技场 79</t>
  </si>
  <si>
    <t>节目聚焦第一档电子竞技类短片栏目，带您走进没有硝烟的世界级赛场，体验巅峰竞技快感。</t>
  </si>
  <si>
    <t>Arena Esports 78</t>
  </si>
  <si>
    <t>电子竞技场 78</t>
  </si>
  <si>
    <t>Super Sketch Show S01E01</t>
  </si>
  <si>
    <t>Original comedy variety show.</t>
  </si>
  <si>
    <t>一年一度喜剧大赛 第一季 1</t>
  </si>
  <si>
    <t>原创喜剧竟演综艺。</t>
  </si>
  <si>
    <t>Avenue of Stars This Station: Starlight 20240608</t>
  </si>
  <si>
    <t>To provide a stage for ordinary workers from all over the country and in various industries to sing and showcase themselves.</t>
  </si>
  <si>
    <t>星光大道 这一站 星光 20240608</t>
  </si>
  <si>
    <t>为全国各地，各行各业的普通劳动者提供一个放声歌唱，展现自我的舞台。</t>
  </si>
  <si>
    <t>Open the Door and Be Happy 20240826</t>
  </si>
  <si>
    <t>The program encourages ordinary people to realize their family dreams through games, excavates and shows the brilliance of ordinary people's humanity through various artistic methods, and resonates with the audience emotionally.</t>
  </si>
  <si>
    <t>开门大吉 20240826</t>
  </si>
  <si>
    <t>节目鼓励普通人通过游戏闯关的方式实现自己的家庭梦想，通过多种艺术方法挖掘、展现普通人的人性光辉，和观众进行情感共鸣。</t>
  </si>
  <si>
    <t>Spring Festival New Year Column Drama 20230123</t>
  </si>
  <si>
    <t>Happy New Year, enjoy the festival, laughter.</t>
  </si>
  <si>
    <t>吉聚欢喜 20230123</t>
  </si>
  <si>
    <t>新春贺岁，共度佳节，欢笑来袭。</t>
  </si>
  <si>
    <t>Just For Laughs Gags S21E11</t>
  </si>
  <si>
    <t>In this hidden-camera prank show, everyday people get caught up in outrageous gags with hilarious consequences.</t>
  </si>
  <si>
    <t>轻松一笑 第二十一季 11</t>
  </si>
  <si>
    <t>全新一季隐藏的摄像机后，奇趣搞笑的剧组创意层出不穷！</t>
  </si>
  <si>
    <t>Time Concert·Old Friends Ep02</t>
  </si>
  <si>
    <t>Singers use music to connect emotional stories and awaken common memories of The Times.</t>
  </si>
  <si>
    <t>时光音乐会·老友记 2</t>
  </si>
  <si>
    <t>节目邀请一众时光家族成员入驻“时光之家”，歌手们用音乐串联情感故事，唤醒时代的共同记忆。</t>
  </si>
  <si>
    <t>Time Concert·Old Friends Ep01</t>
  </si>
  <si>
    <t>时光音乐会·老友记 1</t>
  </si>
  <si>
    <t>SINGER2024 EP12</t>
  </si>
  <si>
    <t>The show invited singers from China and other countries to perform in singing competitions.</t>
  </si>
  <si>
    <t>歌手2024 12</t>
  </si>
  <si>
    <t>节目邀请来自中国和其他国家的歌手进行歌唱竞演，展现不同国度的音乐。</t>
  </si>
  <si>
    <t>2024 Vienna New Year's Concert</t>
  </si>
  <si>
    <t>With a warm and wonderful musical journey, welcome and bless the New Year together.</t>
  </si>
  <si>
    <t>2024维也纳新年音乐会</t>
  </si>
  <si>
    <t>用一场温暖而美妙的音乐之旅，共同迎接和祝福新的一年。</t>
  </si>
  <si>
    <t>Wonderful Music Collection: My Love Says to You 20241012</t>
  </si>
  <si>
    <t>Wonderful Music Collection is an editorial comprehensive music show by CCTV-15 Music Channel, which compiles the best classic songs and the most popular hits.</t>
  </si>
  <si>
    <t>精彩音乐汇 我的爱对你说 20241012</t>
  </si>
  <si>
    <t>《精彩音乐汇》是CCTV-15音乐频道一档编辑性综合音乐类节目。汇聚最好听的经典老歌，网罗最热门的流行金曲。</t>
  </si>
  <si>
    <t>Chinese Festival 2 Spring Festival (Part 2)</t>
  </si>
  <si>
    <t>Records memories of traditional Chinese festivals and customs of celebrating festivals. Selected in the "Recommended Catalogue of Outstanding Domestic Documentaries in the Second Quarter of 2020".</t>
  </si>
  <si>
    <t>中国节日 2 春节（下）</t>
  </si>
  <si>
    <t>记录中国传统节日记忆和过节习俗。入选“2020年第二季度优秀国产纪录片推荐目录”。</t>
  </si>
  <si>
    <t>Chinese Festival 1 Spring Festival (Part 1)</t>
  </si>
  <si>
    <t>中国节日 1 春节（上）</t>
  </si>
  <si>
    <t>China Before China Ep04</t>
  </si>
  <si>
    <t>The story of the formation of the Chinese nation and the creation of Chinese civilization. Best Series Documentary of The 29th Shanghai TV Festival Magnolia Awards.</t>
  </si>
  <si>
    <t>何以中国 4</t>
  </si>
  <si>
    <t>多元一体中华民族的形成和中华文明创生的故事，以影像溯源历史、寻脉中华。第29届上海电视节白玉兰奖 纪录片 最佳系列纪录片。</t>
  </si>
  <si>
    <t>China Before China Ep03</t>
  </si>
  <si>
    <t>何以中国 3</t>
  </si>
  <si>
    <t>The Villages in China Ep03</t>
  </si>
  <si>
    <t>The "little people" and "little stories" that happen in the village.</t>
  </si>
  <si>
    <t>中国村落 3</t>
  </si>
  <si>
    <t>通过纪实手法讲述发生在村落里的“小人物”“小故事”，传递出深埋在乡土间的脉脉温情。</t>
  </si>
  <si>
    <t>Amazing China 1</t>
  </si>
  <si>
    <t>Through field visits and personal experiences, we will present a magical China.</t>
  </si>
  <si>
    <t>神奇的中国 1</t>
  </si>
  <si>
    <t>通过实地探访和亲身体验，呈现一个神奇的中国。</t>
  </si>
  <si>
    <t>Poetry and Painting in China: Rivers Flow Through the Ages 20240622</t>
  </si>
  <si>
    <t>With the river culture of the motherland as the clue, poetry and painting as the carrier, in the process of exploring the development track and spiritual vein of Chinese culture, drawing a new picture of "modern civilization".</t>
  </si>
  <si>
    <t>诗画中国 江河万古流 20240622</t>
  </si>
  <si>
    <t>以祖国的江河文脉为线索，以诗画为载体，在探寻中国文化发展轨迹和精神脉络的过程中，绘就“现代文明”的崭新画卷。</t>
  </si>
  <si>
    <t>The Colours of China Ep02</t>
  </si>
  <si>
    <t>Show the unique charm of Chinese nature and humanity through five colors.</t>
  </si>
  <si>
    <t>色彩中国 2</t>
  </si>
  <si>
    <t>该片通过五种颜色展示中华自然人文的独特魅力。</t>
  </si>
  <si>
    <t>Wonderful Navigation</t>
  </si>
  <si>
    <t>Enjoy your dream flight with our superb collection of audio-visual entertaining content. Welcome aboard this Air China flight. This month, we are offering a wide variety of Chinese and international drama series, documentaries on Chinese and Western culture and the hottest sports programs. In addition to those, we also have comedy, travel shows and children's programs in store that are hand-tailored to your taste. Relax and enjoy your flight!</t>
  </si>
  <si>
    <t>精彩导航</t>
  </si>
  <si>
    <t>梦幻视听，乐享飞行。欢迎您搭乘中国国际航空公司的航班。本月国航为您汇聚了丰富多样的中外剧集，品味中西文化的纪录节目和最时尚的体育节目。此外，我们还准备了幽默、旅游、儿童等类型的节目，让您放松心情，享受飞行。</t>
  </si>
  <si>
    <t>At Home With 100 Girls 6 After 11 years of camping, she switches seamlessly between being a city girl and a "wild girl".</t>
  </si>
  <si>
    <t>100个中国女孩的家 6 露营11年，她在都市丽人和“野女孩”间无缝切换</t>
  </si>
  <si>
    <t>At Home With 100 Girls 5 Tsinghua architects transformed hutong courtyards</t>
  </si>
  <si>
    <t>100个中国女孩的家 5 清华建筑师爆改胡同小院！是“桃花源“啊！</t>
  </si>
  <si>
    <t>At Home With 100 Girls 4 Nice House by the West Lake</t>
  </si>
  <si>
    <t>100个中国女孩的家 4 西湖边的神仙房子，我也就说了200多遍“天呐”</t>
  </si>
  <si>
    <t>At Home With 100 Girls 3 Miss Xu</t>
  </si>
  <si>
    <t>100个中国女孩的家 3 深夜徐老师</t>
  </si>
  <si>
    <t>The Songs of Qin</t>
  </si>
  <si>
    <t>琴歌（最终发行版本）</t>
  </si>
  <si>
    <t>Missing</t>
  </si>
  <si>
    <t>想念</t>
  </si>
  <si>
    <t>Ant-Man Proclamation</t>
  </si>
  <si>
    <t>蚁人宣告</t>
  </si>
  <si>
    <t>Build a Shishi</t>
  </si>
  <si>
    <t>拼一座石狮</t>
  </si>
  <si>
    <t>Pidge</t>
  </si>
  <si>
    <t>鸽生</t>
  </si>
  <si>
    <t>Mojito</t>
  </si>
  <si>
    <t>双囍兄弟《莫吉托》</t>
  </si>
  <si>
    <t>Survivorship Bias</t>
  </si>
  <si>
    <t>幸存者偏差</t>
  </si>
  <si>
    <t>Moonsense</t>
  </si>
  <si>
    <t>月感</t>
  </si>
  <si>
    <t>A Dream That Lasts Halfway</t>
  </si>
  <si>
    <t>半梦长久</t>
  </si>
  <si>
    <t>Please Don't Leave Me (Standard Version)</t>
  </si>
  <si>
    <t>请不要离开我（常规版）</t>
  </si>
  <si>
    <t>Goodbye</t>
  </si>
  <si>
    <t>告别</t>
  </si>
  <si>
    <t>Infinitely</t>
  </si>
  <si>
    <t>亿点点</t>
  </si>
  <si>
    <t>Just 4 U</t>
  </si>
  <si>
    <t>Bedroom</t>
  </si>
  <si>
    <t>High Fashion</t>
  </si>
  <si>
    <t>不潮不用花钱</t>
  </si>
  <si>
    <t>I Remember</t>
  </si>
  <si>
    <t>我记得</t>
  </si>
  <si>
    <t>Foodie Boy's Journey to Gods of Cookery 10 Siwawa by Huang Daqin</t>
  </si>
  <si>
    <t>不白吃的食神之旅 10 黄大琴的丝娃娃</t>
  </si>
  <si>
    <t>Foodie Boy's Journey to Gods of Cookery 9 Wah's Chongqing Roasted Brain Flower</t>
  </si>
  <si>
    <t>不白吃的食神之旅 9 华哥的重庆烤脑花</t>
  </si>
  <si>
    <t>Foodie Boy's Journey to Gods of Cookery 8 Auntie Ho's Duck Blood in Chili Sauce</t>
  </si>
  <si>
    <t>不白吃的食神之旅 8 何孃的毛血旺</t>
  </si>
  <si>
    <t>Foodie Boy's Journey to Gods of Cookery - Chinese New Year Special 4 Duck Feet with Conch in Casserole</t>
  </si>
  <si>
    <t>不白吃的食神之旅新春特辑 4 “臭”香的灵魂，田螺鸭脚煲！</t>
  </si>
  <si>
    <t>Foodie Boy's Journey to Gods of Cookery - Chinese New Year Special 3 Duck! Where's the promised happiness?</t>
  </si>
  <si>
    <t>不白吃的食神之旅新春特辑 3 鸭鸭！说好的幸福呢！</t>
  </si>
  <si>
    <t>Foodie Boy's Journey to Gods of Cookery - Chinese New Year Special 2 Shuipen Yangrou</t>
  </si>
  <si>
    <t>不白吃的食神之旅新春特辑 2 霸王餐水盆羊肉的后果</t>
  </si>
  <si>
    <t>Foodie Boy's Journey to Gods of Cookery - Chinese New Year Special 1 Xi'an Cuisine Chili Crunch</t>
  </si>
  <si>
    <t>不白吃的食神之旅新春特辑 1 西安美食千千万，油泼辣子占一半</t>
  </si>
  <si>
    <t>All Reviving 6 Suzhou Embroidery (2)</t>
  </si>
  <si>
    <t>新生万物 第六集 苏绣（下）</t>
  </si>
  <si>
    <t>All Reviving 5 Suzhou Embroidery (1)</t>
  </si>
  <si>
    <t>新生万物 第五集 苏绣（上）</t>
  </si>
  <si>
    <t>Mr. Foodie's Journey to Chinese Poems 6 Written on the Wall at West Forest Temple</t>
  </si>
  <si>
    <t>不白吃古诗词漫游记 6 题西林壁</t>
  </si>
  <si>
    <r>
      <rPr>
        <sz val="10"/>
        <rFont val="Arial"/>
        <family val="2"/>
      </rPr>
      <t>Mr. Foodie's Journey to Chinese Poems 5 Tidal Wave (</t>
    </r>
    <r>
      <rPr>
        <sz val="10"/>
        <rFont val="宋体"/>
        <charset val="134"/>
      </rPr>
      <t>Ⅰ</t>
    </r>
    <r>
      <rPr>
        <sz val="10"/>
        <rFont val="Arial"/>
        <family val="2"/>
      </rPr>
      <t>)</t>
    </r>
  </si>
  <si>
    <t>不白吃古诗词漫游记 5 浪淘沙·其一</t>
  </si>
  <si>
    <r>
      <rPr>
        <sz val="10"/>
        <rFont val="Arial"/>
        <family val="2"/>
      </rPr>
      <t xml:space="preserve">Welcome to Beijing </t>
    </r>
    <r>
      <rPr>
        <sz val="10"/>
        <rFont val="宋体"/>
        <charset val="134"/>
      </rPr>
      <t>｜</t>
    </r>
    <r>
      <rPr>
        <sz val="10"/>
        <rFont val="Arial"/>
        <family val="2"/>
      </rPr>
      <t xml:space="preserve"> How Is Your Package Delivered? Discover the Last Mile of Smart Logistics!</t>
    </r>
  </si>
  <si>
    <t>北京，请回答｜你的快递是怎么来的？一起走进智慧物流“最后一公里”！</t>
  </si>
  <si>
    <r>
      <rPr>
        <sz val="10"/>
        <rFont val="Arial"/>
        <family val="2"/>
      </rPr>
      <t xml:space="preserve">Welcome to Beijing </t>
    </r>
    <r>
      <rPr>
        <sz val="10"/>
        <rFont val="宋体"/>
        <charset val="134"/>
      </rPr>
      <t>｜</t>
    </r>
    <r>
      <rPr>
        <sz val="10"/>
        <rFont val="Arial"/>
        <family val="2"/>
      </rPr>
      <t xml:space="preserve"> Stones Tell Stories - Discover Hidden History in Beijing's Niche Museum!</t>
    </r>
  </si>
  <si>
    <t>北京，请回答｜石头会说话，这座小众博物馆里藏着你不知道的北京历史！</t>
  </si>
  <si>
    <r>
      <rPr>
        <sz val="10"/>
        <rFont val="Arial"/>
        <family val="2"/>
      </rPr>
      <t xml:space="preserve">Welcome to Beijing </t>
    </r>
    <r>
      <rPr>
        <sz val="10"/>
        <rFont val="宋体"/>
        <charset val="134"/>
      </rPr>
      <t>｜</t>
    </r>
    <r>
      <rPr>
        <sz val="10"/>
        <rFont val="Arial"/>
        <family val="2"/>
      </rPr>
      <t xml:space="preserve"> Challenge of Not Speaking Chinese for a Day in Beijing</t>
    </r>
  </si>
  <si>
    <t>北京，请回答｜随机“抽查”应变自如！挑战在北京一天不说中文</t>
  </si>
  <si>
    <r>
      <rPr>
        <sz val="10"/>
        <rFont val="Arial"/>
        <family val="2"/>
      </rPr>
      <t xml:space="preserve">Welcome to Beijing </t>
    </r>
    <r>
      <rPr>
        <sz val="10"/>
        <rFont val="宋体"/>
        <charset val="134"/>
      </rPr>
      <t>｜</t>
    </r>
    <r>
      <rPr>
        <sz val="10"/>
        <rFont val="Arial"/>
        <family val="2"/>
      </rPr>
      <t xml:space="preserve"> Experience the Charms of Beijing's Central Axis with a Special Subway Line</t>
    </r>
  </si>
  <si>
    <t>北京，请回答｜体验“中轴线专列”，感受北京轨道交通的神奇之处！</t>
  </si>
  <si>
    <r>
      <rPr>
        <sz val="10"/>
        <rFont val="Arial"/>
        <family val="2"/>
      </rPr>
      <t xml:space="preserve">Welcome to Beijing </t>
    </r>
    <r>
      <rPr>
        <sz val="10"/>
        <rFont val="宋体"/>
        <charset val="134"/>
      </rPr>
      <t>｜</t>
    </r>
    <r>
      <rPr>
        <sz val="10"/>
        <rFont val="Arial"/>
        <family val="2"/>
      </rPr>
      <t xml:space="preserve"> Nowhere to Spend Money in Beijing? Mobile Payments Are Amazingly "Smooth"!</t>
    </r>
  </si>
  <si>
    <t>北京，请回答｜听说在北京有钱没处花？原来移动支付竟如此“丝滑”！</t>
  </si>
  <si>
    <r>
      <rPr>
        <sz val="10"/>
        <rFont val="Arial"/>
        <family val="2"/>
      </rPr>
      <t xml:space="preserve">Welcome to Beijing </t>
    </r>
    <r>
      <rPr>
        <sz val="10"/>
        <rFont val="宋体"/>
        <charset val="134"/>
      </rPr>
      <t>｜</t>
    </r>
    <r>
      <rPr>
        <sz val="10"/>
        <rFont val="Arial"/>
        <family val="2"/>
      </rPr>
      <t xml:space="preserve"> Unusual Agricultural City Walk Along Central Axis!</t>
    </r>
  </si>
  <si>
    <t>北京，请回答｜在北京市中心种地？这个农业版中轴线Citywalk不一般！</t>
  </si>
  <si>
    <r>
      <rPr>
        <sz val="10"/>
        <rFont val="Arial"/>
        <family val="2"/>
      </rPr>
      <t xml:space="preserve">Welcome to Beijing </t>
    </r>
    <r>
      <rPr>
        <sz val="10"/>
        <rFont val="宋体"/>
        <charset val="134"/>
      </rPr>
      <t>｜</t>
    </r>
    <r>
      <rPr>
        <sz val="10"/>
        <rFont val="Arial"/>
        <family val="2"/>
      </rPr>
      <t xml:space="preserve"> Spend Weekend at Beijing's Trendy Countryside B&amp;B!</t>
    </r>
  </si>
  <si>
    <t>北京，请回答｜在京郊“网红打卡点”过周末，快来投票帮我选民宿吧！</t>
  </si>
  <si>
    <r>
      <rPr>
        <sz val="10"/>
        <rFont val="Arial"/>
        <family val="2"/>
      </rPr>
      <t xml:space="preserve">Welcome to Beijing </t>
    </r>
    <r>
      <rPr>
        <sz val="10"/>
        <rFont val="宋体"/>
        <charset val="134"/>
      </rPr>
      <t>｜</t>
    </r>
    <r>
      <rPr>
        <sz val="10"/>
        <rFont val="Arial"/>
        <family val="2"/>
      </rPr>
      <t xml:space="preserve"> "AI Drivers" Hit the Roads of Beijing! Autonomous Vehicles Take the Wheel!</t>
    </r>
  </si>
  <si>
    <t>北京，请回答丨京籍“AI司机”上岗！一起体验“火出圈”的自动驾驶</t>
  </si>
  <si>
    <t>康博</t>
    <phoneticPr fontId="16" type="noConversion"/>
  </si>
  <si>
    <t>门前宝地</t>
    <phoneticPr fontId="16" type="noConversion"/>
  </si>
  <si>
    <t>1920年天津一武馆馆长过世，老馆长生前安排大弟子接班，而后武行生出各种事变。</t>
    <phoneticPr fontId="16" type="noConversion"/>
  </si>
  <si>
    <t>Follows two bitter rivals as they duel for stewardship of a wushu academy.</t>
    <phoneticPr fontId="16" type="noConversion"/>
  </si>
  <si>
    <t>100 Yards</t>
    <phoneticPr fontId="16" type="noConversion"/>
  </si>
  <si>
    <t>周处除三害</t>
    <phoneticPr fontId="16" type="noConversion"/>
  </si>
  <si>
    <t>通缉犯陈桂林以为自己生命将尽，于是决心除掉通缉榜上排在自己前面的两大罪犯并借此扬名。第42届香港电影金像奖 最佳亚洲电影。</t>
    <phoneticPr fontId="16" type="noConversion"/>
  </si>
  <si>
    <t>A criminal embarks on a journey to overtake the first two wanted fugitive. Best Asian Chinese Language Film of The 42nd Hong Kong Film Awards.</t>
    <phoneticPr fontId="16" type="noConversion"/>
  </si>
  <si>
    <t>The Pig, the Snake, and the Pigeon</t>
    <phoneticPr fontId="16" type="noConversion"/>
  </si>
  <si>
    <t>汉密尔顿：国家利益</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</si>
</sst>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409]General"/>
    <numFmt numFmtId="179" formatCode="0.0_ "/>
  </numFmts>
  <fonts count="19" x14ac:knownFonts="1">
    <font>
      <sz val="11"/>
      <color theme="1"/>
      <name val="宋体"/>
      <charset val="134"/>
      <scheme val="minor"/>
    </font>
    <font>
      <sz val="10"/>
      <color theme="1"/>
      <name val="Arial"/>
      <family val="2"/>
    </font>
    <font>
      <sz val="10"/>
      <name val="Arial"/>
      <family val="2"/>
    </font>
    <font>
      <b/>
      <sz val="10"/>
      <color theme="1"/>
      <name val="Arial"/>
      <family val="2"/>
    </font>
    <font>
      <b/>
      <sz val="10"/>
      <name val="Arial"/>
      <family val="2"/>
    </font>
    <font>
      <sz val="10"/>
      <color theme="1"/>
      <name val="宋体"/>
      <charset val="134"/>
    </font>
    <font>
      <sz val="10"/>
      <color theme="1"/>
      <name val="宋体"/>
      <charset val="134"/>
      <scheme val="major"/>
    </font>
    <font>
      <sz val="10"/>
      <color theme="1"/>
      <name val="宋体"/>
      <charset val="134"/>
      <scheme val="minor"/>
    </font>
    <font>
      <sz val="10"/>
      <name val="宋体"/>
      <charset val="134"/>
      <scheme val="minor"/>
    </font>
    <font>
      <sz val="6"/>
      <color theme="1"/>
      <name val="Arial"/>
      <family val="2"/>
    </font>
    <font>
      <b/>
      <sz val="12"/>
      <color theme="1"/>
      <name val="宋体"/>
      <charset val="134"/>
      <scheme val="minor"/>
    </font>
    <font>
      <sz val="11"/>
      <name val="宋体"/>
      <charset val="134"/>
    </font>
    <font>
      <sz val="11"/>
      <color theme="1"/>
      <name val="宋体"/>
      <charset val="134"/>
      <scheme val="minor"/>
    </font>
    <font>
      <sz val="12"/>
      <color indexed="8"/>
      <name val="Verdana"/>
      <family val="2"/>
    </font>
    <font>
      <sz val="12"/>
      <name val="Times New Roman"/>
      <family val="1"/>
    </font>
    <font>
      <sz val="10"/>
      <name val="宋体"/>
      <charset val="134"/>
    </font>
    <font>
      <sz val="9"/>
      <name val="宋体"/>
      <family val="3"/>
      <charset val="134"/>
      <scheme val="minor"/>
    </font>
    <font>
      <sz val="10"/>
      <color theme="1"/>
      <name val="宋体"/>
      <family val="3"/>
      <charset val="134"/>
      <scheme val="minor"/>
    </font>
    <font>
      <sz val="9"/>
      <name val="宋体"/>
      <charset val="134"/>
      <scheme val="min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D883FF"/>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5">
    <xf numFmtId="0" fontId="0" fillId="0" borderId="0">
      <alignment vertical="center"/>
    </xf>
    <xf numFmtId="0" fontId="2" fillId="0" borderId="0"/>
    <xf numFmtId="0" fontId="13" fillId="0" borderId="0" applyNumberFormat="0" applyFill="0" applyBorder="0" applyProtection="0">
      <alignment vertical="top" wrapText="1"/>
    </xf>
    <xf numFmtId="0" fontId="12" fillId="0" borderId="0" applyBorder="0">
      <alignment vertical="center"/>
    </xf>
    <xf numFmtId="0" fontId="14" fillId="0" borderId="0">
      <alignment vertical="center"/>
    </xf>
  </cellStyleXfs>
  <cellXfs count="57">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lef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5" fillId="0" borderId="1" xfId="0" applyFont="1" applyBorder="1" applyAlignment="1">
      <alignment horizontal="center" vertical="center"/>
    </xf>
    <xf numFmtId="0" fontId="2" fillId="0" borderId="1" xfId="0" applyFont="1" applyBorder="1" applyAlignment="1">
      <alignment horizontal="left" vertical="center"/>
    </xf>
    <xf numFmtId="0" fontId="6" fillId="0" borderId="1" xfId="0" applyFont="1" applyBorder="1" applyAlignment="1">
      <alignment horizontal="left" vertical="center"/>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5" fillId="0" borderId="1" xfId="0" applyFont="1" applyBorder="1" applyAlignment="1">
      <alignment horizontal="center" vertical="center" wrapText="1"/>
    </xf>
    <xf numFmtId="0" fontId="7"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5" fillId="4" borderId="1" xfId="0" applyFont="1" applyFill="1" applyBorder="1" applyAlignment="1">
      <alignment horizontal="center" vertical="center"/>
    </xf>
    <xf numFmtId="178" fontId="2"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179" fontId="7" fillId="0" borderId="1" xfId="0" applyNumberFormat="1" applyFont="1" applyBorder="1" applyAlignment="1">
      <alignment horizontal="left" vertical="center" wrapText="1"/>
    </xf>
    <xf numFmtId="0" fontId="1" fillId="0" borderId="1" xfId="0" applyFont="1" applyBorder="1" applyAlignment="1">
      <alignment horizontal="center" vertical="center" wrapText="1"/>
    </xf>
    <xf numFmtId="0" fontId="3" fillId="0" borderId="0" xfId="0" applyFont="1">
      <alignment vertical="center"/>
    </xf>
    <xf numFmtId="0" fontId="1" fillId="0" borderId="0" xfId="0" applyFont="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5" fillId="0" borderId="1" xfId="0" applyFont="1" applyBorder="1" applyAlignment="1">
      <alignment horizontal="left" vertical="center"/>
    </xf>
    <xf numFmtId="1" fontId="7"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1" fontId="1" fillId="0" borderId="1" xfId="0" applyNumberFormat="1" applyFont="1" applyBorder="1" applyAlignment="1">
      <alignment horizontal="left" vertical="center"/>
    </xf>
    <xf numFmtId="0" fontId="8" fillId="0" borderId="1" xfId="0" applyFont="1" applyBorder="1" applyAlignment="1">
      <alignment horizontal="left" vertical="center"/>
    </xf>
    <xf numFmtId="0" fontId="1" fillId="3" borderId="1" xfId="0" applyFont="1" applyFill="1" applyBorder="1" applyAlignment="1">
      <alignment horizontal="left" vertical="center"/>
    </xf>
    <xf numFmtId="1" fontId="7" fillId="0" borderId="1" xfId="0" applyNumberFormat="1" applyFont="1" applyBorder="1" applyAlignment="1">
      <alignment horizontal="left" vertical="center"/>
    </xf>
    <xf numFmtId="178" fontId="1" fillId="0" borderId="1" xfId="0" applyNumberFormat="1" applyFont="1" applyBorder="1" applyAlignment="1">
      <alignment horizontal="left" vertical="center"/>
    </xf>
    <xf numFmtId="0" fontId="9" fillId="0" borderId="0" xfId="0" applyFont="1" applyAlignment="1">
      <alignment horizontal="left" vertical="center" wrapText="1"/>
    </xf>
    <xf numFmtId="0" fontId="10" fillId="0" borderId="1" xfId="0" applyFont="1"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178" fontId="11" fillId="0" borderId="1" xfId="0" applyNumberFormat="1" applyFont="1" applyBorder="1" applyAlignment="1">
      <alignmen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2" xfId="0" applyFont="1" applyBorder="1" applyAlignment="1">
      <alignment horizontal="center" vertical="center"/>
    </xf>
    <xf numFmtId="0" fontId="7" fillId="0" borderId="3" xfId="0" applyFont="1" applyBorder="1" applyAlignment="1">
      <alignment horizontal="center" vertical="center"/>
    </xf>
    <xf numFmtId="0" fontId="5" fillId="0" borderId="4"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7" fillId="0" borderId="1" xfId="0" applyFont="1" applyBorder="1" applyAlignment="1">
      <alignment horizontal="left" vertical="center"/>
    </xf>
    <xf numFmtId="0" fontId="17" fillId="0" borderId="1" xfId="0" applyFont="1" applyBorder="1" applyAlignment="1">
      <alignment horizontal="left" vertical="center" wrapText="1"/>
    </xf>
  </cellXfs>
  <cellStyles count="5">
    <cellStyle name="AFE 2" xfId="1" xr:uid="{00000000-0005-0000-0000-000031000000}"/>
    <cellStyle name="常规" xfId="0" builtinId="0"/>
    <cellStyle name="常规 2" xfId="2" xr:uid="{00000000-0005-0000-0000-000032000000}"/>
    <cellStyle name="常规 32" xfId="4" xr:uid="{00000000-0005-0000-0000-000034000000}"/>
    <cellStyle name="常规 5" xfId="3" xr:uid="{00000000-0005-0000-0000-000033000000}"/>
  </cellStyles>
  <dxfs count="0"/>
  <tableStyles count="0" defaultTableStyle="TableStyleMedium2" defaultPivotStyle="PivotStyleLight16"/>
  <colors>
    <mruColors>
      <color rgb="FFD883FF"/>
      <color rgb="FF00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D14"/>
  <sheetViews>
    <sheetView workbookViewId="0">
      <selection activeCell="G9" sqref="G9"/>
    </sheetView>
  </sheetViews>
  <sheetFormatPr defaultColWidth="9" defaultRowHeight="14" x14ac:dyDescent="0.25"/>
  <cols>
    <col min="1" max="1" width="10.26953125" customWidth="1"/>
    <col min="2" max="2" width="55.36328125" customWidth="1"/>
    <col min="3" max="3" width="13.453125" customWidth="1"/>
    <col min="4" max="4" width="12.453125" customWidth="1"/>
  </cols>
  <sheetData>
    <row r="1" spans="1:4" ht="20" customHeight="1" x14ac:dyDescent="0.25">
      <c r="A1" s="40" t="s">
        <v>0</v>
      </c>
      <c r="B1" s="40" t="s">
        <v>1</v>
      </c>
      <c r="C1" s="40" t="s">
        <v>2</v>
      </c>
      <c r="D1" s="40" t="s">
        <v>3</v>
      </c>
    </row>
    <row r="2" spans="1:4" ht="20" customHeight="1" x14ac:dyDescent="0.25">
      <c r="A2" s="41" t="s">
        <v>4</v>
      </c>
      <c r="B2" s="41" t="s">
        <v>5</v>
      </c>
      <c r="C2" s="41" t="s">
        <v>6</v>
      </c>
      <c r="D2" s="41" t="s">
        <v>7</v>
      </c>
    </row>
    <row r="3" spans="1:4" ht="73" customHeight="1" x14ac:dyDescent="0.25">
      <c r="A3" s="41" t="s">
        <v>8</v>
      </c>
      <c r="B3" s="42" t="s">
        <v>9</v>
      </c>
      <c r="C3" s="41" t="s">
        <v>6</v>
      </c>
      <c r="D3" s="41" t="s">
        <v>10</v>
      </c>
    </row>
    <row r="4" spans="1:4" ht="57" customHeight="1" x14ac:dyDescent="0.25">
      <c r="A4" s="41" t="s">
        <v>11</v>
      </c>
      <c r="B4" s="42" t="s">
        <v>12</v>
      </c>
      <c r="C4" s="41" t="s">
        <v>6</v>
      </c>
      <c r="D4" s="41" t="s">
        <v>13</v>
      </c>
    </row>
    <row r="5" spans="1:4" ht="51" customHeight="1" x14ac:dyDescent="0.25">
      <c r="A5" s="41" t="s">
        <v>14</v>
      </c>
      <c r="B5" s="43" t="s">
        <v>15</v>
      </c>
      <c r="C5" s="41" t="s">
        <v>6</v>
      </c>
      <c r="D5" s="41" t="s">
        <v>16</v>
      </c>
    </row>
    <row r="6" spans="1:4" ht="27" customHeight="1" x14ac:dyDescent="0.25">
      <c r="A6" s="41" t="s">
        <v>17</v>
      </c>
      <c r="B6" s="42" t="s">
        <v>18</v>
      </c>
      <c r="C6" s="41" t="s">
        <v>6</v>
      </c>
      <c r="D6" s="41" t="s">
        <v>19</v>
      </c>
    </row>
    <row r="7" spans="1:4" ht="42" customHeight="1" x14ac:dyDescent="0.25">
      <c r="A7" s="41" t="s">
        <v>20</v>
      </c>
      <c r="B7" s="42"/>
      <c r="C7" s="41"/>
      <c r="D7" s="41"/>
    </row>
    <row r="8" spans="1:4" ht="36" customHeight="1" x14ac:dyDescent="0.25">
      <c r="A8" s="41" t="s">
        <v>21</v>
      </c>
      <c r="B8" s="42"/>
      <c r="C8" s="41"/>
      <c r="D8" s="41"/>
    </row>
    <row r="9" spans="1:4" ht="20" customHeight="1" x14ac:dyDescent="0.25">
      <c r="A9" s="41" t="s">
        <v>22</v>
      </c>
      <c r="B9" s="41"/>
      <c r="C9" s="41"/>
      <c r="D9" s="41"/>
    </row>
    <row r="10" spans="1:4" ht="20" customHeight="1" x14ac:dyDescent="0.25">
      <c r="A10" s="41"/>
      <c r="B10" s="41"/>
      <c r="C10" s="41"/>
      <c r="D10" s="41"/>
    </row>
    <row r="11" spans="1:4" ht="20" customHeight="1" x14ac:dyDescent="0.25"/>
    <row r="12" spans="1:4" ht="20" customHeight="1" x14ac:dyDescent="0.25"/>
    <row r="13" spans="1:4" ht="20" customHeight="1" x14ac:dyDescent="0.25"/>
    <row r="14" spans="1:4" ht="20" customHeight="1" x14ac:dyDescent="0.25"/>
  </sheetData>
  <phoneticPr fontId="1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125"/>
  <sheetViews>
    <sheetView zoomScale="85" zoomScaleNormal="85" workbookViewId="0">
      <pane ySplit="1" topLeftCell="A90" activePane="bottomLeft" state="frozen"/>
      <selection pane="bottomLeft" activeCell="E9" sqref="E9"/>
    </sheetView>
  </sheetViews>
  <sheetFormatPr defaultColWidth="9" defaultRowHeight="12.5" x14ac:dyDescent="0.25"/>
  <cols>
    <col min="1" max="1" width="5" style="2" customWidth="1"/>
    <col min="2" max="2" width="20.7265625" style="2" customWidth="1"/>
    <col min="3" max="3" width="12.08984375" style="2" customWidth="1"/>
    <col min="4" max="4" width="29.08984375" style="28" customWidth="1"/>
    <col min="5" max="5" width="97.6328125" style="4" customWidth="1"/>
    <col min="6" max="6" width="21.453125" style="28" customWidth="1"/>
    <col min="7" max="7" width="43.90625" style="28" customWidth="1"/>
    <col min="8" max="11" width="9" style="2"/>
    <col min="12" max="16384" width="9" style="1"/>
  </cols>
  <sheetData>
    <row r="1" spans="1:11" s="27" customFormat="1" ht="39" customHeight="1" x14ac:dyDescent="0.25">
      <c r="A1" s="6" t="s">
        <v>23</v>
      </c>
      <c r="B1" s="6" t="s">
        <v>24</v>
      </c>
      <c r="C1" s="6" t="s">
        <v>25</v>
      </c>
      <c r="D1" s="6" t="s">
        <v>26</v>
      </c>
      <c r="E1" s="5" t="s">
        <v>29</v>
      </c>
      <c r="F1" s="6" t="s">
        <v>27</v>
      </c>
      <c r="G1" s="6" t="s">
        <v>28</v>
      </c>
      <c r="H1" s="6" t="s">
        <v>30</v>
      </c>
      <c r="I1" s="6" t="s">
        <v>27</v>
      </c>
      <c r="J1" s="6" t="s">
        <v>28</v>
      </c>
      <c r="K1" s="6" t="s">
        <v>29</v>
      </c>
    </row>
    <row r="2" spans="1:11" ht="40" customHeight="1" x14ac:dyDescent="0.25">
      <c r="A2" s="44">
        <v>1</v>
      </c>
      <c r="B2" s="47" t="str">
        <f>D3</f>
        <v>门前宝地</v>
      </c>
      <c r="C2" s="8" t="s">
        <v>31</v>
      </c>
      <c r="D2" s="9" t="s">
        <v>892</v>
      </c>
      <c r="E2" s="15" t="s">
        <v>891</v>
      </c>
      <c r="F2" s="9" t="s">
        <v>32</v>
      </c>
      <c r="G2" s="11" t="s">
        <v>33</v>
      </c>
      <c r="H2" s="8">
        <f>LEN(D2)</f>
        <v>9</v>
      </c>
      <c r="I2" s="8">
        <f>LEN(F2)</f>
        <v>22</v>
      </c>
      <c r="J2" s="8">
        <f t="shared" ref="J2:J54" si="0">LEN(G2)</f>
        <v>36</v>
      </c>
      <c r="K2" s="8">
        <f>LEN(E2)</f>
        <v>74</v>
      </c>
    </row>
    <row r="3" spans="1:11" ht="40" customHeight="1" x14ac:dyDescent="0.25">
      <c r="A3" s="45"/>
      <c r="B3" s="48"/>
      <c r="C3" s="29" t="s">
        <v>34</v>
      </c>
      <c r="D3" s="55" t="s">
        <v>889</v>
      </c>
      <c r="E3" s="56" t="s">
        <v>890</v>
      </c>
      <c r="F3" s="30" t="s">
        <v>35</v>
      </c>
      <c r="G3" s="30" t="s">
        <v>36</v>
      </c>
      <c r="H3" s="8">
        <f>LEN(D3)</f>
        <v>4</v>
      </c>
      <c r="I3" s="8">
        <f>LEN(F3)</f>
        <v>9</v>
      </c>
      <c r="J3" s="8">
        <f t="shared" si="0"/>
        <v>14</v>
      </c>
      <c r="K3" s="8">
        <f>LEN(E3)</f>
        <v>39</v>
      </c>
    </row>
    <row r="4" spans="1:11" ht="40" customHeight="1" x14ac:dyDescent="0.25">
      <c r="A4" s="44">
        <v>2</v>
      </c>
      <c r="B4" s="47" t="str">
        <f>D5</f>
        <v>周处除三害</v>
      </c>
      <c r="C4" s="8" t="s">
        <v>31</v>
      </c>
      <c r="D4" s="9" t="s">
        <v>896</v>
      </c>
      <c r="E4" s="15" t="s">
        <v>895</v>
      </c>
      <c r="F4" s="9" t="s">
        <v>37</v>
      </c>
      <c r="G4" s="11" t="s">
        <v>38</v>
      </c>
      <c r="H4" s="8">
        <f>LEN(D4)</f>
        <v>34</v>
      </c>
      <c r="I4" s="8">
        <f>LEN(F4)</f>
        <v>13</v>
      </c>
      <c r="J4" s="8">
        <f t="shared" si="0"/>
        <v>35</v>
      </c>
      <c r="K4" s="8">
        <f>LEN(E4)</f>
        <v>142</v>
      </c>
    </row>
    <row r="5" spans="1:11" ht="40" customHeight="1" x14ac:dyDescent="0.25">
      <c r="A5" s="45"/>
      <c r="B5" s="48"/>
      <c r="C5" s="29" t="s">
        <v>34</v>
      </c>
      <c r="D5" s="55" t="s">
        <v>893</v>
      </c>
      <c r="E5" s="56" t="s">
        <v>894</v>
      </c>
      <c r="F5" s="30" t="s">
        <v>39</v>
      </c>
      <c r="G5" s="30" t="s">
        <v>40</v>
      </c>
      <c r="H5" s="8">
        <f>LEN(D5)</f>
        <v>5</v>
      </c>
      <c r="I5" s="8">
        <f>LEN(F5)</f>
        <v>3</v>
      </c>
      <c r="J5" s="8">
        <f t="shared" si="0"/>
        <v>15</v>
      </c>
      <c r="K5" s="8">
        <f>LEN(E5)</f>
        <v>61</v>
      </c>
    </row>
    <row r="6" spans="1:11" ht="40" customHeight="1" x14ac:dyDescent="0.25">
      <c r="A6" s="44">
        <v>3</v>
      </c>
      <c r="B6" s="47" t="str">
        <f>D7</f>
        <v>汉密尔顿：国家利益</v>
      </c>
      <c r="C6" s="8" t="s">
        <v>31</v>
      </c>
      <c r="D6" s="9" t="s">
        <v>41</v>
      </c>
      <c r="E6" s="15" t="s">
        <v>44</v>
      </c>
      <c r="F6" s="9" t="s">
        <v>42</v>
      </c>
      <c r="G6" s="11" t="s">
        <v>43</v>
      </c>
      <c r="H6" s="8">
        <f>LEN(D6)</f>
        <v>31</v>
      </c>
      <c r="I6" s="8">
        <f>LEN(F6)</f>
        <v>17</v>
      </c>
      <c r="J6" s="8">
        <f t="shared" si="0"/>
        <v>31</v>
      </c>
      <c r="K6" s="8">
        <f>LEN(E6)</f>
        <v>89</v>
      </c>
    </row>
    <row r="7" spans="1:11" ht="40" customHeight="1" x14ac:dyDescent="0.25">
      <c r="A7" s="45"/>
      <c r="B7" s="48"/>
      <c r="C7" s="29" t="s">
        <v>34</v>
      </c>
      <c r="D7" s="55" t="s">
        <v>897</v>
      </c>
      <c r="E7" s="17" t="s">
        <v>47</v>
      </c>
      <c r="F7" s="30" t="s">
        <v>45</v>
      </c>
      <c r="G7" s="30" t="s">
        <v>46</v>
      </c>
      <c r="H7" s="8">
        <f>LEN(D7)</f>
        <v>9</v>
      </c>
      <c r="I7" s="8">
        <f>LEN(F7)</f>
        <v>9</v>
      </c>
      <c r="J7" s="8">
        <f t="shared" si="0"/>
        <v>20</v>
      </c>
      <c r="K7" s="8">
        <f>LEN(E7)</f>
        <v>40</v>
      </c>
    </row>
    <row r="8" spans="1:11" ht="40" customHeight="1" x14ac:dyDescent="0.25">
      <c r="A8" s="44">
        <v>4</v>
      </c>
      <c r="B8" s="47" t="str">
        <f>D9</f>
        <v>祝你幸福！</v>
      </c>
      <c r="C8" s="8" t="s">
        <v>31</v>
      </c>
      <c r="D8" s="9" t="s">
        <v>48</v>
      </c>
      <c r="E8" s="15" t="s">
        <v>51</v>
      </c>
      <c r="F8" s="9" t="s">
        <v>49</v>
      </c>
      <c r="G8" s="11" t="s">
        <v>50</v>
      </c>
      <c r="H8" s="8">
        <f>LEN(D8)</f>
        <v>14</v>
      </c>
      <c r="I8" s="8">
        <f>LEN(F8)</f>
        <v>7</v>
      </c>
      <c r="J8" s="8">
        <f t="shared" si="0"/>
        <v>30</v>
      </c>
      <c r="K8" s="8">
        <f>LEN(E8)</f>
        <v>63</v>
      </c>
    </row>
    <row r="9" spans="1:11" ht="40" customHeight="1" x14ac:dyDescent="0.25">
      <c r="A9" s="45"/>
      <c r="B9" s="48"/>
      <c r="C9" s="29" t="s">
        <v>34</v>
      </c>
      <c r="D9" s="30" t="s">
        <v>52</v>
      </c>
      <c r="E9" s="17" t="s">
        <v>54</v>
      </c>
      <c r="F9" s="55" t="s">
        <v>888</v>
      </c>
      <c r="G9" s="30" t="s">
        <v>53</v>
      </c>
      <c r="H9" s="8">
        <f>LEN(D9)</f>
        <v>5</v>
      </c>
      <c r="I9" s="8">
        <f>LEN(F9)</f>
        <v>2</v>
      </c>
      <c r="J9" s="8">
        <f t="shared" si="0"/>
        <v>13</v>
      </c>
      <c r="K9" s="8">
        <f>LEN(E9)</f>
        <v>38</v>
      </c>
    </row>
    <row r="10" spans="1:11" ht="40" customHeight="1" x14ac:dyDescent="0.25">
      <c r="A10" s="44">
        <v>5</v>
      </c>
      <c r="B10" s="47" t="str">
        <f>D11</f>
        <v>孤注一掷</v>
      </c>
      <c r="C10" s="8" t="s">
        <v>31</v>
      </c>
      <c r="D10" s="31" t="s">
        <v>55</v>
      </c>
      <c r="E10" s="15" t="s">
        <v>58</v>
      </c>
      <c r="F10" s="9" t="s">
        <v>56</v>
      </c>
      <c r="G10" s="11" t="s">
        <v>57</v>
      </c>
      <c r="H10" s="8">
        <f>LEN(D10)</f>
        <v>12</v>
      </c>
      <c r="I10" s="8">
        <f>LEN(F10)</f>
        <v>7</v>
      </c>
      <c r="J10" s="8">
        <f t="shared" si="0"/>
        <v>32</v>
      </c>
      <c r="K10" s="8">
        <f>LEN(E10)</f>
        <v>135</v>
      </c>
    </row>
    <row r="11" spans="1:11" ht="40" customHeight="1" x14ac:dyDescent="0.25">
      <c r="A11" s="45"/>
      <c r="B11" s="48"/>
      <c r="C11" s="29" t="s">
        <v>34</v>
      </c>
      <c r="D11" s="30" t="s">
        <v>59</v>
      </c>
      <c r="E11" s="17" t="s">
        <v>62</v>
      </c>
      <c r="F11" s="30" t="s">
        <v>60</v>
      </c>
      <c r="G11" s="30" t="s">
        <v>61</v>
      </c>
      <c r="H11" s="8">
        <f>LEN(D11)</f>
        <v>4</v>
      </c>
      <c r="I11" s="8">
        <f>LEN(F11)</f>
        <v>2</v>
      </c>
      <c r="J11" s="8">
        <f t="shared" si="0"/>
        <v>13</v>
      </c>
      <c r="K11" s="8">
        <f>LEN(E11)</f>
        <v>65</v>
      </c>
    </row>
    <row r="12" spans="1:11" ht="40" customHeight="1" x14ac:dyDescent="0.25">
      <c r="A12" s="44">
        <v>6</v>
      </c>
      <c r="B12" s="47" t="str">
        <f>D13</f>
        <v>再会长江</v>
      </c>
      <c r="C12" s="8" t="s">
        <v>31</v>
      </c>
      <c r="D12" s="9" t="s">
        <v>63</v>
      </c>
      <c r="E12" s="15" t="s">
        <v>65</v>
      </c>
      <c r="F12" s="9" t="s">
        <v>64</v>
      </c>
      <c r="G12" s="11" t="s">
        <v>64</v>
      </c>
      <c r="H12" s="8">
        <f>LEN(D12)</f>
        <v>17</v>
      </c>
      <c r="I12" s="8">
        <f>LEN(F12)</f>
        <v>12</v>
      </c>
      <c r="J12" s="8">
        <f t="shared" si="0"/>
        <v>12</v>
      </c>
      <c r="K12" s="8">
        <f>LEN(E12)</f>
        <v>196</v>
      </c>
    </row>
    <row r="13" spans="1:11" ht="40" customHeight="1" x14ac:dyDescent="0.25">
      <c r="A13" s="45"/>
      <c r="B13" s="48"/>
      <c r="C13" s="29" t="s">
        <v>34</v>
      </c>
      <c r="D13" s="30" t="s">
        <v>66</v>
      </c>
      <c r="E13" s="17" t="s">
        <v>68</v>
      </c>
      <c r="F13" s="30" t="s">
        <v>67</v>
      </c>
      <c r="G13" s="30" t="s">
        <v>67</v>
      </c>
      <c r="H13" s="8">
        <f>LEN(D13)</f>
        <v>4</v>
      </c>
      <c r="I13" s="8">
        <f>LEN(F13)</f>
        <v>3</v>
      </c>
      <c r="J13" s="8">
        <f t="shared" si="0"/>
        <v>3</v>
      </c>
      <c r="K13" s="8">
        <f>LEN(E13)</f>
        <v>43</v>
      </c>
    </row>
    <row r="14" spans="1:11" ht="40" customHeight="1" x14ac:dyDescent="0.25">
      <c r="A14" s="44">
        <v>7</v>
      </c>
      <c r="B14" s="47" t="str">
        <f>D15</f>
        <v>乘船而去</v>
      </c>
      <c r="C14" s="8" t="s">
        <v>31</v>
      </c>
      <c r="D14" s="9" t="s">
        <v>69</v>
      </c>
      <c r="E14" s="15" t="s">
        <v>72</v>
      </c>
      <c r="F14" s="9" t="s">
        <v>70</v>
      </c>
      <c r="G14" s="11" t="s">
        <v>71</v>
      </c>
      <c r="H14" s="8">
        <f>LEN(D14)</f>
        <v>18</v>
      </c>
      <c r="I14" s="8">
        <f>LEN(F14)</f>
        <v>11</v>
      </c>
      <c r="J14" s="8">
        <f t="shared" si="0"/>
        <v>31</v>
      </c>
      <c r="K14" s="8">
        <f>LEN(E14)</f>
        <v>187</v>
      </c>
    </row>
    <row r="15" spans="1:11" ht="40" customHeight="1" x14ac:dyDescent="0.25">
      <c r="A15" s="45"/>
      <c r="B15" s="48"/>
      <c r="C15" s="29" t="s">
        <v>34</v>
      </c>
      <c r="D15" s="30" t="s">
        <v>73</v>
      </c>
      <c r="E15" s="17" t="s">
        <v>76</v>
      </c>
      <c r="F15" s="30" t="s">
        <v>74</v>
      </c>
      <c r="G15" s="30" t="s">
        <v>75</v>
      </c>
      <c r="H15" s="8">
        <f>LEN(D15)</f>
        <v>4</v>
      </c>
      <c r="I15" s="8">
        <f>LEN(F15)</f>
        <v>3</v>
      </c>
      <c r="J15" s="8">
        <f t="shared" si="0"/>
        <v>14</v>
      </c>
      <c r="K15" s="8">
        <f>LEN(E15)</f>
        <v>66</v>
      </c>
    </row>
    <row r="16" spans="1:11" ht="40" customHeight="1" x14ac:dyDescent="0.25">
      <c r="A16" s="44">
        <v>8</v>
      </c>
      <c r="B16" s="47" t="str">
        <f>D17</f>
        <v>何处生长</v>
      </c>
      <c r="C16" s="8" t="s">
        <v>31</v>
      </c>
      <c r="D16" s="9" t="s">
        <v>77</v>
      </c>
      <c r="E16" s="15" t="s">
        <v>80</v>
      </c>
      <c r="F16" s="9" t="s">
        <v>78</v>
      </c>
      <c r="G16" s="11" t="s">
        <v>79</v>
      </c>
      <c r="H16" s="8">
        <f>LEN(D16)</f>
        <v>13</v>
      </c>
      <c r="I16" s="8">
        <f>LEN(F16)</f>
        <v>12</v>
      </c>
      <c r="J16" s="8">
        <f t="shared" si="0"/>
        <v>33</v>
      </c>
      <c r="K16" s="8">
        <f>LEN(E16)</f>
        <v>159</v>
      </c>
    </row>
    <row r="17" spans="1:11" ht="40" customHeight="1" x14ac:dyDescent="0.25">
      <c r="A17" s="45"/>
      <c r="B17" s="48"/>
      <c r="C17" s="29" t="s">
        <v>34</v>
      </c>
      <c r="D17" s="30" t="s">
        <v>81</v>
      </c>
      <c r="E17" s="17" t="s">
        <v>84</v>
      </c>
      <c r="F17" s="30" t="s">
        <v>82</v>
      </c>
      <c r="G17" s="30" t="s">
        <v>83</v>
      </c>
      <c r="H17" s="8">
        <f>LEN(D17)</f>
        <v>4</v>
      </c>
      <c r="I17" s="8">
        <f>LEN(F17)</f>
        <v>3</v>
      </c>
      <c r="J17" s="8">
        <f t="shared" si="0"/>
        <v>15</v>
      </c>
      <c r="K17" s="8">
        <f>LEN(E17)</f>
        <v>48</v>
      </c>
    </row>
    <row r="18" spans="1:11" ht="40" customHeight="1" x14ac:dyDescent="0.25">
      <c r="A18" s="44">
        <v>9</v>
      </c>
      <c r="B18" s="47" t="str">
        <f>D19</f>
        <v>负负得正</v>
      </c>
      <c r="C18" s="8" t="s">
        <v>31</v>
      </c>
      <c r="D18" s="9" t="s">
        <v>85</v>
      </c>
      <c r="E18" s="15" t="s">
        <v>88</v>
      </c>
      <c r="F18" s="9" t="s">
        <v>86</v>
      </c>
      <c r="G18" s="11" t="s">
        <v>87</v>
      </c>
      <c r="H18" s="8">
        <f>LEN(D18)</f>
        <v>21</v>
      </c>
      <c r="I18" s="8">
        <f>LEN(F18)</f>
        <v>10</v>
      </c>
      <c r="J18" s="8">
        <f t="shared" si="0"/>
        <v>53</v>
      </c>
      <c r="K18" s="8">
        <f>LEN(E18)</f>
        <v>125</v>
      </c>
    </row>
    <row r="19" spans="1:11" ht="40" customHeight="1" x14ac:dyDescent="0.25">
      <c r="A19" s="45"/>
      <c r="B19" s="48"/>
      <c r="C19" s="32" t="s">
        <v>34</v>
      </c>
      <c r="D19" s="30" t="s">
        <v>89</v>
      </c>
      <c r="E19" s="17" t="s">
        <v>92</v>
      </c>
      <c r="F19" s="30" t="s">
        <v>90</v>
      </c>
      <c r="G19" s="30" t="s">
        <v>91</v>
      </c>
      <c r="H19" s="8">
        <f>LEN(D19)</f>
        <v>4</v>
      </c>
      <c r="I19" s="8">
        <f>LEN(F19)</f>
        <v>3</v>
      </c>
      <c r="J19" s="8">
        <f t="shared" si="0"/>
        <v>25</v>
      </c>
      <c r="K19" s="8">
        <f>LEN(E19)</f>
        <v>29</v>
      </c>
    </row>
    <row r="20" spans="1:11" ht="40" customHeight="1" x14ac:dyDescent="0.25">
      <c r="A20" s="44">
        <v>10</v>
      </c>
      <c r="B20" s="47" t="str">
        <f>D21</f>
        <v>来处是归途</v>
      </c>
      <c r="C20" s="33" t="s">
        <v>31</v>
      </c>
      <c r="D20" s="34" t="s">
        <v>93</v>
      </c>
      <c r="E20" s="15" t="s">
        <v>96</v>
      </c>
      <c r="F20" s="9" t="s">
        <v>94</v>
      </c>
      <c r="G20" s="11" t="s">
        <v>95</v>
      </c>
      <c r="H20" s="8">
        <f>LEN(D20)</f>
        <v>12</v>
      </c>
      <c r="I20" s="8">
        <f>LEN(F20)</f>
        <v>6</v>
      </c>
      <c r="J20" s="8">
        <f t="shared" si="0"/>
        <v>40</v>
      </c>
      <c r="K20" s="8">
        <f>LEN(E20)</f>
        <v>193</v>
      </c>
    </row>
    <row r="21" spans="1:11" ht="40" customHeight="1" x14ac:dyDescent="0.25">
      <c r="A21" s="45"/>
      <c r="B21" s="48"/>
      <c r="C21" s="29" t="s">
        <v>34</v>
      </c>
      <c r="D21" s="30" t="s">
        <v>97</v>
      </c>
      <c r="E21" s="17" t="s">
        <v>100</v>
      </c>
      <c r="F21" s="30" t="s">
        <v>98</v>
      </c>
      <c r="G21" s="30" t="s">
        <v>99</v>
      </c>
      <c r="H21" s="8">
        <f>LEN(D21)</f>
        <v>5</v>
      </c>
      <c r="I21" s="8">
        <f>LEN(F21)</f>
        <v>2</v>
      </c>
      <c r="J21" s="8">
        <f t="shared" si="0"/>
        <v>15</v>
      </c>
      <c r="K21" s="8">
        <f>LEN(E21)</f>
        <v>69</v>
      </c>
    </row>
    <row r="22" spans="1:11" ht="40" customHeight="1" x14ac:dyDescent="0.25">
      <c r="A22" s="44">
        <v>11</v>
      </c>
      <c r="B22" s="47" t="str">
        <f>D23</f>
        <v>张灯结彩</v>
      </c>
      <c r="C22" s="8" t="s">
        <v>31</v>
      </c>
      <c r="D22" s="9" t="s">
        <v>101</v>
      </c>
      <c r="E22" s="15" t="s">
        <v>104</v>
      </c>
      <c r="F22" s="9" t="s">
        <v>102</v>
      </c>
      <c r="G22" s="11" t="s">
        <v>103</v>
      </c>
      <c r="H22" s="8">
        <f>LEN(D22)</f>
        <v>18</v>
      </c>
      <c r="I22" s="8">
        <f>LEN(F22)</f>
        <v>23</v>
      </c>
      <c r="J22" s="8">
        <f t="shared" si="0"/>
        <v>28</v>
      </c>
      <c r="K22" s="8">
        <f>LEN(E22)</f>
        <v>88</v>
      </c>
    </row>
    <row r="23" spans="1:11" ht="40" customHeight="1" x14ac:dyDescent="0.25">
      <c r="A23" s="45"/>
      <c r="B23" s="48"/>
      <c r="C23" s="29" t="s">
        <v>34</v>
      </c>
      <c r="D23" s="30" t="s">
        <v>105</v>
      </c>
      <c r="E23" s="17" t="s">
        <v>108</v>
      </c>
      <c r="F23" s="30" t="s">
        <v>106</v>
      </c>
      <c r="G23" s="30" t="s">
        <v>107</v>
      </c>
      <c r="H23" s="8">
        <f>LEN(D23)</f>
        <v>4</v>
      </c>
      <c r="I23" s="8">
        <f>LEN(F23)</f>
        <v>8</v>
      </c>
      <c r="J23" s="8">
        <f t="shared" si="0"/>
        <v>13</v>
      </c>
      <c r="K23" s="8">
        <f>LEN(E23)</f>
        <v>38</v>
      </c>
    </row>
    <row r="24" spans="1:11" ht="33" customHeight="1" x14ac:dyDescent="0.25">
      <c r="A24" s="44">
        <v>12</v>
      </c>
      <c r="B24" s="47" t="str">
        <f>D25</f>
        <v>我的英格兰</v>
      </c>
      <c r="C24" s="8" t="s">
        <v>31</v>
      </c>
      <c r="D24" s="9" t="s">
        <v>109</v>
      </c>
      <c r="E24" s="15" t="s">
        <v>112</v>
      </c>
      <c r="F24" s="9" t="s">
        <v>110</v>
      </c>
      <c r="G24" s="9" t="s">
        <v>111</v>
      </c>
      <c r="H24" s="8">
        <f>LEN(D24)</f>
        <v>15</v>
      </c>
      <c r="I24" s="8">
        <f>LEN(F24)</f>
        <v>9</v>
      </c>
      <c r="J24" s="8">
        <f t="shared" si="0"/>
        <v>34</v>
      </c>
      <c r="K24" s="8">
        <f>LEN(E24)</f>
        <v>63</v>
      </c>
    </row>
    <row r="25" spans="1:11" ht="33" customHeight="1" x14ac:dyDescent="0.25">
      <c r="A25" s="45"/>
      <c r="B25" s="48"/>
      <c r="C25" s="29" t="s">
        <v>34</v>
      </c>
      <c r="D25" s="30" t="s">
        <v>113</v>
      </c>
      <c r="E25" s="17" t="s">
        <v>116</v>
      </c>
      <c r="F25" s="30" t="s">
        <v>114</v>
      </c>
      <c r="G25" s="30" t="s">
        <v>115</v>
      </c>
      <c r="H25" s="8">
        <f>LEN(D25)</f>
        <v>5</v>
      </c>
      <c r="I25" s="8">
        <f>LEN(F25)</f>
        <v>5</v>
      </c>
      <c r="J25" s="8">
        <f t="shared" si="0"/>
        <v>18</v>
      </c>
      <c r="K25" s="8">
        <f>LEN(E25)</f>
        <v>19</v>
      </c>
    </row>
    <row r="26" spans="1:11" ht="33" customHeight="1" x14ac:dyDescent="0.25">
      <c r="A26" s="44">
        <v>13</v>
      </c>
      <c r="B26" s="47" t="str">
        <f>D27</f>
        <v>柠檬汽水</v>
      </c>
      <c r="C26" s="8" t="s">
        <v>31</v>
      </c>
      <c r="D26" s="9" t="s">
        <v>117</v>
      </c>
      <c r="E26" s="15" t="s">
        <v>120</v>
      </c>
      <c r="F26" s="9" t="s">
        <v>118</v>
      </c>
      <c r="G26" s="9" t="s">
        <v>119</v>
      </c>
      <c r="H26" s="8">
        <f>LEN(D26)</f>
        <v>8</v>
      </c>
      <c r="I26" s="8">
        <f>LEN(F26)</f>
        <v>13</v>
      </c>
      <c r="J26" s="8">
        <f t="shared" si="0"/>
        <v>41</v>
      </c>
      <c r="K26" s="8">
        <f>LEN(E26)</f>
        <v>160</v>
      </c>
    </row>
    <row r="27" spans="1:11" ht="33" customHeight="1" x14ac:dyDescent="0.25">
      <c r="A27" s="45"/>
      <c r="B27" s="48"/>
      <c r="C27" s="29" t="s">
        <v>34</v>
      </c>
      <c r="D27" s="30" t="s">
        <v>121</v>
      </c>
      <c r="E27" s="17" t="s">
        <v>124</v>
      </c>
      <c r="F27" s="30" t="s">
        <v>122</v>
      </c>
      <c r="G27" s="30" t="s">
        <v>123</v>
      </c>
      <c r="H27" s="8">
        <f>LEN(D27)</f>
        <v>4</v>
      </c>
      <c r="I27" s="8">
        <f>LEN(F27)</f>
        <v>8</v>
      </c>
      <c r="J27" s="8">
        <f t="shared" si="0"/>
        <v>27</v>
      </c>
      <c r="K27" s="8">
        <f>LEN(E27)</f>
        <v>50</v>
      </c>
    </row>
    <row r="28" spans="1:11" ht="33" customHeight="1" x14ac:dyDescent="0.25">
      <c r="A28" s="44">
        <v>14</v>
      </c>
      <c r="B28" s="47" t="str">
        <f>D29</f>
        <v>沙丘2</v>
      </c>
      <c r="C28" s="8" t="s">
        <v>31</v>
      </c>
      <c r="D28" s="9" t="s">
        <v>125</v>
      </c>
      <c r="E28" s="15" t="s">
        <v>128</v>
      </c>
      <c r="F28" s="9" t="s">
        <v>126</v>
      </c>
      <c r="G28" s="9" t="s">
        <v>127</v>
      </c>
      <c r="H28" s="8">
        <f>LEN(D28)</f>
        <v>14</v>
      </c>
      <c r="I28" s="8">
        <f>LEN(F28)</f>
        <v>16</v>
      </c>
      <c r="J28" s="8">
        <f t="shared" si="0"/>
        <v>26</v>
      </c>
      <c r="K28" s="8">
        <f>LEN(E28)</f>
        <v>119</v>
      </c>
    </row>
    <row r="29" spans="1:11" ht="33" customHeight="1" x14ac:dyDescent="0.25">
      <c r="A29" s="45"/>
      <c r="B29" s="48"/>
      <c r="C29" s="29" t="s">
        <v>34</v>
      </c>
      <c r="D29" s="30" t="s">
        <v>129</v>
      </c>
      <c r="E29" s="17" t="s">
        <v>132</v>
      </c>
      <c r="F29" s="30" t="s">
        <v>130</v>
      </c>
      <c r="G29" s="30" t="s">
        <v>131</v>
      </c>
      <c r="H29" s="8">
        <f>LEN(D29)</f>
        <v>3</v>
      </c>
      <c r="I29" s="8">
        <f>LEN(F29)</f>
        <v>8</v>
      </c>
      <c r="J29" s="8">
        <f t="shared" si="0"/>
        <v>13</v>
      </c>
      <c r="K29" s="8">
        <f>LEN(E29)</f>
        <v>39</v>
      </c>
    </row>
    <row r="30" spans="1:11" ht="33" customHeight="1" x14ac:dyDescent="0.25">
      <c r="A30" s="44">
        <v>15</v>
      </c>
      <c r="B30" s="47" t="str">
        <f>D31</f>
        <v>愿得一人心</v>
      </c>
      <c r="C30" s="8" t="s">
        <v>31</v>
      </c>
      <c r="D30" s="9" t="s">
        <v>133</v>
      </c>
      <c r="E30" s="15" t="s">
        <v>136</v>
      </c>
      <c r="F30" s="9" t="s">
        <v>134</v>
      </c>
      <c r="G30" s="9" t="s">
        <v>135</v>
      </c>
      <c r="H30" s="8">
        <f>LEN(D30)</f>
        <v>15</v>
      </c>
      <c r="I30" s="8">
        <f>LEN(F30)</f>
        <v>24</v>
      </c>
      <c r="J30" s="8">
        <f t="shared" si="0"/>
        <v>39</v>
      </c>
      <c r="K30" s="8">
        <f>LEN(E30)</f>
        <v>130</v>
      </c>
    </row>
    <row r="31" spans="1:11" ht="33" customHeight="1" x14ac:dyDescent="0.25">
      <c r="A31" s="45"/>
      <c r="B31" s="48"/>
      <c r="C31" s="29" t="s">
        <v>34</v>
      </c>
      <c r="D31" s="30" t="s">
        <v>137</v>
      </c>
      <c r="E31" s="17" t="s">
        <v>140</v>
      </c>
      <c r="F31" s="30" t="s">
        <v>138</v>
      </c>
      <c r="G31" s="30" t="s">
        <v>139</v>
      </c>
      <c r="H31" s="8">
        <f>LEN(D31)</f>
        <v>5</v>
      </c>
      <c r="I31" s="8">
        <f>LEN(F31)</f>
        <v>14</v>
      </c>
      <c r="J31" s="8">
        <f t="shared" si="0"/>
        <v>23</v>
      </c>
      <c r="K31" s="8">
        <f>LEN(E31)</f>
        <v>38</v>
      </c>
    </row>
    <row r="32" spans="1:11" ht="33" customHeight="1" x14ac:dyDescent="0.25">
      <c r="A32" s="44">
        <v>16</v>
      </c>
      <c r="B32" s="47" t="str">
        <f>D34</f>
        <v>水逆老爸</v>
      </c>
      <c r="C32" s="8" t="s">
        <v>31</v>
      </c>
      <c r="D32" s="9" t="s">
        <v>141</v>
      </c>
      <c r="E32" s="15" t="s">
        <v>144</v>
      </c>
      <c r="F32" s="9" t="s">
        <v>142</v>
      </c>
      <c r="G32" s="9" t="s">
        <v>143</v>
      </c>
      <c r="H32" s="8">
        <f>LEN(D32)</f>
        <v>13</v>
      </c>
      <c r="I32" s="8">
        <f>LEN(F32)</f>
        <v>15</v>
      </c>
      <c r="J32" s="8">
        <f t="shared" si="0"/>
        <v>25</v>
      </c>
      <c r="K32" s="8">
        <f>LEN(E32)</f>
        <v>161</v>
      </c>
    </row>
    <row r="33" spans="1:11" ht="33" customHeight="1" x14ac:dyDescent="0.25">
      <c r="A33" s="46"/>
      <c r="B33" s="49"/>
      <c r="C33" s="20" t="s">
        <v>145</v>
      </c>
      <c r="D33" s="9" t="s">
        <v>146</v>
      </c>
      <c r="E33" s="15" t="s">
        <v>144</v>
      </c>
      <c r="F33" s="9" t="s">
        <v>142</v>
      </c>
      <c r="G33" s="9" t="s">
        <v>143</v>
      </c>
      <c r="H33" s="8">
        <f>LEN(D33)</f>
        <v>13</v>
      </c>
      <c r="I33" s="8">
        <f>LEN(F33)</f>
        <v>15</v>
      </c>
      <c r="J33" s="8">
        <f t="shared" si="0"/>
        <v>25</v>
      </c>
      <c r="K33" s="8">
        <f>LEN(E33)</f>
        <v>161</v>
      </c>
    </row>
    <row r="34" spans="1:11" ht="33" customHeight="1" x14ac:dyDescent="0.25">
      <c r="A34" s="45"/>
      <c r="B34" s="48"/>
      <c r="C34" s="29" t="s">
        <v>34</v>
      </c>
      <c r="D34" s="30" t="s">
        <v>147</v>
      </c>
      <c r="E34" s="17" t="s">
        <v>150</v>
      </c>
      <c r="F34" s="30" t="s">
        <v>148</v>
      </c>
      <c r="G34" s="30" t="s">
        <v>149</v>
      </c>
      <c r="H34" s="8">
        <f>LEN(D34)</f>
        <v>4</v>
      </c>
      <c r="I34" s="8">
        <f>LEN(F34)</f>
        <v>7</v>
      </c>
      <c r="J34" s="8">
        <f t="shared" si="0"/>
        <v>14</v>
      </c>
      <c r="K34" s="8">
        <f>LEN(E34)</f>
        <v>68</v>
      </c>
    </row>
    <row r="35" spans="1:11" ht="33" customHeight="1" x14ac:dyDescent="0.25">
      <c r="A35" s="44">
        <v>17</v>
      </c>
      <c r="B35" s="47" t="str">
        <f>D36</f>
        <v>主要音调</v>
      </c>
      <c r="C35" s="8" t="s">
        <v>31</v>
      </c>
      <c r="D35" s="9" t="s">
        <v>151</v>
      </c>
      <c r="E35" s="15" t="s">
        <v>154</v>
      </c>
      <c r="F35" s="9" t="s">
        <v>152</v>
      </c>
      <c r="G35" s="9" t="s">
        <v>153</v>
      </c>
      <c r="H35" s="8">
        <f>LEN(D35)</f>
        <v>15</v>
      </c>
      <c r="I35" s="8">
        <f>LEN(F35)</f>
        <v>15</v>
      </c>
      <c r="J35" s="8">
        <f t="shared" si="0"/>
        <v>32</v>
      </c>
      <c r="K35" s="8">
        <f>LEN(E35)</f>
        <v>148</v>
      </c>
    </row>
    <row r="36" spans="1:11" ht="33" customHeight="1" x14ac:dyDescent="0.25">
      <c r="A36" s="45"/>
      <c r="B36" s="48"/>
      <c r="C36" s="29" t="s">
        <v>34</v>
      </c>
      <c r="D36" s="30" t="s">
        <v>155</v>
      </c>
      <c r="E36" s="17" t="s">
        <v>158</v>
      </c>
      <c r="F36" s="30" t="s">
        <v>156</v>
      </c>
      <c r="G36" s="30" t="s">
        <v>157</v>
      </c>
      <c r="H36" s="8">
        <f>LEN(D36)</f>
        <v>4</v>
      </c>
      <c r="I36" s="8">
        <f>LEN(F36)</f>
        <v>10</v>
      </c>
      <c r="J36" s="8">
        <f t="shared" si="0"/>
        <v>18</v>
      </c>
      <c r="K36" s="8">
        <f>LEN(E36)</f>
        <v>34</v>
      </c>
    </row>
    <row r="37" spans="1:11" ht="33" customHeight="1" x14ac:dyDescent="0.25">
      <c r="A37" s="44">
        <v>18</v>
      </c>
      <c r="B37" s="47" t="str">
        <f>D38</f>
        <v>沉默</v>
      </c>
      <c r="C37" s="8" t="s">
        <v>31</v>
      </c>
      <c r="D37" s="9" t="s">
        <v>159</v>
      </c>
      <c r="E37" s="15" t="s">
        <v>162</v>
      </c>
      <c r="F37" s="9" t="s">
        <v>160</v>
      </c>
      <c r="G37" s="9" t="s">
        <v>161</v>
      </c>
      <c r="H37" s="8">
        <f>LEN(D37)</f>
        <v>10</v>
      </c>
      <c r="I37" s="8">
        <f>LEN(F37)</f>
        <v>26</v>
      </c>
      <c r="J37" s="8">
        <f t="shared" si="0"/>
        <v>32</v>
      </c>
      <c r="K37" s="8">
        <f>LEN(E37)</f>
        <v>90</v>
      </c>
    </row>
    <row r="38" spans="1:11" ht="33" customHeight="1" x14ac:dyDescent="0.25">
      <c r="A38" s="45"/>
      <c r="B38" s="48"/>
      <c r="C38" s="29" t="s">
        <v>34</v>
      </c>
      <c r="D38" s="30" t="s">
        <v>163</v>
      </c>
      <c r="E38" s="17" t="s">
        <v>166</v>
      </c>
      <c r="F38" s="30" t="s">
        <v>164</v>
      </c>
      <c r="G38" s="30" t="s">
        <v>165</v>
      </c>
      <c r="H38" s="8">
        <f>LEN(D38)</f>
        <v>2</v>
      </c>
      <c r="I38" s="8">
        <f>LEN(F38)</f>
        <v>15</v>
      </c>
      <c r="J38" s="8">
        <f t="shared" si="0"/>
        <v>18</v>
      </c>
      <c r="K38" s="8">
        <f>LEN(E38)</f>
        <v>44</v>
      </c>
    </row>
    <row r="39" spans="1:11" ht="33" customHeight="1" x14ac:dyDescent="0.25">
      <c r="A39" s="44">
        <v>19</v>
      </c>
      <c r="B39" s="47" t="str">
        <f>D40</f>
        <v>巴乔：神奇的马尾辫</v>
      </c>
      <c r="C39" s="8" t="s">
        <v>31</v>
      </c>
      <c r="D39" s="9" t="s">
        <v>167</v>
      </c>
      <c r="E39" s="18" t="s">
        <v>170</v>
      </c>
      <c r="F39" s="9" t="s">
        <v>168</v>
      </c>
      <c r="G39" s="9" t="s">
        <v>169</v>
      </c>
      <c r="H39" s="8">
        <f>LEN(D39)</f>
        <v>27</v>
      </c>
      <c r="I39" s="8">
        <f>LEN(F39)</f>
        <v>17</v>
      </c>
      <c r="J39" s="8">
        <f t="shared" si="0"/>
        <v>51</v>
      </c>
      <c r="K39" s="8">
        <f>LEN(E39)</f>
        <v>77</v>
      </c>
    </row>
    <row r="40" spans="1:11" ht="33" customHeight="1" x14ac:dyDescent="0.25">
      <c r="A40" s="45"/>
      <c r="B40" s="48"/>
      <c r="C40" s="29" t="s">
        <v>34</v>
      </c>
      <c r="D40" s="30" t="s">
        <v>171</v>
      </c>
      <c r="E40" s="19" t="s">
        <v>174</v>
      </c>
      <c r="F40" s="35" t="s">
        <v>172</v>
      </c>
      <c r="G40" s="35" t="s">
        <v>173</v>
      </c>
      <c r="H40" s="8">
        <f>LEN(D40)</f>
        <v>9</v>
      </c>
      <c r="I40" s="8">
        <f>LEN(F40)</f>
        <v>9</v>
      </c>
      <c r="J40" s="8">
        <f t="shared" si="0"/>
        <v>29</v>
      </c>
      <c r="K40" s="8">
        <f>LEN(E40)</f>
        <v>24</v>
      </c>
    </row>
    <row r="41" spans="1:11" ht="33" customHeight="1" x14ac:dyDescent="0.25">
      <c r="A41" s="44">
        <v>20</v>
      </c>
      <c r="B41" s="47" t="str">
        <f>D42</f>
        <v>最好的相遇</v>
      </c>
      <c r="C41" s="8" t="s">
        <v>31</v>
      </c>
      <c r="D41" s="9" t="s">
        <v>175</v>
      </c>
      <c r="E41" s="15" t="s">
        <v>178</v>
      </c>
      <c r="F41" s="9" t="s">
        <v>176</v>
      </c>
      <c r="G41" s="9" t="s">
        <v>177</v>
      </c>
      <c r="H41" s="8">
        <f>LEN(D41)</f>
        <v>24</v>
      </c>
      <c r="I41" s="8">
        <f>LEN(F41)</f>
        <v>10</v>
      </c>
      <c r="J41" s="8">
        <f t="shared" si="0"/>
        <v>33</v>
      </c>
      <c r="K41" s="8">
        <f>LEN(E41)</f>
        <v>117</v>
      </c>
    </row>
    <row r="42" spans="1:11" ht="33" customHeight="1" x14ac:dyDescent="0.25">
      <c r="A42" s="45"/>
      <c r="B42" s="48"/>
      <c r="C42" s="29" t="s">
        <v>34</v>
      </c>
      <c r="D42" s="30" t="s">
        <v>179</v>
      </c>
      <c r="E42" s="17" t="s">
        <v>182</v>
      </c>
      <c r="F42" s="30" t="s">
        <v>180</v>
      </c>
      <c r="G42" s="30" t="s">
        <v>181</v>
      </c>
      <c r="H42" s="8">
        <f>LEN(D42)</f>
        <v>5</v>
      </c>
      <c r="I42" s="8">
        <f>LEN(F42)</f>
        <v>3</v>
      </c>
      <c r="J42" s="8">
        <f t="shared" si="0"/>
        <v>14</v>
      </c>
      <c r="K42" s="8">
        <f>LEN(E42)</f>
        <v>73</v>
      </c>
    </row>
    <row r="43" spans="1:11" ht="33" customHeight="1" x14ac:dyDescent="0.25">
      <c r="A43" s="44">
        <v>21</v>
      </c>
      <c r="B43" s="47" t="str">
        <f>D44</f>
        <v>穿过月亮的旅行</v>
      </c>
      <c r="C43" s="8" t="s">
        <v>31</v>
      </c>
      <c r="D43" s="9" t="s">
        <v>183</v>
      </c>
      <c r="E43" s="15" t="s">
        <v>186</v>
      </c>
      <c r="F43" s="9" t="s">
        <v>184</v>
      </c>
      <c r="G43" s="9" t="s">
        <v>185</v>
      </c>
      <c r="H43" s="8">
        <f>LEN(D43)</f>
        <v>31</v>
      </c>
      <c r="I43" s="8">
        <f>LEN(F43)</f>
        <v>9</v>
      </c>
      <c r="J43" s="8">
        <f t="shared" si="0"/>
        <v>31</v>
      </c>
      <c r="K43" s="8">
        <f>LEN(E43)</f>
        <v>170</v>
      </c>
    </row>
    <row r="44" spans="1:11" ht="33" customHeight="1" x14ac:dyDescent="0.25">
      <c r="A44" s="45"/>
      <c r="B44" s="48"/>
      <c r="C44" s="29" t="s">
        <v>34</v>
      </c>
      <c r="D44" s="30" t="s">
        <v>187</v>
      </c>
      <c r="E44" s="17" t="s">
        <v>190</v>
      </c>
      <c r="F44" s="30" t="s">
        <v>188</v>
      </c>
      <c r="G44" s="30" t="s">
        <v>189</v>
      </c>
      <c r="H44" s="8">
        <f>LEN(D44)</f>
        <v>7</v>
      </c>
      <c r="I44" s="8">
        <f>LEN(F44)</f>
        <v>3</v>
      </c>
      <c r="J44" s="8">
        <f t="shared" si="0"/>
        <v>14</v>
      </c>
      <c r="K44" s="8">
        <f>LEN(E44)</f>
        <v>66</v>
      </c>
    </row>
    <row r="45" spans="1:11" ht="33" customHeight="1" x14ac:dyDescent="0.25">
      <c r="A45" s="44">
        <v>22</v>
      </c>
      <c r="B45" s="47" t="str">
        <f>D46</f>
        <v>云边有个小卖部</v>
      </c>
      <c r="C45" s="8" t="s">
        <v>31</v>
      </c>
      <c r="D45" s="9" t="s">
        <v>191</v>
      </c>
      <c r="E45" s="15" t="s">
        <v>194</v>
      </c>
      <c r="F45" s="9" t="s">
        <v>192</v>
      </c>
      <c r="G45" s="9" t="s">
        <v>193</v>
      </c>
      <c r="H45" s="8">
        <f>LEN(D45)</f>
        <v>17</v>
      </c>
      <c r="I45" s="8">
        <f>LEN(F45)</f>
        <v>12</v>
      </c>
      <c r="J45" s="8">
        <f t="shared" si="0"/>
        <v>30</v>
      </c>
      <c r="K45" s="8">
        <f>LEN(E45)</f>
        <v>75</v>
      </c>
    </row>
    <row r="46" spans="1:11" ht="33" customHeight="1" x14ac:dyDescent="0.25">
      <c r="A46" s="45"/>
      <c r="B46" s="48"/>
      <c r="C46" s="29" t="s">
        <v>34</v>
      </c>
      <c r="D46" s="30" t="s">
        <v>195</v>
      </c>
      <c r="E46" s="17" t="s">
        <v>198</v>
      </c>
      <c r="F46" s="30" t="s">
        <v>196</v>
      </c>
      <c r="G46" s="30" t="s">
        <v>197</v>
      </c>
      <c r="H46" s="8">
        <f>LEN(D46)</f>
        <v>7</v>
      </c>
      <c r="I46" s="8">
        <f>LEN(F46)</f>
        <v>3</v>
      </c>
      <c r="J46" s="8">
        <f t="shared" si="0"/>
        <v>14</v>
      </c>
      <c r="K46" s="8">
        <f>LEN(E46)</f>
        <v>45</v>
      </c>
    </row>
    <row r="47" spans="1:11" ht="33" customHeight="1" x14ac:dyDescent="0.25">
      <c r="A47" s="44">
        <v>23</v>
      </c>
      <c r="B47" s="47" t="str">
        <f>D49</f>
        <v>回到亚历山大港</v>
      </c>
      <c r="C47" s="8" t="s">
        <v>31</v>
      </c>
      <c r="D47" s="9" t="s">
        <v>199</v>
      </c>
      <c r="E47" s="15" t="s">
        <v>202</v>
      </c>
      <c r="F47" s="9" t="s">
        <v>200</v>
      </c>
      <c r="G47" s="9" t="s">
        <v>201</v>
      </c>
      <c r="H47" s="8">
        <f>LEN(D47)</f>
        <v>18</v>
      </c>
      <c r="I47" s="8">
        <f>LEN(F47)</f>
        <v>12</v>
      </c>
      <c r="J47" s="8">
        <f t="shared" si="0"/>
        <v>27</v>
      </c>
      <c r="K47" s="8">
        <f>LEN(E47)</f>
        <v>129</v>
      </c>
    </row>
    <row r="48" spans="1:11" ht="33" customHeight="1" x14ac:dyDescent="0.25">
      <c r="A48" s="46"/>
      <c r="B48" s="49"/>
      <c r="C48" s="20" t="s">
        <v>145</v>
      </c>
      <c r="D48" s="9" t="s">
        <v>203</v>
      </c>
      <c r="E48" s="15" t="s">
        <v>202</v>
      </c>
      <c r="F48" s="9" t="s">
        <v>200</v>
      </c>
      <c r="G48" s="9" t="s">
        <v>201</v>
      </c>
      <c r="H48" s="8">
        <f>LEN(D48)</f>
        <v>20</v>
      </c>
      <c r="I48" s="8">
        <f>LEN(F48)</f>
        <v>12</v>
      </c>
      <c r="J48" s="8">
        <f t="shared" si="0"/>
        <v>27</v>
      </c>
      <c r="K48" s="8">
        <f>LEN(E48)</f>
        <v>129</v>
      </c>
    </row>
    <row r="49" spans="1:11" ht="33" customHeight="1" x14ac:dyDescent="0.25">
      <c r="A49" s="45"/>
      <c r="B49" s="48"/>
      <c r="C49" s="29" t="s">
        <v>34</v>
      </c>
      <c r="D49" s="30" t="s">
        <v>204</v>
      </c>
      <c r="E49" s="17" t="s">
        <v>207</v>
      </c>
      <c r="F49" s="30" t="s">
        <v>205</v>
      </c>
      <c r="G49" s="30" t="s">
        <v>206</v>
      </c>
      <c r="H49" s="8">
        <f>LEN(D49)</f>
        <v>7</v>
      </c>
      <c r="I49" s="8">
        <f>LEN(F49)</f>
        <v>7</v>
      </c>
      <c r="J49" s="8">
        <f t="shared" si="0"/>
        <v>15</v>
      </c>
      <c r="K49" s="8">
        <f>LEN(E49)</f>
        <v>42</v>
      </c>
    </row>
    <row r="50" spans="1:11" ht="33" customHeight="1" x14ac:dyDescent="0.25">
      <c r="A50" s="44">
        <v>24</v>
      </c>
      <c r="B50" s="47" t="str">
        <f>D52</f>
        <v>过季</v>
      </c>
      <c r="C50" s="8" t="s">
        <v>31</v>
      </c>
      <c r="D50" s="9" t="s">
        <v>208</v>
      </c>
      <c r="E50" s="15" t="s">
        <v>211</v>
      </c>
      <c r="F50" s="9" t="s">
        <v>209</v>
      </c>
      <c r="G50" s="9" t="s">
        <v>210</v>
      </c>
      <c r="H50" s="8">
        <f>LEN(D50)</f>
        <v>13</v>
      </c>
      <c r="I50" s="8">
        <f>LEN(F50)</f>
        <v>14</v>
      </c>
      <c r="J50" s="8">
        <f t="shared" si="0"/>
        <v>32</v>
      </c>
      <c r="K50" s="8">
        <f>LEN(E50)</f>
        <v>91</v>
      </c>
    </row>
    <row r="51" spans="1:11" ht="33" customHeight="1" x14ac:dyDescent="0.25">
      <c r="A51" s="46"/>
      <c r="B51" s="49"/>
      <c r="C51" s="20" t="s">
        <v>145</v>
      </c>
      <c r="D51" s="9" t="s">
        <v>212</v>
      </c>
      <c r="E51" s="15" t="s">
        <v>211</v>
      </c>
      <c r="F51" s="9" t="s">
        <v>209</v>
      </c>
      <c r="G51" s="9" t="s">
        <v>210</v>
      </c>
      <c r="H51" s="8">
        <f>LEN(D51)</f>
        <v>11</v>
      </c>
      <c r="I51" s="8">
        <f>LEN(F51)</f>
        <v>14</v>
      </c>
      <c r="J51" s="8">
        <f t="shared" si="0"/>
        <v>32</v>
      </c>
      <c r="K51" s="8">
        <f>LEN(E51)</f>
        <v>91</v>
      </c>
    </row>
    <row r="52" spans="1:11" ht="33" customHeight="1" x14ac:dyDescent="0.25">
      <c r="A52" s="45"/>
      <c r="B52" s="48"/>
      <c r="C52" s="29" t="s">
        <v>34</v>
      </c>
      <c r="D52" s="30" t="s">
        <v>213</v>
      </c>
      <c r="E52" s="17" t="s">
        <v>216</v>
      </c>
      <c r="F52" s="30" t="s">
        <v>214</v>
      </c>
      <c r="G52" s="30" t="s">
        <v>215</v>
      </c>
      <c r="H52" s="8">
        <f>LEN(D52)</f>
        <v>2</v>
      </c>
      <c r="I52" s="8">
        <f>LEN(F52)</f>
        <v>6</v>
      </c>
      <c r="J52" s="8">
        <f t="shared" si="0"/>
        <v>18</v>
      </c>
      <c r="K52" s="8">
        <f>LEN(E52)</f>
        <v>48</v>
      </c>
    </row>
    <row r="53" spans="1:11" ht="33" customHeight="1" x14ac:dyDescent="0.25">
      <c r="A53" s="44">
        <v>25</v>
      </c>
      <c r="B53" s="47" t="str">
        <f>D55</f>
        <v>留校奇缘</v>
      </c>
      <c r="C53" s="8" t="s">
        <v>31</v>
      </c>
      <c r="D53" s="9" t="s">
        <v>217</v>
      </c>
      <c r="E53" s="15" t="s">
        <v>220</v>
      </c>
      <c r="F53" s="9" t="s">
        <v>218</v>
      </c>
      <c r="G53" s="9" t="s">
        <v>219</v>
      </c>
      <c r="H53" s="8">
        <f>LEN(D53)</f>
        <v>8</v>
      </c>
      <c r="I53" s="8">
        <f>LEN(F53)</f>
        <v>21</v>
      </c>
      <c r="J53" s="8">
        <f t="shared" si="0"/>
        <v>48</v>
      </c>
      <c r="K53" s="8">
        <f>LEN(E53)</f>
        <v>91</v>
      </c>
    </row>
    <row r="54" spans="1:11" ht="33" customHeight="1" x14ac:dyDescent="0.25">
      <c r="A54" s="46"/>
      <c r="B54" s="49"/>
      <c r="C54" s="20" t="s">
        <v>145</v>
      </c>
      <c r="D54" s="9" t="s">
        <v>221</v>
      </c>
      <c r="E54" s="15" t="s">
        <v>220</v>
      </c>
      <c r="F54" s="9" t="s">
        <v>218</v>
      </c>
      <c r="G54" s="9" t="s">
        <v>219</v>
      </c>
      <c r="H54" s="8">
        <f>LEN(D54)</f>
        <v>8</v>
      </c>
      <c r="I54" s="8">
        <f>LEN(F54)</f>
        <v>21</v>
      </c>
      <c r="J54" s="8">
        <f t="shared" si="0"/>
        <v>48</v>
      </c>
      <c r="K54" s="8">
        <f>LEN(E54)</f>
        <v>91</v>
      </c>
    </row>
    <row r="55" spans="1:11" ht="33" customHeight="1" x14ac:dyDescent="0.25">
      <c r="A55" s="45"/>
      <c r="B55" s="48"/>
      <c r="C55" s="29" t="s">
        <v>34</v>
      </c>
      <c r="D55" s="30" t="s">
        <v>222</v>
      </c>
      <c r="E55" s="17" t="s">
        <v>225</v>
      </c>
      <c r="F55" s="30" t="s">
        <v>223</v>
      </c>
      <c r="G55" s="30" t="s">
        <v>224</v>
      </c>
      <c r="H55" s="8">
        <f>LEN(D55)</f>
        <v>4</v>
      </c>
      <c r="I55" s="8">
        <f>LEN(F55)</f>
        <v>10</v>
      </c>
      <c r="J55" s="8">
        <f t="shared" ref="J55:J63" si="1">LEN(G55)</f>
        <v>27</v>
      </c>
      <c r="K55" s="8">
        <f>LEN(E55)</f>
        <v>44</v>
      </c>
    </row>
    <row r="56" spans="1:11" ht="33" customHeight="1" x14ac:dyDescent="0.25">
      <c r="A56" s="44">
        <v>26</v>
      </c>
      <c r="B56" s="47" t="str">
        <f>D57</f>
        <v>冬天的柠檬</v>
      </c>
      <c r="C56" s="8" t="s">
        <v>31</v>
      </c>
      <c r="D56" s="9" t="s">
        <v>226</v>
      </c>
      <c r="E56" s="15" t="s">
        <v>229</v>
      </c>
      <c r="F56" s="9" t="s">
        <v>227</v>
      </c>
      <c r="G56" s="9" t="s">
        <v>228</v>
      </c>
      <c r="H56" s="8">
        <f>LEN(D56)</f>
        <v>13</v>
      </c>
      <c r="I56" s="8">
        <f>LEN(F56)</f>
        <v>15</v>
      </c>
      <c r="J56" s="8">
        <f t="shared" si="1"/>
        <v>37</v>
      </c>
      <c r="K56" s="8">
        <f>LEN(E56)</f>
        <v>121</v>
      </c>
    </row>
    <row r="57" spans="1:11" ht="33" customHeight="1" x14ac:dyDescent="0.25">
      <c r="A57" s="45"/>
      <c r="B57" s="48"/>
      <c r="C57" s="29" t="s">
        <v>34</v>
      </c>
      <c r="D57" s="30" t="s">
        <v>230</v>
      </c>
      <c r="E57" s="17" t="s">
        <v>233</v>
      </c>
      <c r="F57" s="30" t="s">
        <v>231</v>
      </c>
      <c r="G57" s="30" t="s">
        <v>232</v>
      </c>
      <c r="H57" s="8">
        <f>LEN(D57)</f>
        <v>5</v>
      </c>
      <c r="I57" s="8">
        <f>LEN(F57)</f>
        <v>7</v>
      </c>
      <c r="J57" s="8">
        <f t="shared" si="1"/>
        <v>20</v>
      </c>
      <c r="K57" s="8">
        <f>LEN(E57)</f>
        <v>45</v>
      </c>
    </row>
    <row r="58" spans="1:11" ht="33" customHeight="1" x14ac:dyDescent="0.25">
      <c r="A58" s="44">
        <v>27</v>
      </c>
      <c r="B58" s="47" t="str">
        <f>D59</f>
        <v>他是龙</v>
      </c>
      <c r="C58" s="8" t="s">
        <v>31</v>
      </c>
      <c r="D58" s="36" t="s">
        <v>234</v>
      </c>
      <c r="E58" s="15" t="s">
        <v>237</v>
      </c>
      <c r="F58" s="9" t="s">
        <v>235</v>
      </c>
      <c r="G58" s="9" t="s">
        <v>236</v>
      </c>
      <c r="H58" s="8">
        <f>LEN(D58)</f>
        <v>6</v>
      </c>
      <c r="I58" s="8">
        <f>LEN(F58)</f>
        <v>17</v>
      </c>
      <c r="J58" s="8">
        <f t="shared" si="1"/>
        <v>31</v>
      </c>
      <c r="K58" s="8">
        <f>LEN(E58)</f>
        <v>77</v>
      </c>
    </row>
    <row r="59" spans="1:11" ht="33" customHeight="1" x14ac:dyDescent="0.25">
      <c r="A59" s="45"/>
      <c r="B59" s="48"/>
      <c r="C59" s="29" t="s">
        <v>34</v>
      </c>
      <c r="D59" s="30" t="s">
        <v>238</v>
      </c>
      <c r="E59" s="17" t="s">
        <v>241</v>
      </c>
      <c r="F59" s="30" t="s">
        <v>239</v>
      </c>
      <c r="G59" s="30" t="s">
        <v>240</v>
      </c>
      <c r="H59" s="8">
        <f>LEN(D59)</f>
        <v>3</v>
      </c>
      <c r="I59" s="8">
        <f>LEN(F59)</f>
        <v>9</v>
      </c>
      <c r="J59" s="8">
        <f t="shared" si="1"/>
        <v>19</v>
      </c>
      <c r="K59" s="8">
        <f>LEN(E59)</f>
        <v>32</v>
      </c>
    </row>
    <row r="60" spans="1:11" ht="33" customHeight="1" x14ac:dyDescent="0.25">
      <c r="A60" s="44">
        <v>28</v>
      </c>
      <c r="B60" s="47" t="str">
        <f>D61</f>
        <v>抓娃娃</v>
      </c>
      <c r="C60" s="8" t="s">
        <v>31</v>
      </c>
      <c r="D60" s="9" t="s">
        <v>242</v>
      </c>
      <c r="E60" s="15" t="s">
        <v>245</v>
      </c>
      <c r="F60" s="9" t="s">
        <v>243</v>
      </c>
      <c r="G60" s="9" t="s">
        <v>244</v>
      </c>
      <c r="H60" s="8">
        <f>LEN(D60)</f>
        <v>9</v>
      </c>
      <c r="I60" s="8">
        <f>LEN(F60)</f>
        <v>18</v>
      </c>
      <c r="J60" s="8">
        <f t="shared" si="1"/>
        <v>52</v>
      </c>
      <c r="K60" s="8">
        <f>LEN(E60)</f>
        <v>215</v>
      </c>
    </row>
    <row r="61" spans="1:11" ht="33" customHeight="1" x14ac:dyDescent="0.25">
      <c r="A61" s="45"/>
      <c r="B61" s="48"/>
      <c r="C61" s="29" t="s">
        <v>34</v>
      </c>
      <c r="D61" s="30" t="s">
        <v>246</v>
      </c>
      <c r="E61" s="17" t="s">
        <v>249</v>
      </c>
      <c r="F61" s="30" t="s">
        <v>247</v>
      </c>
      <c r="G61" s="30" t="s">
        <v>248</v>
      </c>
      <c r="H61" s="8">
        <f>LEN(D61)</f>
        <v>3</v>
      </c>
      <c r="I61" s="8">
        <f>LEN(F61)</f>
        <v>8</v>
      </c>
      <c r="J61" s="8">
        <f t="shared" si="1"/>
        <v>25</v>
      </c>
      <c r="K61" s="8">
        <f>LEN(E61)</f>
        <v>59</v>
      </c>
    </row>
    <row r="62" spans="1:11" ht="33" customHeight="1" x14ac:dyDescent="0.25">
      <c r="A62" s="44">
        <v>29</v>
      </c>
      <c r="B62" s="47" t="str">
        <f>D63</f>
        <v>红毯先生</v>
      </c>
      <c r="C62" s="8" t="s">
        <v>31</v>
      </c>
      <c r="D62" s="9" t="s">
        <v>250</v>
      </c>
      <c r="E62" s="15" t="s">
        <v>253</v>
      </c>
      <c r="F62" s="9" t="s">
        <v>251</v>
      </c>
      <c r="G62" s="9" t="s">
        <v>252</v>
      </c>
      <c r="H62" s="8">
        <f>LEN(D62)</f>
        <v>17</v>
      </c>
      <c r="I62" s="8">
        <f>LEN(F62)</f>
        <v>8</v>
      </c>
      <c r="J62" s="8">
        <f t="shared" si="1"/>
        <v>31</v>
      </c>
      <c r="K62" s="8">
        <f>LEN(E62)</f>
        <v>87</v>
      </c>
    </row>
    <row r="63" spans="1:11" ht="33" customHeight="1" x14ac:dyDescent="0.25">
      <c r="A63" s="45"/>
      <c r="B63" s="48"/>
      <c r="C63" s="29" t="s">
        <v>34</v>
      </c>
      <c r="D63" s="30" t="s">
        <v>254</v>
      </c>
      <c r="E63" s="17" t="s">
        <v>257</v>
      </c>
      <c r="F63" s="35" t="s">
        <v>255</v>
      </c>
      <c r="G63" s="35" t="s">
        <v>256</v>
      </c>
      <c r="H63" s="8">
        <f>LEN(D63)</f>
        <v>4</v>
      </c>
      <c r="I63" s="8">
        <f>LEN(F63)</f>
        <v>2</v>
      </c>
      <c r="J63" s="8">
        <f t="shared" si="1"/>
        <v>17</v>
      </c>
      <c r="K63" s="8">
        <f>LEN(E63)</f>
        <v>41</v>
      </c>
    </row>
    <row r="64" spans="1:11" ht="33" customHeight="1" x14ac:dyDescent="0.25">
      <c r="A64" s="44">
        <v>31</v>
      </c>
      <c r="B64" s="47" t="str">
        <f>D65</f>
        <v>没完没了</v>
      </c>
      <c r="C64" s="8" t="s">
        <v>31</v>
      </c>
      <c r="D64" s="9" t="s">
        <v>258</v>
      </c>
      <c r="E64" s="15" t="s">
        <v>261</v>
      </c>
      <c r="F64" s="9" t="s">
        <v>259</v>
      </c>
      <c r="G64" s="9" t="s">
        <v>260</v>
      </c>
      <c r="H64" s="8">
        <f>LEN(D64)</f>
        <v>10</v>
      </c>
      <c r="I64" s="8">
        <f>LEN(F64)</f>
        <v>13</v>
      </c>
      <c r="J64" s="8">
        <f t="shared" ref="J64:J92" si="2">LEN(G64)</f>
        <v>28</v>
      </c>
      <c r="K64" s="8">
        <f>LEN(E64)</f>
        <v>156</v>
      </c>
    </row>
    <row r="65" spans="1:11" ht="33" customHeight="1" x14ac:dyDescent="0.25">
      <c r="A65" s="45"/>
      <c r="B65" s="48"/>
      <c r="C65" s="29" t="s">
        <v>34</v>
      </c>
      <c r="D65" s="30" t="s">
        <v>262</v>
      </c>
      <c r="E65" s="17" t="s">
        <v>265</v>
      </c>
      <c r="F65" s="35" t="s">
        <v>263</v>
      </c>
      <c r="G65" s="35" t="s">
        <v>264</v>
      </c>
      <c r="H65" s="8">
        <f>LEN(D65)</f>
        <v>4</v>
      </c>
      <c r="I65" s="8">
        <f>LEN(F65)</f>
        <v>3</v>
      </c>
      <c r="J65" s="8">
        <f t="shared" si="2"/>
        <v>13</v>
      </c>
      <c r="K65" s="8">
        <f>LEN(E65)</f>
        <v>54</v>
      </c>
    </row>
    <row r="66" spans="1:11" ht="33" customHeight="1" x14ac:dyDescent="0.25">
      <c r="A66" s="44">
        <v>32</v>
      </c>
      <c r="B66" s="47" t="str">
        <f>D67</f>
        <v>不见不散</v>
      </c>
      <c r="C66" s="8" t="s">
        <v>31</v>
      </c>
      <c r="D66" s="9" t="s">
        <v>266</v>
      </c>
      <c r="E66" s="15" t="s">
        <v>268</v>
      </c>
      <c r="F66" s="9" t="s">
        <v>259</v>
      </c>
      <c r="G66" s="9" t="s">
        <v>267</v>
      </c>
      <c r="H66" s="8">
        <f>LEN(D66)</f>
        <v>21</v>
      </c>
      <c r="I66" s="8">
        <f>LEN(F66)</f>
        <v>13</v>
      </c>
      <c r="J66" s="8">
        <f t="shared" si="2"/>
        <v>14</v>
      </c>
      <c r="K66" s="8">
        <f>LEN(E66)</f>
        <v>128</v>
      </c>
    </row>
    <row r="67" spans="1:11" ht="33" customHeight="1" x14ac:dyDescent="0.25">
      <c r="A67" s="45"/>
      <c r="B67" s="48"/>
      <c r="C67" s="29" t="s">
        <v>34</v>
      </c>
      <c r="D67" s="30" t="s">
        <v>269</v>
      </c>
      <c r="E67" s="17" t="s">
        <v>271</v>
      </c>
      <c r="F67" s="30" t="s">
        <v>263</v>
      </c>
      <c r="G67" s="30" t="s">
        <v>270</v>
      </c>
      <c r="H67" s="8">
        <f>LEN(D67)</f>
        <v>4</v>
      </c>
      <c r="I67" s="8">
        <f>LEN(F67)</f>
        <v>3</v>
      </c>
      <c r="J67" s="8">
        <f t="shared" si="2"/>
        <v>7</v>
      </c>
      <c r="K67" s="8">
        <f>LEN(E67)</f>
        <v>46</v>
      </c>
    </row>
    <row r="68" spans="1:11" ht="33" customHeight="1" x14ac:dyDescent="0.25">
      <c r="A68" s="44">
        <v>33</v>
      </c>
      <c r="B68" s="47" t="str">
        <f>D69</f>
        <v>没事偷着乐</v>
      </c>
      <c r="C68" s="8" t="s">
        <v>31</v>
      </c>
      <c r="D68" s="34" t="s">
        <v>272</v>
      </c>
      <c r="E68" s="15" t="s">
        <v>275</v>
      </c>
      <c r="F68" s="9" t="s">
        <v>273</v>
      </c>
      <c r="G68" s="9" t="s">
        <v>274</v>
      </c>
      <c r="H68" s="8">
        <f>LEN(D68)</f>
        <v>19</v>
      </c>
      <c r="I68" s="8">
        <f>LEN(F68)</f>
        <v>11</v>
      </c>
      <c r="J68" s="8">
        <f t="shared" si="2"/>
        <v>34</v>
      </c>
      <c r="K68" s="8">
        <f>LEN(E68)</f>
        <v>131</v>
      </c>
    </row>
    <row r="69" spans="1:11" ht="33" customHeight="1" x14ac:dyDescent="0.25">
      <c r="A69" s="45"/>
      <c r="B69" s="48"/>
      <c r="C69" s="29" t="s">
        <v>34</v>
      </c>
      <c r="D69" s="30" t="s">
        <v>276</v>
      </c>
      <c r="E69" s="17" t="s">
        <v>279</v>
      </c>
      <c r="F69" s="30" t="s">
        <v>277</v>
      </c>
      <c r="G69" s="30" t="s">
        <v>278</v>
      </c>
      <c r="H69" s="8">
        <f>LEN(D69)</f>
        <v>5</v>
      </c>
      <c r="I69" s="8">
        <f>LEN(F69)</f>
        <v>3</v>
      </c>
      <c r="J69" s="8">
        <f t="shared" si="2"/>
        <v>14</v>
      </c>
      <c r="K69" s="8">
        <f>LEN(E69)</f>
        <v>49</v>
      </c>
    </row>
    <row r="70" spans="1:11" ht="33" customHeight="1" x14ac:dyDescent="0.25">
      <c r="A70" s="44">
        <v>34</v>
      </c>
      <c r="B70" s="47" t="str">
        <f>D71</f>
        <v>心急吃不了热豆腐</v>
      </c>
      <c r="C70" s="8" t="s">
        <v>31</v>
      </c>
      <c r="D70" s="9" t="s">
        <v>280</v>
      </c>
      <c r="E70" s="15" t="s">
        <v>283</v>
      </c>
      <c r="F70" s="9" t="s">
        <v>281</v>
      </c>
      <c r="G70" s="9" t="s">
        <v>282</v>
      </c>
      <c r="H70" s="8">
        <f>LEN(D70)</f>
        <v>19</v>
      </c>
      <c r="I70" s="8">
        <f>LEN(F70)</f>
        <v>9</v>
      </c>
      <c r="J70" s="8">
        <f t="shared" si="2"/>
        <v>25</v>
      </c>
      <c r="K70" s="8">
        <f>LEN(E70)</f>
        <v>136</v>
      </c>
    </row>
    <row r="71" spans="1:11" ht="33" customHeight="1" x14ac:dyDescent="0.25">
      <c r="A71" s="45"/>
      <c r="B71" s="48"/>
      <c r="C71" s="29" t="s">
        <v>34</v>
      </c>
      <c r="D71" s="30" t="s">
        <v>284</v>
      </c>
      <c r="E71" s="17" t="s">
        <v>287</v>
      </c>
      <c r="F71" s="30" t="s">
        <v>285</v>
      </c>
      <c r="G71" s="30" t="s">
        <v>286</v>
      </c>
      <c r="H71" s="8">
        <f>LEN(D71)</f>
        <v>8</v>
      </c>
      <c r="I71" s="8">
        <f>LEN(F71)</f>
        <v>2</v>
      </c>
      <c r="J71" s="8">
        <f t="shared" si="2"/>
        <v>12</v>
      </c>
      <c r="K71" s="8">
        <f>LEN(E71)</f>
        <v>53</v>
      </c>
    </row>
    <row r="72" spans="1:11" ht="33" customHeight="1" x14ac:dyDescent="0.25">
      <c r="A72" s="44">
        <v>35</v>
      </c>
      <c r="B72" s="47" t="str">
        <f>D73</f>
        <v>驴得水</v>
      </c>
      <c r="C72" s="8" t="s">
        <v>31</v>
      </c>
      <c r="D72" s="9" t="s">
        <v>288</v>
      </c>
      <c r="E72" s="15" t="s">
        <v>291</v>
      </c>
      <c r="F72" s="9" t="s">
        <v>289</v>
      </c>
      <c r="G72" s="9" t="s">
        <v>290</v>
      </c>
      <c r="H72" s="8">
        <f>LEN(D72)</f>
        <v>10</v>
      </c>
      <c r="I72" s="8">
        <f>LEN(F72)</f>
        <v>17</v>
      </c>
      <c r="J72" s="8">
        <f t="shared" si="2"/>
        <v>47</v>
      </c>
      <c r="K72" s="8">
        <f>LEN(E72)</f>
        <v>183</v>
      </c>
    </row>
    <row r="73" spans="1:11" ht="33" customHeight="1" x14ac:dyDescent="0.25">
      <c r="A73" s="45"/>
      <c r="B73" s="48"/>
      <c r="C73" s="29" t="s">
        <v>34</v>
      </c>
      <c r="D73" s="30" t="s">
        <v>292</v>
      </c>
      <c r="E73" s="17" t="s">
        <v>295</v>
      </c>
      <c r="F73" s="30" t="s">
        <v>293</v>
      </c>
      <c r="G73" s="30" t="s">
        <v>294</v>
      </c>
      <c r="H73" s="8">
        <f>LEN(D73)</f>
        <v>3</v>
      </c>
      <c r="I73" s="8">
        <f>LEN(F73)</f>
        <v>7</v>
      </c>
      <c r="J73" s="8">
        <f t="shared" si="2"/>
        <v>20</v>
      </c>
      <c r="K73" s="8">
        <f>LEN(E73)</f>
        <v>57</v>
      </c>
    </row>
    <row r="74" spans="1:11" ht="33" customHeight="1" x14ac:dyDescent="0.25">
      <c r="A74" s="44">
        <v>36</v>
      </c>
      <c r="B74" s="47" t="str">
        <f>D75</f>
        <v>唐人街探案3</v>
      </c>
      <c r="C74" s="8" t="s">
        <v>31</v>
      </c>
      <c r="D74" s="9" t="s">
        <v>296</v>
      </c>
      <c r="E74" s="15" t="s">
        <v>299</v>
      </c>
      <c r="F74" s="9" t="s">
        <v>297</v>
      </c>
      <c r="G74" s="9" t="s">
        <v>298</v>
      </c>
      <c r="H74" s="8">
        <f>LEN(D74)</f>
        <v>21</v>
      </c>
      <c r="I74" s="8">
        <f>LEN(F74)</f>
        <v>12</v>
      </c>
      <c r="J74" s="8">
        <f t="shared" si="2"/>
        <v>71</v>
      </c>
      <c r="K74" s="8">
        <f>LEN(E74)</f>
        <v>181</v>
      </c>
    </row>
    <row r="75" spans="1:11" ht="33" customHeight="1" x14ac:dyDescent="0.25">
      <c r="A75" s="45"/>
      <c r="B75" s="48"/>
      <c r="C75" s="29" t="s">
        <v>34</v>
      </c>
      <c r="D75" s="30" t="s">
        <v>300</v>
      </c>
      <c r="E75" s="17" t="s">
        <v>303</v>
      </c>
      <c r="F75" s="30" t="s">
        <v>301</v>
      </c>
      <c r="G75" s="30" t="s">
        <v>302</v>
      </c>
      <c r="H75" s="8">
        <f>LEN(D75)</f>
        <v>6</v>
      </c>
      <c r="I75" s="8">
        <f>LEN(F75)</f>
        <v>3</v>
      </c>
      <c r="J75" s="8">
        <f t="shared" si="2"/>
        <v>30</v>
      </c>
      <c r="K75" s="8">
        <f>LEN(E75)</f>
        <v>47</v>
      </c>
    </row>
    <row r="76" spans="1:11" ht="33" customHeight="1" x14ac:dyDescent="0.25">
      <c r="A76" s="44">
        <v>37</v>
      </c>
      <c r="B76" s="47" t="str">
        <f>D78</f>
        <v>七天之内</v>
      </c>
      <c r="C76" s="8" t="s">
        <v>31</v>
      </c>
      <c r="D76" s="9" t="s">
        <v>304</v>
      </c>
      <c r="E76" s="15" t="s">
        <v>307</v>
      </c>
      <c r="F76" s="9" t="s">
        <v>305</v>
      </c>
      <c r="G76" s="9" t="s">
        <v>306</v>
      </c>
      <c r="H76" s="8">
        <f>LEN(D76)</f>
        <v>14</v>
      </c>
      <c r="I76" s="8">
        <f>LEN(F76)</f>
        <v>20</v>
      </c>
      <c r="J76" s="8">
        <f t="shared" si="2"/>
        <v>43</v>
      </c>
      <c r="K76" s="8">
        <f>LEN(E76)</f>
        <v>85</v>
      </c>
    </row>
    <row r="77" spans="1:11" ht="33" customHeight="1" x14ac:dyDescent="0.25">
      <c r="A77" s="46"/>
      <c r="B77" s="49"/>
      <c r="C77" s="20" t="s">
        <v>145</v>
      </c>
      <c r="D77" s="9" t="s">
        <v>308</v>
      </c>
      <c r="E77" s="15" t="s">
        <v>307</v>
      </c>
      <c r="F77" s="9" t="s">
        <v>305</v>
      </c>
      <c r="G77" s="9" t="s">
        <v>306</v>
      </c>
      <c r="H77" s="8">
        <f>LEN(D77)</f>
        <v>16</v>
      </c>
      <c r="I77" s="8">
        <f>LEN(F77)</f>
        <v>20</v>
      </c>
      <c r="J77" s="8">
        <f t="shared" si="2"/>
        <v>43</v>
      </c>
      <c r="K77" s="8">
        <f>LEN(E77)</f>
        <v>85</v>
      </c>
    </row>
    <row r="78" spans="1:11" ht="33" customHeight="1" x14ac:dyDescent="0.25">
      <c r="A78" s="45"/>
      <c r="B78" s="48"/>
      <c r="C78" s="29" t="s">
        <v>34</v>
      </c>
      <c r="D78" s="35" t="s">
        <v>309</v>
      </c>
      <c r="E78" s="17" t="s">
        <v>312</v>
      </c>
      <c r="F78" s="30" t="s">
        <v>310</v>
      </c>
      <c r="G78" s="30" t="s">
        <v>311</v>
      </c>
      <c r="H78" s="8">
        <f>LEN(D78)</f>
        <v>4</v>
      </c>
      <c r="I78" s="8">
        <f>LEN(F78)</f>
        <v>12</v>
      </c>
      <c r="J78" s="8">
        <f t="shared" si="2"/>
        <v>27</v>
      </c>
      <c r="K78" s="8">
        <f>LEN(E78)</f>
        <v>27</v>
      </c>
    </row>
    <row r="79" spans="1:11" ht="33" customHeight="1" x14ac:dyDescent="0.25">
      <c r="A79" s="44">
        <v>38</v>
      </c>
      <c r="B79" s="47" t="str">
        <f>D80</f>
        <v>酷爸爸</v>
      </c>
      <c r="C79" s="8" t="s">
        <v>31</v>
      </c>
      <c r="D79" s="9" t="s">
        <v>313</v>
      </c>
      <c r="E79" s="15" t="s">
        <v>316</v>
      </c>
      <c r="F79" s="9" t="s">
        <v>314</v>
      </c>
      <c r="G79" s="9" t="s">
        <v>315</v>
      </c>
      <c r="H79" s="8">
        <f>LEN(D79)</f>
        <v>10</v>
      </c>
      <c r="I79" s="8">
        <f>LEN(F79)</f>
        <v>13</v>
      </c>
      <c r="J79" s="8">
        <f t="shared" si="2"/>
        <v>28</v>
      </c>
      <c r="K79" s="8">
        <f>LEN(E79)</f>
        <v>151</v>
      </c>
    </row>
    <row r="80" spans="1:11" ht="33" customHeight="1" x14ac:dyDescent="0.25">
      <c r="A80" s="45"/>
      <c r="B80" s="48"/>
      <c r="C80" s="29" t="s">
        <v>34</v>
      </c>
      <c r="D80" s="30" t="s">
        <v>317</v>
      </c>
      <c r="E80" s="17" t="s">
        <v>320</v>
      </c>
      <c r="F80" s="30" t="s">
        <v>318</v>
      </c>
      <c r="G80" s="30" t="s">
        <v>319</v>
      </c>
      <c r="H80" s="8">
        <f>LEN(D80)</f>
        <v>3</v>
      </c>
      <c r="I80" s="8">
        <f>LEN(F80)</f>
        <v>8</v>
      </c>
      <c r="J80" s="8">
        <f t="shared" si="2"/>
        <v>15</v>
      </c>
      <c r="K80" s="8">
        <f>LEN(E80)</f>
        <v>45</v>
      </c>
    </row>
    <row r="81" spans="1:11" ht="33" customHeight="1" x14ac:dyDescent="0.25">
      <c r="A81" s="44">
        <v>39</v>
      </c>
      <c r="B81" s="47" t="str">
        <f>D82</f>
        <v>充满恩典</v>
      </c>
      <c r="C81" s="8" t="s">
        <v>31</v>
      </c>
      <c r="D81" s="9" t="s">
        <v>321</v>
      </c>
      <c r="E81" s="15" t="s">
        <v>324</v>
      </c>
      <c r="F81" s="9" t="s">
        <v>322</v>
      </c>
      <c r="G81" s="9" t="s">
        <v>323</v>
      </c>
      <c r="H81" s="8">
        <f>LEN(D81)</f>
        <v>13</v>
      </c>
      <c r="I81" s="8">
        <f>LEN(F81)</f>
        <v>28</v>
      </c>
      <c r="J81" s="8">
        <f t="shared" si="2"/>
        <v>41</v>
      </c>
      <c r="K81" s="8">
        <f>LEN(E81)</f>
        <v>101</v>
      </c>
    </row>
    <row r="82" spans="1:11" ht="33" customHeight="1" x14ac:dyDescent="0.25">
      <c r="A82" s="45"/>
      <c r="B82" s="48"/>
      <c r="C82" s="29" t="s">
        <v>34</v>
      </c>
      <c r="D82" s="30" t="s">
        <v>325</v>
      </c>
      <c r="E82" s="17" t="s">
        <v>328</v>
      </c>
      <c r="F82" s="35" t="s">
        <v>326</v>
      </c>
      <c r="G82" s="30" t="s">
        <v>327</v>
      </c>
      <c r="H82" s="8">
        <f>LEN(D82)</f>
        <v>4</v>
      </c>
      <c r="I82" s="8">
        <f>LEN(F82)</f>
        <v>15</v>
      </c>
      <c r="J82" s="8">
        <f t="shared" si="2"/>
        <v>25</v>
      </c>
      <c r="K82" s="8">
        <f>LEN(E82)</f>
        <v>34</v>
      </c>
    </row>
    <row r="83" spans="1:11" ht="33" customHeight="1" x14ac:dyDescent="0.25">
      <c r="A83" s="44">
        <v>40</v>
      </c>
      <c r="B83" s="47" t="str">
        <f>D84</f>
        <v>罗莎的婚礼</v>
      </c>
      <c r="C83" s="8" t="s">
        <v>31</v>
      </c>
      <c r="D83" s="9" t="s">
        <v>329</v>
      </c>
      <c r="E83" s="15" t="s">
        <v>332</v>
      </c>
      <c r="F83" s="9" t="s">
        <v>330</v>
      </c>
      <c r="G83" s="9" t="s">
        <v>331</v>
      </c>
      <c r="H83" s="8">
        <f>LEN(D83)</f>
        <v>14</v>
      </c>
      <c r="I83" s="8">
        <f>LEN(F83)</f>
        <v>13</v>
      </c>
      <c r="J83" s="8">
        <f t="shared" si="2"/>
        <v>66</v>
      </c>
      <c r="K83" s="8">
        <f>LEN(E83)</f>
        <v>157</v>
      </c>
    </row>
    <row r="84" spans="1:11" ht="33" customHeight="1" x14ac:dyDescent="0.25">
      <c r="A84" s="45"/>
      <c r="B84" s="48"/>
      <c r="C84" s="29" t="s">
        <v>34</v>
      </c>
      <c r="D84" s="30" t="s">
        <v>333</v>
      </c>
      <c r="E84" s="17" t="s">
        <v>336</v>
      </c>
      <c r="F84" s="30" t="s">
        <v>334</v>
      </c>
      <c r="G84" s="30" t="s">
        <v>335</v>
      </c>
      <c r="H84" s="8">
        <f>LEN(D84)</f>
        <v>5</v>
      </c>
      <c r="I84" s="8">
        <f>LEN(F84)</f>
        <v>9</v>
      </c>
      <c r="J84" s="8">
        <f t="shared" si="2"/>
        <v>44</v>
      </c>
      <c r="K84" s="8">
        <f>LEN(E84)</f>
        <v>56</v>
      </c>
    </row>
    <row r="85" spans="1:11" ht="33" customHeight="1" x14ac:dyDescent="0.25">
      <c r="A85" s="44">
        <v>41</v>
      </c>
      <c r="B85" s="47" t="str">
        <f>D86</f>
        <v>记忆中的远方</v>
      </c>
      <c r="C85" s="8" t="s">
        <v>31</v>
      </c>
      <c r="D85" s="9" t="s">
        <v>337</v>
      </c>
      <c r="E85" s="15" t="s">
        <v>340</v>
      </c>
      <c r="F85" s="9" t="s">
        <v>338</v>
      </c>
      <c r="G85" s="9" t="s">
        <v>339</v>
      </c>
      <c r="H85" s="8">
        <f>LEN(D85)</f>
        <v>11</v>
      </c>
      <c r="I85" s="8">
        <f>LEN(F85)</f>
        <v>14</v>
      </c>
      <c r="J85" s="8">
        <f t="shared" si="2"/>
        <v>40</v>
      </c>
      <c r="K85" s="8">
        <f>LEN(E85)</f>
        <v>135</v>
      </c>
    </row>
    <row r="86" spans="1:11" ht="33" customHeight="1" x14ac:dyDescent="0.25">
      <c r="A86" s="45"/>
      <c r="B86" s="48"/>
      <c r="C86" s="29" t="s">
        <v>34</v>
      </c>
      <c r="D86" s="30" t="s">
        <v>341</v>
      </c>
      <c r="E86" s="17" t="s">
        <v>344</v>
      </c>
      <c r="F86" s="30" t="s">
        <v>342</v>
      </c>
      <c r="G86" s="30" t="s">
        <v>343</v>
      </c>
      <c r="H86" s="8">
        <f>LEN(D86)</f>
        <v>6</v>
      </c>
      <c r="I86" s="8">
        <f>LEN(F86)</f>
        <v>6</v>
      </c>
      <c r="J86" s="8">
        <f t="shared" si="2"/>
        <v>21</v>
      </c>
      <c r="K86" s="8">
        <f>LEN(E86)</f>
        <v>44</v>
      </c>
    </row>
    <row r="87" spans="1:11" ht="33" customHeight="1" x14ac:dyDescent="0.25">
      <c r="A87" s="44">
        <v>42</v>
      </c>
      <c r="B87" s="47" t="str">
        <f>D88</f>
        <v>河上划船的家伙们</v>
      </c>
      <c r="C87" s="8" t="s">
        <v>31</v>
      </c>
      <c r="D87" s="9" t="s">
        <v>345</v>
      </c>
      <c r="E87" s="15" t="s">
        <v>348</v>
      </c>
      <c r="F87" s="9" t="s">
        <v>346</v>
      </c>
      <c r="G87" s="9" t="s">
        <v>347</v>
      </c>
      <c r="H87" s="8">
        <f>LEN(D87)</f>
        <v>13</v>
      </c>
      <c r="I87" s="8">
        <f>LEN(F87)</f>
        <v>13</v>
      </c>
      <c r="J87" s="8">
        <f t="shared" si="2"/>
        <v>41</v>
      </c>
      <c r="K87" s="8">
        <f>LEN(E87)</f>
        <v>160</v>
      </c>
    </row>
    <row r="88" spans="1:11" ht="33" customHeight="1" x14ac:dyDescent="0.25">
      <c r="A88" s="45"/>
      <c r="B88" s="48"/>
      <c r="C88" s="29" t="s">
        <v>34</v>
      </c>
      <c r="D88" s="30" t="s">
        <v>349</v>
      </c>
      <c r="E88" s="17" t="s">
        <v>352</v>
      </c>
      <c r="F88" s="30" t="s">
        <v>350</v>
      </c>
      <c r="G88" s="30" t="s">
        <v>351</v>
      </c>
      <c r="H88" s="8">
        <f>LEN(D88)</f>
        <v>8</v>
      </c>
      <c r="I88" s="8">
        <f>LEN(F88)</f>
        <v>8</v>
      </c>
      <c r="J88" s="8">
        <f t="shared" si="2"/>
        <v>26</v>
      </c>
      <c r="K88" s="8">
        <f>LEN(E88)</f>
        <v>44</v>
      </c>
    </row>
    <row r="89" spans="1:11" ht="33" customHeight="1" x14ac:dyDescent="0.25">
      <c r="A89" s="44">
        <v>43</v>
      </c>
      <c r="B89" s="47" t="str">
        <f>D90</f>
        <v>喜羊羊与灰太狼之守护</v>
      </c>
      <c r="C89" s="8" t="s">
        <v>31</v>
      </c>
      <c r="D89" s="9" t="s">
        <v>353</v>
      </c>
      <c r="E89" s="15" t="s">
        <v>356</v>
      </c>
      <c r="F89" s="9" t="s">
        <v>354</v>
      </c>
      <c r="G89" s="9" t="s">
        <v>355</v>
      </c>
      <c r="H89" s="8">
        <f>LEN(D89)</f>
        <v>51</v>
      </c>
      <c r="I89" s="8">
        <f>LEN(F89)</f>
        <v>25</v>
      </c>
      <c r="J89" s="8">
        <f t="shared" si="2"/>
        <v>31</v>
      </c>
      <c r="K89" s="8">
        <f>LEN(E89)</f>
        <v>61</v>
      </c>
    </row>
    <row r="90" spans="1:11" ht="33" customHeight="1" x14ac:dyDescent="0.25">
      <c r="A90" s="45"/>
      <c r="B90" s="48"/>
      <c r="C90" s="29" t="s">
        <v>34</v>
      </c>
      <c r="D90" s="30" t="s">
        <v>357</v>
      </c>
      <c r="E90" s="17" t="s">
        <v>360</v>
      </c>
      <c r="F90" s="30" t="s">
        <v>358</v>
      </c>
      <c r="G90" s="30" t="s">
        <v>359</v>
      </c>
      <c r="H90" s="8">
        <f>LEN(D90)</f>
        <v>10</v>
      </c>
      <c r="I90" s="8">
        <f>LEN(F90)</f>
        <v>9</v>
      </c>
      <c r="J90" s="8">
        <f t="shared" si="2"/>
        <v>13</v>
      </c>
      <c r="K90" s="8">
        <f>LEN(E90)</f>
        <v>28</v>
      </c>
    </row>
    <row r="91" spans="1:11" ht="33" customHeight="1" x14ac:dyDescent="0.25">
      <c r="A91" s="44">
        <v>44</v>
      </c>
      <c r="B91" s="47" t="str">
        <f>D92</f>
        <v>喜羊羊与灰太狼之筐出未来</v>
      </c>
      <c r="C91" s="8" t="s">
        <v>31</v>
      </c>
      <c r="D91" s="34" t="s">
        <v>361</v>
      </c>
      <c r="E91" s="15" t="s">
        <v>363</v>
      </c>
      <c r="F91" s="9" t="s">
        <v>362</v>
      </c>
      <c r="G91" s="9" t="s">
        <v>355</v>
      </c>
      <c r="H91" s="8">
        <f>LEN(D91)</f>
        <v>47</v>
      </c>
      <c r="I91" s="8">
        <f>LEN(F91)</f>
        <v>9</v>
      </c>
      <c r="J91" s="8">
        <f t="shared" si="2"/>
        <v>31</v>
      </c>
      <c r="K91" s="8">
        <f>LEN(E91)</f>
        <v>82</v>
      </c>
    </row>
    <row r="92" spans="1:11" ht="33" customHeight="1" x14ac:dyDescent="0.25">
      <c r="A92" s="45"/>
      <c r="B92" s="48"/>
      <c r="C92" s="29" t="s">
        <v>34</v>
      </c>
      <c r="D92" s="37" t="s">
        <v>364</v>
      </c>
      <c r="E92" s="17" t="s">
        <v>366</v>
      </c>
      <c r="F92" s="30" t="s">
        <v>365</v>
      </c>
      <c r="G92" s="30" t="s">
        <v>359</v>
      </c>
      <c r="H92" s="8">
        <f>LEN(D92)</f>
        <v>12</v>
      </c>
      <c r="I92" s="8">
        <f>LEN(F92)</f>
        <v>3</v>
      </c>
      <c r="J92" s="8">
        <f t="shared" si="2"/>
        <v>13</v>
      </c>
      <c r="K92" s="8">
        <f>LEN(E92)</f>
        <v>23</v>
      </c>
    </row>
    <row r="93" spans="1:11" ht="33" customHeight="1" x14ac:dyDescent="0.25">
      <c r="A93" s="44">
        <v>45</v>
      </c>
      <c r="B93" s="47" t="str">
        <f>D94</f>
        <v>熊出没：重返地球</v>
      </c>
      <c r="C93" s="8" t="s">
        <v>31</v>
      </c>
      <c r="D93" s="9" t="s">
        <v>367</v>
      </c>
      <c r="E93" s="15" t="s">
        <v>370</v>
      </c>
      <c r="F93" s="9" t="s">
        <v>368</v>
      </c>
      <c r="G93" s="9" t="s">
        <v>369</v>
      </c>
      <c r="H93" s="8">
        <f>LEN(D93)</f>
        <v>27</v>
      </c>
      <c r="I93" s="8">
        <f>LEN(F93)</f>
        <v>9</v>
      </c>
      <c r="J93" s="8">
        <f t="shared" ref="J93:J115" si="3">LEN(G93)</f>
        <v>59</v>
      </c>
      <c r="K93" s="8">
        <f>LEN(E93)</f>
        <v>172</v>
      </c>
    </row>
    <row r="94" spans="1:11" ht="33" customHeight="1" x14ac:dyDescent="0.25">
      <c r="A94" s="45"/>
      <c r="B94" s="48"/>
      <c r="C94" s="29" t="s">
        <v>34</v>
      </c>
      <c r="D94" s="30" t="s">
        <v>371</v>
      </c>
      <c r="E94" s="17" t="s">
        <v>374</v>
      </c>
      <c r="F94" s="30" t="s">
        <v>372</v>
      </c>
      <c r="G94" s="30" t="s">
        <v>373</v>
      </c>
      <c r="H94" s="8">
        <f>LEN(D94)</f>
        <v>8</v>
      </c>
      <c r="I94" s="8">
        <f>LEN(F94)</f>
        <v>3</v>
      </c>
      <c r="J94" s="8">
        <f t="shared" si="3"/>
        <v>25</v>
      </c>
      <c r="K94" s="8">
        <f>LEN(E94)</f>
        <v>49</v>
      </c>
    </row>
    <row r="95" spans="1:11" ht="33" customHeight="1" x14ac:dyDescent="0.25">
      <c r="A95" s="44">
        <v>46</v>
      </c>
      <c r="B95" s="47" t="str">
        <f>D96</f>
        <v>熊出没·奇幻空间</v>
      </c>
      <c r="C95" s="8" t="s">
        <v>31</v>
      </c>
      <c r="D95" s="9" t="s">
        <v>375</v>
      </c>
      <c r="E95" s="15" t="s">
        <v>378</v>
      </c>
      <c r="F95" s="9" t="s">
        <v>376</v>
      </c>
      <c r="G95" s="9" t="s">
        <v>377</v>
      </c>
      <c r="H95" s="8">
        <f>LEN(D95)</f>
        <v>30</v>
      </c>
      <c r="I95" s="8">
        <f>LEN(F95)</f>
        <v>36</v>
      </c>
      <c r="J95" s="8">
        <f t="shared" si="3"/>
        <v>52</v>
      </c>
      <c r="K95" s="8">
        <f>LEN(E95)</f>
        <v>149</v>
      </c>
    </row>
    <row r="96" spans="1:11" ht="33" customHeight="1" x14ac:dyDescent="0.25">
      <c r="A96" s="45"/>
      <c r="B96" s="48"/>
      <c r="C96" s="29" t="s">
        <v>34</v>
      </c>
      <c r="D96" s="30" t="s">
        <v>379</v>
      </c>
      <c r="E96" s="17" t="s">
        <v>382</v>
      </c>
      <c r="F96" s="30" t="s">
        <v>380</v>
      </c>
      <c r="G96" s="30" t="s">
        <v>381</v>
      </c>
      <c r="H96" s="8">
        <f>LEN(D96)</f>
        <v>8</v>
      </c>
      <c r="I96" s="8">
        <f>LEN(F96)</f>
        <v>14</v>
      </c>
      <c r="J96" s="8">
        <f t="shared" si="3"/>
        <v>21</v>
      </c>
      <c r="K96" s="8">
        <f>LEN(E96)</f>
        <v>55</v>
      </c>
    </row>
    <row r="97" spans="1:11" ht="33" customHeight="1" x14ac:dyDescent="0.25">
      <c r="A97" s="44">
        <v>47</v>
      </c>
      <c r="B97" s="47" t="str">
        <f>D98</f>
        <v>熊出没之熊心归来</v>
      </c>
      <c r="C97" s="8" t="s">
        <v>31</v>
      </c>
      <c r="D97" s="9" t="s">
        <v>383</v>
      </c>
      <c r="E97" s="15" t="s">
        <v>386</v>
      </c>
      <c r="F97" s="9" t="s">
        <v>384</v>
      </c>
      <c r="G97" s="9" t="s">
        <v>385</v>
      </c>
      <c r="H97" s="8">
        <f>LEN(D97)</f>
        <v>32</v>
      </c>
      <c r="I97" s="8">
        <f>LEN(F97)</f>
        <v>25</v>
      </c>
      <c r="J97" s="8">
        <f t="shared" si="3"/>
        <v>34</v>
      </c>
      <c r="K97" s="8">
        <f>LEN(E97)</f>
        <v>70</v>
      </c>
    </row>
    <row r="98" spans="1:11" ht="33" customHeight="1" x14ac:dyDescent="0.25">
      <c r="A98" s="45"/>
      <c r="B98" s="48"/>
      <c r="C98" s="29" t="s">
        <v>34</v>
      </c>
      <c r="D98" s="30" t="s">
        <v>387</v>
      </c>
      <c r="E98" s="17" t="s">
        <v>390</v>
      </c>
      <c r="F98" s="30" t="s">
        <v>388</v>
      </c>
      <c r="G98" s="30" t="s">
        <v>389</v>
      </c>
      <c r="H98" s="8">
        <f>LEN(D98)</f>
        <v>8</v>
      </c>
      <c r="I98" s="8">
        <f>LEN(F98)</f>
        <v>8</v>
      </c>
      <c r="J98" s="8">
        <f t="shared" si="3"/>
        <v>13</v>
      </c>
      <c r="K98" s="8">
        <f>LEN(E98)</f>
        <v>31</v>
      </c>
    </row>
    <row r="99" spans="1:11" ht="33" customHeight="1" x14ac:dyDescent="0.25">
      <c r="A99" s="44">
        <v>48</v>
      </c>
      <c r="B99" s="47" t="str">
        <f>D100</f>
        <v>熊出没之雪岭熊风</v>
      </c>
      <c r="C99" s="8" t="s">
        <v>31</v>
      </c>
      <c r="D99" s="9" t="s">
        <v>391</v>
      </c>
      <c r="E99" s="15" t="s">
        <v>393</v>
      </c>
      <c r="F99" s="9" t="s">
        <v>392</v>
      </c>
      <c r="G99" s="9" t="s">
        <v>385</v>
      </c>
      <c r="H99" s="8">
        <f>LEN(D99)</f>
        <v>29</v>
      </c>
      <c r="I99" s="8">
        <f>LEN(F99)</f>
        <v>22</v>
      </c>
      <c r="J99" s="8">
        <f t="shared" si="3"/>
        <v>34</v>
      </c>
      <c r="K99" s="8">
        <f>LEN(E99)</f>
        <v>80</v>
      </c>
    </row>
    <row r="100" spans="1:11" ht="33" customHeight="1" x14ac:dyDescent="0.25">
      <c r="A100" s="45"/>
      <c r="B100" s="48"/>
      <c r="C100" s="29" t="s">
        <v>34</v>
      </c>
      <c r="D100" s="30" t="s">
        <v>394</v>
      </c>
      <c r="E100" s="17" t="s">
        <v>396</v>
      </c>
      <c r="F100" s="30" t="s">
        <v>395</v>
      </c>
      <c r="G100" s="30" t="s">
        <v>389</v>
      </c>
      <c r="H100" s="8">
        <f>LEN(D100)</f>
        <v>8</v>
      </c>
      <c r="I100" s="8">
        <f>LEN(F100)</f>
        <v>8</v>
      </c>
      <c r="J100" s="8">
        <f t="shared" si="3"/>
        <v>13</v>
      </c>
      <c r="K100" s="8">
        <f>LEN(E100)</f>
        <v>39</v>
      </c>
    </row>
    <row r="101" spans="1:11" ht="33" customHeight="1" x14ac:dyDescent="0.25">
      <c r="A101" s="44">
        <v>49</v>
      </c>
      <c r="B101" s="47" t="str">
        <f>D102</f>
        <v>新猪猪侠大电影·超级赛车</v>
      </c>
      <c r="C101" s="8" t="s">
        <v>31</v>
      </c>
      <c r="D101" s="34" t="s">
        <v>397</v>
      </c>
      <c r="E101" s="15" t="s">
        <v>400</v>
      </c>
      <c r="F101" s="9" t="s">
        <v>398</v>
      </c>
      <c r="G101" s="9" t="s">
        <v>399</v>
      </c>
      <c r="H101" s="8">
        <f>LEN(D101)</f>
        <v>21</v>
      </c>
      <c r="I101" s="8">
        <f>LEN(F101)</f>
        <v>8</v>
      </c>
      <c r="J101" s="8">
        <f t="shared" si="3"/>
        <v>18</v>
      </c>
      <c r="K101" s="8">
        <f>LEN(E101)</f>
        <v>78</v>
      </c>
    </row>
    <row r="102" spans="1:11" ht="33" customHeight="1" x14ac:dyDescent="0.25">
      <c r="A102" s="45"/>
      <c r="B102" s="48"/>
      <c r="C102" s="29" t="s">
        <v>34</v>
      </c>
      <c r="D102" s="30" t="s">
        <v>401</v>
      </c>
      <c r="E102" s="17" t="s">
        <v>404</v>
      </c>
      <c r="F102" s="30" t="s">
        <v>402</v>
      </c>
      <c r="G102" s="30" t="s">
        <v>403</v>
      </c>
      <c r="H102" s="8">
        <f>LEN(D102)</f>
        <v>12</v>
      </c>
      <c r="I102" s="8">
        <f>LEN(F102)</f>
        <v>2</v>
      </c>
      <c r="J102" s="8">
        <f t="shared" si="3"/>
        <v>7</v>
      </c>
      <c r="K102" s="8">
        <f>LEN(E102)</f>
        <v>46</v>
      </c>
    </row>
    <row r="103" spans="1:11" ht="33" customHeight="1" x14ac:dyDescent="0.25">
      <c r="A103" s="44">
        <v>50</v>
      </c>
      <c r="B103" s="47" t="str">
        <f>D104</f>
        <v>萌鸡小队：萌闯新世界</v>
      </c>
      <c r="C103" s="8" t="s">
        <v>31</v>
      </c>
      <c r="D103" s="34" t="s">
        <v>405</v>
      </c>
      <c r="E103" s="15" t="s">
        <v>408</v>
      </c>
      <c r="F103" s="9" t="s">
        <v>406</v>
      </c>
      <c r="G103" s="9" t="s">
        <v>407</v>
      </c>
      <c r="H103" s="8">
        <f>LEN(D103)</f>
        <v>21</v>
      </c>
      <c r="I103" s="8">
        <f>LEN(F103)</f>
        <v>8</v>
      </c>
      <c r="J103" s="8">
        <f t="shared" si="3"/>
        <v>26</v>
      </c>
      <c r="K103" s="8">
        <f>LEN(E103)</f>
        <v>60</v>
      </c>
    </row>
    <row r="104" spans="1:11" ht="33" customHeight="1" x14ac:dyDescent="0.25">
      <c r="A104" s="45"/>
      <c r="B104" s="48"/>
      <c r="C104" s="29" t="s">
        <v>34</v>
      </c>
      <c r="D104" s="30" t="s">
        <v>409</v>
      </c>
      <c r="E104" s="17" t="s">
        <v>412</v>
      </c>
      <c r="F104" s="30" t="s">
        <v>410</v>
      </c>
      <c r="G104" s="30" t="s">
        <v>411</v>
      </c>
      <c r="H104" s="8">
        <f>LEN(D104)</f>
        <v>10</v>
      </c>
      <c r="I104" s="8">
        <f>LEN(F104)</f>
        <v>2</v>
      </c>
      <c r="J104" s="8">
        <f t="shared" si="3"/>
        <v>9</v>
      </c>
      <c r="K104" s="8">
        <f>LEN(E104)</f>
        <v>13</v>
      </c>
    </row>
    <row r="105" spans="1:11" ht="33" customHeight="1" x14ac:dyDescent="0.25">
      <c r="A105" s="44">
        <v>51</v>
      </c>
      <c r="B105" s="47" t="str">
        <f>D106</f>
        <v>宇宙护卫队：风暴力量</v>
      </c>
      <c r="C105" s="8" t="s">
        <v>31</v>
      </c>
      <c r="D105" s="34" t="s">
        <v>413</v>
      </c>
      <c r="E105" s="15" t="s">
        <v>416</v>
      </c>
      <c r="F105" s="9" t="s">
        <v>414</v>
      </c>
      <c r="G105" s="9" t="s">
        <v>415</v>
      </c>
      <c r="H105" s="8">
        <f>LEN(D105)</f>
        <v>22</v>
      </c>
      <c r="I105" s="8">
        <f>LEN(F105)</f>
        <v>8</v>
      </c>
      <c r="J105" s="8">
        <f t="shared" si="3"/>
        <v>29</v>
      </c>
      <c r="K105" s="8">
        <f>LEN(E105)</f>
        <v>87</v>
      </c>
    </row>
    <row r="106" spans="1:11" ht="33" customHeight="1" x14ac:dyDescent="0.25">
      <c r="A106" s="45"/>
      <c r="B106" s="48"/>
      <c r="C106" s="29" t="s">
        <v>34</v>
      </c>
      <c r="D106" s="37" t="s">
        <v>417</v>
      </c>
      <c r="E106" s="17" t="s">
        <v>420</v>
      </c>
      <c r="F106" s="30" t="s">
        <v>418</v>
      </c>
      <c r="G106" s="30" t="s">
        <v>419</v>
      </c>
      <c r="H106" s="8">
        <f>LEN(D106)</f>
        <v>10</v>
      </c>
      <c r="I106" s="8">
        <f>LEN(F106)</f>
        <v>2</v>
      </c>
      <c r="J106" s="8">
        <f t="shared" si="3"/>
        <v>14</v>
      </c>
      <c r="K106" s="8">
        <f>LEN(E106)</f>
        <v>43</v>
      </c>
    </row>
    <row r="107" spans="1:11" ht="33" customHeight="1" x14ac:dyDescent="0.25">
      <c r="A107" s="44">
        <v>52</v>
      </c>
      <c r="B107" s="47" t="str">
        <f>D108</f>
        <v>新大头儿子和小头爸爸5：我的外星朋友</v>
      </c>
      <c r="C107" s="8" t="s">
        <v>31</v>
      </c>
      <c r="D107" s="34" t="s">
        <v>421</v>
      </c>
      <c r="E107" s="15" t="s">
        <v>424</v>
      </c>
      <c r="F107" s="9" t="s">
        <v>422</v>
      </c>
      <c r="G107" s="9" t="s">
        <v>423</v>
      </c>
      <c r="H107" s="8">
        <f>LEN(D107)</f>
        <v>40</v>
      </c>
      <c r="I107" s="8">
        <f>LEN(F107)</f>
        <v>19</v>
      </c>
      <c r="J107" s="8">
        <f t="shared" si="3"/>
        <v>26</v>
      </c>
      <c r="K107" s="8">
        <f>LEN(E107)</f>
        <v>86</v>
      </c>
    </row>
    <row r="108" spans="1:11" ht="33" customHeight="1" x14ac:dyDescent="0.25">
      <c r="A108" s="45"/>
      <c r="B108" s="48"/>
      <c r="C108" s="29" t="s">
        <v>34</v>
      </c>
      <c r="D108" s="30" t="s">
        <v>425</v>
      </c>
      <c r="E108" s="17" t="s">
        <v>428</v>
      </c>
      <c r="F108" s="30" t="s">
        <v>426</v>
      </c>
      <c r="G108" s="30" t="s">
        <v>427</v>
      </c>
      <c r="H108" s="8">
        <f>LEN(D108)</f>
        <v>18</v>
      </c>
      <c r="I108" s="8">
        <f>LEN(F108)</f>
        <v>8</v>
      </c>
      <c r="J108" s="8">
        <f t="shared" si="3"/>
        <v>12</v>
      </c>
      <c r="K108" s="8">
        <f>LEN(E108)</f>
        <v>31</v>
      </c>
    </row>
    <row r="109" spans="1:11" ht="33" customHeight="1" x14ac:dyDescent="0.25">
      <c r="A109" s="44">
        <v>53</v>
      </c>
      <c r="B109" s="47" t="str">
        <f>D110</f>
        <v>最后的美洲豹</v>
      </c>
      <c r="C109" s="8" t="s">
        <v>31</v>
      </c>
      <c r="D109" s="9" t="s">
        <v>429</v>
      </c>
      <c r="E109" s="15" t="s">
        <v>432</v>
      </c>
      <c r="F109" s="9" t="s">
        <v>430</v>
      </c>
      <c r="G109" s="9" t="s">
        <v>431</v>
      </c>
      <c r="H109" s="8">
        <f>LEN(D109)</f>
        <v>27</v>
      </c>
      <c r="I109" s="8">
        <f>LEN(F109)</f>
        <v>17</v>
      </c>
      <c r="J109" s="8">
        <f t="shared" si="3"/>
        <v>33</v>
      </c>
      <c r="K109" s="8">
        <f>LEN(E109)</f>
        <v>108</v>
      </c>
    </row>
    <row r="110" spans="1:11" ht="33" customHeight="1" x14ac:dyDescent="0.25">
      <c r="A110" s="45"/>
      <c r="B110" s="48"/>
      <c r="C110" s="29" t="s">
        <v>34</v>
      </c>
      <c r="D110" s="30" t="s">
        <v>433</v>
      </c>
      <c r="E110" s="17" t="s">
        <v>436</v>
      </c>
      <c r="F110" s="30" t="s">
        <v>434</v>
      </c>
      <c r="G110" s="30" t="s">
        <v>435</v>
      </c>
      <c r="H110" s="8">
        <f>LEN(D110)</f>
        <v>6</v>
      </c>
      <c r="I110" s="8">
        <f>LEN(F110)</f>
        <v>9</v>
      </c>
      <c r="J110" s="8">
        <f t="shared" si="3"/>
        <v>16</v>
      </c>
      <c r="K110" s="8">
        <f>LEN(E110)</f>
        <v>43</v>
      </c>
    </row>
    <row r="111" spans="1:11" ht="33" customHeight="1" x14ac:dyDescent="0.25">
      <c r="A111" s="44">
        <v>54</v>
      </c>
      <c r="B111" s="47" t="str">
        <f>D113</f>
        <v>风之王国</v>
      </c>
      <c r="C111" s="8" t="s">
        <v>31</v>
      </c>
      <c r="D111" s="9" t="s">
        <v>437</v>
      </c>
      <c r="E111" s="15" t="s">
        <v>440</v>
      </c>
      <c r="F111" s="9" t="s">
        <v>438</v>
      </c>
      <c r="G111" s="9" t="s">
        <v>439</v>
      </c>
      <c r="H111" s="8">
        <f>LEN(D111)</f>
        <v>36</v>
      </c>
      <c r="I111" s="8">
        <f>LEN(F111)</f>
        <v>13</v>
      </c>
      <c r="J111" s="8">
        <f t="shared" si="3"/>
        <v>35</v>
      </c>
      <c r="K111" s="8">
        <f>LEN(E111)</f>
        <v>175</v>
      </c>
    </row>
    <row r="112" spans="1:11" ht="33" customHeight="1" x14ac:dyDescent="0.25">
      <c r="A112" s="46"/>
      <c r="B112" s="49"/>
      <c r="C112" s="20" t="s">
        <v>145</v>
      </c>
      <c r="D112" s="9" t="s">
        <v>441</v>
      </c>
      <c r="E112" s="15" t="s">
        <v>440</v>
      </c>
      <c r="F112" s="9" t="s">
        <v>438</v>
      </c>
      <c r="G112" s="9" t="s">
        <v>439</v>
      </c>
      <c r="H112" s="8">
        <f>LEN(D112)</f>
        <v>40</v>
      </c>
      <c r="I112" s="8">
        <f>LEN(F112)</f>
        <v>13</v>
      </c>
      <c r="J112" s="8">
        <f t="shared" si="3"/>
        <v>35</v>
      </c>
      <c r="K112" s="8">
        <f>LEN(E112)</f>
        <v>175</v>
      </c>
    </row>
    <row r="113" spans="1:11" ht="33" customHeight="1" x14ac:dyDescent="0.25">
      <c r="A113" s="45"/>
      <c r="B113" s="48"/>
      <c r="C113" s="29" t="s">
        <v>34</v>
      </c>
      <c r="D113" s="30" t="s">
        <v>442</v>
      </c>
      <c r="E113" s="17" t="s">
        <v>445</v>
      </c>
      <c r="F113" s="30" t="s">
        <v>443</v>
      </c>
      <c r="G113" s="30" t="s">
        <v>444</v>
      </c>
      <c r="H113" s="8">
        <f>LEN(D113)</f>
        <v>4</v>
      </c>
      <c r="I113" s="8">
        <f>LEN(F113)</f>
        <v>5</v>
      </c>
      <c r="J113" s="8">
        <f t="shared" si="3"/>
        <v>18</v>
      </c>
      <c r="K113" s="8">
        <f>LEN(E113)</f>
        <v>44</v>
      </c>
    </row>
    <row r="114" spans="1:11" ht="33" customHeight="1" x14ac:dyDescent="0.25">
      <c r="A114" s="44">
        <v>55</v>
      </c>
      <c r="B114" s="47" t="str">
        <f>D115</f>
        <v>佳片速递</v>
      </c>
      <c r="C114" s="8" t="s">
        <v>31</v>
      </c>
      <c r="D114" s="38" t="s">
        <v>446</v>
      </c>
      <c r="E114" s="15" t="s">
        <v>447</v>
      </c>
      <c r="F114" s="9"/>
      <c r="G114" s="9"/>
      <c r="H114" s="8">
        <f>LEN(D114)</f>
        <v>11</v>
      </c>
      <c r="I114" s="8">
        <f>LEN(F114)</f>
        <v>0</v>
      </c>
      <c r="J114" s="8">
        <f t="shared" si="3"/>
        <v>0</v>
      </c>
      <c r="K114" s="8">
        <f>LEN(E114)</f>
        <v>358</v>
      </c>
    </row>
    <row r="115" spans="1:11" ht="32" customHeight="1" x14ac:dyDescent="0.25">
      <c r="A115" s="45"/>
      <c r="B115" s="48"/>
      <c r="C115" s="29" t="s">
        <v>34</v>
      </c>
      <c r="D115" s="30" t="s">
        <v>448</v>
      </c>
      <c r="E115" s="17" t="s">
        <v>449</v>
      </c>
      <c r="F115" s="30"/>
      <c r="G115" s="30"/>
      <c r="H115" s="8">
        <f>LEN(D115)</f>
        <v>4</v>
      </c>
      <c r="I115" s="8">
        <f>LEN(F115)</f>
        <v>0</v>
      </c>
      <c r="J115" s="8">
        <f t="shared" si="3"/>
        <v>0</v>
      </c>
      <c r="K115" s="8">
        <f>LEN(E115)</f>
        <v>86</v>
      </c>
    </row>
    <row r="125" spans="1:11" x14ac:dyDescent="0.25">
      <c r="E125" s="39"/>
    </row>
  </sheetData>
  <autoFilter ref="A1:K115" xr:uid="{00000000-0009-0000-0000-000001000000}"/>
  <mergeCells count="108">
    <mergeCell ref="B97:B98"/>
    <mergeCell ref="B99:B100"/>
    <mergeCell ref="B101:B102"/>
    <mergeCell ref="B103:B104"/>
    <mergeCell ref="B105:B106"/>
    <mergeCell ref="B107:B108"/>
    <mergeCell ref="B109:B110"/>
    <mergeCell ref="B111:B113"/>
    <mergeCell ref="B114:B115"/>
    <mergeCell ref="B79:B80"/>
    <mergeCell ref="B81:B82"/>
    <mergeCell ref="B83:B84"/>
    <mergeCell ref="B85:B86"/>
    <mergeCell ref="B87:B88"/>
    <mergeCell ref="B89:B90"/>
    <mergeCell ref="B91:B92"/>
    <mergeCell ref="B93:B94"/>
    <mergeCell ref="B95:B96"/>
    <mergeCell ref="B60:B61"/>
    <mergeCell ref="B62:B63"/>
    <mergeCell ref="B64:B65"/>
    <mergeCell ref="B66:B67"/>
    <mergeCell ref="B68:B69"/>
    <mergeCell ref="B70:B71"/>
    <mergeCell ref="B72:B73"/>
    <mergeCell ref="B74:B75"/>
    <mergeCell ref="B76:B78"/>
    <mergeCell ref="B39:B40"/>
    <mergeCell ref="B41:B42"/>
    <mergeCell ref="B43:B44"/>
    <mergeCell ref="B45:B46"/>
    <mergeCell ref="B47:B49"/>
    <mergeCell ref="B50:B52"/>
    <mergeCell ref="B53:B55"/>
    <mergeCell ref="B56:B57"/>
    <mergeCell ref="B58:B59"/>
    <mergeCell ref="B20:B21"/>
    <mergeCell ref="B22:B23"/>
    <mergeCell ref="B24:B25"/>
    <mergeCell ref="B26:B27"/>
    <mergeCell ref="B28:B29"/>
    <mergeCell ref="B30:B31"/>
    <mergeCell ref="B32:B34"/>
    <mergeCell ref="B35:B36"/>
    <mergeCell ref="B37:B38"/>
    <mergeCell ref="B2:B3"/>
    <mergeCell ref="B4:B5"/>
    <mergeCell ref="B6:B7"/>
    <mergeCell ref="B8:B9"/>
    <mergeCell ref="B10:B11"/>
    <mergeCell ref="B12:B13"/>
    <mergeCell ref="B14:B15"/>
    <mergeCell ref="B16:B17"/>
    <mergeCell ref="B18:B19"/>
    <mergeCell ref="A97:A98"/>
    <mergeCell ref="A99:A100"/>
    <mergeCell ref="A101:A102"/>
    <mergeCell ref="A103:A104"/>
    <mergeCell ref="A105:A106"/>
    <mergeCell ref="A107:A108"/>
    <mergeCell ref="A109:A110"/>
    <mergeCell ref="A111:A113"/>
    <mergeCell ref="A114:A115"/>
    <mergeCell ref="A79:A80"/>
    <mergeCell ref="A81:A82"/>
    <mergeCell ref="A83:A84"/>
    <mergeCell ref="A85:A86"/>
    <mergeCell ref="A87:A88"/>
    <mergeCell ref="A89:A90"/>
    <mergeCell ref="A91:A92"/>
    <mergeCell ref="A93:A94"/>
    <mergeCell ref="A95:A96"/>
    <mergeCell ref="A60:A61"/>
    <mergeCell ref="A62:A63"/>
    <mergeCell ref="A64:A65"/>
    <mergeCell ref="A66:A67"/>
    <mergeCell ref="A68:A69"/>
    <mergeCell ref="A70:A71"/>
    <mergeCell ref="A72:A73"/>
    <mergeCell ref="A74:A75"/>
    <mergeCell ref="A76:A78"/>
    <mergeCell ref="A39:A40"/>
    <mergeCell ref="A41:A42"/>
    <mergeCell ref="A43:A44"/>
    <mergeCell ref="A45:A46"/>
    <mergeCell ref="A47:A49"/>
    <mergeCell ref="A50:A52"/>
    <mergeCell ref="A53:A55"/>
    <mergeCell ref="A56:A57"/>
    <mergeCell ref="A58:A59"/>
    <mergeCell ref="A20:A21"/>
    <mergeCell ref="A22:A23"/>
    <mergeCell ref="A24:A25"/>
    <mergeCell ref="A26:A27"/>
    <mergeCell ref="A28:A29"/>
    <mergeCell ref="A30:A31"/>
    <mergeCell ref="A32:A34"/>
    <mergeCell ref="A35:A36"/>
    <mergeCell ref="A37:A38"/>
    <mergeCell ref="A2:A3"/>
    <mergeCell ref="A4:A5"/>
    <mergeCell ref="A6:A7"/>
    <mergeCell ref="A8:A9"/>
    <mergeCell ref="A10:A11"/>
    <mergeCell ref="A12:A13"/>
    <mergeCell ref="A14:A15"/>
    <mergeCell ref="A16:A17"/>
    <mergeCell ref="A18:A19"/>
  </mergeCells>
  <phoneticPr fontId="16" type="noConversion"/>
  <dataValidations disablePrompts="1" count="1">
    <dataValidation allowBlank="1" showInputMessage="1" showErrorMessage="1" sqref="E24:E115" xr:uid="{00000000-0002-0000-0100-000000000000}"/>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213"/>
  <sheetViews>
    <sheetView topLeftCell="B1" workbookViewId="0">
      <pane ySplit="1" topLeftCell="A40" activePane="bottomLeft" state="frozen"/>
      <selection pane="bottomLeft" activeCell="D49" sqref="D49"/>
    </sheetView>
  </sheetViews>
  <sheetFormatPr defaultColWidth="9" defaultRowHeight="36" customHeight="1" x14ac:dyDescent="0.25"/>
  <cols>
    <col min="1" max="1" width="5.6328125" style="1" customWidth="1"/>
    <col min="2" max="2" width="32.08984375" style="1" customWidth="1"/>
    <col min="3" max="3" width="9" style="2"/>
    <col min="4" max="4" width="75" style="13" customWidth="1"/>
    <col min="5" max="5" width="83.08984375" style="4" customWidth="1"/>
    <col min="6" max="7" width="9" style="2"/>
    <col min="8" max="16384" width="9" style="1"/>
  </cols>
  <sheetData>
    <row r="1" spans="1:7" ht="36" customHeight="1" x14ac:dyDescent="0.25">
      <c r="A1" s="6" t="s">
        <v>23</v>
      </c>
      <c r="B1" s="6" t="s">
        <v>24</v>
      </c>
      <c r="C1" s="6" t="s">
        <v>25</v>
      </c>
      <c r="D1" s="5" t="s">
        <v>26</v>
      </c>
      <c r="E1" s="5" t="s">
        <v>29</v>
      </c>
      <c r="F1" s="6" t="s">
        <v>450</v>
      </c>
      <c r="G1" s="6" t="s">
        <v>451</v>
      </c>
    </row>
    <row r="2" spans="1:7" ht="36" customHeight="1" x14ac:dyDescent="0.25">
      <c r="A2" s="44">
        <v>1</v>
      </c>
      <c r="B2" s="50" t="str">
        <f>D3</f>
        <v>度华年 4</v>
      </c>
      <c r="C2" s="10" t="s">
        <v>452</v>
      </c>
      <c r="D2" s="14" t="s">
        <v>453</v>
      </c>
      <c r="E2" s="15" t="s">
        <v>454</v>
      </c>
      <c r="F2" s="8">
        <f t="shared" ref="F2:F25" si="0">LEN(D2)</f>
        <v>20</v>
      </c>
      <c r="G2" s="8">
        <f t="shared" ref="G2:G25" si="1">LEN(E2)</f>
        <v>431</v>
      </c>
    </row>
    <row r="3" spans="1:7" ht="36" customHeight="1" x14ac:dyDescent="0.25">
      <c r="A3" s="45"/>
      <c r="B3" s="51"/>
      <c r="C3" s="10" t="s">
        <v>34</v>
      </c>
      <c r="D3" s="16" t="s">
        <v>455</v>
      </c>
      <c r="E3" s="17" t="s">
        <v>456</v>
      </c>
      <c r="F3" s="8">
        <f t="shared" si="0"/>
        <v>5</v>
      </c>
      <c r="G3" s="8">
        <f t="shared" si="1"/>
        <v>96</v>
      </c>
    </row>
    <row r="4" spans="1:7" ht="36" customHeight="1" x14ac:dyDescent="0.25">
      <c r="A4" s="44">
        <v>3</v>
      </c>
      <c r="B4" s="50" t="str">
        <f>D5</f>
        <v>墨雨云间 7</v>
      </c>
      <c r="C4" s="10" t="s">
        <v>452</v>
      </c>
      <c r="D4" s="14" t="s">
        <v>457</v>
      </c>
      <c r="E4" s="15" t="s">
        <v>458</v>
      </c>
      <c r="F4" s="8">
        <f t="shared" si="0"/>
        <v>12</v>
      </c>
      <c r="G4" s="8">
        <f t="shared" si="1"/>
        <v>551</v>
      </c>
    </row>
    <row r="5" spans="1:7" ht="36" customHeight="1" x14ac:dyDescent="0.25">
      <c r="A5" s="45"/>
      <c r="B5" s="51"/>
      <c r="C5" s="10" t="s">
        <v>34</v>
      </c>
      <c r="D5" s="16" t="s">
        <v>459</v>
      </c>
      <c r="E5" s="17" t="s">
        <v>460</v>
      </c>
      <c r="F5" s="8">
        <f t="shared" si="0"/>
        <v>6</v>
      </c>
      <c r="G5" s="8">
        <f t="shared" si="1"/>
        <v>130</v>
      </c>
    </row>
    <row r="6" spans="1:7" ht="36" customHeight="1" x14ac:dyDescent="0.25">
      <c r="A6" s="44">
        <v>4</v>
      </c>
      <c r="B6" s="50" t="str">
        <f>D7</f>
        <v>听你这么说 7 马岩松：我希望我的建筑可以改变城市</v>
      </c>
      <c r="C6" s="10" t="s">
        <v>452</v>
      </c>
      <c r="D6" s="14" t="s">
        <v>461</v>
      </c>
      <c r="E6" s="15" t="s">
        <v>462</v>
      </c>
      <c r="F6" s="8">
        <f t="shared" si="0"/>
        <v>65</v>
      </c>
      <c r="G6" s="8">
        <f t="shared" si="1"/>
        <v>307</v>
      </c>
    </row>
    <row r="7" spans="1:7" ht="36" customHeight="1" x14ac:dyDescent="0.25">
      <c r="A7" s="45"/>
      <c r="B7" s="51"/>
      <c r="C7" s="10" t="s">
        <v>34</v>
      </c>
      <c r="D7" s="16" t="s">
        <v>463</v>
      </c>
      <c r="E7" s="17" t="s">
        <v>464</v>
      </c>
      <c r="F7" s="8">
        <f t="shared" si="0"/>
        <v>25</v>
      </c>
      <c r="G7" s="8">
        <f t="shared" si="1"/>
        <v>79</v>
      </c>
    </row>
    <row r="8" spans="1:7" ht="36" customHeight="1" x14ac:dyDescent="0.25">
      <c r="A8" s="44">
        <v>5</v>
      </c>
      <c r="B8" s="50" t="str">
        <f>D9</f>
        <v>锵锵拾遗 7 有院子才是中国人的生活</v>
      </c>
      <c r="C8" s="10" t="s">
        <v>452</v>
      </c>
      <c r="D8" s="14" t="s">
        <v>465</v>
      </c>
      <c r="E8" s="15" t="s">
        <v>466</v>
      </c>
      <c r="F8" s="8">
        <f t="shared" si="0"/>
        <v>76</v>
      </c>
      <c r="G8" s="8">
        <f t="shared" si="1"/>
        <v>379</v>
      </c>
    </row>
    <row r="9" spans="1:7" ht="36" customHeight="1" x14ac:dyDescent="0.25">
      <c r="A9" s="45"/>
      <c r="B9" s="51"/>
      <c r="C9" s="10" t="s">
        <v>34</v>
      </c>
      <c r="D9" s="16" t="s">
        <v>467</v>
      </c>
      <c r="E9" s="17" t="s">
        <v>468</v>
      </c>
      <c r="F9" s="8">
        <f t="shared" si="0"/>
        <v>18</v>
      </c>
      <c r="G9" s="8">
        <f t="shared" si="1"/>
        <v>59</v>
      </c>
    </row>
    <row r="10" spans="1:7" ht="36" customHeight="1" x14ac:dyDescent="0.25">
      <c r="A10" s="44">
        <v>7</v>
      </c>
      <c r="B10" s="50" t="str">
        <f>D11</f>
        <v>蕃尼看世界之奇遇冒险 7 蕃尼家族挑战高空吊桥！在雪山下搭建蕃尼营地</v>
      </c>
      <c r="C10" s="10" t="s">
        <v>452</v>
      </c>
      <c r="D10" s="14" t="s">
        <v>469</v>
      </c>
      <c r="E10" s="15" t="s">
        <v>470</v>
      </c>
      <c r="F10" s="8">
        <f t="shared" si="0"/>
        <v>158</v>
      </c>
      <c r="G10" s="8">
        <f t="shared" si="1"/>
        <v>242</v>
      </c>
    </row>
    <row r="11" spans="1:7" ht="36" customHeight="1" x14ac:dyDescent="0.25">
      <c r="A11" s="45"/>
      <c r="B11" s="51"/>
      <c r="C11" s="10" t="s">
        <v>34</v>
      </c>
      <c r="D11" s="16" t="s">
        <v>471</v>
      </c>
      <c r="E11" s="17" t="s">
        <v>472</v>
      </c>
      <c r="F11" s="8">
        <f t="shared" si="0"/>
        <v>34</v>
      </c>
      <c r="G11" s="8">
        <f t="shared" si="1"/>
        <v>58</v>
      </c>
    </row>
    <row r="12" spans="1:7" ht="36" customHeight="1" x14ac:dyDescent="0.25">
      <c r="A12" s="44">
        <v>8</v>
      </c>
      <c r="B12" s="50" t="str">
        <f>D13</f>
        <v>冰火魔厨 7</v>
      </c>
      <c r="C12" s="10" t="s">
        <v>452</v>
      </c>
      <c r="D12" s="14" t="s">
        <v>473</v>
      </c>
      <c r="E12" s="15" t="s">
        <v>474</v>
      </c>
      <c r="F12" s="8">
        <f t="shared" si="0"/>
        <v>32</v>
      </c>
      <c r="G12" s="8">
        <f t="shared" si="1"/>
        <v>447</v>
      </c>
    </row>
    <row r="13" spans="1:7" ht="36" customHeight="1" x14ac:dyDescent="0.25">
      <c r="A13" s="45"/>
      <c r="B13" s="51"/>
      <c r="C13" s="10" t="s">
        <v>34</v>
      </c>
      <c r="D13" s="16" t="s">
        <v>475</v>
      </c>
      <c r="E13" s="17" t="s">
        <v>476</v>
      </c>
      <c r="F13" s="8">
        <f t="shared" si="0"/>
        <v>6</v>
      </c>
      <c r="G13" s="8">
        <f t="shared" si="1"/>
        <v>74</v>
      </c>
    </row>
    <row r="14" spans="1:7" ht="36" customHeight="1" x14ac:dyDescent="0.25">
      <c r="A14" s="44">
        <v>9</v>
      </c>
      <c r="B14" s="50" t="str">
        <f>D15</f>
        <v>暗河传 7</v>
      </c>
      <c r="C14" s="10" t="s">
        <v>452</v>
      </c>
      <c r="D14" s="14" t="s">
        <v>477</v>
      </c>
      <c r="E14" s="15" t="s">
        <v>478</v>
      </c>
      <c r="F14" s="8">
        <f t="shared" si="0"/>
        <v>20</v>
      </c>
      <c r="G14" s="8">
        <f t="shared" si="1"/>
        <v>395</v>
      </c>
    </row>
    <row r="15" spans="1:7" ht="36" customHeight="1" x14ac:dyDescent="0.25">
      <c r="A15" s="45"/>
      <c r="B15" s="51"/>
      <c r="C15" s="10" t="s">
        <v>34</v>
      </c>
      <c r="D15" s="16" t="s">
        <v>479</v>
      </c>
      <c r="E15" s="17" t="s">
        <v>480</v>
      </c>
      <c r="F15" s="8">
        <f t="shared" si="0"/>
        <v>5</v>
      </c>
      <c r="G15" s="8">
        <f t="shared" si="1"/>
        <v>85</v>
      </c>
    </row>
    <row r="16" spans="1:7" ht="36" customHeight="1" x14ac:dyDescent="0.25">
      <c r="A16" s="44">
        <v>10</v>
      </c>
      <c r="B16" s="50" t="str">
        <f>D17</f>
        <v>沧元图 7</v>
      </c>
      <c r="C16" s="10" t="s">
        <v>452</v>
      </c>
      <c r="D16" s="14" t="s">
        <v>481</v>
      </c>
      <c r="E16" s="15" t="s">
        <v>482</v>
      </c>
      <c r="F16" s="8">
        <f t="shared" si="0"/>
        <v>18</v>
      </c>
      <c r="G16" s="8">
        <f t="shared" si="1"/>
        <v>444</v>
      </c>
    </row>
    <row r="17" spans="1:7" ht="36" customHeight="1" x14ac:dyDescent="0.25">
      <c r="A17" s="45"/>
      <c r="B17" s="51"/>
      <c r="C17" s="10" t="s">
        <v>34</v>
      </c>
      <c r="D17" s="16" t="s">
        <v>483</v>
      </c>
      <c r="E17" s="17" t="s">
        <v>484</v>
      </c>
      <c r="F17" s="8">
        <f t="shared" si="0"/>
        <v>5</v>
      </c>
      <c r="G17" s="8">
        <f t="shared" si="1"/>
        <v>82</v>
      </c>
    </row>
    <row r="18" spans="1:7" ht="36" customHeight="1" x14ac:dyDescent="0.25">
      <c r="A18" s="44">
        <v>11</v>
      </c>
      <c r="B18" s="50" t="str">
        <f>D19</f>
        <v>飞驰人生热爱篇 7</v>
      </c>
      <c r="C18" s="10" t="s">
        <v>452</v>
      </c>
      <c r="D18" s="14" t="s">
        <v>485</v>
      </c>
      <c r="E18" s="15" t="s">
        <v>486</v>
      </c>
      <c r="F18" s="8">
        <f t="shared" si="0"/>
        <v>17</v>
      </c>
      <c r="G18" s="8">
        <f t="shared" si="1"/>
        <v>312</v>
      </c>
    </row>
    <row r="19" spans="1:7" ht="36" customHeight="1" x14ac:dyDescent="0.25">
      <c r="A19" s="45"/>
      <c r="B19" s="51"/>
      <c r="C19" s="10" t="s">
        <v>34</v>
      </c>
      <c r="D19" s="16" t="s">
        <v>487</v>
      </c>
      <c r="E19" s="17" t="s">
        <v>488</v>
      </c>
      <c r="F19" s="8">
        <f t="shared" si="0"/>
        <v>9</v>
      </c>
      <c r="G19" s="8">
        <f t="shared" si="1"/>
        <v>51</v>
      </c>
    </row>
    <row r="20" spans="1:7" ht="36" customHeight="1" x14ac:dyDescent="0.25">
      <c r="A20" s="44">
        <v>12</v>
      </c>
      <c r="B20" s="50" t="str">
        <f>D21</f>
        <v>别对我动心 7</v>
      </c>
      <c r="C20" s="10" t="s">
        <v>452</v>
      </c>
      <c r="D20" s="14" t="s">
        <v>489</v>
      </c>
      <c r="E20" s="15" t="s">
        <v>490</v>
      </c>
      <c r="F20" s="8">
        <f t="shared" si="0"/>
        <v>19</v>
      </c>
      <c r="G20" s="8">
        <f t="shared" si="1"/>
        <v>616</v>
      </c>
    </row>
    <row r="21" spans="1:7" ht="36" customHeight="1" x14ac:dyDescent="0.25">
      <c r="A21" s="45"/>
      <c r="B21" s="51"/>
      <c r="C21" s="10" t="s">
        <v>34</v>
      </c>
      <c r="D21" s="16" t="s">
        <v>491</v>
      </c>
      <c r="E21" s="17" t="s">
        <v>492</v>
      </c>
      <c r="F21" s="8">
        <f t="shared" si="0"/>
        <v>7</v>
      </c>
      <c r="G21" s="8">
        <f t="shared" si="1"/>
        <v>137</v>
      </c>
    </row>
    <row r="22" spans="1:7" ht="36" customHeight="1" x14ac:dyDescent="0.25">
      <c r="A22" s="44">
        <v>13</v>
      </c>
      <c r="B22" s="50" t="str">
        <f>D23</f>
        <v>两岸一味 11 一起烤个猪：表皮金黄，肉香四溢</v>
      </c>
      <c r="C22" s="10" t="s">
        <v>452</v>
      </c>
      <c r="D22" s="14" t="s">
        <v>493</v>
      </c>
      <c r="E22" s="15" t="s">
        <v>494</v>
      </c>
      <c r="F22" s="8">
        <f t="shared" si="0"/>
        <v>100</v>
      </c>
      <c r="G22" s="8">
        <f t="shared" si="1"/>
        <v>506</v>
      </c>
    </row>
    <row r="23" spans="1:7" ht="36" customHeight="1" x14ac:dyDescent="0.25">
      <c r="A23" s="45"/>
      <c r="B23" s="51"/>
      <c r="C23" s="10" t="s">
        <v>34</v>
      </c>
      <c r="D23" s="16" t="s">
        <v>495</v>
      </c>
      <c r="E23" s="17" t="s">
        <v>496</v>
      </c>
      <c r="F23" s="8">
        <f t="shared" si="0"/>
        <v>23</v>
      </c>
      <c r="G23" s="8">
        <f t="shared" si="1"/>
        <v>89</v>
      </c>
    </row>
    <row r="24" spans="1:7" ht="36" customHeight="1" x14ac:dyDescent="0.25">
      <c r="A24" s="44">
        <v>14</v>
      </c>
      <c r="B24" s="50" t="str">
        <f>D25</f>
        <v>师兄啊师兄 6</v>
      </c>
      <c r="C24" s="10" t="s">
        <v>452</v>
      </c>
      <c r="D24" s="14" t="s">
        <v>497</v>
      </c>
      <c r="E24" s="15" t="s">
        <v>498</v>
      </c>
      <c r="F24" s="8">
        <f t="shared" si="0"/>
        <v>33</v>
      </c>
      <c r="G24" s="8">
        <f t="shared" si="1"/>
        <v>485</v>
      </c>
    </row>
    <row r="25" spans="1:7" ht="36" customHeight="1" x14ac:dyDescent="0.25">
      <c r="A25" s="45"/>
      <c r="B25" s="51"/>
      <c r="C25" s="10" t="s">
        <v>34</v>
      </c>
      <c r="D25" s="16" t="s">
        <v>499</v>
      </c>
      <c r="E25" s="17" t="s">
        <v>500</v>
      </c>
      <c r="F25" s="8">
        <f t="shared" si="0"/>
        <v>7</v>
      </c>
      <c r="G25" s="8">
        <f t="shared" si="1"/>
        <v>119</v>
      </c>
    </row>
    <row r="26" spans="1:7" ht="36" customHeight="1" x14ac:dyDescent="0.25">
      <c r="A26" s="44">
        <v>16</v>
      </c>
      <c r="B26" s="50" t="str">
        <f>D27</f>
        <v>汉唐文化</v>
      </c>
      <c r="C26" s="10" t="s">
        <v>452</v>
      </c>
      <c r="D26" s="14" t="s">
        <v>501</v>
      </c>
      <c r="E26" s="18" t="s">
        <v>502</v>
      </c>
      <c r="F26" s="8">
        <f t="shared" ref="F26:F60" si="2">LEN(D26)</f>
        <v>15</v>
      </c>
      <c r="G26" s="8">
        <f t="shared" ref="G26:G60" si="3">LEN(E26)</f>
        <v>267</v>
      </c>
    </row>
    <row r="27" spans="1:7" ht="36" customHeight="1" x14ac:dyDescent="0.25">
      <c r="A27" s="45"/>
      <c r="B27" s="51"/>
      <c r="C27" s="10" t="s">
        <v>34</v>
      </c>
      <c r="D27" s="16" t="s">
        <v>503</v>
      </c>
      <c r="E27" s="19" t="s">
        <v>504</v>
      </c>
      <c r="F27" s="8">
        <f t="shared" si="2"/>
        <v>4</v>
      </c>
      <c r="G27" s="8">
        <f t="shared" si="3"/>
        <v>45</v>
      </c>
    </row>
    <row r="28" spans="1:7" ht="36" customHeight="1" x14ac:dyDescent="0.25">
      <c r="A28" s="44">
        <v>17</v>
      </c>
      <c r="B28" s="50" t="str">
        <f>D29</f>
        <v>中国 第一季 1</v>
      </c>
      <c r="C28" s="10" t="s">
        <v>452</v>
      </c>
      <c r="D28" s="14" t="s">
        <v>505</v>
      </c>
      <c r="E28" s="15" t="s">
        <v>506</v>
      </c>
      <c r="F28" s="8">
        <f t="shared" si="2"/>
        <v>12</v>
      </c>
      <c r="G28" s="8">
        <f t="shared" si="3"/>
        <v>133</v>
      </c>
    </row>
    <row r="29" spans="1:7" ht="36" customHeight="1" x14ac:dyDescent="0.25">
      <c r="A29" s="45"/>
      <c r="B29" s="51"/>
      <c r="C29" s="10" t="s">
        <v>34</v>
      </c>
      <c r="D29" s="16" t="s">
        <v>507</v>
      </c>
      <c r="E29" s="17" t="s">
        <v>508</v>
      </c>
      <c r="F29" s="8">
        <f t="shared" si="2"/>
        <v>8</v>
      </c>
      <c r="G29" s="8">
        <f t="shared" si="3"/>
        <v>59</v>
      </c>
    </row>
    <row r="30" spans="1:7" ht="36" customHeight="1" x14ac:dyDescent="0.25">
      <c r="A30" s="44">
        <v>18</v>
      </c>
      <c r="B30" s="50" t="str">
        <f>D31</f>
        <v>故宫的礼物 3</v>
      </c>
      <c r="C30" s="10" t="s">
        <v>452</v>
      </c>
      <c r="D30" s="14" t="s">
        <v>509</v>
      </c>
      <c r="E30" s="15" t="s">
        <v>510</v>
      </c>
      <c r="F30" s="8">
        <f t="shared" si="2"/>
        <v>34</v>
      </c>
      <c r="G30" s="8">
        <f t="shared" si="3"/>
        <v>174</v>
      </c>
    </row>
    <row r="31" spans="1:7" ht="36" customHeight="1" x14ac:dyDescent="0.25">
      <c r="A31" s="45"/>
      <c r="B31" s="51"/>
      <c r="C31" s="10" t="s">
        <v>34</v>
      </c>
      <c r="D31" s="16" t="s">
        <v>511</v>
      </c>
      <c r="E31" s="17" t="s">
        <v>512</v>
      </c>
      <c r="F31" s="8">
        <f t="shared" si="2"/>
        <v>7</v>
      </c>
      <c r="G31" s="8">
        <f t="shared" si="3"/>
        <v>44</v>
      </c>
    </row>
    <row r="32" spans="1:7" ht="36" customHeight="1" x14ac:dyDescent="0.25">
      <c r="A32" s="44">
        <v>19</v>
      </c>
      <c r="B32" s="50" t="str">
        <f>D33</f>
        <v>新三峡 3 山</v>
      </c>
      <c r="C32" s="10" t="s">
        <v>452</v>
      </c>
      <c r="D32" s="16" t="s">
        <v>513</v>
      </c>
      <c r="E32" s="15" t="s">
        <v>514</v>
      </c>
      <c r="F32" s="8">
        <f t="shared" si="2"/>
        <v>27</v>
      </c>
      <c r="G32" s="8">
        <f t="shared" si="3"/>
        <v>132</v>
      </c>
    </row>
    <row r="33" spans="1:7" ht="36" customHeight="1" x14ac:dyDescent="0.25">
      <c r="A33" s="45"/>
      <c r="B33" s="51"/>
      <c r="C33" s="10" t="s">
        <v>34</v>
      </c>
      <c r="D33" s="16" t="s">
        <v>515</v>
      </c>
      <c r="E33" s="17" t="s">
        <v>516</v>
      </c>
      <c r="F33" s="8">
        <f t="shared" si="2"/>
        <v>7</v>
      </c>
      <c r="G33" s="8">
        <f t="shared" si="3"/>
        <v>33</v>
      </c>
    </row>
    <row r="34" spans="1:7" ht="36" customHeight="1" x14ac:dyDescent="0.25">
      <c r="A34" s="44">
        <v>20</v>
      </c>
      <c r="B34" s="50" t="str">
        <f>D35</f>
        <v>大泰山 1 河山元脉</v>
      </c>
      <c r="C34" s="10" t="s">
        <v>452</v>
      </c>
      <c r="D34" s="14" t="s">
        <v>517</v>
      </c>
      <c r="E34" s="15" t="s">
        <v>518</v>
      </c>
      <c r="F34" s="8">
        <f t="shared" si="2"/>
        <v>35</v>
      </c>
      <c r="G34" s="8">
        <f t="shared" si="3"/>
        <v>289</v>
      </c>
    </row>
    <row r="35" spans="1:7" ht="36" customHeight="1" x14ac:dyDescent="0.25">
      <c r="A35" s="45"/>
      <c r="B35" s="51"/>
      <c r="C35" s="10" t="s">
        <v>34</v>
      </c>
      <c r="D35" s="16" t="s">
        <v>519</v>
      </c>
      <c r="E35" s="17" t="s">
        <v>520</v>
      </c>
      <c r="F35" s="8">
        <f t="shared" si="2"/>
        <v>10</v>
      </c>
      <c r="G35" s="8">
        <f t="shared" si="3"/>
        <v>67</v>
      </c>
    </row>
    <row r="36" spans="1:7" ht="36" customHeight="1" x14ac:dyDescent="0.25">
      <c r="A36" s="44">
        <v>21</v>
      </c>
      <c r="B36" s="50" t="str">
        <f>D37</f>
        <v>中国草 1 我叫菌草</v>
      </c>
      <c r="C36" s="10" t="s">
        <v>452</v>
      </c>
      <c r="D36" s="14" t="s">
        <v>521</v>
      </c>
      <c r="E36" s="15" t="s">
        <v>522</v>
      </c>
      <c r="F36" s="8">
        <f t="shared" si="2"/>
        <v>34</v>
      </c>
      <c r="G36" s="8">
        <f t="shared" si="3"/>
        <v>306</v>
      </c>
    </row>
    <row r="37" spans="1:7" ht="36" customHeight="1" x14ac:dyDescent="0.25">
      <c r="A37" s="45"/>
      <c r="B37" s="51"/>
      <c r="C37" s="10" t="s">
        <v>34</v>
      </c>
      <c r="D37" s="16" t="s">
        <v>523</v>
      </c>
      <c r="E37" s="17" t="s">
        <v>524</v>
      </c>
      <c r="F37" s="8">
        <f t="shared" si="2"/>
        <v>10</v>
      </c>
      <c r="G37" s="8">
        <f t="shared" si="3"/>
        <v>70</v>
      </c>
    </row>
    <row r="38" spans="1:7" ht="36" customHeight="1" x14ac:dyDescent="0.25">
      <c r="A38" s="44">
        <v>22</v>
      </c>
      <c r="B38" s="50" t="str">
        <f>D39</f>
        <v>庞贝新发现 2</v>
      </c>
      <c r="C38" s="10" t="s">
        <v>452</v>
      </c>
      <c r="D38" s="14" t="s">
        <v>525</v>
      </c>
      <c r="E38" s="15" t="s">
        <v>526</v>
      </c>
      <c r="F38" s="8">
        <f t="shared" si="2"/>
        <v>25</v>
      </c>
      <c r="G38" s="8">
        <f t="shared" si="3"/>
        <v>109</v>
      </c>
    </row>
    <row r="39" spans="1:7" ht="36" customHeight="1" x14ac:dyDescent="0.25">
      <c r="A39" s="45"/>
      <c r="B39" s="51"/>
      <c r="C39" s="10" t="s">
        <v>34</v>
      </c>
      <c r="D39" s="16" t="s">
        <v>527</v>
      </c>
      <c r="E39" s="17" t="s">
        <v>528</v>
      </c>
      <c r="F39" s="8">
        <f t="shared" si="2"/>
        <v>7</v>
      </c>
      <c r="G39" s="8">
        <f t="shared" si="3"/>
        <v>39</v>
      </c>
    </row>
    <row r="40" spans="1:7" ht="36" customHeight="1" x14ac:dyDescent="0.25">
      <c r="A40" s="44">
        <v>23</v>
      </c>
      <c r="B40" s="50" t="str">
        <f>D41</f>
        <v>行走世界菜市场 7</v>
      </c>
      <c r="C40" s="10" t="s">
        <v>452</v>
      </c>
      <c r="D40" s="14" t="s">
        <v>529</v>
      </c>
      <c r="E40" s="15" t="s">
        <v>530</v>
      </c>
      <c r="F40" s="8">
        <f t="shared" si="2"/>
        <v>17</v>
      </c>
      <c r="G40" s="8">
        <f t="shared" si="3"/>
        <v>158</v>
      </c>
    </row>
    <row r="41" spans="1:7" ht="36" customHeight="1" x14ac:dyDescent="0.25">
      <c r="A41" s="45"/>
      <c r="B41" s="51"/>
      <c r="C41" s="10" t="s">
        <v>34</v>
      </c>
      <c r="D41" s="16" t="s">
        <v>531</v>
      </c>
      <c r="E41" s="17" t="s">
        <v>532</v>
      </c>
      <c r="F41" s="8">
        <f t="shared" si="2"/>
        <v>9</v>
      </c>
      <c r="G41" s="8">
        <f t="shared" si="3"/>
        <v>72</v>
      </c>
    </row>
    <row r="42" spans="1:7" ht="36" customHeight="1" x14ac:dyDescent="0.25">
      <c r="A42" s="44">
        <v>24</v>
      </c>
      <c r="B42" s="50" t="str">
        <f>D43</f>
        <v>香港自然故事 4 山林篇 下</v>
      </c>
      <c r="C42" s="10" t="s">
        <v>452</v>
      </c>
      <c r="D42" s="14" t="s">
        <v>533</v>
      </c>
      <c r="E42" s="15" t="s">
        <v>534</v>
      </c>
      <c r="F42" s="8">
        <f t="shared" si="2"/>
        <v>55</v>
      </c>
      <c r="G42" s="8">
        <f t="shared" si="3"/>
        <v>111</v>
      </c>
    </row>
    <row r="43" spans="1:7" ht="36" customHeight="1" x14ac:dyDescent="0.25">
      <c r="A43" s="45"/>
      <c r="B43" s="51"/>
      <c r="C43" s="10" t="s">
        <v>34</v>
      </c>
      <c r="D43" s="16" t="s">
        <v>535</v>
      </c>
      <c r="E43" s="17" t="s">
        <v>536</v>
      </c>
      <c r="F43" s="8">
        <f t="shared" si="2"/>
        <v>14</v>
      </c>
      <c r="G43" s="8">
        <f t="shared" si="3"/>
        <v>24</v>
      </c>
    </row>
    <row r="44" spans="1:7" ht="36" customHeight="1" x14ac:dyDescent="0.25">
      <c r="A44" s="44">
        <v>25</v>
      </c>
      <c r="B44" s="50" t="str">
        <f>D45</f>
        <v>香港自然故事 3 山林篇 上</v>
      </c>
      <c r="C44" s="10" t="s">
        <v>452</v>
      </c>
      <c r="D44" s="14" t="s">
        <v>537</v>
      </c>
      <c r="E44" s="15" t="s">
        <v>534</v>
      </c>
      <c r="F44" s="8">
        <f t="shared" si="2"/>
        <v>55</v>
      </c>
      <c r="G44" s="8">
        <f t="shared" si="3"/>
        <v>111</v>
      </c>
    </row>
    <row r="45" spans="1:7" ht="36" customHeight="1" x14ac:dyDescent="0.25">
      <c r="A45" s="45"/>
      <c r="B45" s="51"/>
      <c r="C45" s="10" t="s">
        <v>34</v>
      </c>
      <c r="D45" s="16" t="s">
        <v>538</v>
      </c>
      <c r="E45" s="17" t="s">
        <v>536</v>
      </c>
      <c r="F45" s="8">
        <f t="shared" si="2"/>
        <v>14</v>
      </c>
      <c r="G45" s="8">
        <f t="shared" si="3"/>
        <v>24</v>
      </c>
    </row>
    <row r="46" spans="1:7" ht="36" customHeight="1" x14ac:dyDescent="0.25">
      <c r="A46" s="44">
        <v>26</v>
      </c>
      <c r="B46" s="50" t="str">
        <f>D47</f>
        <v>自然传奇 野性世界</v>
      </c>
      <c r="C46" s="10" t="s">
        <v>452</v>
      </c>
      <c r="D46" s="14" t="s">
        <v>539</v>
      </c>
      <c r="E46" s="15" t="s">
        <v>540</v>
      </c>
      <c r="F46" s="8">
        <f t="shared" si="2"/>
        <v>26</v>
      </c>
      <c r="G46" s="8">
        <f t="shared" si="3"/>
        <v>241</v>
      </c>
    </row>
    <row r="47" spans="1:7" ht="36" customHeight="1" x14ac:dyDescent="0.25">
      <c r="A47" s="45"/>
      <c r="B47" s="51"/>
      <c r="C47" s="10" t="s">
        <v>34</v>
      </c>
      <c r="D47" s="16" t="s">
        <v>541</v>
      </c>
      <c r="E47" s="17" t="s">
        <v>542</v>
      </c>
      <c r="F47" s="8">
        <f t="shared" si="2"/>
        <v>9</v>
      </c>
      <c r="G47" s="8">
        <f t="shared" si="3"/>
        <v>59</v>
      </c>
    </row>
    <row r="48" spans="1:7" ht="36" customHeight="1" x14ac:dyDescent="0.25">
      <c r="A48" s="44">
        <v>27</v>
      </c>
      <c r="B48" s="50" t="str">
        <f>D49</f>
        <v>全球绝美国家公园 第17集</v>
      </c>
      <c r="C48" s="10" t="s">
        <v>452</v>
      </c>
      <c r="D48" s="14" t="s">
        <v>543</v>
      </c>
      <c r="E48" s="18" t="s">
        <v>544</v>
      </c>
      <c r="F48" s="8">
        <f t="shared" si="2"/>
        <v>29</v>
      </c>
      <c r="G48" s="8">
        <f t="shared" si="3"/>
        <v>103</v>
      </c>
    </row>
    <row r="49" spans="1:7" ht="36" customHeight="1" x14ac:dyDescent="0.25">
      <c r="A49" s="45"/>
      <c r="B49" s="51"/>
      <c r="C49" s="10" t="s">
        <v>34</v>
      </c>
      <c r="D49" s="16" t="s">
        <v>545</v>
      </c>
      <c r="E49" s="19" t="s">
        <v>546</v>
      </c>
      <c r="F49" s="8">
        <f t="shared" si="2"/>
        <v>13</v>
      </c>
      <c r="G49" s="8">
        <f t="shared" si="3"/>
        <v>29</v>
      </c>
    </row>
    <row r="50" spans="1:7" ht="36" customHeight="1" x14ac:dyDescent="0.25">
      <c r="A50" s="44">
        <v>28</v>
      </c>
      <c r="B50" s="50" t="str">
        <f>D51</f>
        <v>如果地球上没有陆地 7</v>
      </c>
      <c r="C50" s="10" t="s">
        <v>452</v>
      </c>
      <c r="D50" s="14" t="s">
        <v>547</v>
      </c>
      <c r="E50" s="15" t="s">
        <v>548</v>
      </c>
      <c r="F50" s="8">
        <f t="shared" si="2"/>
        <v>34</v>
      </c>
      <c r="G50" s="8">
        <f t="shared" si="3"/>
        <v>171</v>
      </c>
    </row>
    <row r="51" spans="1:7" ht="36" customHeight="1" x14ac:dyDescent="0.25">
      <c r="A51" s="45"/>
      <c r="B51" s="51"/>
      <c r="C51" s="10" t="s">
        <v>34</v>
      </c>
      <c r="D51" s="16" t="s">
        <v>549</v>
      </c>
      <c r="E51" s="17" t="s">
        <v>550</v>
      </c>
      <c r="F51" s="8">
        <f t="shared" si="2"/>
        <v>11</v>
      </c>
      <c r="G51" s="8">
        <f t="shared" si="3"/>
        <v>27</v>
      </c>
    </row>
    <row r="52" spans="1:7" ht="36" customHeight="1" x14ac:dyDescent="0.25">
      <c r="A52" s="44">
        <v>29</v>
      </c>
      <c r="B52" s="50" t="str">
        <f>D53</f>
        <v>万物生灵 第五季 6</v>
      </c>
      <c r="C52" s="10" t="s">
        <v>452</v>
      </c>
      <c r="D52" s="14" t="s">
        <v>551</v>
      </c>
      <c r="E52" s="15" t="s">
        <v>552</v>
      </c>
      <c r="F52" s="8">
        <f t="shared" si="2"/>
        <v>36</v>
      </c>
      <c r="G52" s="8">
        <f t="shared" si="3"/>
        <v>127</v>
      </c>
    </row>
    <row r="53" spans="1:7" ht="36" customHeight="1" x14ac:dyDescent="0.25">
      <c r="A53" s="45"/>
      <c r="B53" s="51"/>
      <c r="C53" s="10" t="s">
        <v>34</v>
      </c>
      <c r="D53" s="16" t="s">
        <v>553</v>
      </c>
      <c r="E53" s="17" t="s">
        <v>554</v>
      </c>
      <c r="F53" s="8">
        <f t="shared" si="2"/>
        <v>10</v>
      </c>
      <c r="G53" s="8">
        <f t="shared" si="3"/>
        <v>35</v>
      </c>
    </row>
    <row r="54" spans="1:7" ht="36" customHeight="1" x14ac:dyDescent="0.25">
      <c r="A54" s="44">
        <v>30</v>
      </c>
      <c r="B54" s="50" t="str">
        <f>D55</f>
        <v>万物生灵 第五季 5</v>
      </c>
      <c r="C54" s="10" t="s">
        <v>452</v>
      </c>
      <c r="D54" s="14" t="s">
        <v>555</v>
      </c>
      <c r="E54" s="15" t="s">
        <v>552</v>
      </c>
      <c r="F54" s="8">
        <f t="shared" si="2"/>
        <v>36</v>
      </c>
      <c r="G54" s="8">
        <f t="shared" si="3"/>
        <v>127</v>
      </c>
    </row>
    <row r="55" spans="1:7" ht="36" customHeight="1" x14ac:dyDescent="0.25">
      <c r="A55" s="45"/>
      <c r="B55" s="51"/>
      <c r="C55" s="10" t="s">
        <v>34</v>
      </c>
      <c r="D55" s="16" t="s">
        <v>556</v>
      </c>
      <c r="E55" s="17" t="s">
        <v>554</v>
      </c>
      <c r="F55" s="8">
        <f t="shared" si="2"/>
        <v>10</v>
      </c>
      <c r="G55" s="8">
        <f t="shared" si="3"/>
        <v>35</v>
      </c>
    </row>
    <row r="56" spans="1:7" ht="36" customHeight="1" x14ac:dyDescent="0.25">
      <c r="A56" s="44">
        <v>31</v>
      </c>
      <c r="B56" s="50" t="str">
        <f>D57</f>
        <v>万物生灵 第五季 4</v>
      </c>
      <c r="C56" s="10" t="s">
        <v>452</v>
      </c>
      <c r="D56" s="14" t="s">
        <v>557</v>
      </c>
      <c r="E56" s="15" t="s">
        <v>552</v>
      </c>
      <c r="F56" s="8">
        <f t="shared" si="2"/>
        <v>36</v>
      </c>
      <c r="G56" s="8">
        <f t="shared" si="3"/>
        <v>127</v>
      </c>
    </row>
    <row r="57" spans="1:7" ht="36" customHeight="1" x14ac:dyDescent="0.25">
      <c r="A57" s="45"/>
      <c r="B57" s="51"/>
      <c r="C57" s="10" t="s">
        <v>34</v>
      </c>
      <c r="D57" s="16" t="s">
        <v>558</v>
      </c>
      <c r="E57" s="17" t="s">
        <v>554</v>
      </c>
      <c r="F57" s="8">
        <f t="shared" si="2"/>
        <v>10</v>
      </c>
      <c r="G57" s="8">
        <f t="shared" si="3"/>
        <v>35</v>
      </c>
    </row>
    <row r="58" spans="1:7" ht="36" customHeight="1" x14ac:dyDescent="0.25">
      <c r="A58" s="44">
        <v>32</v>
      </c>
      <c r="B58" s="50" t="str">
        <f>D59</f>
        <v>万物生灵 第五季 3</v>
      </c>
      <c r="C58" s="10" t="s">
        <v>452</v>
      </c>
      <c r="D58" s="14" t="s">
        <v>559</v>
      </c>
      <c r="E58" s="15" t="s">
        <v>552</v>
      </c>
      <c r="F58" s="8">
        <f t="shared" si="2"/>
        <v>36</v>
      </c>
      <c r="G58" s="8">
        <f t="shared" si="3"/>
        <v>127</v>
      </c>
    </row>
    <row r="59" spans="1:7" ht="36" customHeight="1" x14ac:dyDescent="0.25">
      <c r="A59" s="45"/>
      <c r="B59" s="51"/>
      <c r="C59" s="10" t="s">
        <v>34</v>
      </c>
      <c r="D59" s="16" t="s">
        <v>560</v>
      </c>
      <c r="E59" s="17" t="s">
        <v>554</v>
      </c>
      <c r="F59" s="8">
        <f t="shared" si="2"/>
        <v>10</v>
      </c>
      <c r="G59" s="8">
        <f t="shared" si="3"/>
        <v>35</v>
      </c>
    </row>
    <row r="60" spans="1:7" ht="36" customHeight="1" x14ac:dyDescent="0.25">
      <c r="A60" s="44">
        <v>33</v>
      </c>
      <c r="B60" s="50" t="str">
        <f>D61</f>
        <v>万物生灵 第五季 2</v>
      </c>
      <c r="C60" s="10" t="s">
        <v>452</v>
      </c>
      <c r="D60" s="14" t="s">
        <v>561</v>
      </c>
      <c r="E60" s="15" t="s">
        <v>552</v>
      </c>
      <c r="F60" s="8">
        <f t="shared" si="2"/>
        <v>36</v>
      </c>
      <c r="G60" s="8">
        <f t="shared" si="3"/>
        <v>127</v>
      </c>
    </row>
    <row r="61" spans="1:7" ht="36" customHeight="1" x14ac:dyDescent="0.25">
      <c r="A61" s="45"/>
      <c r="B61" s="51"/>
      <c r="C61" s="10" t="s">
        <v>34</v>
      </c>
      <c r="D61" s="16" t="s">
        <v>562</v>
      </c>
      <c r="E61" s="17" t="s">
        <v>554</v>
      </c>
      <c r="F61" s="8">
        <f t="shared" ref="F61:F93" si="4">LEN(D61)</f>
        <v>10</v>
      </c>
      <c r="G61" s="8">
        <f t="shared" ref="G61:G93" si="5">LEN(E61)</f>
        <v>35</v>
      </c>
    </row>
    <row r="62" spans="1:7" ht="36" customHeight="1" x14ac:dyDescent="0.25">
      <c r="A62" s="44">
        <v>34</v>
      </c>
      <c r="B62" s="50" t="str">
        <f>D63</f>
        <v>万物生灵 第五季 1</v>
      </c>
      <c r="C62" s="10" t="s">
        <v>452</v>
      </c>
      <c r="D62" s="14" t="s">
        <v>563</v>
      </c>
      <c r="E62" s="15" t="s">
        <v>552</v>
      </c>
      <c r="F62" s="8">
        <f t="shared" si="4"/>
        <v>36</v>
      </c>
      <c r="G62" s="8">
        <f t="shared" si="5"/>
        <v>127</v>
      </c>
    </row>
    <row r="63" spans="1:7" ht="36" customHeight="1" x14ac:dyDescent="0.25">
      <c r="A63" s="45"/>
      <c r="B63" s="51"/>
      <c r="C63" s="10" t="s">
        <v>34</v>
      </c>
      <c r="D63" s="16" t="s">
        <v>564</v>
      </c>
      <c r="E63" s="17" t="s">
        <v>554</v>
      </c>
      <c r="F63" s="8">
        <f t="shared" si="4"/>
        <v>10</v>
      </c>
      <c r="G63" s="8">
        <f t="shared" si="5"/>
        <v>35</v>
      </c>
    </row>
    <row r="64" spans="1:7" ht="36" customHeight="1" x14ac:dyDescent="0.25">
      <c r="A64" s="44">
        <v>35</v>
      </c>
      <c r="B64" s="50" t="str">
        <f>D66</f>
        <v>空中博览1月国际去程</v>
      </c>
      <c r="C64" s="10" t="s">
        <v>452</v>
      </c>
      <c r="D64" s="14" t="s">
        <v>565</v>
      </c>
      <c r="E64" s="15" t="s">
        <v>566</v>
      </c>
      <c r="F64" s="8">
        <f t="shared" si="4"/>
        <v>35</v>
      </c>
      <c r="G64" s="8">
        <f t="shared" si="5"/>
        <v>392</v>
      </c>
    </row>
    <row r="65" spans="1:7" ht="36" customHeight="1" x14ac:dyDescent="0.25">
      <c r="A65" s="46"/>
      <c r="B65" s="52"/>
      <c r="C65" s="20" t="s">
        <v>145</v>
      </c>
      <c r="D65" s="14" t="s">
        <v>565</v>
      </c>
      <c r="E65" s="15" t="s">
        <v>567</v>
      </c>
      <c r="F65" s="8">
        <f t="shared" si="4"/>
        <v>35</v>
      </c>
      <c r="G65" s="8">
        <f t="shared" si="5"/>
        <v>54</v>
      </c>
    </row>
    <row r="66" spans="1:7" ht="36" customHeight="1" x14ac:dyDescent="0.25">
      <c r="A66" s="45"/>
      <c r="B66" s="51"/>
      <c r="C66" s="10" t="s">
        <v>34</v>
      </c>
      <c r="D66" s="16" t="s">
        <v>568</v>
      </c>
      <c r="E66" s="17" t="s">
        <v>569</v>
      </c>
      <c r="F66" s="8">
        <f t="shared" si="4"/>
        <v>10</v>
      </c>
      <c r="G66" s="8">
        <f t="shared" si="5"/>
        <v>119</v>
      </c>
    </row>
    <row r="67" spans="1:7" ht="36" customHeight="1" x14ac:dyDescent="0.25">
      <c r="A67" s="44">
        <v>36</v>
      </c>
      <c r="B67" s="50" t="str">
        <f>D69</f>
        <v>空中博览1月国际回程</v>
      </c>
      <c r="C67" s="10" t="s">
        <v>452</v>
      </c>
      <c r="D67" s="14" t="s">
        <v>570</v>
      </c>
      <c r="E67" s="15" t="s">
        <v>566</v>
      </c>
      <c r="F67" s="8">
        <f t="shared" si="4"/>
        <v>34</v>
      </c>
      <c r="G67" s="8">
        <f t="shared" si="5"/>
        <v>392</v>
      </c>
    </row>
    <row r="68" spans="1:7" ht="36" customHeight="1" x14ac:dyDescent="0.25">
      <c r="A68" s="46"/>
      <c r="B68" s="52"/>
      <c r="C68" s="20" t="s">
        <v>145</v>
      </c>
      <c r="D68" s="14" t="s">
        <v>570</v>
      </c>
      <c r="E68" s="15" t="s">
        <v>567</v>
      </c>
      <c r="F68" s="8">
        <f t="shared" si="4"/>
        <v>34</v>
      </c>
      <c r="G68" s="8">
        <f t="shared" si="5"/>
        <v>54</v>
      </c>
    </row>
    <row r="69" spans="1:7" ht="36" customHeight="1" x14ac:dyDescent="0.25">
      <c r="A69" s="45"/>
      <c r="B69" s="51"/>
      <c r="C69" s="10" t="s">
        <v>34</v>
      </c>
      <c r="D69" s="16" t="s">
        <v>571</v>
      </c>
      <c r="E69" s="17" t="s">
        <v>569</v>
      </c>
      <c r="F69" s="8">
        <f t="shared" si="4"/>
        <v>10</v>
      </c>
      <c r="G69" s="8">
        <f t="shared" si="5"/>
        <v>119</v>
      </c>
    </row>
    <row r="70" spans="1:7" ht="36" customHeight="1" x14ac:dyDescent="0.25">
      <c r="A70" s="44">
        <v>37</v>
      </c>
      <c r="B70" s="50" t="str">
        <f>D72</f>
        <v>空中博览1月国内去程</v>
      </c>
      <c r="C70" s="10" t="s">
        <v>452</v>
      </c>
      <c r="D70" s="14" t="s">
        <v>572</v>
      </c>
      <c r="E70" s="15" t="s">
        <v>566</v>
      </c>
      <c r="F70" s="8">
        <f t="shared" si="4"/>
        <v>30</v>
      </c>
      <c r="G70" s="8">
        <f t="shared" si="5"/>
        <v>392</v>
      </c>
    </row>
    <row r="71" spans="1:7" ht="36" customHeight="1" x14ac:dyDescent="0.25">
      <c r="A71" s="46"/>
      <c r="B71" s="52"/>
      <c r="C71" s="20" t="s">
        <v>145</v>
      </c>
      <c r="D71" s="14" t="s">
        <v>572</v>
      </c>
      <c r="E71" s="15" t="s">
        <v>567</v>
      </c>
      <c r="F71" s="8">
        <f t="shared" si="4"/>
        <v>30</v>
      </c>
      <c r="G71" s="8">
        <f t="shared" si="5"/>
        <v>54</v>
      </c>
    </row>
    <row r="72" spans="1:7" ht="36" customHeight="1" x14ac:dyDescent="0.25">
      <c r="A72" s="45"/>
      <c r="B72" s="51"/>
      <c r="C72" s="10" t="s">
        <v>34</v>
      </c>
      <c r="D72" s="16" t="s">
        <v>573</v>
      </c>
      <c r="E72" s="17" t="s">
        <v>569</v>
      </c>
      <c r="F72" s="8">
        <f t="shared" si="4"/>
        <v>10</v>
      </c>
      <c r="G72" s="8">
        <f t="shared" si="5"/>
        <v>119</v>
      </c>
    </row>
    <row r="73" spans="1:7" ht="36" customHeight="1" x14ac:dyDescent="0.25">
      <c r="A73" s="44">
        <v>38</v>
      </c>
      <c r="B73" s="50" t="str">
        <f>D75</f>
        <v>空中博览1月国内回程</v>
      </c>
      <c r="C73" s="10" t="s">
        <v>452</v>
      </c>
      <c r="D73" s="14" t="s">
        <v>574</v>
      </c>
      <c r="E73" s="15" t="s">
        <v>566</v>
      </c>
      <c r="F73" s="8">
        <f t="shared" si="4"/>
        <v>29</v>
      </c>
      <c r="G73" s="8">
        <f t="shared" si="5"/>
        <v>392</v>
      </c>
    </row>
    <row r="74" spans="1:7" ht="36" customHeight="1" x14ac:dyDescent="0.25">
      <c r="A74" s="46"/>
      <c r="B74" s="52"/>
      <c r="C74" s="20" t="s">
        <v>145</v>
      </c>
      <c r="D74" s="14" t="s">
        <v>574</v>
      </c>
      <c r="E74" s="15" t="s">
        <v>567</v>
      </c>
      <c r="F74" s="8">
        <f t="shared" si="4"/>
        <v>29</v>
      </c>
      <c r="G74" s="8">
        <f t="shared" si="5"/>
        <v>54</v>
      </c>
    </row>
    <row r="75" spans="1:7" ht="36" customHeight="1" x14ac:dyDescent="0.25">
      <c r="A75" s="45"/>
      <c r="B75" s="51"/>
      <c r="C75" s="10" t="s">
        <v>34</v>
      </c>
      <c r="D75" s="16" t="s">
        <v>575</v>
      </c>
      <c r="E75" s="17" t="s">
        <v>569</v>
      </c>
      <c r="F75" s="8">
        <f t="shared" si="4"/>
        <v>10</v>
      </c>
      <c r="G75" s="8">
        <f t="shared" si="5"/>
        <v>119</v>
      </c>
    </row>
    <row r="76" spans="1:7" ht="36" customHeight="1" x14ac:dyDescent="0.25">
      <c r="A76" s="44">
        <v>39</v>
      </c>
      <c r="B76" s="50" t="str">
        <f>D77</f>
        <v>京城十二时辰 10</v>
      </c>
      <c r="C76" s="10" t="s">
        <v>452</v>
      </c>
      <c r="D76" s="14" t="s">
        <v>576</v>
      </c>
      <c r="E76" s="15" t="s">
        <v>577</v>
      </c>
      <c r="F76" s="8">
        <f t="shared" si="4"/>
        <v>37</v>
      </c>
      <c r="G76" s="8">
        <f t="shared" si="5"/>
        <v>58</v>
      </c>
    </row>
    <row r="77" spans="1:7" ht="36" customHeight="1" x14ac:dyDescent="0.25">
      <c r="A77" s="45"/>
      <c r="B77" s="51"/>
      <c r="C77" s="10" t="s">
        <v>34</v>
      </c>
      <c r="D77" s="16" t="s">
        <v>578</v>
      </c>
      <c r="E77" s="17" t="s">
        <v>579</v>
      </c>
      <c r="F77" s="8">
        <f t="shared" si="4"/>
        <v>9</v>
      </c>
      <c r="G77" s="8">
        <f t="shared" si="5"/>
        <v>27</v>
      </c>
    </row>
    <row r="78" spans="1:7" ht="36" customHeight="1" x14ac:dyDescent="0.25">
      <c r="A78" s="44">
        <v>40</v>
      </c>
      <c r="B78" s="50" t="str">
        <f>D79</f>
        <v>花儿与少年·好友记 第9期</v>
      </c>
      <c r="C78" s="10" t="s">
        <v>452</v>
      </c>
      <c r="D78" s="14" t="s">
        <v>580</v>
      </c>
      <c r="E78" s="15" t="s">
        <v>581</v>
      </c>
      <c r="F78" s="8">
        <f t="shared" si="4"/>
        <v>35</v>
      </c>
      <c r="G78" s="8">
        <f t="shared" si="5"/>
        <v>66</v>
      </c>
    </row>
    <row r="79" spans="1:7" ht="36" customHeight="1" x14ac:dyDescent="0.25">
      <c r="A79" s="45"/>
      <c r="B79" s="51"/>
      <c r="C79" s="10" t="s">
        <v>34</v>
      </c>
      <c r="D79" s="16" t="s">
        <v>582</v>
      </c>
      <c r="E79" s="17" t="s">
        <v>583</v>
      </c>
      <c r="F79" s="8">
        <f t="shared" si="4"/>
        <v>13</v>
      </c>
      <c r="G79" s="8">
        <f t="shared" si="5"/>
        <v>36</v>
      </c>
    </row>
    <row r="80" spans="1:7" ht="36" customHeight="1" x14ac:dyDescent="0.25">
      <c r="A80" s="44">
        <v>41</v>
      </c>
      <c r="B80" s="50" t="str">
        <f>D81</f>
        <v>花儿与少年·好友记 第8期</v>
      </c>
      <c r="C80" s="10" t="s">
        <v>452</v>
      </c>
      <c r="D80" s="14" t="s">
        <v>584</v>
      </c>
      <c r="E80" s="15" t="s">
        <v>581</v>
      </c>
      <c r="F80" s="8">
        <f t="shared" si="4"/>
        <v>35</v>
      </c>
      <c r="G80" s="8">
        <f t="shared" si="5"/>
        <v>66</v>
      </c>
    </row>
    <row r="81" spans="1:7" ht="36" customHeight="1" x14ac:dyDescent="0.25">
      <c r="A81" s="45"/>
      <c r="B81" s="51"/>
      <c r="C81" s="10" t="s">
        <v>34</v>
      </c>
      <c r="D81" s="16" t="s">
        <v>585</v>
      </c>
      <c r="E81" s="17" t="s">
        <v>583</v>
      </c>
      <c r="F81" s="8">
        <f t="shared" si="4"/>
        <v>13</v>
      </c>
      <c r="G81" s="8">
        <f t="shared" si="5"/>
        <v>36</v>
      </c>
    </row>
    <row r="82" spans="1:7" ht="36" customHeight="1" x14ac:dyDescent="0.25">
      <c r="A82" s="44">
        <v>42</v>
      </c>
      <c r="B82" s="50" t="str">
        <f>D83</f>
        <v>冰雪迎宾 2 “尔滨”，冬天里的一团火</v>
      </c>
      <c r="C82" s="10" t="s">
        <v>452</v>
      </c>
      <c r="D82" s="21" t="s">
        <v>586</v>
      </c>
      <c r="E82" s="15" t="s">
        <v>587</v>
      </c>
      <c r="F82" s="8">
        <f t="shared" si="4"/>
        <v>55</v>
      </c>
      <c r="G82" s="8">
        <f t="shared" si="5"/>
        <v>266</v>
      </c>
    </row>
    <row r="83" spans="1:7" ht="36" customHeight="1" x14ac:dyDescent="0.25">
      <c r="A83" s="45"/>
      <c r="B83" s="51"/>
      <c r="C83" s="10" t="s">
        <v>34</v>
      </c>
      <c r="D83" s="16" t="s">
        <v>588</v>
      </c>
      <c r="E83" s="17" t="s">
        <v>589</v>
      </c>
      <c r="F83" s="8">
        <f t="shared" si="4"/>
        <v>19</v>
      </c>
      <c r="G83" s="8">
        <f t="shared" si="5"/>
        <v>80</v>
      </c>
    </row>
    <row r="84" spans="1:7" ht="36" customHeight="1" x14ac:dyDescent="0.25">
      <c r="A84" s="44">
        <v>43</v>
      </c>
      <c r="B84" s="50" t="str">
        <f>D85</f>
        <v>冰雪迎宾 1 “尔滨”，家里来客人了</v>
      </c>
      <c r="C84" s="10" t="s">
        <v>452</v>
      </c>
      <c r="D84" s="21" t="s">
        <v>590</v>
      </c>
      <c r="E84" s="15" t="s">
        <v>587</v>
      </c>
      <c r="F84" s="8">
        <f t="shared" si="4"/>
        <v>56</v>
      </c>
      <c r="G84" s="8">
        <f t="shared" si="5"/>
        <v>266</v>
      </c>
    </row>
    <row r="85" spans="1:7" ht="36" customHeight="1" x14ac:dyDescent="0.25">
      <c r="A85" s="45"/>
      <c r="B85" s="51"/>
      <c r="C85" s="10" t="s">
        <v>34</v>
      </c>
      <c r="D85" s="16" t="s">
        <v>591</v>
      </c>
      <c r="E85" s="17" t="s">
        <v>589</v>
      </c>
      <c r="F85" s="8">
        <f t="shared" si="4"/>
        <v>18</v>
      </c>
      <c r="G85" s="8">
        <f t="shared" si="5"/>
        <v>80</v>
      </c>
    </row>
    <row r="86" spans="1:7" ht="36" customHeight="1" x14ac:dyDescent="0.25">
      <c r="A86" s="44">
        <v>44</v>
      </c>
      <c r="B86" s="50" t="str">
        <f>D87</f>
        <v>家住查干湖 2 畅游其间</v>
      </c>
      <c r="C86" s="10" t="s">
        <v>452</v>
      </c>
      <c r="D86" s="21" t="s">
        <v>592</v>
      </c>
      <c r="E86" s="15" t="s">
        <v>593</v>
      </c>
      <c r="F86" s="8">
        <f t="shared" si="4"/>
        <v>40</v>
      </c>
      <c r="G86" s="8">
        <f t="shared" si="5"/>
        <v>241</v>
      </c>
    </row>
    <row r="87" spans="1:7" ht="36" customHeight="1" x14ac:dyDescent="0.25">
      <c r="A87" s="45"/>
      <c r="B87" s="51"/>
      <c r="C87" s="10" t="s">
        <v>34</v>
      </c>
      <c r="D87" s="16" t="s">
        <v>594</v>
      </c>
      <c r="E87" s="17" t="s">
        <v>595</v>
      </c>
      <c r="F87" s="8">
        <f t="shared" si="4"/>
        <v>12</v>
      </c>
      <c r="G87" s="8">
        <f t="shared" si="5"/>
        <v>57</v>
      </c>
    </row>
    <row r="88" spans="1:7" ht="36" customHeight="1" x14ac:dyDescent="0.25">
      <c r="A88" s="44">
        <v>45</v>
      </c>
      <c r="B88" s="50" t="str">
        <f>D89</f>
        <v>家住查干湖 1 年年有余</v>
      </c>
      <c r="C88" s="10" t="s">
        <v>452</v>
      </c>
      <c r="D88" s="21" t="s">
        <v>596</v>
      </c>
      <c r="E88" s="15" t="s">
        <v>593</v>
      </c>
      <c r="F88" s="8">
        <f t="shared" si="4"/>
        <v>46</v>
      </c>
      <c r="G88" s="8">
        <f t="shared" si="5"/>
        <v>241</v>
      </c>
    </row>
    <row r="89" spans="1:7" ht="36" customHeight="1" x14ac:dyDescent="0.25">
      <c r="A89" s="45"/>
      <c r="B89" s="51"/>
      <c r="C89" s="10" t="s">
        <v>34</v>
      </c>
      <c r="D89" s="16" t="s">
        <v>597</v>
      </c>
      <c r="E89" s="17" t="s">
        <v>595</v>
      </c>
      <c r="F89" s="8">
        <f t="shared" si="4"/>
        <v>12</v>
      </c>
      <c r="G89" s="8">
        <f t="shared" si="5"/>
        <v>57</v>
      </c>
    </row>
    <row r="90" spans="1:7" ht="36" customHeight="1" x14ac:dyDescent="0.25">
      <c r="A90" s="44">
        <v>46</v>
      </c>
      <c r="B90" s="50" t="str">
        <f>D91</f>
        <v>此生要去的100个地方 8 柳杉</v>
      </c>
      <c r="C90" s="10" t="s">
        <v>452</v>
      </c>
      <c r="D90" s="21" t="s">
        <v>598</v>
      </c>
      <c r="E90" s="15" t="s">
        <v>599</v>
      </c>
      <c r="F90" s="8">
        <f t="shared" si="4"/>
        <v>50</v>
      </c>
      <c r="G90" s="8">
        <f t="shared" si="5"/>
        <v>220</v>
      </c>
    </row>
    <row r="91" spans="1:7" ht="36" customHeight="1" x14ac:dyDescent="0.25">
      <c r="A91" s="45"/>
      <c r="B91" s="51"/>
      <c r="C91" s="10" t="s">
        <v>34</v>
      </c>
      <c r="D91" s="16" t="s">
        <v>600</v>
      </c>
      <c r="E91" s="17" t="s">
        <v>601</v>
      </c>
      <c r="F91" s="8">
        <f t="shared" si="4"/>
        <v>16</v>
      </c>
      <c r="G91" s="8">
        <f t="shared" si="5"/>
        <v>50</v>
      </c>
    </row>
    <row r="92" spans="1:7" ht="36" customHeight="1" x14ac:dyDescent="0.25">
      <c r="A92" s="44">
        <v>47</v>
      </c>
      <c r="B92" s="50" t="str">
        <f>D93</f>
        <v>此生要去的100个地方 7 珙桐花</v>
      </c>
      <c r="C92" s="10" t="s">
        <v>452</v>
      </c>
      <c r="D92" s="21" t="s">
        <v>602</v>
      </c>
      <c r="E92" s="15" t="s">
        <v>599</v>
      </c>
      <c r="F92" s="8">
        <f t="shared" si="4"/>
        <v>55</v>
      </c>
      <c r="G92" s="8">
        <f t="shared" si="5"/>
        <v>220</v>
      </c>
    </row>
    <row r="93" spans="1:7" ht="36" customHeight="1" x14ac:dyDescent="0.25">
      <c r="A93" s="45"/>
      <c r="B93" s="51"/>
      <c r="C93" s="10" t="s">
        <v>34</v>
      </c>
      <c r="D93" s="16" t="s">
        <v>603</v>
      </c>
      <c r="E93" s="17" t="s">
        <v>601</v>
      </c>
      <c r="F93" s="8">
        <f t="shared" si="4"/>
        <v>17</v>
      </c>
      <c r="G93" s="8">
        <f t="shared" si="5"/>
        <v>50</v>
      </c>
    </row>
    <row r="94" spans="1:7" ht="36" customHeight="1" x14ac:dyDescent="0.25">
      <c r="A94" s="44">
        <v>49</v>
      </c>
      <c r="B94" s="50" t="str">
        <f>D95</f>
        <v>我的希腊之旅 第六季 7</v>
      </c>
      <c r="C94" s="10" t="s">
        <v>452</v>
      </c>
      <c r="D94" s="14" t="s">
        <v>604</v>
      </c>
      <c r="E94" s="15" t="s">
        <v>605</v>
      </c>
      <c r="F94" s="8">
        <f t="shared" ref="F94:F120" si="6">LEN(D94)</f>
        <v>23</v>
      </c>
      <c r="G94" s="8">
        <f t="shared" ref="G94:G120" si="7">LEN(E94)</f>
        <v>92</v>
      </c>
    </row>
    <row r="95" spans="1:7" ht="36" customHeight="1" x14ac:dyDescent="0.25">
      <c r="A95" s="45"/>
      <c r="B95" s="51"/>
      <c r="C95" s="10" t="s">
        <v>34</v>
      </c>
      <c r="D95" s="16" t="s">
        <v>606</v>
      </c>
      <c r="E95" s="17" t="s">
        <v>607</v>
      </c>
      <c r="F95" s="8">
        <f t="shared" si="6"/>
        <v>12</v>
      </c>
      <c r="G95" s="8">
        <f t="shared" si="7"/>
        <v>32</v>
      </c>
    </row>
    <row r="96" spans="1:7" ht="36" customHeight="1" x14ac:dyDescent="0.25">
      <c r="A96" s="44">
        <v>50</v>
      </c>
      <c r="B96" s="50" t="str">
        <f>D97</f>
        <v>加菲猫的幸福生活 8</v>
      </c>
      <c r="C96" s="10" t="s">
        <v>452</v>
      </c>
      <c r="D96" s="14" t="s">
        <v>608</v>
      </c>
      <c r="E96" s="15" t="s">
        <v>609</v>
      </c>
      <c r="F96" s="8">
        <f t="shared" si="6"/>
        <v>22</v>
      </c>
      <c r="G96" s="8">
        <f t="shared" si="7"/>
        <v>108</v>
      </c>
    </row>
    <row r="97" spans="1:7" ht="36" customHeight="1" x14ac:dyDescent="0.25">
      <c r="A97" s="45"/>
      <c r="B97" s="51"/>
      <c r="C97" s="10" t="s">
        <v>34</v>
      </c>
      <c r="D97" s="16" t="s">
        <v>610</v>
      </c>
      <c r="E97" s="17" t="s">
        <v>611</v>
      </c>
      <c r="F97" s="8">
        <f t="shared" si="6"/>
        <v>10</v>
      </c>
      <c r="G97" s="8">
        <f t="shared" si="7"/>
        <v>35</v>
      </c>
    </row>
    <row r="98" spans="1:7" ht="36" customHeight="1" x14ac:dyDescent="0.25">
      <c r="A98" s="44">
        <v>51</v>
      </c>
      <c r="B98" s="50" t="str">
        <f>D99</f>
        <v>加菲猫的幸福生活 7</v>
      </c>
      <c r="C98" s="10" t="s">
        <v>452</v>
      </c>
      <c r="D98" s="14" t="s">
        <v>612</v>
      </c>
      <c r="E98" s="15" t="s">
        <v>609</v>
      </c>
      <c r="F98" s="8">
        <f t="shared" si="6"/>
        <v>22</v>
      </c>
      <c r="G98" s="8">
        <f t="shared" si="7"/>
        <v>108</v>
      </c>
    </row>
    <row r="99" spans="1:7" ht="36" customHeight="1" x14ac:dyDescent="0.25">
      <c r="A99" s="45"/>
      <c r="B99" s="51"/>
      <c r="C99" s="10" t="s">
        <v>34</v>
      </c>
      <c r="D99" s="16" t="s">
        <v>613</v>
      </c>
      <c r="E99" s="17" t="s">
        <v>611</v>
      </c>
      <c r="F99" s="8">
        <f t="shared" si="6"/>
        <v>10</v>
      </c>
      <c r="G99" s="8">
        <f t="shared" si="7"/>
        <v>35</v>
      </c>
    </row>
    <row r="100" spans="1:7" ht="36" customHeight="1" x14ac:dyDescent="0.25">
      <c r="A100" s="44">
        <v>52</v>
      </c>
      <c r="B100" s="50" t="str">
        <f>D101</f>
        <v>如果历史是一群喵 第一季 4 大禹建国</v>
      </c>
      <c r="C100" s="10" t="s">
        <v>452</v>
      </c>
      <c r="D100" s="14" t="s">
        <v>614</v>
      </c>
      <c r="E100" s="15" t="s">
        <v>615</v>
      </c>
      <c r="F100" s="8">
        <f t="shared" si="6"/>
        <v>74</v>
      </c>
      <c r="G100" s="8">
        <f t="shared" si="7"/>
        <v>171</v>
      </c>
    </row>
    <row r="101" spans="1:7" ht="36" customHeight="1" x14ac:dyDescent="0.25">
      <c r="A101" s="45"/>
      <c r="B101" s="51"/>
      <c r="C101" s="10" t="s">
        <v>34</v>
      </c>
      <c r="D101" s="16" t="s">
        <v>616</v>
      </c>
      <c r="E101" s="17" t="s">
        <v>617</v>
      </c>
      <c r="F101" s="8">
        <f t="shared" si="6"/>
        <v>19</v>
      </c>
      <c r="G101" s="8">
        <f t="shared" si="7"/>
        <v>40</v>
      </c>
    </row>
    <row r="102" spans="1:7" ht="36" customHeight="1" x14ac:dyDescent="0.25">
      <c r="A102" s="44">
        <v>53</v>
      </c>
      <c r="B102" s="50" t="str">
        <f>D103</f>
        <v>如果历史是一群喵 第一季 3 三皇五帝</v>
      </c>
      <c r="C102" s="10" t="s">
        <v>452</v>
      </c>
      <c r="D102" s="14" t="s">
        <v>618</v>
      </c>
      <c r="E102" s="15" t="s">
        <v>615</v>
      </c>
      <c r="F102" s="8">
        <f t="shared" si="6"/>
        <v>71</v>
      </c>
      <c r="G102" s="8">
        <f t="shared" si="7"/>
        <v>171</v>
      </c>
    </row>
    <row r="103" spans="1:7" ht="36" customHeight="1" x14ac:dyDescent="0.25">
      <c r="A103" s="45"/>
      <c r="B103" s="51"/>
      <c r="C103" s="10" t="s">
        <v>34</v>
      </c>
      <c r="D103" s="16" t="s">
        <v>619</v>
      </c>
      <c r="E103" s="17" t="s">
        <v>617</v>
      </c>
      <c r="F103" s="8">
        <f t="shared" si="6"/>
        <v>19</v>
      </c>
      <c r="G103" s="8">
        <f t="shared" si="7"/>
        <v>40</v>
      </c>
    </row>
    <row r="104" spans="1:7" ht="36" customHeight="1" x14ac:dyDescent="0.25">
      <c r="A104" s="44">
        <v>54</v>
      </c>
      <c r="B104" s="50" t="str">
        <f>D105</f>
        <v>京剧猫之信念的冒险 15</v>
      </c>
      <c r="C104" s="10" t="s">
        <v>452</v>
      </c>
      <c r="D104" s="14" t="s">
        <v>620</v>
      </c>
      <c r="E104" s="15" t="s">
        <v>621</v>
      </c>
      <c r="F104" s="8">
        <f t="shared" si="6"/>
        <v>19</v>
      </c>
      <c r="G104" s="8">
        <f t="shared" si="7"/>
        <v>186</v>
      </c>
    </row>
    <row r="105" spans="1:7" ht="36" customHeight="1" x14ac:dyDescent="0.25">
      <c r="A105" s="45"/>
      <c r="B105" s="51"/>
      <c r="C105" s="10" t="s">
        <v>34</v>
      </c>
      <c r="D105" s="16" t="s">
        <v>622</v>
      </c>
      <c r="E105" s="17" t="s">
        <v>623</v>
      </c>
      <c r="F105" s="8">
        <f t="shared" si="6"/>
        <v>12</v>
      </c>
      <c r="G105" s="8">
        <f t="shared" si="7"/>
        <v>42</v>
      </c>
    </row>
    <row r="106" spans="1:7" ht="36" customHeight="1" x14ac:dyDescent="0.25">
      <c r="A106" s="44">
        <v>55</v>
      </c>
      <c r="B106" s="50" t="str">
        <f>D107</f>
        <v>熊出没 怪兽计划2（5-6）</v>
      </c>
      <c r="C106" s="10" t="s">
        <v>452</v>
      </c>
      <c r="D106" s="21" t="s">
        <v>624</v>
      </c>
      <c r="E106" s="15" t="s">
        <v>625</v>
      </c>
      <c r="F106" s="8">
        <f t="shared" si="6"/>
        <v>36</v>
      </c>
      <c r="G106" s="8">
        <f t="shared" si="7"/>
        <v>166</v>
      </c>
    </row>
    <row r="107" spans="1:7" ht="36" customHeight="1" x14ac:dyDescent="0.25">
      <c r="A107" s="45"/>
      <c r="B107" s="51"/>
      <c r="C107" s="10" t="s">
        <v>34</v>
      </c>
      <c r="D107" s="16" t="s">
        <v>626</v>
      </c>
      <c r="E107" s="17" t="s">
        <v>627</v>
      </c>
      <c r="F107" s="8">
        <f t="shared" si="6"/>
        <v>14</v>
      </c>
      <c r="G107" s="8">
        <f t="shared" si="7"/>
        <v>42</v>
      </c>
    </row>
    <row r="108" spans="1:7" ht="36" customHeight="1" x14ac:dyDescent="0.25">
      <c r="A108" s="44">
        <v>56</v>
      </c>
      <c r="B108" s="50" t="str">
        <f>D109</f>
        <v>山海传奇 7</v>
      </c>
      <c r="C108" s="10" t="s">
        <v>452</v>
      </c>
      <c r="D108" s="21" t="s">
        <v>628</v>
      </c>
      <c r="E108" s="15" t="s">
        <v>629</v>
      </c>
      <c r="F108" s="8">
        <f t="shared" si="6"/>
        <v>31</v>
      </c>
      <c r="G108" s="8">
        <f t="shared" si="7"/>
        <v>314</v>
      </c>
    </row>
    <row r="109" spans="1:7" ht="36" customHeight="1" x14ac:dyDescent="0.25">
      <c r="A109" s="45"/>
      <c r="B109" s="51"/>
      <c r="C109" s="10" t="s">
        <v>34</v>
      </c>
      <c r="D109" s="16" t="s">
        <v>630</v>
      </c>
      <c r="E109" s="17" t="s">
        <v>631</v>
      </c>
      <c r="F109" s="8">
        <f t="shared" si="6"/>
        <v>6</v>
      </c>
      <c r="G109" s="8">
        <f t="shared" si="7"/>
        <v>60</v>
      </c>
    </row>
    <row r="110" spans="1:7" ht="36" customHeight="1" x14ac:dyDescent="0.25">
      <c r="A110" s="44">
        <v>57</v>
      </c>
      <c r="B110" s="50" t="str">
        <f>D111</f>
        <v>天真与功夫袜 43-44</v>
      </c>
      <c r="C110" s="10" t="s">
        <v>452</v>
      </c>
      <c r="D110" s="14" t="s">
        <v>632</v>
      </c>
      <c r="E110" s="15" t="s">
        <v>633</v>
      </c>
      <c r="F110" s="8">
        <f t="shared" si="6"/>
        <v>32</v>
      </c>
      <c r="G110" s="8">
        <f t="shared" si="7"/>
        <v>266</v>
      </c>
    </row>
    <row r="111" spans="1:7" ht="36" customHeight="1" x14ac:dyDescent="0.25">
      <c r="A111" s="45"/>
      <c r="B111" s="51"/>
      <c r="C111" s="10" t="s">
        <v>34</v>
      </c>
      <c r="D111" s="16" t="s">
        <v>634</v>
      </c>
      <c r="E111" s="17" t="s">
        <v>635</v>
      </c>
      <c r="F111" s="8">
        <f t="shared" si="6"/>
        <v>12</v>
      </c>
      <c r="G111" s="8">
        <f t="shared" si="7"/>
        <v>96</v>
      </c>
    </row>
    <row r="112" spans="1:7" ht="36" customHeight="1" x14ac:dyDescent="0.25">
      <c r="A112" s="44">
        <v>58</v>
      </c>
      <c r="B112" s="50" t="str">
        <f>D113</f>
        <v>小鸡彩虹 第七季 19-20</v>
      </c>
      <c r="C112" s="10" t="s">
        <v>452</v>
      </c>
      <c r="D112" s="14" t="s">
        <v>636</v>
      </c>
      <c r="E112" s="15" t="s">
        <v>637</v>
      </c>
      <c r="F112" s="8">
        <f t="shared" si="6"/>
        <v>29</v>
      </c>
      <c r="G112" s="8">
        <f t="shared" si="7"/>
        <v>246</v>
      </c>
    </row>
    <row r="113" spans="1:7" ht="36" customHeight="1" x14ac:dyDescent="0.25">
      <c r="A113" s="45"/>
      <c r="B113" s="51"/>
      <c r="C113" s="10" t="s">
        <v>34</v>
      </c>
      <c r="D113" s="16" t="s">
        <v>638</v>
      </c>
      <c r="E113" s="17" t="s">
        <v>639</v>
      </c>
      <c r="F113" s="8">
        <f t="shared" si="6"/>
        <v>14</v>
      </c>
      <c r="G113" s="8">
        <f t="shared" si="7"/>
        <v>71</v>
      </c>
    </row>
    <row r="114" spans="1:7" ht="36" customHeight="1" x14ac:dyDescent="0.25">
      <c r="A114" s="44">
        <v>59</v>
      </c>
      <c r="B114" s="50" t="str">
        <f>D115</f>
        <v>百变校巴 第十一季 17-18</v>
      </c>
      <c r="C114" s="10" t="s">
        <v>452</v>
      </c>
      <c r="D114" s="14" t="s">
        <v>640</v>
      </c>
      <c r="E114" s="15" t="s">
        <v>641</v>
      </c>
      <c r="F114" s="8">
        <f t="shared" si="6"/>
        <v>36</v>
      </c>
      <c r="G114" s="8">
        <f t="shared" si="7"/>
        <v>386</v>
      </c>
    </row>
    <row r="115" spans="1:7" ht="36" customHeight="1" x14ac:dyDescent="0.25">
      <c r="A115" s="45"/>
      <c r="B115" s="51"/>
      <c r="C115" s="10" t="s">
        <v>34</v>
      </c>
      <c r="D115" s="16" t="s">
        <v>642</v>
      </c>
      <c r="E115" s="17" t="s">
        <v>643</v>
      </c>
      <c r="F115" s="8">
        <f t="shared" si="6"/>
        <v>15</v>
      </c>
      <c r="G115" s="8">
        <f t="shared" si="7"/>
        <v>100</v>
      </c>
    </row>
    <row r="116" spans="1:7" ht="36" customHeight="1" x14ac:dyDescent="0.25">
      <c r="A116" s="44">
        <v>60</v>
      </c>
      <c r="B116" s="50" t="str">
        <f>D117</f>
        <v>强国青年说 第三季 3 马背上的女骑手</v>
      </c>
      <c r="C116" s="10" t="s">
        <v>452</v>
      </c>
      <c r="D116" s="14" t="s">
        <v>644</v>
      </c>
      <c r="E116" s="15" t="s">
        <v>645</v>
      </c>
      <c r="F116" s="8">
        <f t="shared" si="6"/>
        <v>62</v>
      </c>
      <c r="G116" s="8">
        <f t="shared" si="7"/>
        <v>367</v>
      </c>
    </row>
    <row r="117" spans="1:7" ht="36" customHeight="1" x14ac:dyDescent="0.25">
      <c r="A117" s="45"/>
      <c r="B117" s="51"/>
      <c r="C117" s="10" t="s">
        <v>34</v>
      </c>
      <c r="D117" s="16" t="s">
        <v>646</v>
      </c>
      <c r="E117" s="17" t="s">
        <v>647</v>
      </c>
      <c r="F117" s="8">
        <f t="shared" si="6"/>
        <v>19</v>
      </c>
      <c r="G117" s="8">
        <f t="shared" si="7"/>
        <v>118</v>
      </c>
    </row>
    <row r="118" spans="1:7" ht="36" customHeight="1" x14ac:dyDescent="0.25">
      <c r="A118" s="44">
        <v>61</v>
      </c>
      <c r="B118" s="50" t="str">
        <f>D119</f>
        <v>灿烂的花园 12</v>
      </c>
      <c r="C118" s="10" t="s">
        <v>452</v>
      </c>
      <c r="D118" s="14" t="s">
        <v>648</v>
      </c>
      <c r="E118" s="15" t="s">
        <v>649</v>
      </c>
      <c r="F118" s="8">
        <f t="shared" si="6"/>
        <v>21</v>
      </c>
      <c r="G118" s="8">
        <f t="shared" si="7"/>
        <v>114</v>
      </c>
    </row>
    <row r="119" spans="1:7" ht="36" customHeight="1" x14ac:dyDescent="0.25">
      <c r="A119" s="45"/>
      <c r="B119" s="51"/>
      <c r="C119" s="10" t="s">
        <v>34</v>
      </c>
      <c r="D119" s="16" t="s">
        <v>650</v>
      </c>
      <c r="E119" s="17" t="s">
        <v>651</v>
      </c>
      <c r="F119" s="8">
        <f t="shared" si="6"/>
        <v>8</v>
      </c>
      <c r="G119" s="8">
        <f t="shared" si="7"/>
        <v>32</v>
      </c>
    </row>
    <row r="120" spans="1:7" ht="36" customHeight="1" x14ac:dyDescent="0.25">
      <c r="A120" s="44">
        <v>62</v>
      </c>
      <c r="B120" s="50" t="str">
        <f>D121</f>
        <v>灿烂的花园 11</v>
      </c>
      <c r="C120" s="10" t="s">
        <v>452</v>
      </c>
      <c r="D120" s="14" t="s">
        <v>652</v>
      </c>
      <c r="E120" s="15" t="s">
        <v>649</v>
      </c>
      <c r="F120" s="8">
        <f t="shared" si="6"/>
        <v>21</v>
      </c>
      <c r="G120" s="8">
        <f t="shared" si="7"/>
        <v>114</v>
      </c>
    </row>
    <row r="121" spans="1:7" ht="36" customHeight="1" x14ac:dyDescent="0.25">
      <c r="A121" s="45"/>
      <c r="B121" s="51"/>
      <c r="C121" s="10" t="s">
        <v>34</v>
      </c>
      <c r="D121" s="16" t="s">
        <v>653</v>
      </c>
      <c r="E121" s="17" t="s">
        <v>651</v>
      </c>
      <c r="F121" s="8">
        <f t="shared" ref="F121:F184" si="8">LEN(D121)</f>
        <v>8</v>
      </c>
      <c r="G121" s="8">
        <f t="shared" ref="G121:G184" si="9">LEN(E121)</f>
        <v>32</v>
      </c>
    </row>
    <row r="122" spans="1:7" ht="36" customHeight="1" x14ac:dyDescent="0.25">
      <c r="A122" s="44">
        <v>63</v>
      </c>
      <c r="B122" s="50" t="str">
        <f>D123</f>
        <v>灿烂的花园 10</v>
      </c>
      <c r="C122" s="10" t="s">
        <v>452</v>
      </c>
      <c r="D122" s="14" t="s">
        <v>654</v>
      </c>
      <c r="E122" s="15" t="s">
        <v>649</v>
      </c>
      <c r="F122" s="8">
        <f t="shared" si="8"/>
        <v>21</v>
      </c>
      <c r="G122" s="8">
        <f t="shared" si="9"/>
        <v>114</v>
      </c>
    </row>
    <row r="123" spans="1:7" ht="36" customHeight="1" x14ac:dyDescent="0.25">
      <c r="A123" s="45"/>
      <c r="B123" s="51"/>
      <c r="C123" s="10" t="s">
        <v>34</v>
      </c>
      <c r="D123" s="16" t="s">
        <v>655</v>
      </c>
      <c r="E123" s="17" t="s">
        <v>651</v>
      </c>
      <c r="F123" s="8">
        <f t="shared" si="8"/>
        <v>8</v>
      </c>
      <c r="G123" s="8">
        <f t="shared" si="9"/>
        <v>32</v>
      </c>
    </row>
    <row r="124" spans="1:7" ht="36" customHeight="1" x14ac:dyDescent="0.25">
      <c r="A124" s="44">
        <v>64</v>
      </c>
      <c r="B124" s="50" t="str">
        <f>D125</f>
        <v>爸爸当家 第二季 第15期下</v>
      </c>
      <c r="C124" s="10" t="s">
        <v>452</v>
      </c>
      <c r="D124" s="14" t="s">
        <v>656</v>
      </c>
      <c r="E124" s="15" t="s">
        <v>657</v>
      </c>
      <c r="F124" s="8">
        <f t="shared" si="8"/>
        <v>23</v>
      </c>
      <c r="G124" s="8">
        <f t="shared" si="9"/>
        <v>141</v>
      </c>
    </row>
    <row r="125" spans="1:7" ht="36" customHeight="1" x14ac:dyDescent="0.25">
      <c r="A125" s="45"/>
      <c r="B125" s="51"/>
      <c r="C125" s="10" t="s">
        <v>34</v>
      </c>
      <c r="D125" s="16" t="s">
        <v>658</v>
      </c>
      <c r="E125" s="17" t="s">
        <v>659</v>
      </c>
      <c r="F125" s="8">
        <f t="shared" si="8"/>
        <v>14</v>
      </c>
      <c r="G125" s="8">
        <f t="shared" si="9"/>
        <v>29</v>
      </c>
    </row>
    <row r="126" spans="1:7" ht="36" customHeight="1" x14ac:dyDescent="0.25">
      <c r="A126" s="44">
        <v>65</v>
      </c>
      <c r="B126" s="50" t="str">
        <f>D127</f>
        <v>爸爸当家 第二季 第15期上</v>
      </c>
      <c r="C126" s="10" t="s">
        <v>452</v>
      </c>
      <c r="D126" s="14" t="s">
        <v>660</v>
      </c>
      <c r="E126" s="15" t="s">
        <v>657</v>
      </c>
      <c r="F126" s="8">
        <f t="shared" si="8"/>
        <v>23</v>
      </c>
      <c r="G126" s="8">
        <f t="shared" si="9"/>
        <v>141</v>
      </c>
    </row>
    <row r="127" spans="1:7" ht="36" customHeight="1" x14ac:dyDescent="0.25">
      <c r="A127" s="45"/>
      <c r="B127" s="51"/>
      <c r="C127" s="10" t="s">
        <v>34</v>
      </c>
      <c r="D127" s="16" t="s">
        <v>661</v>
      </c>
      <c r="E127" s="17" t="s">
        <v>659</v>
      </c>
      <c r="F127" s="8">
        <f t="shared" si="8"/>
        <v>14</v>
      </c>
      <c r="G127" s="8">
        <f t="shared" si="9"/>
        <v>29</v>
      </c>
    </row>
    <row r="128" spans="1:7" ht="36" customHeight="1" x14ac:dyDescent="0.25">
      <c r="A128" s="44">
        <v>66</v>
      </c>
      <c r="B128" s="50" t="str">
        <f>D129</f>
        <v>爸爸当家 第二季 第14期下</v>
      </c>
      <c r="C128" s="10" t="s">
        <v>452</v>
      </c>
      <c r="D128" s="14" t="s">
        <v>662</v>
      </c>
      <c r="E128" s="15" t="s">
        <v>657</v>
      </c>
      <c r="F128" s="8">
        <f t="shared" si="8"/>
        <v>23</v>
      </c>
      <c r="G128" s="8">
        <f t="shared" si="9"/>
        <v>141</v>
      </c>
    </row>
    <row r="129" spans="1:7" ht="36" customHeight="1" x14ac:dyDescent="0.25">
      <c r="A129" s="45"/>
      <c r="B129" s="51"/>
      <c r="C129" s="10" t="s">
        <v>34</v>
      </c>
      <c r="D129" s="16" t="s">
        <v>663</v>
      </c>
      <c r="E129" s="17" t="s">
        <v>659</v>
      </c>
      <c r="F129" s="8">
        <f t="shared" si="8"/>
        <v>14</v>
      </c>
      <c r="G129" s="8">
        <f t="shared" si="9"/>
        <v>29</v>
      </c>
    </row>
    <row r="130" spans="1:7" ht="36" customHeight="1" x14ac:dyDescent="0.25">
      <c r="A130" s="44">
        <v>67</v>
      </c>
      <c r="B130" s="50" t="str">
        <f>D131</f>
        <v>爸爸当家 第二季 第14期上</v>
      </c>
      <c r="C130" s="10" t="s">
        <v>452</v>
      </c>
      <c r="D130" s="14" t="s">
        <v>664</v>
      </c>
      <c r="E130" s="15" t="s">
        <v>657</v>
      </c>
      <c r="F130" s="8">
        <f t="shared" si="8"/>
        <v>23</v>
      </c>
      <c r="G130" s="8">
        <f t="shared" si="9"/>
        <v>141</v>
      </c>
    </row>
    <row r="131" spans="1:7" ht="36" customHeight="1" x14ac:dyDescent="0.25">
      <c r="A131" s="45"/>
      <c r="B131" s="51"/>
      <c r="C131" s="10" t="s">
        <v>34</v>
      </c>
      <c r="D131" s="16" t="s">
        <v>665</v>
      </c>
      <c r="E131" s="17" t="s">
        <v>659</v>
      </c>
      <c r="F131" s="8">
        <f t="shared" si="8"/>
        <v>14</v>
      </c>
      <c r="G131" s="8">
        <f t="shared" si="9"/>
        <v>29</v>
      </c>
    </row>
    <row r="132" spans="1:7" ht="36" customHeight="1" x14ac:dyDescent="0.25">
      <c r="A132" s="44">
        <v>68</v>
      </c>
      <c r="B132" s="50" t="str">
        <f>D133</f>
        <v>快乐老友记 第二季 第1期</v>
      </c>
      <c r="C132" s="10" t="s">
        <v>452</v>
      </c>
      <c r="D132" s="14" t="s">
        <v>666</v>
      </c>
      <c r="E132" s="15" t="s">
        <v>667</v>
      </c>
      <c r="F132" s="8">
        <f t="shared" si="8"/>
        <v>20</v>
      </c>
      <c r="G132" s="8">
        <f t="shared" si="9"/>
        <v>88</v>
      </c>
    </row>
    <row r="133" spans="1:7" ht="36" customHeight="1" x14ac:dyDescent="0.25">
      <c r="A133" s="45"/>
      <c r="B133" s="51"/>
      <c r="C133" s="10" t="s">
        <v>34</v>
      </c>
      <c r="D133" s="16" t="s">
        <v>668</v>
      </c>
      <c r="E133" s="17" t="s">
        <v>669</v>
      </c>
      <c r="F133" s="8">
        <f t="shared" si="8"/>
        <v>13</v>
      </c>
      <c r="G133" s="8">
        <f t="shared" si="9"/>
        <v>41</v>
      </c>
    </row>
    <row r="134" spans="1:7" ht="36" customHeight="1" x14ac:dyDescent="0.25">
      <c r="A134" s="44">
        <v>69</v>
      </c>
      <c r="B134" s="50" t="str">
        <f>D135</f>
        <v>快乐老友记 第二季 超前企划</v>
      </c>
      <c r="C134" s="10" t="s">
        <v>452</v>
      </c>
      <c r="D134" s="14" t="s">
        <v>670</v>
      </c>
      <c r="E134" s="15" t="s">
        <v>667</v>
      </c>
      <c r="F134" s="8">
        <f t="shared" si="8"/>
        <v>22</v>
      </c>
      <c r="G134" s="8">
        <f t="shared" si="9"/>
        <v>88</v>
      </c>
    </row>
    <row r="135" spans="1:7" ht="36" customHeight="1" x14ac:dyDescent="0.25">
      <c r="A135" s="45"/>
      <c r="B135" s="51"/>
      <c r="C135" s="10" t="s">
        <v>34</v>
      </c>
      <c r="D135" s="16" t="s">
        <v>671</v>
      </c>
      <c r="E135" s="17" t="s">
        <v>669</v>
      </c>
      <c r="F135" s="8">
        <f t="shared" si="8"/>
        <v>14</v>
      </c>
      <c r="G135" s="8">
        <f t="shared" si="9"/>
        <v>41</v>
      </c>
    </row>
    <row r="136" spans="1:7" ht="36" customHeight="1" x14ac:dyDescent="0.25">
      <c r="A136" s="44">
        <v>70</v>
      </c>
      <c r="B136" s="50" t="str">
        <f>D137</f>
        <v>生活圈 元旦特别制作：健康开新年 新年要健康</v>
      </c>
      <c r="C136" s="10" t="s">
        <v>452</v>
      </c>
      <c r="D136" s="14" t="s">
        <v>672</v>
      </c>
      <c r="E136" s="15" t="s">
        <v>673</v>
      </c>
      <c r="F136" s="8">
        <f t="shared" si="8"/>
        <v>89</v>
      </c>
      <c r="G136" s="8">
        <f t="shared" si="9"/>
        <v>159</v>
      </c>
    </row>
    <row r="137" spans="1:7" ht="36" customHeight="1" x14ac:dyDescent="0.25">
      <c r="A137" s="45"/>
      <c r="B137" s="51"/>
      <c r="C137" s="10" t="s">
        <v>34</v>
      </c>
      <c r="D137" s="16" t="s">
        <v>674</v>
      </c>
      <c r="E137" s="17" t="s">
        <v>675</v>
      </c>
      <c r="F137" s="8">
        <f t="shared" si="8"/>
        <v>22</v>
      </c>
      <c r="G137" s="8">
        <f t="shared" si="9"/>
        <v>41</v>
      </c>
    </row>
    <row r="138" spans="1:7" ht="36" customHeight="1" x14ac:dyDescent="0.25">
      <c r="A138" s="44">
        <v>71</v>
      </c>
      <c r="B138" s="50" t="str">
        <f>D139</f>
        <v>四季流转年夜饭 第三季 3 家乡味道</v>
      </c>
      <c r="C138" s="10" t="s">
        <v>452</v>
      </c>
      <c r="D138" s="14" t="s">
        <v>676</v>
      </c>
      <c r="E138" s="15" t="s">
        <v>677</v>
      </c>
      <c r="F138" s="8">
        <f t="shared" si="8"/>
        <v>58</v>
      </c>
      <c r="G138" s="8">
        <f t="shared" si="9"/>
        <v>267</v>
      </c>
    </row>
    <row r="139" spans="1:7" ht="36" customHeight="1" x14ac:dyDescent="0.25">
      <c r="A139" s="45"/>
      <c r="B139" s="51"/>
      <c r="C139" s="10" t="s">
        <v>34</v>
      </c>
      <c r="D139" s="16" t="s">
        <v>678</v>
      </c>
      <c r="E139" s="17" t="s">
        <v>679</v>
      </c>
      <c r="F139" s="8">
        <f t="shared" si="8"/>
        <v>18</v>
      </c>
      <c r="G139" s="8">
        <f t="shared" si="9"/>
        <v>64</v>
      </c>
    </row>
    <row r="140" spans="1:7" ht="36" customHeight="1" x14ac:dyDescent="0.25">
      <c r="A140" s="44">
        <v>72</v>
      </c>
      <c r="B140" s="50" t="str">
        <f>D141</f>
        <v>四季流转年夜饭 第三季 2 落地生根</v>
      </c>
      <c r="C140" s="10" t="s">
        <v>452</v>
      </c>
      <c r="D140" s="14" t="s">
        <v>680</v>
      </c>
      <c r="E140" s="15" t="s">
        <v>677</v>
      </c>
      <c r="F140" s="8">
        <f t="shared" si="8"/>
        <v>68</v>
      </c>
      <c r="G140" s="8">
        <f t="shared" si="9"/>
        <v>267</v>
      </c>
    </row>
    <row r="141" spans="1:7" ht="36" customHeight="1" x14ac:dyDescent="0.25">
      <c r="A141" s="45"/>
      <c r="B141" s="51"/>
      <c r="C141" s="10" t="s">
        <v>34</v>
      </c>
      <c r="D141" s="16" t="s">
        <v>681</v>
      </c>
      <c r="E141" s="17" t="s">
        <v>679</v>
      </c>
      <c r="F141" s="8">
        <f t="shared" si="8"/>
        <v>18</v>
      </c>
      <c r="G141" s="8">
        <f t="shared" si="9"/>
        <v>64</v>
      </c>
    </row>
    <row r="142" spans="1:7" ht="36" customHeight="1" x14ac:dyDescent="0.25">
      <c r="A142" s="44">
        <v>73</v>
      </c>
      <c r="B142" s="50" t="str">
        <f>D143</f>
        <v>四季流转年夜饭 第三季 1 珍味丰年</v>
      </c>
      <c r="C142" s="10" t="s">
        <v>452</v>
      </c>
      <c r="D142" s="14" t="s">
        <v>682</v>
      </c>
      <c r="E142" s="15" t="s">
        <v>677</v>
      </c>
      <c r="F142" s="8">
        <f t="shared" si="8"/>
        <v>75</v>
      </c>
      <c r="G142" s="8">
        <f t="shared" si="9"/>
        <v>267</v>
      </c>
    </row>
    <row r="143" spans="1:7" ht="36" customHeight="1" x14ac:dyDescent="0.25">
      <c r="A143" s="45"/>
      <c r="B143" s="51"/>
      <c r="C143" s="10" t="s">
        <v>34</v>
      </c>
      <c r="D143" s="16" t="s">
        <v>683</v>
      </c>
      <c r="E143" s="17" t="s">
        <v>679</v>
      </c>
      <c r="F143" s="8">
        <f t="shared" si="8"/>
        <v>18</v>
      </c>
      <c r="G143" s="8">
        <f t="shared" si="9"/>
        <v>64</v>
      </c>
    </row>
    <row r="144" spans="1:7" ht="36" customHeight="1" x14ac:dyDescent="0.25">
      <c r="A144" s="44">
        <v>74</v>
      </c>
      <c r="B144" s="50" t="str">
        <f>D145</f>
        <v>巅峰食刻—中法厨王竞技 弓身披甲</v>
      </c>
      <c r="C144" s="10" t="s">
        <v>452</v>
      </c>
      <c r="D144" s="14" t="s">
        <v>684</v>
      </c>
      <c r="E144" s="15" t="s">
        <v>685</v>
      </c>
      <c r="F144" s="8">
        <f t="shared" si="8"/>
        <v>83</v>
      </c>
      <c r="G144" s="8">
        <f t="shared" si="9"/>
        <v>59</v>
      </c>
    </row>
    <row r="145" spans="1:7" ht="36" customHeight="1" x14ac:dyDescent="0.25">
      <c r="A145" s="45"/>
      <c r="B145" s="51"/>
      <c r="C145" s="10" t="s">
        <v>34</v>
      </c>
      <c r="D145" s="16" t="s">
        <v>686</v>
      </c>
      <c r="E145" s="17" t="s">
        <v>687</v>
      </c>
      <c r="F145" s="8">
        <f t="shared" si="8"/>
        <v>16</v>
      </c>
      <c r="G145" s="8">
        <f t="shared" si="9"/>
        <v>16</v>
      </c>
    </row>
    <row r="146" spans="1:7" ht="36" customHeight="1" x14ac:dyDescent="0.25">
      <c r="A146" s="44">
        <v>75</v>
      </c>
      <c r="B146" s="50" t="str">
        <f>D147</f>
        <v>三餐四季 20240707</v>
      </c>
      <c r="C146" s="10" t="s">
        <v>452</v>
      </c>
      <c r="D146" s="14" t="s">
        <v>688</v>
      </c>
      <c r="E146" s="15" t="s">
        <v>689</v>
      </c>
      <c r="F146" s="8">
        <f t="shared" si="8"/>
        <v>37</v>
      </c>
      <c r="G146" s="8">
        <f t="shared" si="9"/>
        <v>137</v>
      </c>
    </row>
    <row r="147" spans="1:7" ht="36" customHeight="1" x14ac:dyDescent="0.25">
      <c r="A147" s="45"/>
      <c r="B147" s="51"/>
      <c r="C147" s="10" t="s">
        <v>34</v>
      </c>
      <c r="D147" s="16" t="s">
        <v>690</v>
      </c>
      <c r="E147" s="17" t="s">
        <v>691</v>
      </c>
      <c r="F147" s="8">
        <f t="shared" si="8"/>
        <v>13</v>
      </c>
      <c r="G147" s="8">
        <f t="shared" si="9"/>
        <v>43</v>
      </c>
    </row>
    <row r="148" spans="1:7" ht="36" customHeight="1" x14ac:dyDescent="0.25">
      <c r="A148" s="44">
        <v>76</v>
      </c>
      <c r="B148" s="50" t="str">
        <f>D149</f>
        <v>山水间的家 第三季 20240908</v>
      </c>
      <c r="C148" s="10" t="s">
        <v>452</v>
      </c>
      <c r="D148" s="14" t="s">
        <v>692</v>
      </c>
      <c r="E148" s="15" t="s">
        <v>693</v>
      </c>
      <c r="F148" s="8">
        <f t="shared" si="8"/>
        <v>51</v>
      </c>
      <c r="G148" s="8">
        <f t="shared" si="9"/>
        <v>226</v>
      </c>
    </row>
    <row r="149" spans="1:7" ht="36" customHeight="1" x14ac:dyDescent="0.25">
      <c r="A149" s="45"/>
      <c r="B149" s="51"/>
      <c r="C149" s="10" t="s">
        <v>34</v>
      </c>
      <c r="D149" s="16" t="s">
        <v>694</v>
      </c>
      <c r="E149" s="17" t="s">
        <v>695</v>
      </c>
      <c r="F149" s="8">
        <f t="shared" si="8"/>
        <v>18</v>
      </c>
      <c r="G149" s="8">
        <f t="shared" si="9"/>
        <v>43</v>
      </c>
    </row>
    <row r="150" spans="1:7" ht="36" customHeight="1" x14ac:dyDescent="0.25">
      <c r="A150" s="44">
        <v>77</v>
      </c>
      <c r="B150" s="50" t="str">
        <f>D151</f>
        <v>健身动起来 奥运冠军带我练</v>
      </c>
      <c r="C150" s="10" t="s">
        <v>452</v>
      </c>
      <c r="D150" s="14" t="s">
        <v>696</v>
      </c>
      <c r="E150" s="15" t="s">
        <v>697</v>
      </c>
      <c r="F150" s="8">
        <f t="shared" si="8"/>
        <v>65</v>
      </c>
      <c r="G150" s="8">
        <f t="shared" si="9"/>
        <v>207</v>
      </c>
    </row>
    <row r="151" spans="1:7" ht="36" customHeight="1" x14ac:dyDescent="0.25">
      <c r="A151" s="45"/>
      <c r="B151" s="51"/>
      <c r="C151" s="10" t="s">
        <v>34</v>
      </c>
      <c r="D151" s="16" t="s">
        <v>698</v>
      </c>
      <c r="E151" s="17" t="s">
        <v>699</v>
      </c>
      <c r="F151" s="8">
        <f t="shared" si="8"/>
        <v>13</v>
      </c>
      <c r="G151" s="8">
        <f t="shared" si="9"/>
        <v>64</v>
      </c>
    </row>
    <row r="152" spans="1:7" ht="36" customHeight="1" x14ac:dyDescent="0.25">
      <c r="A152" s="44">
        <v>78</v>
      </c>
      <c r="B152" s="50" t="str">
        <f>D153</f>
        <v>台球 斯诺克武汉公开赛第3轮：丁俊晖VS袁思俊</v>
      </c>
      <c r="C152" s="10" t="s">
        <v>452</v>
      </c>
      <c r="D152" s="14" t="s">
        <v>700</v>
      </c>
      <c r="E152" s="15" t="s">
        <v>701</v>
      </c>
      <c r="F152" s="8">
        <f t="shared" si="8"/>
        <v>66</v>
      </c>
      <c r="G152" s="8">
        <f t="shared" si="9"/>
        <v>131</v>
      </c>
    </row>
    <row r="153" spans="1:7" ht="36" customHeight="1" x14ac:dyDescent="0.25">
      <c r="A153" s="45"/>
      <c r="B153" s="51"/>
      <c r="C153" s="10" t="s">
        <v>34</v>
      </c>
      <c r="D153" s="16" t="s">
        <v>702</v>
      </c>
      <c r="E153" s="17" t="s">
        <v>703</v>
      </c>
      <c r="F153" s="8">
        <f t="shared" si="8"/>
        <v>23</v>
      </c>
      <c r="G153" s="8">
        <f t="shared" si="9"/>
        <v>41</v>
      </c>
    </row>
    <row r="154" spans="1:7" ht="36" customHeight="1" x14ac:dyDescent="0.25">
      <c r="A154" s="44">
        <v>79</v>
      </c>
      <c r="B154" s="50" t="str">
        <f>D155</f>
        <v>天下足球 姆巴佩：渐入佳境</v>
      </c>
      <c r="C154" s="10" t="s">
        <v>452</v>
      </c>
      <c r="D154" s="14" t="s">
        <v>704</v>
      </c>
      <c r="E154" s="15" t="s">
        <v>705</v>
      </c>
      <c r="F154" s="8">
        <f t="shared" si="8"/>
        <v>41</v>
      </c>
      <c r="G154" s="8">
        <f t="shared" si="9"/>
        <v>84</v>
      </c>
    </row>
    <row r="155" spans="1:7" ht="36" customHeight="1" x14ac:dyDescent="0.25">
      <c r="A155" s="45"/>
      <c r="B155" s="51"/>
      <c r="C155" s="10" t="s">
        <v>34</v>
      </c>
      <c r="D155" s="16" t="s">
        <v>706</v>
      </c>
      <c r="E155" s="17" t="s">
        <v>707</v>
      </c>
      <c r="F155" s="8">
        <f t="shared" si="8"/>
        <v>13</v>
      </c>
      <c r="G155" s="8">
        <f t="shared" si="9"/>
        <v>22</v>
      </c>
    </row>
    <row r="156" spans="1:7" ht="36" customHeight="1" x14ac:dyDescent="0.25">
      <c r="A156" s="44">
        <v>80</v>
      </c>
      <c r="B156" s="50" t="str">
        <f>D157</f>
        <v>天下足球 十大退役再复出</v>
      </c>
      <c r="C156" s="10" t="s">
        <v>452</v>
      </c>
      <c r="D156" s="14" t="s">
        <v>708</v>
      </c>
      <c r="E156" s="15" t="s">
        <v>705</v>
      </c>
      <c r="F156" s="8">
        <f t="shared" si="8"/>
        <v>44</v>
      </c>
      <c r="G156" s="8">
        <f t="shared" si="9"/>
        <v>84</v>
      </c>
    </row>
    <row r="157" spans="1:7" ht="36" customHeight="1" x14ac:dyDescent="0.25">
      <c r="A157" s="45"/>
      <c r="B157" s="51"/>
      <c r="C157" s="10" t="s">
        <v>34</v>
      </c>
      <c r="D157" s="16" t="s">
        <v>709</v>
      </c>
      <c r="E157" s="17" t="s">
        <v>707</v>
      </c>
      <c r="F157" s="8">
        <f t="shared" si="8"/>
        <v>12</v>
      </c>
      <c r="G157" s="8">
        <f t="shared" si="9"/>
        <v>22</v>
      </c>
    </row>
    <row r="158" spans="1:7" ht="36" customHeight="1" x14ac:dyDescent="0.25">
      <c r="A158" s="44">
        <v>81</v>
      </c>
      <c r="B158" s="50" t="str">
        <f>D159</f>
        <v>篮球公园 山东男篮主帅邱彪</v>
      </c>
      <c r="C158" s="10" t="s">
        <v>452</v>
      </c>
      <c r="D158" s="14" t="s">
        <v>710</v>
      </c>
      <c r="E158" s="15" t="s">
        <v>711</v>
      </c>
      <c r="F158" s="8">
        <f t="shared" si="8"/>
        <v>57</v>
      </c>
      <c r="G158" s="8">
        <f t="shared" si="9"/>
        <v>108</v>
      </c>
    </row>
    <row r="159" spans="1:7" ht="36" customHeight="1" x14ac:dyDescent="0.25">
      <c r="A159" s="45"/>
      <c r="B159" s="51"/>
      <c r="C159" s="10" t="s">
        <v>34</v>
      </c>
      <c r="D159" s="16" t="s">
        <v>712</v>
      </c>
      <c r="E159" s="17" t="s">
        <v>713</v>
      </c>
      <c r="F159" s="8">
        <f t="shared" si="8"/>
        <v>13</v>
      </c>
      <c r="G159" s="8">
        <f t="shared" si="9"/>
        <v>35</v>
      </c>
    </row>
    <row r="160" spans="1:7" ht="36" customHeight="1" x14ac:dyDescent="0.25">
      <c r="A160" s="44">
        <v>82</v>
      </c>
      <c r="B160" s="50" t="str">
        <f>D161</f>
        <v>篮球公园 一城一队一帅：杨鸣</v>
      </c>
      <c r="C160" s="10" t="s">
        <v>452</v>
      </c>
      <c r="D160" s="14" t="s">
        <v>714</v>
      </c>
      <c r="E160" s="15" t="s">
        <v>711</v>
      </c>
      <c r="F160" s="8">
        <f t="shared" si="8"/>
        <v>50</v>
      </c>
      <c r="G160" s="8">
        <f t="shared" si="9"/>
        <v>108</v>
      </c>
    </row>
    <row r="161" spans="1:7" ht="36" customHeight="1" x14ac:dyDescent="0.25">
      <c r="A161" s="45"/>
      <c r="B161" s="51"/>
      <c r="C161" s="10" t="s">
        <v>34</v>
      </c>
      <c r="D161" s="16" t="s">
        <v>715</v>
      </c>
      <c r="E161" s="17" t="s">
        <v>713</v>
      </c>
      <c r="F161" s="8">
        <f t="shared" si="8"/>
        <v>14</v>
      </c>
      <c r="G161" s="8">
        <f t="shared" si="9"/>
        <v>35</v>
      </c>
    </row>
    <row r="162" spans="1:7" ht="36" customHeight="1" x14ac:dyDescent="0.25">
      <c r="A162" s="44">
        <v>83</v>
      </c>
      <c r="B162" s="50" t="str">
        <f>D163</f>
        <v>国际篮联赛事集锦 2</v>
      </c>
      <c r="C162" s="10" t="s">
        <v>452</v>
      </c>
      <c r="D162" s="14" t="s">
        <v>716</v>
      </c>
      <c r="E162" s="15" t="s">
        <v>717</v>
      </c>
      <c r="F162" s="8">
        <f t="shared" si="8"/>
        <v>26</v>
      </c>
      <c r="G162" s="8">
        <f t="shared" si="9"/>
        <v>82</v>
      </c>
    </row>
    <row r="163" spans="1:7" ht="36" customHeight="1" x14ac:dyDescent="0.25">
      <c r="A163" s="45"/>
      <c r="B163" s="51"/>
      <c r="C163" s="10" t="s">
        <v>34</v>
      </c>
      <c r="D163" s="16" t="s">
        <v>718</v>
      </c>
      <c r="E163" s="17" t="s">
        <v>719</v>
      </c>
      <c r="F163" s="8">
        <f t="shared" si="8"/>
        <v>10</v>
      </c>
      <c r="G163" s="8">
        <f t="shared" si="9"/>
        <v>29</v>
      </c>
    </row>
    <row r="164" spans="1:7" ht="36" customHeight="1" x14ac:dyDescent="0.25">
      <c r="A164" s="44">
        <v>84</v>
      </c>
      <c r="B164" s="50" t="str">
        <f>D165</f>
        <v>燃情竞技高尔夫 2</v>
      </c>
      <c r="C164" s="10" t="s">
        <v>452</v>
      </c>
      <c r="D164" s="14" t="s">
        <v>720</v>
      </c>
      <c r="E164" s="15" t="s">
        <v>721</v>
      </c>
      <c r="F164" s="8">
        <f t="shared" si="8"/>
        <v>21</v>
      </c>
      <c r="G164" s="8">
        <f t="shared" si="9"/>
        <v>203</v>
      </c>
    </row>
    <row r="165" spans="1:7" ht="36" customHeight="1" x14ac:dyDescent="0.25">
      <c r="A165" s="45"/>
      <c r="B165" s="51"/>
      <c r="C165" s="10" t="s">
        <v>34</v>
      </c>
      <c r="D165" s="16" t="s">
        <v>722</v>
      </c>
      <c r="E165" s="17" t="s">
        <v>723</v>
      </c>
      <c r="F165" s="8">
        <f t="shared" si="8"/>
        <v>9</v>
      </c>
      <c r="G165" s="8">
        <f t="shared" si="9"/>
        <v>35</v>
      </c>
    </row>
    <row r="166" spans="1:7" ht="36" customHeight="1" x14ac:dyDescent="0.25">
      <c r="A166" s="44">
        <v>85</v>
      </c>
      <c r="B166" s="50" t="str">
        <f>D167</f>
        <v>内线：F1方程式赛车 2</v>
      </c>
      <c r="C166" s="10" t="s">
        <v>452</v>
      </c>
      <c r="D166" s="14" t="s">
        <v>724</v>
      </c>
      <c r="E166" s="15" t="s">
        <v>725</v>
      </c>
      <c r="F166" s="8">
        <f t="shared" si="8"/>
        <v>20</v>
      </c>
      <c r="G166" s="8">
        <f t="shared" si="9"/>
        <v>108</v>
      </c>
    </row>
    <row r="167" spans="1:7" ht="36" customHeight="1" x14ac:dyDescent="0.25">
      <c r="A167" s="45"/>
      <c r="B167" s="51"/>
      <c r="C167" s="10" t="s">
        <v>34</v>
      </c>
      <c r="D167" s="16" t="s">
        <v>726</v>
      </c>
      <c r="E167" s="22" t="s">
        <v>727</v>
      </c>
      <c r="F167" s="8">
        <f t="shared" si="8"/>
        <v>12</v>
      </c>
      <c r="G167" s="8">
        <f t="shared" si="9"/>
        <v>13</v>
      </c>
    </row>
    <row r="168" spans="1:7" ht="36" customHeight="1" x14ac:dyDescent="0.25">
      <c r="A168" s="44">
        <v>86</v>
      </c>
      <c r="B168" s="50" t="str">
        <f>D169</f>
        <v>极限悬崖跳水 3</v>
      </c>
      <c r="C168" s="10" t="s">
        <v>452</v>
      </c>
      <c r="D168" s="14" t="s">
        <v>728</v>
      </c>
      <c r="E168" s="15" t="s">
        <v>729</v>
      </c>
      <c r="F168" s="8">
        <f t="shared" si="8"/>
        <v>20</v>
      </c>
      <c r="G168" s="8">
        <f t="shared" si="9"/>
        <v>244</v>
      </c>
    </row>
    <row r="169" spans="1:7" ht="36" customHeight="1" x14ac:dyDescent="0.25">
      <c r="A169" s="45"/>
      <c r="B169" s="51"/>
      <c r="C169" s="10" t="s">
        <v>34</v>
      </c>
      <c r="D169" s="16" t="s">
        <v>730</v>
      </c>
      <c r="E169" s="17" t="s">
        <v>731</v>
      </c>
      <c r="F169" s="8">
        <f t="shared" si="8"/>
        <v>8</v>
      </c>
      <c r="G169" s="8">
        <f t="shared" si="9"/>
        <v>19</v>
      </c>
    </row>
    <row r="170" spans="1:7" ht="36" customHeight="1" x14ac:dyDescent="0.25">
      <c r="A170" s="44">
        <v>87</v>
      </c>
      <c r="B170" s="50" t="str">
        <f>D171</f>
        <v>体坛最极致 4</v>
      </c>
      <c r="C170" s="10" t="s">
        <v>452</v>
      </c>
      <c r="D170" s="14" t="s">
        <v>732</v>
      </c>
      <c r="E170" s="15" t="s">
        <v>733</v>
      </c>
      <c r="F170" s="8">
        <f t="shared" si="8"/>
        <v>29</v>
      </c>
      <c r="G170" s="8">
        <f t="shared" si="9"/>
        <v>54</v>
      </c>
    </row>
    <row r="171" spans="1:7" ht="36" customHeight="1" x14ac:dyDescent="0.25">
      <c r="A171" s="45"/>
      <c r="B171" s="51"/>
      <c r="C171" s="10" t="s">
        <v>34</v>
      </c>
      <c r="D171" s="16" t="s">
        <v>734</v>
      </c>
      <c r="E171" s="17" t="s">
        <v>735</v>
      </c>
      <c r="F171" s="8">
        <f t="shared" si="8"/>
        <v>7</v>
      </c>
      <c r="G171" s="8">
        <f t="shared" si="9"/>
        <v>34</v>
      </c>
    </row>
    <row r="172" spans="1:7" ht="36" customHeight="1" x14ac:dyDescent="0.25">
      <c r="A172" s="44">
        <v>88</v>
      </c>
      <c r="B172" s="50" t="str">
        <f>D173</f>
        <v>电子竞技场 79</v>
      </c>
      <c r="C172" s="10" t="s">
        <v>452</v>
      </c>
      <c r="D172" s="21" t="s">
        <v>736</v>
      </c>
      <c r="E172" s="15" t="s">
        <v>737</v>
      </c>
      <c r="F172" s="8">
        <f t="shared" si="8"/>
        <v>16</v>
      </c>
      <c r="G172" s="8">
        <f t="shared" si="9"/>
        <v>120</v>
      </c>
    </row>
    <row r="173" spans="1:7" ht="36" customHeight="1" x14ac:dyDescent="0.25">
      <c r="A173" s="45"/>
      <c r="B173" s="51"/>
      <c r="C173" s="10" t="s">
        <v>34</v>
      </c>
      <c r="D173" s="16" t="s">
        <v>738</v>
      </c>
      <c r="E173" s="17" t="s">
        <v>739</v>
      </c>
      <c r="F173" s="8">
        <f t="shared" si="8"/>
        <v>8</v>
      </c>
      <c r="G173" s="8">
        <f t="shared" si="9"/>
        <v>41</v>
      </c>
    </row>
    <row r="174" spans="1:7" ht="36" customHeight="1" x14ac:dyDescent="0.25">
      <c r="A174" s="44">
        <v>89</v>
      </c>
      <c r="B174" s="50" t="str">
        <f>D175</f>
        <v>电子竞技场 78</v>
      </c>
      <c r="C174" s="10" t="s">
        <v>452</v>
      </c>
      <c r="D174" s="21" t="s">
        <v>740</v>
      </c>
      <c r="E174" s="15" t="s">
        <v>737</v>
      </c>
      <c r="F174" s="8">
        <f t="shared" si="8"/>
        <v>16</v>
      </c>
      <c r="G174" s="8">
        <f t="shared" si="9"/>
        <v>120</v>
      </c>
    </row>
    <row r="175" spans="1:7" ht="36" customHeight="1" x14ac:dyDescent="0.25">
      <c r="A175" s="45"/>
      <c r="B175" s="51"/>
      <c r="C175" s="10" t="s">
        <v>34</v>
      </c>
      <c r="D175" s="16" t="s">
        <v>741</v>
      </c>
      <c r="E175" s="17" t="s">
        <v>739</v>
      </c>
      <c r="F175" s="8">
        <f t="shared" si="8"/>
        <v>8</v>
      </c>
      <c r="G175" s="8">
        <f t="shared" si="9"/>
        <v>41</v>
      </c>
    </row>
    <row r="176" spans="1:7" ht="36" customHeight="1" x14ac:dyDescent="0.25">
      <c r="A176" s="44">
        <v>90</v>
      </c>
      <c r="B176" s="50" t="str">
        <f>D177</f>
        <v>一年一度喜剧大赛 第一季 1</v>
      </c>
      <c r="C176" s="10" t="s">
        <v>452</v>
      </c>
      <c r="D176" s="14" t="s">
        <v>742</v>
      </c>
      <c r="E176" s="15" t="s">
        <v>743</v>
      </c>
      <c r="F176" s="8">
        <f t="shared" si="8"/>
        <v>24</v>
      </c>
      <c r="G176" s="8">
        <f t="shared" si="9"/>
        <v>29</v>
      </c>
    </row>
    <row r="177" spans="1:7" ht="36" customHeight="1" x14ac:dyDescent="0.25">
      <c r="A177" s="45"/>
      <c r="B177" s="51"/>
      <c r="C177" s="10" t="s">
        <v>34</v>
      </c>
      <c r="D177" s="16" t="s">
        <v>744</v>
      </c>
      <c r="E177" s="17" t="s">
        <v>745</v>
      </c>
      <c r="F177" s="8">
        <f t="shared" si="8"/>
        <v>14</v>
      </c>
      <c r="G177" s="8">
        <f t="shared" si="9"/>
        <v>9</v>
      </c>
    </row>
    <row r="178" spans="1:7" ht="36" customHeight="1" x14ac:dyDescent="0.25">
      <c r="A178" s="44">
        <v>91</v>
      </c>
      <c r="B178" s="50" t="str">
        <f>D179</f>
        <v>星光大道 这一站 星光 20240608</v>
      </c>
      <c r="C178" s="10" t="s">
        <v>452</v>
      </c>
      <c r="D178" s="14" t="s">
        <v>746</v>
      </c>
      <c r="E178" s="15" t="s">
        <v>747</v>
      </c>
      <c r="F178" s="8">
        <f t="shared" si="8"/>
        <v>48</v>
      </c>
      <c r="G178" s="8">
        <f t="shared" si="9"/>
        <v>124</v>
      </c>
    </row>
    <row r="179" spans="1:7" ht="36" customHeight="1" x14ac:dyDescent="0.25">
      <c r="A179" s="45"/>
      <c r="B179" s="51"/>
      <c r="C179" s="10" t="s">
        <v>34</v>
      </c>
      <c r="D179" s="16" t="s">
        <v>748</v>
      </c>
      <c r="E179" s="17" t="s">
        <v>749</v>
      </c>
      <c r="F179" s="8">
        <f t="shared" si="8"/>
        <v>20</v>
      </c>
      <c r="G179" s="8">
        <f t="shared" si="9"/>
        <v>33</v>
      </c>
    </row>
    <row r="180" spans="1:7" ht="36" customHeight="1" x14ac:dyDescent="0.25">
      <c r="A180" s="44">
        <v>92</v>
      </c>
      <c r="B180" s="50" t="str">
        <f>D181</f>
        <v>开门大吉 20240826</v>
      </c>
      <c r="C180" s="10" t="s">
        <v>452</v>
      </c>
      <c r="D180" s="14" t="s">
        <v>750</v>
      </c>
      <c r="E180" s="15" t="s">
        <v>751</v>
      </c>
      <c r="F180" s="8">
        <f t="shared" si="8"/>
        <v>35</v>
      </c>
      <c r="G180" s="8">
        <f t="shared" si="9"/>
        <v>228</v>
      </c>
    </row>
    <row r="181" spans="1:7" ht="36" customHeight="1" x14ac:dyDescent="0.25">
      <c r="A181" s="45"/>
      <c r="B181" s="51"/>
      <c r="C181" s="10" t="s">
        <v>34</v>
      </c>
      <c r="D181" s="16" t="s">
        <v>752</v>
      </c>
      <c r="E181" s="17" t="s">
        <v>753</v>
      </c>
      <c r="F181" s="8">
        <f t="shared" si="8"/>
        <v>13</v>
      </c>
      <c r="G181" s="8">
        <f t="shared" si="9"/>
        <v>58</v>
      </c>
    </row>
    <row r="182" spans="1:7" ht="36" customHeight="1" x14ac:dyDescent="0.25">
      <c r="A182" s="44">
        <v>93</v>
      </c>
      <c r="B182" s="50" t="str">
        <f>D183</f>
        <v>吉聚欢喜 20230123</v>
      </c>
      <c r="C182" s="10" t="s">
        <v>452</v>
      </c>
      <c r="D182" s="23" t="s">
        <v>754</v>
      </c>
      <c r="E182" s="15" t="s">
        <v>755</v>
      </c>
      <c r="F182" s="8">
        <f t="shared" si="8"/>
        <v>46</v>
      </c>
      <c r="G182" s="8">
        <f t="shared" si="9"/>
        <v>45</v>
      </c>
    </row>
    <row r="183" spans="1:7" ht="36" customHeight="1" x14ac:dyDescent="0.25">
      <c r="A183" s="45"/>
      <c r="B183" s="51"/>
      <c r="C183" s="10" t="s">
        <v>34</v>
      </c>
      <c r="D183" s="16" t="s">
        <v>756</v>
      </c>
      <c r="E183" s="17" t="s">
        <v>757</v>
      </c>
      <c r="F183" s="8">
        <f t="shared" si="8"/>
        <v>13</v>
      </c>
      <c r="G183" s="8">
        <f t="shared" si="9"/>
        <v>15</v>
      </c>
    </row>
    <row r="184" spans="1:7" ht="36" customHeight="1" x14ac:dyDescent="0.25">
      <c r="A184" s="44">
        <v>94</v>
      </c>
      <c r="B184" s="50" t="str">
        <f>D185</f>
        <v>轻松一笑 第二十一季 11</v>
      </c>
      <c r="C184" s="10" t="s">
        <v>452</v>
      </c>
      <c r="D184" s="14" t="s">
        <v>758</v>
      </c>
      <c r="E184" s="15" t="s">
        <v>759</v>
      </c>
      <c r="F184" s="8">
        <f t="shared" si="8"/>
        <v>27</v>
      </c>
      <c r="G184" s="8">
        <f t="shared" si="9"/>
        <v>111</v>
      </c>
    </row>
    <row r="185" spans="1:7" ht="36" customHeight="1" x14ac:dyDescent="0.25">
      <c r="A185" s="45"/>
      <c r="B185" s="51"/>
      <c r="C185" s="10" t="s">
        <v>34</v>
      </c>
      <c r="D185" s="16" t="s">
        <v>760</v>
      </c>
      <c r="E185" s="17" t="s">
        <v>761</v>
      </c>
      <c r="F185" s="8">
        <f t="shared" ref="F185:F198" si="10">LEN(D185)</f>
        <v>13</v>
      </c>
      <c r="G185" s="8">
        <f t="shared" ref="G185:G198" si="11">LEN(E185)</f>
        <v>26</v>
      </c>
    </row>
    <row r="186" spans="1:7" ht="36" customHeight="1" x14ac:dyDescent="0.25">
      <c r="A186" s="44">
        <v>95</v>
      </c>
      <c r="B186" s="50" t="str">
        <f>D187</f>
        <v>时光音乐会·老友记 2</v>
      </c>
      <c r="C186" s="10" t="s">
        <v>452</v>
      </c>
      <c r="D186" s="14" t="s">
        <v>762</v>
      </c>
      <c r="E186" s="15" t="s">
        <v>763</v>
      </c>
      <c r="F186" s="8">
        <f t="shared" si="10"/>
        <v>29</v>
      </c>
      <c r="G186" s="8">
        <f t="shared" si="11"/>
        <v>87</v>
      </c>
    </row>
    <row r="187" spans="1:7" ht="36" customHeight="1" x14ac:dyDescent="0.25">
      <c r="A187" s="45"/>
      <c r="B187" s="51"/>
      <c r="C187" s="10" t="s">
        <v>34</v>
      </c>
      <c r="D187" s="16" t="s">
        <v>764</v>
      </c>
      <c r="E187" s="17" t="s">
        <v>765</v>
      </c>
      <c r="F187" s="8">
        <f t="shared" si="10"/>
        <v>11</v>
      </c>
      <c r="G187" s="8">
        <f t="shared" si="11"/>
        <v>44</v>
      </c>
    </row>
    <row r="188" spans="1:7" ht="36" customHeight="1" x14ac:dyDescent="0.25">
      <c r="A188" s="44">
        <v>96</v>
      </c>
      <c r="B188" s="50" t="str">
        <f>D189</f>
        <v>时光音乐会·老友记 1</v>
      </c>
      <c r="C188" s="10" t="s">
        <v>452</v>
      </c>
      <c r="D188" s="14" t="s">
        <v>766</v>
      </c>
      <c r="E188" s="15" t="s">
        <v>763</v>
      </c>
      <c r="F188" s="8">
        <f t="shared" si="10"/>
        <v>29</v>
      </c>
      <c r="G188" s="8">
        <f t="shared" si="11"/>
        <v>87</v>
      </c>
    </row>
    <row r="189" spans="1:7" ht="36" customHeight="1" x14ac:dyDescent="0.25">
      <c r="A189" s="45"/>
      <c r="B189" s="51"/>
      <c r="C189" s="10" t="s">
        <v>34</v>
      </c>
      <c r="D189" s="16" t="s">
        <v>767</v>
      </c>
      <c r="E189" s="17" t="s">
        <v>765</v>
      </c>
      <c r="F189" s="8">
        <f t="shared" si="10"/>
        <v>11</v>
      </c>
      <c r="G189" s="8">
        <f t="shared" si="11"/>
        <v>44</v>
      </c>
    </row>
    <row r="190" spans="1:7" ht="36" customHeight="1" x14ac:dyDescent="0.25">
      <c r="A190" s="44">
        <v>97</v>
      </c>
      <c r="B190" s="50" t="str">
        <f>D191</f>
        <v>歌手2024 12</v>
      </c>
      <c r="C190" s="10" t="s">
        <v>452</v>
      </c>
      <c r="D190" s="14" t="s">
        <v>768</v>
      </c>
      <c r="E190" s="24" t="s">
        <v>769</v>
      </c>
      <c r="F190" s="8">
        <f t="shared" si="10"/>
        <v>15</v>
      </c>
      <c r="G190" s="8">
        <f t="shared" si="11"/>
        <v>91</v>
      </c>
    </row>
    <row r="191" spans="1:7" ht="36" customHeight="1" x14ac:dyDescent="0.25">
      <c r="A191" s="45"/>
      <c r="B191" s="51"/>
      <c r="C191" s="10" t="s">
        <v>34</v>
      </c>
      <c r="D191" s="16" t="s">
        <v>770</v>
      </c>
      <c r="E191" s="17" t="s">
        <v>771</v>
      </c>
      <c r="F191" s="8">
        <f t="shared" si="10"/>
        <v>9</v>
      </c>
      <c r="G191" s="8">
        <f t="shared" si="11"/>
        <v>33</v>
      </c>
    </row>
    <row r="192" spans="1:7" ht="36" customHeight="1" x14ac:dyDescent="0.25">
      <c r="A192" s="44">
        <v>98</v>
      </c>
      <c r="B192" s="50" t="str">
        <f>D193</f>
        <v>2024维也纳新年音乐会</v>
      </c>
      <c r="C192" s="10" t="s">
        <v>452</v>
      </c>
      <c r="D192" s="21" t="s">
        <v>772</v>
      </c>
      <c r="E192" s="15" t="s">
        <v>773</v>
      </c>
      <c r="F192" s="8">
        <f t="shared" si="10"/>
        <v>30</v>
      </c>
      <c r="G192" s="8">
        <f t="shared" si="11"/>
        <v>83</v>
      </c>
    </row>
    <row r="193" spans="1:7" ht="36" customHeight="1" x14ac:dyDescent="0.25">
      <c r="A193" s="45"/>
      <c r="B193" s="51"/>
      <c r="C193" s="10" t="s">
        <v>34</v>
      </c>
      <c r="D193" s="16" t="s">
        <v>774</v>
      </c>
      <c r="E193" s="17" t="s">
        <v>775</v>
      </c>
      <c r="F193" s="8">
        <f t="shared" si="10"/>
        <v>12</v>
      </c>
      <c r="G193" s="8">
        <f t="shared" si="11"/>
        <v>26</v>
      </c>
    </row>
    <row r="194" spans="1:7" ht="36" customHeight="1" x14ac:dyDescent="0.25">
      <c r="A194" s="44">
        <v>99</v>
      </c>
      <c r="B194" s="50" t="str">
        <f>D195</f>
        <v>精彩音乐汇 我的爱对你说 20241012</v>
      </c>
      <c r="C194" s="10" t="s">
        <v>452</v>
      </c>
      <c r="D194" s="21" t="s">
        <v>776</v>
      </c>
      <c r="E194" s="15" t="s">
        <v>777</v>
      </c>
      <c r="F194" s="8">
        <f t="shared" si="10"/>
        <v>56</v>
      </c>
      <c r="G194" s="8">
        <f t="shared" si="11"/>
        <v>158</v>
      </c>
    </row>
    <row r="195" spans="1:7" ht="36" customHeight="1" x14ac:dyDescent="0.25">
      <c r="A195" s="45"/>
      <c r="B195" s="51"/>
      <c r="C195" s="10" t="s">
        <v>34</v>
      </c>
      <c r="D195" s="16" t="s">
        <v>778</v>
      </c>
      <c r="E195" s="17" t="s">
        <v>779</v>
      </c>
      <c r="F195" s="8">
        <f t="shared" si="10"/>
        <v>21</v>
      </c>
      <c r="G195" s="8">
        <f t="shared" si="11"/>
        <v>54</v>
      </c>
    </row>
    <row r="196" spans="1:7" ht="36" customHeight="1" x14ac:dyDescent="0.25">
      <c r="A196" s="44">
        <v>100</v>
      </c>
      <c r="B196" s="50" t="str">
        <f>D197</f>
        <v>中国节日 2 春节（下）</v>
      </c>
      <c r="C196" s="10" t="s">
        <v>452</v>
      </c>
      <c r="D196" s="14" t="s">
        <v>780</v>
      </c>
      <c r="E196" s="15" t="s">
        <v>781</v>
      </c>
      <c r="F196" s="8">
        <f t="shared" si="10"/>
        <v>43</v>
      </c>
      <c r="G196" s="8">
        <f t="shared" si="11"/>
        <v>196</v>
      </c>
    </row>
    <row r="197" spans="1:7" ht="36" customHeight="1" x14ac:dyDescent="0.25">
      <c r="A197" s="45"/>
      <c r="B197" s="51"/>
      <c r="C197" s="10" t="s">
        <v>34</v>
      </c>
      <c r="D197" s="16" t="s">
        <v>782</v>
      </c>
      <c r="E197" s="17" t="s">
        <v>783</v>
      </c>
      <c r="F197" s="8">
        <f t="shared" si="10"/>
        <v>12</v>
      </c>
      <c r="G197" s="8">
        <f t="shared" si="11"/>
        <v>41</v>
      </c>
    </row>
    <row r="198" spans="1:7" ht="36" customHeight="1" x14ac:dyDescent="0.25">
      <c r="A198" s="44">
        <v>101</v>
      </c>
      <c r="B198" s="50" t="str">
        <f>D199</f>
        <v>中国节日 1 春节（上）</v>
      </c>
      <c r="C198" s="10" t="s">
        <v>452</v>
      </c>
      <c r="D198" s="14" t="s">
        <v>784</v>
      </c>
      <c r="E198" s="15" t="s">
        <v>781</v>
      </c>
      <c r="F198" s="8">
        <f t="shared" si="10"/>
        <v>43</v>
      </c>
      <c r="G198" s="8">
        <f t="shared" si="11"/>
        <v>196</v>
      </c>
    </row>
    <row r="199" spans="1:7" ht="36" customHeight="1" x14ac:dyDescent="0.25">
      <c r="A199" s="45"/>
      <c r="B199" s="51"/>
      <c r="C199" s="10" t="s">
        <v>34</v>
      </c>
      <c r="D199" s="16" t="s">
        <v>785</v>
      </c>
      <c r="E199" s="17" t="s">
        <v>783</v>
      </c>
      <c r="F199" s="8">
        <f t="shared" ref="F199:F211" si="12">LEN(D199)</f>
        <v>12</v>
      </c>
      <c r="G199" s="8">
        <f t="shared" ref="G199:G211" si="13">LEN(E199)</f>
        <v>41</v>
      </c>
    </row>
    <row r="200" spans="1:7" ht="36" customHeight="1" x14ac:dyDescent="0.25">
      <c r="A200" s="44">
        <v>102</v>
      </c>
      <c r="B200" s="50" t="str">
        <f>D201</f>
        <v>何以中国 4</v>
      </c>
      <c r="C200" s="10" t="s">
        <v>452</v>
      </c>
      <c r="D200" s="14" t="s">
        <v>786</v>
      </c>
      <c r="E200" s="15" t="s">
        <v>787</v>
      </c>
      <c r="F200" s="8">
        <f t="shared" si="12"/>
        <v>23</v>
      </c>
      <c r="G200" s="8">
        <f t="shared" si="13"/>
        <v>164</v>
      </c>
    </row>
    <row r="201" spans="1:7" ht="36" customHeight="1" x14ac:dyDescent="0.25">
      <c r="A201" s="45"/>
      <c r="B201" s="51"/>
      <c r="C201" s="10" t="s">
        <v>34</v>
      </c>
      <c r="D201" s="16" t="s">
        <v>788</v>
      </c>
      <c r="E201" s="17" t="s">
        <v>789</v>
      </c>
      <c r="F201" s="8">
        <f t="shared" si="12"/>
        <v>6</v>
      </c>
      <c r="G201" s="8">
        <f t="shared" si="13"/>
        <v>61</v>
      </c>
    </row>
    <row r="202" spans="1:7" ht="36" customHeight="1" x14ac:dyDescent="0.25">
      <c r="A202" s="44">
        <v>103</v>
      </c>
      <c r="B202" s="50" t="str">
        <f>D203</f>
        <v>何以中国 3</v>
      </c>
      <c r="C202" s="10" t="s">
        <v>452</v>
      </c>
      <c r="D202" s="14" t="s">
        <v>790</v>
      </c>
      <c r="E202" s="15" t="s">
        <v>787</v>
      </c>
      <c r="F202" s="8">
        <f t="shared" si="12"/>
        <v>23</v>
      </c>
      <c r="G202" s="8">
        <f t="shared" si="13"/>
        <v>164</v>
      </c>
    </row>
    <row r="203" spans="1:7" ht="36" customHeight="1" x14ac:dyDescent="0.25">
      <c r="A203" s="45"/>
      <c r="B203" s="51"/>
      <c r="C203" s="10" t="s">
        <v>34</v>
      </c>
      <c r="D203" s="16" t="s">
        <v>791</v>
      </c>
      <c r="E203" s="17" t="s">
        <v>789</v>
      </c>
      <c r="F203" s="8">
        <f t="shared" si="12"/>
        <v>6</v>
      </c>
      <c r="G203" s="8">
        <f t="shared" si="13"/>
        <v>61</v>
      </c>
    </row>
    <row r="204" spans="1:7" ht="36" customHeight="1" x14ac:dyDescent="0.25">
      <c r="A204" s="44">
        <v>104</v>
      </c>
      <c r="B204" s="50" t="str">
        <f>D205</f>
        <v>中国村落 3</v>
      </c>
      <c r="C204" s="10" t="s">
        <v>452</v>
      </c>
      <c r="D204" s="14" t="s">
        <v>792</v>
      </c>
      <c r="E204" s="15" t="s">
        <v>793</v>
      </c>
      <c r="F204" s="8">
        <f t="shared" si="12"/>
        <v>26</v>
      </c>
      <c r="G204" s="8">
        <f t="shared" si="13"/>
        <v>68</v>
      </c>
    </row>
    <row r="205" spans="1:7" ht="36" customHeight="1" x14ac:dyDescent="0.25">
      <c r="A205" s="45"/>
      <c r="B205" s="51"/>
      <c r="C205" s="10" t="s">
        <v>34</v>
      </c>
      <c r="D205" s="16" t="s">
        <v>794</v>
      </c>
      <c r="E205" s="17" t="s">
        <v>795</v>
      </c>
      <c r="F205" s="8">
        <f t="shared" si="12"/>
        <v>6</v>
      </c>
      <c r="G205" s="8">
        <f t="shared" si="13"/>
        <v>41</v>
      </c>
    </row>
    <row r="206" spans="1:7" ht="36" customHeight="1" x14ac:dyDescent="0.25">
      <c r="A206" s="44">
        <v>105</v>
      </c>
      <c r="B206" s="50" t="str">
        <f>D207</f>
        <v>神奇的中国 1</v>
      </c>
      <c r="C206" s="10" t="s">
        <v>452</v>
      </c>
      <c r="D206" s="21" t="s">
        <v>796</v>
      </c>
      <c r="E206" s="15" t="s">
        <v>797</v>
      </c>
      <c r="F206" s="8">
        <f t="shared" si="12"/>
        <v>15</v>
      </c>
      <c r="G206" s="8">
        <f t="shared" si="13"/>
        <v>79</v>
      </c>
    </row>
    <row r="207" spans="1:7" ht="36" customHeight="1" x14ac:dyDescent="0.25">
      <c r="A207" s="45"/>
      <c r="B207" s="51"/>
      <c r="C207" s="10" t="s">
        <v>34</v>
      </c>
      <c r="D207" s="16" t="s">
        <v>798</v>
      </c>
      <c r="E207" s="25" t="s">
        <v>799</v>
      </c>
      <c r="F207" s="8">
        <f t="shared" si="12"/>
        <v>7</v>
      </c>
      <c r="G207" s="8">
        <f t="shared" si="13"/>
        <v>22</v>
      </c>
    </row>
    <row r="208" spans="1:7" ht="36" customHeight="1" x14ac:dyDescent="0.25">
      <c r="A208" s="44">
        <v>106</v>
      </c>
      <c r="B208" s="50" t="str">
        <f>D209</f>
        <v>诗画中国 江河万古流 20240622</v>
      </c>
      <c r="C208" s="10" t="s">
        <v>452</v>
      </c>
      <c r="D208" s="21" t="s">
        <v>800</v>
      </c>
      <c r="E208" s="15" t="s">
        <v>801</v>
      </c>
      <c r="F208" s="8">
        <f t="shared" si="12"/>
        <v>67</v>
      </c>
      <c r="G208" s="8">
        <f t="shared" si="13"/>
        <v>226</v>
      </c>
    </row>
    <row r="209" spans="1:7" ht="36" customHeight="1" x14ac:dyDescent="0.25">
      <c r="A209" s="45"/>
      <c r="B209" s="51"/>
      <c r="C209" s="10" t="s">
        <v>34</v>
      </c>
      <c r="D209" s="16" t="s">
        <v>802</v>
      </c>
      <c r="E209" s="17" t="s">
        <v>803</v>
      </c>
      <c r="F209" s="8">
        <f t="shared" si="12"/>
        <v>19</v>
      </c>
      <c r="G209" s="8">
        <f t="shared" si="13"/>
        <v>54</v>
      </c>
    </row>
    <row r="210" spans="1:7" ht="36" customHeight="1" x14ac:dyDescent="0.25">
      <c r="A210" s="44">
        <v>107</v>
      </c>
      <c r="B210" s="50" t="str">
        <f>D211</f>
        <v>色彩中国 2</v>
      </c>
      <c r="C210" s="10" t="s">
        <v>452</v>
      </c>
      <c r="D210" s="14" t="s">
        <v>804</v>
      </c>
      <c r="E210" s="15" t="s">
        <v>805</v>
      </c>
      <c r="F210" s="8">
        <f t="shared" si="12"/>
        <v>25</v>
      </c>
      <c r="G210" s="8">
        <f t="shared" si="13"/>
        <v>73</v>
      </c>
    </row>
    <row r="211" spans="1:7" ht="36" customHeight="1" x14ac:dyDescent="0.25">
      <c r="A211" s="45"/>
      <c r="B211" s="51"/>
      <c r="C211" s="10" t="s">
        <v>34</v>
      </c>
      <c r="D211" s="16" t="s">
        <v>806</v>
      </c>
      <c r="E211" s="17" t="s">
        <v>807</v>
      </c>
      <c r="F211" s="8">
        <f t="shared" si="12"/>
        <v>6</v>
      </c>
      <c r="G211" s="8">
        <f t="shared" si="13"/>
        <v>22</v>
      </c>
    </row>
    <row r="212" spans="1:7" ht="36" customHeight="1" x14ac:dyDescent="0.25">
      <c r="A212" s="44">
        <v>108</v>
      </c>
      <c r="B212" s="50" t="str">
        <f>D213</f>
        <v>精彩导航</v>
      </c>
      <c r="C212" s="10" t="s">
        <v>452</v>
      </c>
      <c r="D212" s="21" t="s">
        <v>808</v>
      </c>
      <c r="E212" s="15" t="s">
        <v>809</v>
      </c>
      <c r="F212" s="8">
        <f t="shared" ref="F212:F213" si="14">LEN(D212)</f>
        <v>20</v>
      </c>
      <c r="G212" s="8">
        <f t="shared" ref="G212:G213" si="15">LEN(E212)</f>
        <v>446</v>
      </c>
    </row>
    <row r="213" spans="1:7" ht="36" customHeight="1" x14ac:dyDescent="0.25">
      <c r="A213" s="45"/>
      <c r="B213" s="51"/>
      <c r="C213" s="10" t="s">
        <v>34</v>
      </c>
      <c r="D213" s="26" t="s">
        <v>810</v>
      </c>
      <c r="E213" s="17" t="s">
        <v>811</v>
      </c>
      <c r="F213" s="8">
        <f t="shared" si="14"/>
        <v>4</v>
      </c>
      <c r="G213" s="8">
        <f t="shared" si="15"/>
        <v>103</v>
      </c>
    </row>
  </sheetData>
  <autoFilter ref="A1:G213" xr:uid="{00000000-0009-0000-0000-000002000000}"/>
  <mergeCells count="208">
    <mergeCell ref="B206:B207"/>
    <mergeCell ref="B208:B209"/>
    <mergeCell ref="B210:B211"/>
    <mergeCell ref="B212:B213"/>
    <mergeCell ref="B188:B189"/>
    <mergeCell ref="B190:B191"/>
    <mergeCell ref="B192:B193"/>
    <mergeCell ref="B194:B195"/>
    <mergeCell ref="B196:B197"/>
    <mergeCell ref="B198:B199"/>
    <mergeCell ref="B200:B201"/>
    <mergeCell ref="B202:B203"/>
    <mergeCell ref="B204:B205"/>
    <mergeCell ref="B170:B171"/>
    <mergeCell ref="B172:B173"/>
    <mergeCell ref="B174:B175"/>
    <mergeCell ref="B176:B177"/>
    <mergeCell ref="B178:B179"/>
    <mergeCell ref="B180:B181"/>
    <mergeCell ref="B182:B183"/>
    <mergeCell ref="B184:B185"/>
    <mergeCell ref="B186:B187"/>
    <mergeCell ref="B152:B153"/>
    <mergeCell ref="B154:B155"/>
    <mergeCell ref="B156:B157"/>
    <mergeCell ref="B158:B159"/>
    <mergeCell ref="B160:B161"/>
    <mergeCell ref="B162:B163"/>
    <mergeCell ref="B164:B165"/>
    <mergeCell ref="B166:B167"/>
    <mergeCell ref="B168:B169"/>
    <mergeCell ref="B134:B135"/>
    <mergeCell ref="B136:B137"/>
    <mergeCell ref="B138:B139"/>
    <mergeCell ref="B140:B141"/>
    <mergeCell ref="B142:B143"/>
    <mergeCell ref="B144:B145"/>
    <mergeCell ref="B146:B147"/>
    <mergeCell ref="B148:B149"/>
    <mergeCell ref="B150:B151"/>
    <mergeCell ref="B116:B117"/>
    <mergeCell ref="B118:B119"/>
    <mergeCell ref="B120:B121"/>
    <mergeCell ref="B122:B123"/>
    <mergeCell ref="B124:B125"/>
    <mergeCell ref="B126:B127"/>
    <mergeCell ref="B128:B129"/>
    <mergeCell ref="B130:B131"/>
    <mergeCell ref="B132:B133"/>
    <mergeCell ref="B98:B99"/>
    <mergeCell ref="B100:B101"/>
    <mergeCell ref="B102:B103"/>
    <mergeCell ref="B104:B105"/>
    <mergeCell ref="B106:B107"/>
    <mergeCell ref="B108:B109"/>
    <mergeCell ref="B110:B111"/>
    <mergeCell ref="B112:B113"/>
    <mergeCell ref="B114:B115"/>
    <mergeCell ref="B80:B81"/>
    <mergeCell ref="B82:B83"/>
    <mergeCell ref="B84:B85"/>
    <mergeCell ref="B86:B87"/>
    <mergeCell ref="B88:B89"/>
    <mergeCell ref="B90:B91"/>
    <mergeCell ref="B92:B93"/>
    <mergeCell ref="B94:B95"/>
    <mergeCell ref="B96:B97"/>
    <mergeCell ref="B58:B59"/>
    <mergeCell ref="B60:B61"/>
    <mergeCell ref="B62:B63"/>
    <mergeCell ref="B64:B66"/>
    <mergeCell ref="B67:B69"/>
    <mergeCell ref="B70:B72"/>
    <mergeCell ref="B73:B75"/>
    <mergeCell ref="B76:B77"/>
    <mergeCell ref="B78:B79"/>
    <mergeCell ref="B40:B41"/>
    <mergeCell ref="B42:B43"/>
    <mergeCell ref="B44:B45"/>
    <mergeCell ref="B46:B47"/>
    <mergeCell ref="B48:B49"/>
    <mergeCell ref="B50:B51"/>
    <mergeCell ref="B52:B53"/>
    <mergeCell ref="B54:B55"/>
    <mergeCell ref="B56:B57"/>
    <mergeCell ref="A204:A205"/>
    <mergeCell ref="A206:A207"/>
    <mergeCell ref="A208:A209"/>
    <mergeCell ref="A210:A211"/>
    <mergeCell ref="A212:A21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A186:A187"/>
    <mergeCell ref="A188:A189"/>
    <mergeCell ref="A190:A191"/>
    <mergeCell ref="A192:A193"/>
    <mergeCell ref="A194:A195"/>
    <mergeCell ref="A196:A197"/>
    <mergeCell ref="A198:A199"/>
    <mergeCell ref="A200:A201"/>
    <mergeCell ref="A202:A203"/>
    <mergeCell ref="A168:A169"/>
    <mergeCell ref="A170:A171"/>
    <mergeCell ref="A172:A173"/>
    <mergeCell ref="A174:A175"/>
    <mergeCell ref="A176:A177"/>
    <mergeCell ref="A178:A179"/>
    <mergeCell ref="A180:A181"/>
    <mergeCell ref="A182:A183"/>
    <mergeCell ref="A184:A185"/>
    <mergeCell ref="A150:A151"/>
    <mergeCell ref="A152:A153"/>
    <mergeCell ref="A154:A155"/>
    <mergeCell ref="A156:A157"/>
    <mergeCell ref="A158:A159"/>
    <mergeCell ref="A160:A161"/>
    <mergeCell ref="A162:A163"/>
    <mergeCell ref="A164:A165"/>
    <mergeCell ref="A166:A167"/>
    <mergeCell ref="A132:A133"/>
    <mergeCell ref="A134:A135"/>
    <mergeCell ref="A136:A137"/>
    <mergeCell ref="A138:A139"/>
    <mergeCell ref="A140:A141"/>
    <mergeCell ref="A142:A143"/>
    <mergeCell ref="A144:A145"/>
    <mergeCell ref="A146:A147"/>
    <mergeCell ref="A148:A149"/>
    <mergeCell ref="A114:A115"/>
    <mergeCell ref="A116:A117"/>
    <mergeCell ref="A118:A119"/>
    <mergeCell ref="A120:A121"/>
    <mergeCell ref="A122:A123"/>
    <mergeCell ref="A124:A125"/>
    <mergeCell ref="A126:A127"/>
    <mergeCell ref="A128:A129"/>
    <mergeCell ref="A130:A131"/>
    <mergeCell ref="A96:A97"/>
    <mergeCell ref="A98:A99"/>
    <mergeCell ref="A100:A101"/>
    <mergeCell ref="A102:A103"/>
    <mergeCell ref="A104:A105"/>
    <mergeCell ref="A106:A107"/>
    <mergeCell ref="A108:A109"/>
    <mergeCell ref="A110:A111"/>
    <mergeCell ref="A112:A113"/>
    <mergeCell ref="A78:A79"/>
    <mergeCell ref="A80:A81"/>
    <mergeCell ref="A82:A83"/>
    <mergeCell ref="A84:A85"/>
    <mergeCell ref="A86:A87"/>
    <mergeCell ref="A88:A89"/>
    <mergeCell ref="A90:A91"/>
    <mergeCell ref="A92:A93"/>
    <mergeCell ref="A94:A95"/>
    <mergeCell ref="A56:A57"/>
    <mergeCell ref="A58:A59"/>
    <mergeCell ref="A60:A61"/>
    <mergeCell ref="A62:A63"/>
    <mergeCell ref="A64:A66"/>
    <mergeCell ref="A67:A69"/>
    <mergeCell ref="A70:A72"/>
    <mergeCell ref="A73:A75"/>
    <mergeCell ref="A76:A77"/>
    <mergeCell ref="A38:A39"/>
    <mergeCell ref="A40:A41"/>
    <mergeCell ref="A42:A43"/>
    <mergeCell ref="A44:A45"/>
    <mergeCell ref="A46:A47"/>
    <mergeCell ref="A48:A49"/>
    <mergeCell ref="A50:A51"/>
    <mergeCell ref="A52:A53"/>
    <mergeCell ref="A54:A55"/>
    <mergeCell ref="A20:A21"/>
    <mergeCell ref="A22:A23"/>
    <mergeCell ref="A24:A25"/>
    <mergeCell ref="A26:A27"/>
    <mergeCell ref="A28:A29"/>
    <mergeCell ref="A30:A31"/>
    <mergeCell ref="A32:A33"/>
    <mergeCell ref="A34:A35"/>
    <mergeCell ref="A36:A37"/>
    <mergeCell ref="A2:A3"/>
    <mergeCell ref="A4:A5"/>
    <mergeCell ref="A6:A7"/>
    <mergeCell ref="A8:A9"/>
    <mergeCell ref="A10:A11"/>
    <mergeCell ref="A12:A13"/>
    <mergeCell ref="A14:A15"/>
    <mergeCell ref="A16:A17"/>
    <mergeCell ref="A18:A19"/>
  </mergeCells>
  <phoneticPr fontId="18"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G79"/>
  <sheetViews>
    <sheetView tabSelected="1" workbookViewId="0">
      <pane ySplit="1" topLeftCell="A26" activePane="bottomLeft" state="frozen"/>
      <selection pane="bottomLeft" activeCell="C80" sqref="A80:XFD85"/>
    </sheetView>
  </sheetViews>
  <sheetFormatPr defaultColWidth="9" defaultRowHeight="12.5" x14ac:dyDescent="0.25"/>
  <cols>
    <col min="1" max="1" width="6.36328125" style="1" customWidth="1"/>
    <col min="2" max="2" width="27.453125" style="1" customWidth="1"/>
    <col min="3" max="3" width="8.90625" style="2" customWidth="1"/>
    <col min="4" max="4" width="54.6328125" style="3" customWidth="1"/>
    <col min="5" max="5" width="54.6328125" style="4" customWidth="1"/>
    <col min="6" max="7" width="9" style="2"/>
    <col min="8" max="16384" width="9" style="1"/>
  </cols>
  <sheetData>
    <row r="1" spans="1:7" ht="40" customHeight="1" x14ac:dyDescent="0.25">
      <c r="A1" s="5" t="s">
        <v>23</v>
      </c>
      <c r="B1" s="5" t="s">
        <v>24</v>
      </c>
      <c r="C1" s="6" t="s">
        <v>25</v>
      </c>
      <c r="D1" s="7" t="s">
        <v>26</v>
      </c>
      <c r="E1" s="5" t="s">
        <v>29</v>
      </c>
      <c r="F1" s="6" t="s">
        <v>450</v>
      </c>
      <c r="G1" s="6" t="s">
        <v>451</v>
      </c>
    </row>
    <row r="2" spans="1:7" ht="30" customHeight="1" x14ac:dyDescent="0.25">
      <c r="A2" s="53">
        <v>1</v>
      </c>
      <c r="B2" s="54" t="str">
        <f>D3</f>
        <v>100个中国女孩的家 6 露营11年，她在都市丽人和“野女孩”间无缝切换</v>
      </c>
      <c r="C2" s="10" t="s">
        <v>452</v>
      </c>
      <c r="D2" s="11" t="s">
        <v>812</v>
      </c>
      <c r="E2" s="11" t="s">
        <v>812</v>
      </c>
      <c r="F2" s="8">
        <f t="shared" ref="F2:F17" si="0">LEN(D2)</f>
        <v>120</v>
      </c>
      <c r="G2" s="8">
        <f t="shared" ref="G2:G17" si="1">LEN(E2)</f>
        <v>120</v>
      </c>
    </row>
    <row r="3" spans="1:7" ht="30" customHeight="1" x14ac:dyDescent="0.25">
      <c r="A3" s="53"/>
      <c r="B3" s="54"/>
      <c r="C3" s="10" t="s">
        <v>34</v>
      </c>
      <c r="D3" s="12" t="s">
        <v>813</v>
      </c>
      <c r="E3" s="12" t="s">
        <v>813</v>
      </c>
      <c r="F3" s="8">
        <f t="shared" si="0"/>
        <v>36</v>
      </c>
      <c r="G3" s="8">
        <f t="shared" si="1"/>
        <v>36</v>
      </c>
    </row>
    <row r="4" spans="1:7" ht="30" customHeight="1" x14ac:dyDescent="0.25">
      <c r="A4" s="53">
        <v>2</v>
      </c>
      <c r="B4" s="54" t="str">
        <f>D5</f>
        <v>100个中国女孩的家 5 清华建筑师爆改胡同小院！是“桃花源“啊！</v>
      </c>
      <c r="C4" s="10" t="s">
        <v>452</v>
      </c>
      <c r="D4" s="11" t="s">
        <v>814</v>
      </c>
      <c r="E4" s="11" t="s">
        <v>814</v>
      </c>
      <c r="F4" s="8">
        <f t="shared" si="0"/>
        <v>74</v>
      </c>
      <c r="G4" s="8">
        <f t="shared" si="1"/>
        <v>74</v>
      </c>
    </row>
    <row r="5" spans="1:7" ht="30" customHeight="1" x14ac:dyDescent="0.25">
      <c r="A5" s="53"/>
      <c r="B5" s="54"/>
      <c r="C5" s="10" t="s">
        <v>34</v>
      </c>
      <c r="D5" s="12" t="s">
        <v>815</v>
      </c>
      <c r="E5" s="12" t="s">
        <v>815</v>
      </c>
      <c r="F5" s="8">
        <f t="shared" si="0"/>
        <v>33</v>
      </c>
      <c r="G5" s="8">
        <f t="shared" si="1"/>
        <v>33</v>
      </c>
    </row>
    <row r="6" spans="1:7" ht="30" customHeight="1" x14ac:dyDescent="0.25">
      <c r="A6" s="53">
        <v>3</v>
      </c>
      <c r="B6" s="54" t="str">
        <f>D7</f>
        <v>100个中国女孩的家 4 西湖边的神仙房子，我也就说了200多遍“天呐”</v>
      </c>
      <c r="C6" s="10" t="s">
        <v>452</v>
      </c>
      <c r="D6" s="11" t="s">
        <v>816</v>
      </c>
      <c r="E6" s="11" t="s">
        <v>816</v>
      </c>
      <c r="F6" s="8">
        <f t="shared" si="0"/>
        <v>52</v>
      </c>
      <c r="G6" s="8">
        <f t="shared" si="1"/>
        <v>52</v>
      </c>
    </row>
    <row r="7" spans="1:7" ht="30" customHeight="1" x14ac:dyDescent="0.25">
      <c r="A7" s="53"/>
      <c r="B7" s="54"/>
      <c r="C7" s="10" t="s">
        <v>34</v>
      </c>
      <c r="D7" s="12" t="s">
        <v>817</v>
      </c>
      <c r="E7" s="12" t="s">
        <v>817</v>
      </c>
      <c r="F7" s="8">
        <f t="shared" si="0"/>
        <v>36</v>
      </c>
      <c r="G7" s="8">
        <f t="shared" si="1"/>
        <v>36</v>
      </c>
    </row>
    <row r="8" spans="1:7" ht="30" customHeight="1" x14ac:dyDescent="0.25">
      <c r="A8" s="53">
        <v>4</v>
      </c>
      <c r="B8" s="54" t="str">
        <f>D9</f>
        <v>100个中国女孩的家 3 深夜徐老师</v>
      </c>
      <c r="C8" s="10" t="s">
        <v>452</v>
      </c>
      <c r="D8" s="11" t="s">
        <v>818</v>
      </c>
      <c r="E8" s="11" t="s">
        <v>818</v>
      </c>
      <c r="F8" s="8">
        <f t="shared" si="0"/>
        <v>32</v>
      </c>
      <c r="G8" s="8">
        <f t="shared" si="1"/>
        <v>32</v>
      </c>
    </row>
    <row r="9" spans="1:7" ht="30" customHeight="1" x14ac:dyDescent="0.25">
      <c r="A9" s="53"/>
      <c r="B9" s="54"/>
      <c r="C9" s="10" t="s">
        <v>34</v>
      </c>
      <c r="D9" s="12" t="s">
        <v>819</v>
      </c>
      <c r="E9" s="12" t="s">
        <v>819</v>
      </c>
      <c r="F9" s="8">
        <f t="shared" si="0"/>
        <v>18</v>
      </c>
      <c r="G9" s="8">
        <f t="shared" si="1"/>
        <v>18</v>
      </c>
    </row>
    <row r="10" spans="1:7" ht="30" customHeight="1" x14ac:dyDescent="0.25">
      <c r="A10" s="53">
        <v>5</v>
      </c>
      <c r="B10" s="54" t="str">
        <f>D11</f>
        <v>琴歌（最终发行版本）</v>
      </c>
      <c r="C10" s="10" t="s">
        <v>452</v>
      </c>
      <c r="D10" s="11" t="s">
        <v>820</v>
      </c>
      <c r="E10" s="11" t="s">
        <v>820</v>
      </c>
      <c r="F10" s="8">
        <f t="shared" si="0"/>
        <v>16</v>
      </c>
      <c r="G10" s="8">
        <f t="shared" si="1"/>
        <v>16</v>
      </c>
    </row>
    <row r="11" spans="1:7" ht="30" customHeight="1" x14ac:dyDescent="0.25">
      <c r="A11" s="53"/>
      <c r="B11" s="54"/>
      <c r="C11" s="10" t="s">
        <v>34</v>
      </c>
      <c r="D11" s="12" t="s">
        <v>821</v>
      </c>
      <c r="E11" s="12" t="s">
        <v>821</v>
      </c>
      <c r="F11" s="8">
        <f t="shared" si="0"/>
        <v>10</v>
      </c>
      <c r="G11" s="8">
        <f t="shared" si="1"/>
        <v>10</v>
      </c>
    </row>
    <row r="12" spans="1:7" ht="30" customHeight="1" x14ac:dyDescent="0.25">
      <c r="A12" s="53">
        <v>6</v>
      </c>
      <c r="B12" s="54" t="str">
        <f>D13</f>
        <v>想念</v>
      </c>
      <c r="C12" s="10" t="s">
        <v>452</v>
      </c>
      <c r="D12" s="11" t="s">
        <v>822</v>
      </c>
      <c r="E12" s="11" t="s">
        <v>822</v>
      </c>
      <c r="F12" s="8">
        <f t="shared" si="0"/>
        <v>7</v>
      </c>
      <c r="G12" s="8">
        <f t="shared" si="1"/>
        <v>7</v>
      </c>
    </row>
    <row r="13" spans="1:7" ht="30" customHeight="1" x14ac:dyDescent="0.25">
      <c r="A13" s="53"/>
      <c r="B13" s="54"/>
      <c r="C13" s="10" t="s">
        <v>34</v>
      </c>
      <c r="D13" s="12" t="s">
        <v>823</v>
      </c>
      <c r="E13" s="12" t="s">
        <v>823</v>
      </c>
      <c r="F13" s="8">
        <f t="shared" si="0"/>
        <v>2</v>
      </c>
      <c r="G13" s="8">
        <f t="shared" si="1"/>
        <v>2</v>
      </c>
    </row>
    <row r="14" spans="1:7" ht="30" customHeight="1" x14ac:dyDescent="0.25">
      <c r="A14" s="53">
        <v>7</v>
      </c>
      <c r="B14" s="54" t="str">
        <f>D15</f>
        <v>蚁人宣告</v>
      </c>
      <c r="C14" s="10" t="s">
        <v>452</v>
      </c>
      <c r="D14" s="11" t="s">
        <v>824</v>
      </c>
      <c r="E14" s="11" t="s">
        <v>824</v>
      </c>
      <c r="F14" s="8">
        <f t="shared" si="0"/>
        <v>20</v>
      </c>
      <c r="G14" s="8">
        <f t="shared" si="1"/>
        <v>20</v>
      </c>
    </row>
    <row r="15" spans="1:7" ht="30" customHeight="1" x14ac:dyDescent="0.25">
      <c r="A15" s="53"/>
      <c r="B15" s="54"/>
      <c r="C15" s="10" t="s">
        <v>34</v>
      </c>
      <c r="D15" s="12" t="s">
        <v>825</v>
      </c>
      <c r="E15" s="12" t="s">
        <v>825</v>
      </c>
      <c r="F15" s="8">
        <f t="shared" si="0"/>
        <v>4</v>
      </c>
      <c r="G15" s="8">
        <f t="shared" si="1"/>
        <v>4</v>
      </c>
    </row>
    <row r="16" spans="1:7" ht="30" customHeight="1" x14ac:dyDescent="0.25">
      <c r="A16" s="53">
        <v>8</v>
      </c>
      <c r="B16" s="54" t="str">
        <f>D17</f>
        <v>拼一座石狮</v>
      </c>
      <c r="C16" s="10" t="s">
        <v>452</v>
      </c>
      <c r="D16" s="11" t="s">
        <v>826</v>
      </c>
      <c r="E16" s="11" t="s">
        <v>826</v>
      </c>
      <c r="F16" s="8">
        <f t="shared" si="0"/>
        <v>14</v>
      </c>
      <c r="G16" s="8">
        <f t="shared" si="1"/>
        <v>14</v>
      </c>
    </row>
    <row r="17" spans="1:7" ht="30" customHeight="1" x14ac:dyDescent="0.25">
      <c r="A17" s="53"/>
      <c r="B17" s="54"/>
      <c r="C17" s="10" t="s">
        <v>34</v>
      </c>
      <c r="D17" s="12" t="s">
        <v>827</v>
      </c>
      <c r="E17" s="12" t="s">
        <v>827</v>
      </c>
      <c r="F17" s="8">
        <f t="shared" si="0"/>
        <v>5</v>
      </c>
      <c r="G17" s="8">
        <f t="shared" si="1"/>
        <v>5</v>
      </c>
    </row>
    <row r="18" spans="1:7" ht="30" customHeight="1" x14ac:dyDescent="0.25">
      <c r="A18" s="53">
        <v>9</v>
      </c>
      <c r="B18" s="54" t="str">
        <f>D19</f>
        <v>鸽生</v>
      </c>
      <c r="C18" s="10" t="s">
        <v>452</v>
      </c>
      <c r="D18" s="11" t="s">
        <v>828</v>
      </c>
      <c r="E18" s="11" t="s">
        <v>828</v>
      </c>
      <c r="F18" s="8">
        <f t="shared" ref="F18:F41" si="2">LEN(D18)</f>
        <v>5</v>
      </c>
      <c r="G18" s="8">
        <f t="shared" ref="G18:G41" si="3">LEN(E18)</f>
        <v>5</v>
      </c>
    </row>
    <row r="19" spans="1:7" ht="30" customHeight="1" x14ac:dyDescent="0.25">
      <c r="A19" s="53"/>
      <c r="B19" s="54"/>
      <c r="C19" s="10" t="s">
        <v>34</v>
      </c>
      <c r="D19" s="12" t="s">
        <v>829</v>
      </c>
      <c r="E19" s="12" t="s">
        <v>829</v>
      </c>
      <c r="F19" s="8">
        <f t="shared" si="2"/>
        <v>2</v>
      </c>
      <c r="G19" s="8">
        <f t="shared" si="3"/>
        <v>2</v>
      </c>
    </row>
    <row r="20" spans="1:7" ht="30" customHeight="1" x14ac:dyDescent="0.25">
      <c r="A20" s="53">
        <v>10</v>
      </c>
      <c r="B20" s="54" t="str">
        <f>D21</f>
        <v>双囍兄弟《莫吉托》</v>
      </c>
      <c r="C20" s="10" t="s">
        <v>452</v>
      </c>
      <c r="D20" s="11" t="s">
        <v>830</v>
      </c>
      <c r="E20" s="11" t="s">
        <v>830</v>
      </c>
      <c r="F20" s="8">
        <f t="shared" si="2"/>
        <v>6</v>
      </c>
      <c r="G20" s="8">
        <f t="shared" si="3"/>
        <v>6</v>
      </c>
    </row>
    <row r="21" spans="1:7" ht="30" customHeight="1" x14ac:dyDescent="0.25">
      <c r="A21" s="53"/>
      <c r="B21" s="54"/>
      <c r="C21" s="10" t="s">
        <v>34</v>
      </c>
      <c r="D21" s="12" t="s">
        <v>831</v>
      </c>
      <c r="E21" s="12" t="s">
        <v>831</v>
      </c>
      <c r="F21" s="8">
        <f t="shared" si="2"/>
        <v>9</v>
      </c>
      <c r="G21" s="8">
        <f t="shared" si="3"/>
        <v>9</v>
      </c>
    </row>
    <row r="22" spans="1:7" ht="30" customHeight="1" x14ac:dyDescent="0.25">
      <c r="A22" s="53">
        <v>11</v>
      </c>
      <c r="B22" s="54" t="str">
        <f>D23</f>
        <v>幸存者偏差</v>
      </c>
      <c r="C22" s="10" t="s">
        <v>452</v>
      </c>
      <c r="D22" s="11" t="s">
        <v>832</v>
      </c>
      <c r="E22" s="11" t="s">
        <v>832</v>
      </c>
      <c r="F22" s="8">
        <f t="shared" si="2"/>
        <v>17</v>
      </c>
      <c r="G22" s="8">
        <f t="shared" si="3"/>
        <v>17</v>
      </c>
    </row>
    <row r="23" spans="1:7" ht="30" customHeight="1" x14ac:dyDescent="0.25">
      <c r="A23" s="53"/>
      <c r="B23" s="54"/>
      <c r="C23" s="10" t="s">
        <v>34</v>
      </c>
      <c r="D23" s="12" t="s">
        <v>833</v>
      </c>
      <c r="E23" s="12" t="s">
        <v>833</v>
      </c>
      <c r="F23" s="8">
        <f t="shared" si="2"/>
        <v>5</v>
      </c>
      <c r="G23" s="8">
        <f t="shared" si="3"/>
        <v>5</v>
      </c>
    </row>
    <row r="24" spans="1:7" ht="30" customHeight="1" x14ac:dyDescent="0.25">
      <c r="A24" s="53">
        <v>12</v>
      </c>
      <c r="B24" s="54" t="str">
        <f>D25</f>
        <v>月感</v>
      </c>
      <c r="C24" s="10" t="s">
        <v>452</v>
      </c>
      <c r="D24" s="11" t="s">
        <v>834</v>
      </c>
      <c r="E24" s="11" t="s">
        <v>834</v>
      </c>
      <c r="F24" s="8">
        <f t="shared" si="2"/>
        <v>9</v>
      </c>
      <c r="G24" s="8">
        <f t="shared" si="3"/>
        <v>9</v>
      </c>
    </row>
    <row r="25" spans="1:7" ht="30" customHeight="1" x14ac:dyDescent="0.25">
      <c r="A25" s="53"/>
      <c r="B25" s="54"/>
      <c r="C25" s="10" t="s">
        <v>34</v>
      </c>
      <c r="D25" s="12" t="s">
        <v>835</v>
      </c>
      <c r="E25" s="12" t="s">
        <v>835</v>
      </c>
      <c r="F25" s="8">
        <f t="shared" si="2"/>
        <v>2</v>
      </c>
      <c r="G25" s="8">
        <f t="shared" si="3"/>
        <v>2</v>
      </c>
    </row>
    <row r="26" spans="1:7" ht="30" customHeight="1" x14ac:dyDescent="0.25">
      <c r="A26" s="53">
        <v>13</v>
      </c>
      <c r="B26" s="54" t="str">
        <f>D27</f>
        <v>半梦长久</v>
      </c>
      <c r="C26" s="10" t="s">
        <v>452</v>
      </c>
      <c r="D26" s="11" t="s">
        <v>836</v>
      </c>
      <c r="E26" s="11" t="s">
        <v>836</v>
      </c>
      <c r="F26" s="8">
        <f t="shared" si="2"/>
        <v>26</v>
      </c>
      <c r="G26" s="8">
        <f t="shared" si="3"/>
        <v>26</v>
      </c>
    </row>
    <row r="27" spans="1:7" ht="30" customHeight="1" x14ac:dyDescent="0.25">
      <c r="A27" s="53"/>
      <c r="B27" s="54"/>
      <c r="C27" s="10" t="s">
        <v>34</v>
      </c>
      <c r="D27" s="12" t="s">
        <v>837</v>
      </c>
      <c r="E27" s="12" t="s">
        <v>837</v>
      </c>
      <c r="F27" s="8">
        <f t="shared" si="2"/>
        <v>4</v>
      </c>
      <c r="G27" s="8">
        <f t="shared" si="3"/>
        <v>4</v>
      </c>
    </row>
    <row r="28" spans="1:7" ht="30" customHeight="1" x14ac:dyDescent="0.25">
      <c r="A28" s="53">
        <v>14</v>
      </c>
      <c r="B28" s="54" t="str">
        <f>D29</f>
        <v>请不要离开我（常规版）</v>
      </c>
      <c r="C28" s="10" t="s">
        <v>452</v>
      </c>
      <c r="D28" s="11" t="s">
        <v>838</v>
      </c>
      <c r="E28" s="11" t="s">
        <v>838</v>
      </c>
      <c r="F28" s="8">
        <f t="shared" si="2"/>
        <v>40</v>
      </c>
      <c r="G28" s="8">
        <f t="shared" si="3"/>
        <v>40</v>
      </c>
    </row>
    <row r="29" spans="1:7" ht="30" customHeight="1" x14ac:dyDescent="0.25">
      <c r="A29" s="53"/>
      <c r="B29" s="54"/>
      <c r="C29" s="10" t="s">
        <v>34</v>
      </c>
      <c r="D29" s="12" t="s">
        <v>839</v>
      </c>
      <c r="E29" s="12" t="s">
        <v>839</v>
      </c>
      <c r="F29" s="8">
        <f t="shared" si="2"/>
        <v>11</v>
      </c>
      <c r="G29" s="8">
        <f t="shared" si="3"/>
        <v>11</v>
      </c>
    </row>
    <row r="30" spans="1:7" ht="30" customHeight="1" x14ac:dyDescent="0.25">
      <c r="A30" s="53">
        <v>15</v>
      </c>
      <c r="B30" s="54" t="str">
        <f>D31</f>
        <v>告别</v>
      </c>
      <c r="C30" s="10" t="s">
        <v>452</v>
      </c>
      <c r="D30" s="11" t="s">
        <v>840</v>
      </c>
      <c r="E30" s="11" t="s">
        <v>840</v>
      </c>
      <c r="F30" s="8">
        <f t="shared" si="2"/>
        <v>7</v>
      </c>
      <c r="G30" s="8">
        <f t="shared" si="3"/>
        <v>7</v>
      </c>
    </row>
    <row r="31" spans="1:7" ht="30" customHeight="1" x14ac:dyDescent="0.25">
      <c r="A31" s="53"/>
      <c r="B31" s="54"/>
      <c r="C31" s="10" t="s">
        <v>34</v>
      </c>
      <c r="D31" s="12" t="s">
        <v>841</v>
      </c>
      <c r="E31" s="12" t="s">
        <v>841</v>
      </c>
      <c r="F31" s="8">
        <f t="shared" si="2"/>
        <v>2</v>
      </c>
      <c r="G31" s="8">
        <f t="shared" si="3"/>
        <v>2</v>
      </c>
    </row>
    <row r="32" spans="1:7" ht="30" customHeight="1" x14ac:dyDescent="0.25">
      <c r="A32" s="53">
        <v>16</v>
      </c>
      <c r="B32" s="54" t="str">
        <f>D33</f>
        <v>亿点点</v>
      </c>
      <c r="C32" s="10" t="s">
        <v>452</v>
      </c>
      <c r="D32" s="11" t="s">
        <v>842</v>
      </c>
      <c r="E32" s="11" t="s">
        <v>842</v>
      </c>
      <c r="F32" s="8">
        <f t="shared" si="2"/>
        <v>10</v>
      </c>
      <c r="G32" s="8">
        <f t="shared" si="3"/>
        <v>10</v>
      </c>
    </row>
    <row r="33" spans="1:7" ht="30" customHeight="1" x14ac:dyDescent="0.25">
      <c r="A33" s="53"/>
      <c r="B33" s="54"/>
      <c r="C33" s="10" t="s">
        <v>34</v>
      </c>
      <c r="D33" s="12" t="s">
        <v>843</v>
      </c>
      <c r="E33" s="12" t="s">
        <v>843</v>
      </c>
      <c r="F33" s="8">
        <f t="shared" si="2"/>
        <v>3</v>
      </c>
      <c r="G33" s="8">
        <f t="shared" si="3"/>
        <v>3</v>
      </c>
    </row>
    <row r="34" spans="1:7" ht="30" customHeight="1" x14ac:dyDescent="0.25">
      <c r="A34" s="53">
        <v>17</v>
      </c>
      <c r="B34" s="54" t="str">
        <f>D35</f>
        <v>Just 4 U</v>
      </c>
      <c r="C34" s="10" t="s">
        <v>452</v>
      </c>
      <c r="D34" s="11" t="s">
        <v>844</v>
      </c>
      <c r="E34" s="11" t="s">
        <v>844</v>
      </c>
      <c r="F34" s="8">
        <f t="shared" si="2"/>
        <v>8</v>
      </c>
      <c r="G34" s="8">
        <f t="shared" si="3"/>
        <v>8</v>
      </c>
    </row>
    <row r="35" spans="1:7" ht="30" customHeight="1" x14ac:dyDescent="0.25">
      <c r="A35" s="53"/>
      <c r="B35" s="54"/>
      <c r="C35" s="10" t="s">
        <v>34</v>
      </c>
      <c r="D35" s="12" t="s">
        <v>844</v>
      </c>
      <c r="E35" s="12" t="s">
        <v>844</v>
      </c>
      <c r="F35" s="8">
        <f t="shared" si="2"/>
        <v>8</v>
      </c>
      <c r="G35" s="8">
        <f t="shared" si="3"/>
        <v>8</v>
      </c>
    </row>
    <row r="36" spans="1:7" ht="30" customHeight="1" x14ac:dyDescent="0.25">
      <c r="A36" s="53">
        <v>18</v>
      </c>
      <c r="B36" s="54" t="str">
        <f>D37</f>
        <v>Bedroom</v>
      </c>
      <c r="C36" s="10" t="s">
        <v>452</v>
      </c>
      <c r="D36" s="11" t="s">
        <v>845</v>
      </c>
      <c r="E36" s="11" t="s">
        <v>845</v>
      </c>
      <c r="F36" s="8">
        <f t="shared" si="2"/>
        <v>7</v>
      </c>
      <c r="G36" s="8">
        <f t="shared" si="3"/>
        <v>7</v>
      </c>
    </row>
    <row r="37" spans="1:7" ht="30" customHeight="1" x14ac:dyDescent="0.25">
      <c r="A37" s="53"/>
      <c r="B37" s="54"/>
      <c r="C37" s="10" t="s">
        <v>34</v>
      </c>
      <c r="D37" s="12" t="s">
        <v>845</v>
      </c>
      <c r="E37" s="12" t="s">
        <v>845</v>
      </c>
      <c r="F37" s="8">
        <f t="shared" si="2"/>
        <v>7</v>
      </c>
      <c r="G37" s="8">
        <f t="shared" si="3"/>
        <v>7</v>
      </c>
    </row>
    <row r="38" spans="1:7" ht="30" customHeight="1" x14ac:dyDescent="0.25">
      <c r="A38" s="53">
        <v>19</v>
      </c>
      <c r="B38" s="54" t="str">
        <f>D39</f>
        <v>不潮不用花钱</v>
      </c>
      <c r="C38" s="10" t="s">
        <v>452</v>
      </c>
      <c r="D38" s="11" t="s">
        <v>846</v>
      </c>
      <c r="E38" s="11" t="s">
        <v>846</v>
      </c>
      <c r="F38" s="8">
        <f t="shared" si="2"/>
        <v>12</v>
      </c>
      <c r="G38" s="8">
        <f t="shared" si="3"/>
        <v>12</v>
      </c>
    </row>
    <row r="39" spans="1:7" ht="30" customHeight="1" x14ac:dyDescent="0.25">
      <c r="A39" s="53"/>
      <c r="B39" s="54"/>
      <c r="C39" s="10" t="s">
        <v>34</v>
      </c>
      <c r="D39" s="12" t="s">
        <v>847</v>
      </c>
      <c r="E39" s="12" t="s">
        <v>847</v>
      </c>
      <c r="F39" s="8">
        <f t="shared" si="2"/>
        <v>6</v>
      </c>
      <c r="G39" s="8">
        <f t="shared" si="3"/>
        <v>6</v>
      </c>
    </row>
    <row r="40" spans="1:7" ht="30" customHeight="1" x14ac:dyDescent="0.25">
      <c r="A40" s="53">
        <v>20</v>
      </c>
      <c r="B40" s="54" t="str">
        <f>D41</f>
        <v>我记得</v>
      </c>
      <c r="C40" s="10" t="s">
        <v>452</v>
      </c>
      <c r="D40" s="11" t="s">
        <v>848</v>
      </c>
      <c r="E40" s="11" t="s">
        <v>848</v>
      </c>
      <c r="F40" s="8">
        <f t="shared" si="2"/>
        <v>10</v>
      </c>
      <c r="G40" s="8">
        <f t="shared" si="3"/>
        <v>10</v>
      </c>
    </row>
    <row r="41" spans="1:7" ht="30" customHeight="1" x14ac:dyDescent="0.25">
      <c r="A41" s="53"/>
      <c r="B41" s="54"/>
      <c r="C41" s="10" t="s">
        <v>34</v>
      </c>
      <c r="D41" s="12" t="s">
        <v>849</v>
      </c>
      <c r="E41" s="12" t="s">
        <v>849</v>
      </c>
      <c r="F41" s="8">
        <f t="shared" si="2"/>
        <v>3</v>
      </c>
      <c r="G41" s="8">
        <f t="shared" si="3"/>
        <v>3</v>
      </c>
    </row>
    <row r="42" spans="1:7" ht="30" customHeight="1" x14ac:dyDescent="0.25">
      <c r="A42" s="53">
        <v>21</v>
      </c>
      <c r="B42" s="54" t="str">
        <f>D43</f>
        <v>不白吃的食神之旅 10 黄大琴的丝娃娃</v>
      </c>
      <c r="C42" s="10" t="s">
        <v>452</v>
      </c>
      <c r="D42" s="11" t="s">
        <v>850</v>
      </c>
      <c r="E42" s="11" t="s">
        <v>850</v>
      </c>
      <c r="F42" s="8">
        <f t="shared" ref="F42:F79" si="4">LEN(D42)</f>
        <v>64</v>
      </c>
      <c r="G42" s="8">
        <f t="shared" ref="G42:G79" si="5">LEN(E42)</f>
        <v>64</v>
      </c>
    </row>
    <row r="43" spans="1:7" ht="30" customHeight="1" x14ac:dyDescent="0.25">
      <c r="A43" s="53"/>
      <c r="B43" s="54"/>
      <c r="C43" s="10" t="s">
        <v>34</v>
      </c>
      <c r="D43" s="12" t="s">
        <v>851</v>
      </c>
      <c r="E43" s="12" t="s">
        <v>851</v>
      </c>
      <c r="F43" s="8">
        <f t="shared" si="4"/>
        <v>19</v>
      </c>
      <c r="G43" s="8">
        <f t="shared" si="5"/>
        <v>19</v>
      </c>
    </row>
    <row r="44" spans="1:7" ht="30" customHeight="1" x14ac:dyDescent="0.25">
      <c r="A44" s="53">
        <v>22</v>
      </c>
      <c r="B44" s="54" t="str">
        <f>D45</f>
        <v>不白吃的食神之旅 9 华哥的重庆烤脑花</v>
      </c>
      <c r="C44" s="10" t="s">
        <v>452</v>
      </c>
      <c r="D44" s="11" t="s">
        <v>852</v>
      </c>
      <c r="E44" s="11" t="s">
        <v>852</v>
      </c>
      <c r="F44" s="8">
        <f t="shared" si="4"/>
        <v>78</v>
      </c>
      <c r="G44" s="8">
        <f t="shared" si="5"/>
        <v>78</v>
      </c>
    </row>
    <row r="45" spans="1:7" ht="30" customHeight="1" x14ac:dyDescent="0.25">
      <c r="A45" s="53"/>
      <c r="B45" s="54"/>
      <c r="C45" s="10" t="s">
        <v>34</v>
      </c>
      <c r="D45" s="12" t="s">
        <v>853</v>
      </c>
      <c r="E45" s="12" t="s">
        <v>853</v>
      </c>
      <c r="F45" s="8">
        <f t="shared" si="4"/>
        <v>19</v>
      </c>
      <c r="G45" s="8">
        <f t="shared" si="5"/>
        <v>19</v>
      </c>
    </row>
    <row r="46" spans="1:7" ht="30" customHeight="1" x14ac:dyDescent="0.25">
      <c r="A46" s="53">
        <v>23</v>
      </c>
      <c r="B46" s="54" t="str">
        <f>D47</f>
        <v>不白吃的食神之旅 8 何孃的毛血旺</v>
      </c>
      <c r="C46" s="10" t="s">
        <v>452</v>
      </c>
      <c r="D46" s="11" t="s">
        <v>854</v>
      </c>
      <c r="E46" s="11" t="s">
        <v>854</v>
      </c>
      <c r="F46" s="8">
        <f t="shared" si="4"/>
        <v>79</v>
      </c>
      <c r="G46" s="8">
        <f t="shared" si="5"/>
        <v>79</v>
      </c>
    </row>
    <row r="47" spans="1:7" ht="30" customHeight="1" x14ac:dyDescent="0.25">
      <c r="A47" s="53"/>
      <c r="B47" s="54"/>
      <c r="C47" s="10" t="s">
        <v>34</v>
      </c>
      <c r="D47" s="12" t="s">
        <v>855</v>
      </c>
      <c r="E47" s="12" t="s">
        <v>855</v>
      </c>
      <c r="F47" s="8">
        <f t="shared" si="4"/>
        <v>17</v>
      </c>
      <c r="G47" s="8">
        <f t="shared" si="5"/>
        <v>17</v>
      </c>
    </row>
    <row r="48" spans="1:7" ht="30" customHeight="1" x14ac:dyDescent="0.25">
      <c r="A48" s="53">
        <v>24</v>
      </c>
      <c r="B48" s="54" t="str">
        <f>D49</f>
        <v>不白吃的食神之旅新春特辑 4 “臭”香的灵魂，田螺鸭脚煲！</v>
      </c>
      <c r="C48" s="10" t="s">
        <v>452</v>
      </c>
      <c r="D48" s="11" t="s">
        <v>856</v>
      </c>
      <c r="E48" s="11" t="s">
        <v>856</v>
      </c>
      <c r="F48" s="8">
        <f t="shared" si="4"/>
        <v>102</v>
      </c>
      <c r="G48" s="8">
        <f t="shared" si="5"/>
        <v>102</v>
      </c>
    </row>
    <row r="49" spans="1:7" ht="30" customHeight="1" x14ac:dyDescent="0.25">
      <c r="A49" s="53"/>
      <c r="B49" s="54"/>
      <c r="C49" s="10" t="s">
        <v>34</v>
      </c>
      <c r="D49" s="12" t="s">
        <v>857</v>
      </c>
      <c r="E49" s="12" t="s">
        <v>857</v>
      </c>
      <c r="F49" s="8">
        <f t="shared" si="4"/>
        <v>29</v>
      </c>
      <c r="G49" s="8">
        <f t="shared" si="5"/>
        <v>29</v>
      </c>
    </row>
    <row r="50" spans="1:7" ht="30" customHeight="1" x14ac:dyDescent="0.25">
      <c r="A50" s="53">
        <v>25</v>
      </c>
      <c r="B50" s="54" t="str">
        <f>D51</f>
        <v>不白吃的食神之旅新春特辑 3 鸭鸭！说好的幸福呢！</v>
      </c>
      <c r="C50" s="10" t="s">
        <v>452</v>
      </c>
      <c r="D50" s="11" t="s">
        <v>858</v>
      </c>
      <c r="E50" s="11" t="s">
        <v>858</v>
      </c>
      <c r="F50" s="8">
        <f t="shared" si="4"/>
        <v>106</v>
      </c>
      <c r="G50" s="8">
        <f t="shared" si="5"/>
        <v>106</v>
      </c>
    </row>
    <row r="51" spans="1:7" ht="30" customHeight="1" x14ac:dyDescent="0.25">
      <c r="A51" s="53"/>
      <c r="B51" s="54"/>
      <c r="C51" s="10" t="s">
        <v>34</v>
      </c>
      <c r="D51" s="12" t="s">
        <v>859</v>
      </c>
      <c r="E51" s="12" t="s">
        <v>859</v>
      </c>
      <c r="F51" s="8">
        <f t="shared" si="4"/>
        <v>25</v>
      </c>
      <c r="G51" s="8">
        <f t="shared" si="5"/>
        <v>25</v>
      </c>
    </row>
    <row r="52" spans="1:7" ht="30" customHeight="1" x14ac:dyDescent="0.25">
      <c r="A52" s="53">
        <v>26</v>
      </c>
      <c r="B52" s="54" t="str">
        <f>D53</f>
        <v>不白吃的食神之旅新春特辑 2 霸王餐水盆羊肉的后果</v>
      </c>
      <c r="C52" s="10" t="s">
        <v>452</v>
      </c>
      <c r="D52" s="11" t="s">
        <v>860</v>
      </c>
      <c r="E52" s="11" t="s">
        <v>860</v>
      </c>
      <c r="F52" s="8">
        <f t="shared" si="4"/>
        <v>84</v>
      </c>
      <c r="G52" s="8">
        <f t="shared" si="5"/>
        <v>84</v>
      </c>
    </row>
    <row r="53" spans="1:7" ht="30" customHeight="1" x14ac:dyDescent="0.25">
      <c r="A53" s="53"/>
      <c r="B53" s="54"/>
      <c r="C53" s="10" t="s">
        <v>34</v>
      </c>
      <c r="D53" s="12" t="s">
        <v>861</v>
      </c>
      <c r="E53" s="12" t="s">
        <v>861</v>
      </c>
      <c r="F53" s="8">
        <f t="shared" si="4"/>
        <v>25</v>
      </c>
      <c r="G53" s="8">
        <f t="shared" si="5"/>
        <v>25</v>
      </c>
    </row>
    <row r="54" spans="1:7" ht="30" customHeight="1" x14ac:dyDescent="0.25">
      <c r="A54" s="53">
        <v>27</v>
      </c>
      <c r="B54" s="54" t="str">
        <f>D55</f>
        <v>不白吃的食神之旅新春特辑 1 西安美食千千万，油泼辣子占一半</v>
      </c>
      <c r="C54" s="10" t="s">
        <v>452</v>
      </c>
      <c r="D54" s="11" t="s">
        <v>862</v>
      </c>
      <c r="E54" s="11" t="s">
        <v>862</v>
      </c>
      <c r="F54" s="8">
        <f t="shared" si="4"/>
        <v>95</v>
      </c>
      <c r="G54" s="8">
        <f t="shared" si="5"/>
        <v>95</v>
      </c>
    </row>
    <row r="55" spans="1:7" ht="30" customHeight="1" x14ac:dyDescent="0.25">
      <c r="A55" s="53"/>
      <c r="B55" s="54"/>
      <c r="C55" s="10" t="s">
        <v>34</v>
      </c>
      <c r="D55" s="12" t="s">
        <v>863</v>
      </c>
      <c r="E55" s="12" t="s">
        <v>863</v>
      </c>
      <c r="F55" s="8">
        <f t="shared" si="4"/>
        <v>30</v>
      </c>
      <c r="G55" s="8">
        <f t="shared" si="5"/>
        <v>30</v>
      </c>
    </row>
    <row r="56" spans="1:7" ht="30" customHeight="1" x14ac:dyDescent="0.25">
      <c r="A56" s="53">
        <v>28</v>
      </c>
      <c r="B56" s="54" t="str">
        <f>D57</f>
        <v>新生万物 第六集 苏绣（下）</v>
      </c>
      <c r="C56" s="10" t="s">
        <v>452</v>
      </c>
      <c r="D56" s="11" t="s">
        <v>864</v>
      </c>
      <c r="E56" s="11" t="s">
        <v>864</v>
      </c>
      <c r="F56" s="8">
        <f t="shared" si="4"/>
        <v>36</v>
      </c>
      <c r="G56" s="8">
        <f t="shared" si="5"/>
        <v>36</v>
      </c>
    </row>
    <row r="57" spans="1:7" ht="30" customHeight="1" x14ac:dyDescent="0.25">
      <c r="A57" s="53"/>
      <c r="B57" s="54"/>
      <c r="C57" s="10" t="s">
        <v>34</v>
      </c>
      <c r="D57" s="12" t="s">
        <v>865</v>
      </c>
      <c r="E57" s="12" t="s">
        <v>865</v>
      </c>
      <c r="F57" s="8">
        <f t="shared" si="4"/>
        <v>14</v>
      </c>
      <c r="G57" s="8">
        <f t="shared" si="5"/>
        <v>14</v>
      </c>
    </row>
    <row r="58" spans="1:7" ht="30" customHeight="1" x14ac:dyDescent="0.25">
      <c r="A58" s="53">
        <v>29</v>
      </c>
      <c r="B58" s="54" t="str">
        <f>D59</f>
        <v>新生万物 第五集 苏绣（上）</v>
      </c>
      <c r="C58" s="10" t="s">
        <v>452</v>
      </c>
      <c r="D58" s="11" t="s">
        <v>866</v>
      </c>
      <c r="E58" s="11" t="s">
        <v>866</v>
      </c>
      <c r="F58" s="8">
        <f t="shared" si="4"/>
        <v>36</v>
      </c>
      <c r="G58" s="8">
        <f t="shared" si="5"/>
        <v>36</v>
      </c>
    </row>
    <row r="59" spans="1:7" ht="30" customHeight="1" x14ac:dyDescent="0.25">
      <c r="A59" s="53"/>
      <c r="B59" s="54"/>
      <c r="C59" s="10" t="s">
        <v>34</v>
      </c>
      <c r="D59" s="12" t="s">
        <v>867</v>
      </c>
      <c r="E59" s="12" t="s">
        <v>867</v>
      </c>
      <c r="F59" s="8">
        <f t="shared" si="4"/>
        <v>14</v>
      </c>
      <c r="G59" s="8">
        <f t="shared" si="5"/>
        <v>14</v>
      </c>
    </row>
    <row r="60" spans="1:7" ht="30" customHeight="1" x14ac:dyDescent="0.25">
      <c r="A60" s="53">
        <v>30</v>
      </c>
      <c r="B60" s="54" t="str">
        <f>D61</f>
        <v>不白吃古诗词漫游记 6 题西林壁</v>
      </c>
      <c r="C60" s="10" t="s">
        <v>452</v>
      </c>
      <c r="D60" s="11" t="s">
        <v>868</v>
      </c>
      <c r="E60" s="11" t="s">
        <v>868</v>
      </c>
      <c r="F60" s="8">
        <f t="shared" si="4"/>
        <v>81</v>
      </c>
      <c r="G60" s="8">
        <f t="shared" si="5"/>
        <v>81</v>
      </c>
    </row>
    <row r="61" spans="1:7" ht="30" customHeight="1" x14ac:dyDescent="0.25">
      <c r="A61" s="53"/>
      <c r="B61" s="54"/>
      <c r="C61" s="10" t="s">
        <v>34</v>
      </c>
      <c r="D61" s="12" t="s">
        <v>869</v>
      </c>
      <c r="E61" s="12" t="s">
        <v>869</v>
      </c>
      <c r="F61" s="8">
        <f t="shared" si="4"/>
        <v>16</v>
      </c>
      <c r="G61" s="8">
        <f t="shared" si="5"/>
        <v>16</v>
      </c>
    </row>
    <row r="62" spans="1:7" ht="30" customHeight="1" x14ac:dyDescent="0.25">
      <c r="A62" s="53">
        <v>31</v>
      </c>
      <c r="B62" s="54" t="str">
        <f>D63</f>
        <v>不白吃古诗词漫游记 5 浪淘沙·其一</v>
      </c>
      <c r="C62" s="10" t="s">
        <v>452</v>
      </c>
      <c r="D62" s="11" t="s">
        <v>870</v>
      </c>
      <c r="E62" s="11" t="s">
        <v>870</v>
      </c>
      <c r="F62" s="8">
        <f t="shared" si="4"/>
        <v>54</v>
      </c>
      <c r="G62" s="8">
        <f t="shared" si="5"/>
        <v>54</v>
      </c>
    </row>
    <row r="63" spans="1:7" ht="30" customHeight="1" x14ac:dyDescent="0.25">
      <c r="A63" s="53"/>
      <c r="B63" s="54"/>
      <c r="C63" s="10" t="s">
        <v>34</v>
      </c>
      <c r="D63" s="12" t="s">
        <v>871</v>
      </c>
      <c r="E63" s="12" t="s">
        <v>871</v>
      </c>
      <c r="F63" s="8">
        <f t="shared" si="4"/>
        <v>18</v>
      </c>
      <c r="G63" s="8">
        <f t="shared" si="5"/>
        <v>18</v>
      </c>
    </row>
    <row r="64" spans="1:7" ht="30" customHeight="1" x14ac:dyDescent="0.25">
      <c r="A64" s="53">
        <v>32</v>
      </c>
      <c r="B64" s="54" t="str">
        <f>D65</f>
        <v>北京，请回答｜你的快递是怎么来的？一起走进智慧物流“最后一公里”！</v>
      </c>
      <c r="C64" s="10" t="s">
        <v>452</v>
      </c>
      <c r="D64" s="11" t="s">
        <v>872</v>
      </c>
      <c r="E64" s="11" t="s">
        <v>872</v>
      </c>
      <c r="F64" s="8">
        <f t="shared" si="4"/>
        <v>94</v>
      </c>
      <c r="G64" s="8">
        <f t="shared" si="5"/>
        <v>94</v>
      </c>
    </row>
    <row r="65" spans="1:7" ht="30" customHeight="1" x14ac:dyDescent="0.25">
      <c r="A65" s="53"/>
      <c r="B65" s="54"/>
      <c r="C65" s="10" t="s">
        <v>34</v>
      </c>
      <c r="D65" s="12" t="s">
        <v>873</v>
      </c>
      <c r="E65" s="12" t="s">
        <v>873</v>
      </c>
      <c r="F65" s="8">
        <f t="shared" si="4"/>
        <v>33</v>
      </c>
      <c r="G65" s="8">
        <f t="shared" si="5"/>
        <v>33</v>
      </c>
    </row>
    <row r="66" spans="1:7" ht="30" customHeight="1" x14ac:dyDescent="0.25">
      <c r="A66" s="53">
        <v>33</v>
      </c>
      <c r="B66" s="54" t="str">
        <f>D67</f>
        <v>北京，请回答｜石头会说话，这座小众博物馆里藏着你不知道的北京历史！</v>
      </c>
      <c r="C66" s="10" t="s">
        <v>452</v>
      </c>
      <c r="D66" s="11" t="s">
        <v>874</v>
      </c>
      <c r="E66" s="11" t="s">
        <v>874</v>
      </c>
      <c r="F66" s="8">
        <f t="shared" si="4"/>
        <v>93</v>
      </c>
      <c r="G66" s="8">
        <f t="shared" si="5"/>
        <v>93</v>
      </c>
    </row>
    <row r="67" spans="1:7" ht="30" customHeight="1" x14ac:dyDescent="0.25">
      <c r="A67" s="53"/>
      <c r="B67" s="54"/>
      <c r="C67" s="10" t="s">
        <v>34</v>
      </c>
      <c r="D67" s="12" t="s">
        <v>875</v>
      </c>
      <c r="E67" s="12" t="s">
        <v>875</v>
      </c>
      <c r="F67" s="8">
        <f t="shared" si="4"/>
        <v>33</v>
      </c>
      <c r="G67" s="8">
        <f t="shared" si="5"/>
        <v>33</v>
      </c>
    </row>
    <row r="68" spans="1:7" ht="30" customHeight="1" x14ac:dyDescent="0.25">
      <c r="A68" s="53">
        <v>34</v>
      </c>
      <c r="B68" s="54" t="str">
        <f>D69</f>
        <v>北京，请回答｜随机“抽查”应变自如！挑战在北京一天不说中文</v>
      </c>
      <c r="C68" s="10" t="s">
        <v>452</v>
      </c>
      <c r="D68" s="11" t="s">
        <v>876</v>
      </c>
      <c r="E68" s="11" t="s">
        <v>876</v>
      </c>
      <c r="F68" s="8">
        <f t="shared" si="4"/>
        <v>75</v>
      </c>
      <c r="G68" s="8">
        <f t="shared" si="5"/>
        <v>75</v>
      </c>
    </row>
    <row r="69" spans="1:7" ht="30" customHeight="1" x14ac:dyDescent="0.25">
      <c r="A69" s="53"/>
      <c r="B69" s="54"/>
      <c r="C69" s="10" t="s">
        <v>34</v>
      </c>
      <c r="D69" s="12" t="s">
        <v>877</v>
      </c>
      <c r="E69" s="12" t="s">
        <v>877</v>
      </c>
      <c r="F69" s="8">
        <f t="shared" si="4"/>
        <v>29</v>
      </c>
      <c r="G69" s="8">
        <f t="shared" si="5"/>
        <v>29</v>
      </c>
    </row>
    <row r="70" spans="1:7" ht="30" customHeight="1" x14ac:dyDescent="0.25">
      <c r="A70" s="53">
        <v>35</v>
      </c>
      <c r="B70" s="54" t="str">
        <f>D71</f>
        <v>北京，请回答｜体验“中轴线专列”，感受北京轨道交通的神奇之处！</v>
      </c>
      <c r="C70" s="10" t="s">
        <v>452</v>
      </c>
      <c r="D70" s="11" t="s">
        <v>878</v>
      </c>
      <c r="E70" s="11" t="s">
        <v>878</v>
      </c>
      <c r="F70" s="8">
        <f t="shared" si="4"/>
        <v>95</v>
      </c>
      <c r="G70" s="8">
        <f t="shared" si="5"/>
        <v>95</v>
      </c>
    </row>
    <row r="71" spans="1:7" ht="30" customHeight="1" x14ac:dyDescent="0.25">
      <c r="A71" s="53"/>
      <c r="B71" s="54"/>
      <c r="C71" s="10" t="s">
        <v>34</v>
      </c>
      <c r="D71" s="12" t="s">
        <v>879</v>
      </c>
      <c r="E71" s="12" t="s">
        <v>879</v>
      </c>
      <c r="F71" s="8">
        <f t="shared" si="4"/>
        <v>31</v>
      </c>
      <c r="G71" s="8">
        <f t="shared" si="5"/>
        <v>31</v>
      </c>
    </row>
    <row r="72" spans="1:7" ht="30" customHeight="1" x14ac:dyDescent="0.25">
      <c r="A72" s="53">
        <v>36</v>
      </c>
      <c r="B72" s="54" t="str">
        <f>D73</f>
        <v>北京，请回答｜听说在北京有钱没处花？原来移动支付竟如此“丝滑”！</v>
      </c>
      <c r="C72" s="10" t="s">
        <v>452</v>
      </c>
      <c r="D72" s="11" t="s">
        <v>880</v>
      </c>
      <c r="E72" s="11" t="s">
        <v>880</v>
      </c>
      <c r="F72" s="8">
        <f t="shared" si="4"/>
        <v>95</v>
      </c>
      <c r="G72" s="8">
        <f t="shared" si="5"/>
        <v>95</v>
      </c>
    </row>
    <row r="73" spans="1:7" ht="30" customHeight="1" x14ac:dyDescent="0.25">
      <c r="A73" s="53"/>
      <c r="B73" s="54"/>
      <c r="C73" s="10" t="s">
        <v>34</v>
      </c>
      <c r="D73" s="12" t="s">
        <v>881</v>
      </c>
      <c r="E73" s="12" t="s">
        <v>881</v>
      </c>
      <c r="F73" s="8">
        <f t="shared" si="4"/>
        <v>32</v>
      </c>
      <c r="G73" s="8">
        <f t="shared" si="5"/>
        <v>32</v>
      </c>
    </row>
    <row r="74" spans="1:7" ht="30" customHeight="1" x14ac:dyDescent="0.25">
      <c r="A74" s="53">
        <v>37</v>
      </c>
      <c r="B74" s="54" t="str">
        <f>D75</f>
        <v>北京，请回答｜在北京市中心种地？这个农业版中轴线Citywalk不一般！</v>
      </c>
      <c r="C74" s="10" t="s">
        <v>452</v>
      </c>
      <c r="D74" s="11" t="s">
        <v>882</v>
      </c>
      <c r="E74" s="11" t="s">
        <v>882</v>
      </c>
      <c r="F74" s="8">
        <f t="shared" si="4"/>
        <v>71</v>
      </c>
      <c r="G74" s="8">
        <f t="shared" si="5"/>
        <v>71</v>
      </c>
    </row>
    <row r="75" spans="1:7" ht="30" customHeight="1" x14ac:dyDescent="0.25">
      <c r="A75" s="53"/>
      <c r="B75" s="54"/>
      <c r="C75" s="10" t="s">
        <v>34</v>
      </c>
      <c r="D75" s="12" t="s">
        <v>883</v>
      </c>
      <c r="E75" s="12" t="s">
        <v>883</v>
      </c>
      <c r="F75" s="8">
        <f t="shared" si="4"/>
        <v>36</v>
      </c>
      <c r="G75" s="8">
        <f t="shared" si="5"/>
        <v>36</v>
      </c>
    </row>
    <row r="76" spans="1:7" ht="30" customHeight="1" x14ac:dyDescent="0.25">
      <c r="A76" s="53">
        <v>38</v>
      </c>
      <c r="B76" s="54" t="str">
        <f>D77</f>
        <v>北京，请回答｜在京郊“网红打卡点”过周末，快来投票帮我选民宿吧！</v>
      </c>
      <c r="C76" s="10" t="s">
        <v>452</v>
      </c>
      <c r="D76" s="11" t="s">
        <v>884</v>
      </c>
      <c r="E76" s="11" t="s">
        <v>884</v>
      </c>
      <c r="F76" s="8">
        <f t="shared" si="4"/>
        <v>71</v>
      </c>
      <c r="G76" s="8">
        <f t="shared" si="5"/>
        <v>71</v>
      </c>
    </row>
    <row r="77" spans="1:7" ht="30" customHeight="1" x14ac:dyDescent="0.25">
      <c r="A77" s="53"/>
      <c r="B77" s="54"/>
      <c r="C77" s="10" t="s">
        <v>34</v>
      </c>
      <c r="D77" s="12" t="s">
        <v>885</v>
      </c>
      <c r="E77" s="12" t="s">
        <v>885</v>
      </c>
      <c r="F77" s="8">
        <f t="shared" si="4"/>
        <v>32</v>
      </c>
      <c r="G77" s="8">
        <f t="shared" si="5"/>
        <v>32</v>
      </c>
    </row>
    <row r="78" spans="1:7" ht="30" customHeight="1" x14ac:dyDescent="0.25">
      <c r="A78" s="53">
        <v>39</v>
      </c>
      <c r="B78" s="54" t="str">
        <f>D79</f>
        <v>北京，请回答丨京籍“AI司机”上岗！一起体验“火出圈”的自动驾驶</v>
      </c>
      <c r="C78" s="10" t="s">
        <v>452</v>
      </c>
      <c r="D78" s="11" t="s">
        <v>886</v>
      </c>
      <c r="E78" s="11" t="s">
        <v>886</v>
      </c>
      <c r="F78" s="8">
        <f t="shared" si="4"/>
        <v>95</v>
      </c>
      <c r="G78" s="8">
        <f t="shared" si="5"/>
        <v>95</v>
      </c>
    </row>
    <row r="79" spans="1:7" ht="30" customHeight="1" x14ac:dyDescent="0.25">
      <c r="A79" s="53"/>
      <c r="B79" s="54"/>
      <c r="C79" s="10" t="s">
        <v>34</v>
      </c>
      <c r="D79" s="12" t="s">
        <v>887</v>
      </c>
      <c r="E79" s="12" t="s">
        <v>887</v>
      </c>
      <c r="F79" s="8">
        <f t="shared" si="4"/>
        <v>32</v>
      </c>
      <c r="G79" s="8">
        <f t="shared" si="5"/>
        <v>32</v>
      </c>
    </row>
  </sheetData>
  <mergeCells count="78">
    <mergeCell ref="B76:B77"/>
    <mergeCell ref="B78:B79"/>
    <mergeCell ref="B66:B67"/>
    <mergeCell ref="B68:B69"/>
    <mergeCell ref="B70:B71"/>
    <mergeCell ref="B72:B73"/>
    <mergeCell ref="B74:B75"/>
    <mergeCell ref="B56:B57"/>
    <mergeCell ref="B58:B59"/>
    <mergeCell ref="B60:B61"/>
    <mergeCell ref="B62:B63"/>
    <mergeCell ref="B64:B65"/>
    <mergeCell ref="B46:B47"/>
    <mergeCell ref="B48:B49"/>
    <mergeCell ref="B50:B51"/>
    <mergeCell ref="B52:B53"/>
    <mergeCell ref="B54:B55"/>
    <mergeCell ref="B36:B37"/>
    <mergeCell ref="B38:B39"/>
    <mergeCell ref="B40:B41"/>
    <mergeCell ref="B42:B43"/>
    <mergeCell ref="B44:B45"/>
    <mergeCell ref="B26:B27"/>
    <mergeCell ref="B28:B29"/>
    <mergeCell ref="B30:B31"/>
    <mergeCell ref="B32:B33"/>
    <mergeCell ref="B34:B35"/>
    <mergeCell ref="A72:A73"/>
    <mergeCell ref="A74:A75"/>
    <mergeCell ref="A76:A77"/>
    <mergeCell ref="A78:A79"/>
    <mergeCell ref="B2:B3"/>
    <mergeCell ref="B4:B5"/>
    <mergeCell ref="B6:B7"/>
    <mergeCell ref="B8:B9"/>
    <mergeCell ref="B10:B11"/>
    <mergeCell ref="B12:B13"/>
    <mergeCell ref="B14:B15"/>
    <mergeCell ref="B16:B17"/>
    <mergeCell ref="B18:B19"/>
    <mergeCell ref="B20:B21"/>
    <mergeCell ref="B22:B23"/>
    <mergeCell ref="B24:B25"/>
    <mergeCell ref="A62:A63"/>
    <mergeCell ref="A64:A65"/>
    <mergeCell ref="A66:A67"/>
    <mergeCell ref="A68:A69"/>
    <mergeCell ref="A70:A71"/>
    <mergeCell ref="A52:A53"/>
    <mergeCell ref="A54:A55"/>
    <mergeCell ref="A56:A57"/>
    <mergeCell ref="A58:A59"/>
    <mergeCell ref="A60:A61"/>
    <mergeCell ref="A42:A43"/>
    <mergeCell ref="A44:A45"/>
    <mergeCell ref="A46:A47"/>
    <mergeCell ref="A48:A49"/>
    <mergeCell ref="A50:A51"/>
    <mergeCell ref="A32:A33"/>
    <mergeCell ref="A34:A35"/>
    <mergeCell ref="A36:A37"/>
    <mergeCell ref="A38:A39"/>
    <mergeCell ref="A40:A41"/>
    <mergeCell ref="A22:A23"/>
    <mergeCell ref="A24:A25"/>
    <mergeCell ref="A26:A27"/>
    <mergeCell ref="A28:A29"/>
    <mergeCell ref="A30:A31"/>
    <mergeCell ref="A12:A13"/>
    <mergeCell ref="A14:A15"/>
    <mergeCell ref="A16:A17"/>
    <mergeCell ref="A18:A19"/>
    <mergeCell ref="A20:A21"/>
    <mergeCell ref="A2:A3"/>
    <mergeCell ref="A4:A5"/>
    <mergeCell ref="A6:A7"/>
    <mergeCell ref="A8:A9"/>
    <mergeCell ref="A10:A11"/>
  </mergeCells>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Revision History</vt:lpstr>
      <vt:lpstr>Movie</vt:lpstr>
      <vt:lpstr>TV</vt:lpstr>
      <vt:lpstr>Short video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Kale Jia</cp:lastModifiedBy>
  <dcterms:created xsi:type="dcterms:W3CDTF">2022-07-14T03:41:00Z</dcterms:created>
  <dcterms:modified xsi:type="dcterms:W3CDTF">2025-10-09T11:09:45Z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BBFAE45A663F411BB7B049196A9E820C_13</vt:lpwstr>
  </property>
  <property fmtid="{D5CDD505-2E9C-101B-9397-08002B2CF9AE}" pid="3" name="KSOProductBuildVer">
    <vt:lpwstr>2052-12.1.0.18912</vt:lpwstr>
  </property>
  <property fmtid="{D5CDD505-2E9C-101B-9397-08002B2CF9AE}" pid="4" name="KSOReadingLayout">
    <vt:bool>true</vt:bool>
  </property>
</Properties>
</file>