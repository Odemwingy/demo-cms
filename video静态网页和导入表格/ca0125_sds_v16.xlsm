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365" windowHeight="15225" tabRatio="651"/>
  </bookViews>
  <sheets>
    <sheet name="Revision History" sheetId="6" r:id="rId1"/>
    <sheet name="Movie" sheetId="7" r:id="rId2"/>
    <sheet name="TV" sheetId="15" r:id="rId3"/>
    <sheet name="Advertising" sheetId="14" r:id="rId4"/>
    <sheet name="Overhead" sheetId="12" r:id="rId5"/>
    <sheet name="Safety Video " sheetId="11" state="hidden" r:id="rId6"/>
    <sheet name="Safety Video" sheetId="20" r:id="rId7"/>
    <sheet name="Broadcast Video " sheetId="16" r:id="rId8"/>
    <sheet name="Daily News" sheetId="9" r:id="rId9"/>
    <sheet name="Audio BGM" sheetId="21" r:id="rId10"/>
    <sheet name="Video BGM" sheetId="13" state="hidden" r:id="rId11"/>
  </sheets>
  <externalReferences>
    <externalReference r:id="rId13"/>
    <externalReference r:id="rId14"/>
  </externalReferences>
  <definedNames>
    <definedName name="_xlnm._FilterDatabase" localSheetId="1" hidden="1">Movie!$A$4:$AM$59</definedName>
    <definedName name="_xlnm._FilterDatabase" localSheetId="4" hidden="1">Overhead!$A$4:$AQ$73</definedName>
    <definedName name="_xlnm._FilterDatabase" localSheetId="6" hidden="1">'Safety Video'!$A$4:$DM$34</definedName>
    <definedName name="_xlnm._FilterDatabase" localSheetId="2" hidden="1">TV!$A$4:$AHB$161</definedName>
    <definedName name="_xlnm._FilterDatabase" localSheetId="3" hidden="1">Advertising!$C$2:$J$3</definedName>
    <definedName name="FM_ATP" localSheetId="3">'[1]FM ATP'!$A$2:$A$71</definedName>
    <definedName name="FM_ATP" localSheetId="7">'[1]FM ATP'!$A$2:$A$71</definedName>
    <definedName name="FM_ATP" localSheetId="8">'[1]FM ATP'!$A$2:$A$71</definedName>
    <definedName name="FM_ATP" localSheetId="1">'[1]FM ATP'!$A$2:$A$71</definedName>
    <definedName name="FM_ATP" localSheetId="4">'[1]FM ATP'!$A$2:$A$71</definedName>
    <definedName name="FM_ATP" localSheetId="0">'[1]FM ATP'!$A$2:$A$71</definedName>
    <definedName name="FM_ATP" localSheetId="5">'[1]FM ATP'!$A$2:$A$71</definedName>
    <definedName name="FM_ATP" localSheetId="2">'[1]FM ATP'!$A$2:$A$71</definedName>
    <definedName name="FM_ATP" localSheetId="10">'[1]FM ATP'!$A$2:$A$71</definedName>
    <definedName name="FM_ATP">'[2]FM ATP'!$A$2:$A$71</definedName>
    <definedName name="FM_CO" localSheetId="3">'[1]FM CloseOut'!$A$2:$A$6</definedName>
    <definedName name="FM_CO" localSheetId="7">'[1]FM CloseOut'!$A$2:$A$6</definedName>
    <definedName name="FM_CO" localSheetId="8">'[1]FM CloseOut'!$A$2:$A$6</definedName>
    <definedName name="FM_CO" localSheetId="1">'[1]FM CloseOut'!$A$2:$A$6</definedName>
    <definedName name="FM_CO" localSheetId="4">'[1]FM CloseOut'!$A$2:$A$6</definedName>
    <definedName name="FM_CO" localSheetId="0">'[1]FM CloseOut'!$A$2:$A$6</definedName>
    <definedName name="FM_CO" localSheetId="5">'[1]FM CloseOut'!$A$2:$A$6</definedName>
    <definedName name="FM_CO" localSheetId="2">'[1]FM CloseOut'!$A$2:$A$6</definedName>
    <definedName name="FM_CO" localSheetId="10">'[1]FM CloseOut'!$A$2:$A$6</definedName>
    <definedName name="FM_CO">'[2]FM CloseOut'!$A$2:$A$6</definedName>
    <definedName name="FM_Config" localSheetId="3">'[1]FM Config'!$A$2:$A$10</definedName>
    <definedName name="FM_Config" localSheetId="7">'[1]FM Config'!$A$2:$A$10</definedName>
    <definedName name="FM_Config" localSheetId="8">'[1]FM Config'!$A$2:$A$10</definedName>
    <definedName name="FM_Config" localSheetId="1">'[1]FM Config'!$A$2:$A$10</definedName>
    <definedName name="FM_Config" localSheetId="4">'[1]FM Config'!$A$2:$A$10</definedName>
    <definedName name="FM_Config" localSheetId="0">'[1]FM Config'!$A$2:$A$10</definedName>
    <definedName name="FM_Config" localSheetId="5">'[1]FM Config'!$A$2:$A$10</definedName>
    <definedName name="FM_Config" localSheetId="2">'[1]FM Config'!$A$2:$A$10</definedName>
    <definedName name="FM_Config" localSheetId="10">'[1]FM Config'!$A$2:$A$10</definedName>
    <definedName name="FM_Config">'[2]FM Config'!$A$2:$A$10</definedName>
    <definedName name="FM_DC" localSheetId="3">'[1]FM Diff'!$A$2:$A$11</definedName>
    <definedName name="FM_DC" localSheetId="7">'[1]FM Diff'!$A$2:$A$11</definedName>
    <definedName name="FM_DC" localSheetId="8">'[1]FM Diff'!$A$2:$A$11</definedName>
    <definedName name="FM_DC" localSheetId="1">'[1]FM Diff'!$A$2:$A$11</definedName>
    <definedName name="FM_DC" localSheetId="4">'[1]FM Diff'!$A$2:$A$11</definedName>
    <definedName name="FM_DC" localSheetId="0">'[1]FM Diff'!$A$2:$A$11</definedName>
    <definedName name="FM_DC" localSheetId="5">'[1]FM Diff'!$A$2:$A$11</definedName>
    <definedName name="FM_DC" localSheetId="2">'[1]FM Diff'!$A$2:$A$11</definedName>
    <definedName name="FM_DC" localSheetId="10">'[1]FM Diff'!$A$2:$A$11</definedName>
    <definedName name="FM_DC">'[2]FM Diff'!$A$2:$A$11</definedName>
    <definedName name="FM_DR" localSheetId="3">'[1]FM DR'!$A$2:$A$58</definedName>
    <definedName name="FM_DR" localSheetId="7">'[1]FM DR'!$A$2:$A$58</definedName>
    <definedName name="FM_DR" localSheetId="8">'[1]FM DR'!$A$2:$A$58</definedName>
    <definedName name="FM_DR" localSheetId="1">'[1]FM DR'!$A$2:$A$58</definedName>
    <definedName name="FM_DR" localSheetId="4">'[1]FM DR'!$A$2:$A$58</definedName>
    <definedName name="FM_DR" localSheetId="0">'[1]FM DR'!$A$2:$A$58</definedName>
    <definedName name="FM_DR" localSheetId="5">'[1]FM DR'!$A$2:$A$58</definedName>
    <definedName name="FM_DR" localSheetId="2">'[1]FM DR'!$A$2:$A$58</definedName>
    <definedName name="FM_DR" localSheetId="10">'[1]FM DR'!$A$2:$A$58</definedName>
    <definedName name="FM_DR">'[2]FM DR'!$A$2:$A$58</definedName>
    <definedName name="FM_Field" localSheetId="3">'[1]FM field'!$A$2:$A$15</definedName>
    <definedName name="FM_Field" localSheetId="7">'[1]FM field'!$A$2:$A$15</definedName>
    <definedName name="FM_Field" localSheetId="8">'[1]FM field'!$A$2:$A$15</definedName>
    <definedName name="FM_Field" localSheetId="1">'[1]FM field'!$A$2:$A$15</definedName>
    <definedName name="FM_Field" localSheetId="4">'[1]FM field'!$A$2:$A$15</definedName>
    <definedName name="FM_Field" localSheetId="0">'[1]FM field'!$A$2:$A$15</definedName>
    <definedName name="FM_Field" localSheetId="5">'[1]FM field'!$A$2:$A$15</definedName>
    <definedName name="FM_Field" localSheetId="2">'[1]FM field'!$A$2:$A$15</definedName>
    <definedName name="FM_Field" localSheetId="10">'[1]FM field'!$A$2:$A$15</definedName>
    <definedName name="FM_Field">'[2]FM field'!$A$2:$A$15</definedName>
    <definedName name="FM_GUI" localSheetId="3">'[1]FM GUI'!$A$2:$A$7</definedName>
    <definedName name="FM_GUI" localSheetId="7">'[1]FM GUI'!$A$2:$A$7</definedName>
    <definedName name="FM_GUI" localSheetId="8">'[1]FM GUI'!$A$2:$A$7</definedName>
    <definedName name="FM_GUI" localSheetId="1">'[1]FM GUI'!$A$2:$A$7</definedName>
    <definedName name="FM_GUI" localSheetId="4">'[1]FM GUI'!$A$2:$A$7</definedName>
    <definedName name="FM_GUI" localSheetId="0">'[1]FM GUI'!$A$2:$A$7</definedName>
    <definedName name="FM_GUI" localSheetId="5">'[1]FM GUI'!$A$2:$A$7</definedName>
    <definedName name="FM_GUI" localSheetId="2">'[1]FM GUI'!$A$2:$A$7</definedName>
    <definedName name="FM_GUI" localSheetId="10">'[1]FM GUI'!$A$2:$A$7</definedName>
    <definedName name="FM_GUI">'[2]FM GUI'!$A$2:$A$7</definedName>
    <definedName name="FM_IM" localSheetId="3">'[1]FM Int Mgmt'!$A$2:$A$13</definedName>
    <definedName name="FM_IM" localSheetId="7">'[1]FM Int Mgmt'!$A$2:$A$13</definedName>
    <definedName name="FM_IM" localSheetId="8">'[1]FM Int Mgmt'!$A$2:$A$13</definedName>
    <definedName name="FM_IM" localSheetId="1">'[1]FM Int Mgmt'!$A$2:$A$13</definedName>
    <definedName name="FM_IM" localSheetId="4">'[1]FM Int Mgmt'!$A$2:$A$13</definedName>
    <definedName name="FM_IM" localSheetId="0">'[1]FM Int Mgmt'!$A$2:$A$13</definedName>
    <definedName name="FM_IM" localSheetId="5">'[1]FM Int Mgmt'!$A$2:$A$13</definedName>
    <definedName name="FM_IM" localSheetId="2">'[1]FM Int Mgmt'!$A$2:$A$13</definedName>
    <definedName name="FM_IM" localSheetId="10">'[1]FM Int Mgmt'!$A$2:$A$13</definedName>
    <definedName name="FM_IM">'[2]FM Int Mgmt'!$A$2:$A$13</definedName>
    <definedName name="FM_MedRec" localSheetId="3">'[1]FM MediaRec'!$A$2:$A$12</definedName>
    <definedName name="FM_MedRec" localSheetId="7">'[1]FM MediaRec'!$A$2:$A$12</definedName>
    <definedName name="FM_MedRec" localSheetId="8">'[1]FM MediaRec'!$A$2:$A$12</definedName>
    <definedName name="FM_MedRec" localSheetId="1">'[1]FM MediaRec'!$A$2:$A$12</definedName>
    <definedName name="FM_MedRec" localSheetId="4">'[1]FM MediaRec'!$A$2:$A$12</definedName>
    <definedName name="FM_MedRec" localSheetId="0">'[1]FM MediaRec'!$A$2:$A$12</definedName>
    <definedName name="FM_MedRec" localSheetId="5">'[1]FM MediaRec'!$A$2:$A$12</definedName>
    <definedName name="FM_MedRec" localSheetId="2">'[1]FM MediaRec'!$A$2:$A$12</definedName>
    <definedName name="FM_MedRec" localSheetId="10">'[1]FM MediaRec'!$A$2:$A$12</definedName>
    <definedName name="FM_MedRec">'[2]FM MediaRec'!$A$2:$A$12</definedName>
    <definedName name="FM_ML" localSheetId="3">'[1]FM ML'!$A$2:$A$25</definedName>
    <definedName name="FM_ML" localSheetId="7">'[1]FM ML'!$A$2:$A$25</definedName>
    <definedName name="FM_ML" localSheetId="8">'[1]FM ML'!$A$2:$A$25</definedName>
    <definedName name="FM_ML" localSheetId="1">'[1]FM ML'!$A$2:$A$25</definedName>
    <definedName name="FM_ML" localSheetId="4">'[1]FM ML'!$A$2:$A$25</definedName>
    <definedName name="FM_ML" localSheetId="0">'[1]FM ML'!$A$2:$A$25</definedName>
    <definedName name="FM_ML" localSheetId="5">'[1]FM ML'!$A$2:$A$25</definedName>
    <definedName name="FM_ML" localSheetId="2">'[1]FM ML'!$A$2:$A$25</definedName>
    <definedName name="FM_ML" localSheetId="10">'[1]FM ML'!$A$2:$A$25</definedName>
    <definedName name="FM_ML">'[2]FM ML'!$A$2:$A$25</definedName>
    <definedName name="FM_OH" localSheetId="3">'[1]FM OnHold'!$A$2:$A$4</definedName>
    <definedName name="FM_OH" localSheetId="7">'[1]FM OnHold'!$A$2:$A$4</definedName>
    <definedName name="FM_OH" localSheetId="8">'[1]FM OnHold'!$A$2:$A$4</definedName>
    <definedName name="FM_OH" localSheetId="1">'[1]FM OnHold'!$A$2:$A$4</definedName>
    <definedName name="FM_OH" localSheetId="4">'[1]FM OnHold'!$A$2:$A$4</definedName>
    <definedName name="FM_OH" localSheetId="0">'[1]FM OnHold'!$A$2:$A$4</definedName>
    <definedName name="FM_OH" localSheetId="5">'[1]FM OnHold'!$A$2:$A$4</definedName>
    <definedName name="FM_OH" localSheetId="2">'[1]FM OnHold'!$A$2:$A$4</definedName>
    <definedName name="FM_OH" localSheetId="10">'[1]FM OnHold'!$A$2:$A$4</definedName>
    <definedName name="FM_OH">'[2]FM OnHold'!$A$2:$A$4</definedName>
    <definedName name="FM_PA" localSheetId="3">'[1]FM PreATP'!$A$2:$A$10</definedName>
    <definedName name="FM_PA" localSheetId="7">'[1]FM PreATP'!$A$2:$A$10</definedName>
    <definedName name="FM_PA" localSheetId="8">'[1]FM PreATP'!$A$2:$A$10</definedName>
    <definedName name="FM_PA" localSheetId="1">'[1]FM PreATP'!$A$2:$A$10</definedName>
    <definedName name="FM_PA" localSheetId="4">'[1]FM PreATP'!$A$2:$A$10</definedName>
    <definedName name="FM_PA" localSheetId="0">'[1]FM PreATP'!$A$2:$A$10</definedName>
    <definedName name="FM_PA" localSheetId="5">'[1]FM PreATP'!$A$2:$A$10</definedName>
    <definedName name="FM_PA" localSheetId="2">'[1]FM PreATP'!$A$2:$A$10</definedName>
    <definedName name="FM_PA" localSheetId="10">'[1]FM PreATP'!$A$2:$A$10</definedName>
    <definedName name="FM_PA">'[2]FM PreATP'!$A$2:$A$10</definedName>
    <definedName name="FM_PATP" localSheetId="3">'[1]FM PostATP'!$A$2:$A$11</definedName>
    <definedName name="FM_PATP" localSheetId="7">'[1]FM PostATP'!$A$2:$A$11</definedName>
    <definedName name="FM_PATP" localSheetId="8">'[1]FM PostATP'!$A$2:$A$11</definedName>
    <definedName name="FM_PATP" localSheetId="1">'[1]FM PostATP'!$A$2:$A$11</definedName>
    <definedName name="FM_PATP" localSheetId="4">'[1]FM PostATP'!$A$2:$A$11</definedName>
    <definedName name="FM_PATP" localSheetId="0">'[1]FM PostATP'!$A$2:$A$11</definedName>
    <definedName name="FM_PATP" localSheetId="5">'[1]FM PostATP'!$A$2:$A$11</definedName>
    <definedName name="FM_PATP" localSheetId="2">'[1]FM PostATP'!$A$2:$A$11</definedName>
    <definedName name="FM_PATP" localSheetId="10">'[1]FM PostATP'!$A$2:$A$11</definedName>
    <definedName name="FM_PATP">'[2]FM PostATP'!$A$2:$A$11</definedName>
    <definedName name="FM_SDS" localSheetId="3">'[1]FM SDS'!$A$2:$A$24</definedName>
    <definedName name="FM_SDS" localSheetId="7">'[1]FM SDS'!$A$2:$A$24</definedName>
    <definedName name="FM_SDS" localSheetId="8">'[1]FM SDS'!$A$2:$A$24</definedName>
    <definedName name="FM_SDS" localSheetId="1">'[1]FM SDS'!$A$2:$A$24</definedName>
    <definedName name="FM_SDS" localSheetId="4">'[1]FM SDS'!$A$2:$A$24</definedName>
    <definedName name="FM_SDS" localSheetId="0">'[1]FM SDS'!$A$2:$A$24</definedName>
    <definedName name="FM_SDS" localSheetId="5">'[1]FM SDS'!$A$2:$A$24</definedName>
    <definedName name="FM_SDS" localSheetId="2">'[1]FM SDS'!$A$2:$A$24</definedName>
    <definedName name="FM_SDS" localSheetId="10">'[1]FM SDS'!$A$2:$A$24</definedName>
    <definedName name="FM_SDS">'[2]FM SDS'!$A$2:$A$24</definedName>
    <definedName name="FM_SOA" localSheetId="3">'[1]FM SOA'!$A$2:$A$10</definedName>
    <definedName name="FM_SOA" localSheetId="7">'[1]FM SOA'!$A$2:$A$10</definedName>
    <definedName name="FM_SOA" localSheetId="8">'[1]FM SOA'!$A$2:$A$10</definedName>
    <definedName name="FM_SOA" localSheetId="1">'[1]FM SOA'!$A$2:$A$10</definedName>
    <definedName name="FM_SOA" localSheetId="4">'[1]FM SOA'!$A$2:$A$10</definedName>
    <definedName name="FM_SOA" localSheetId="0">'[1]FM SOA'!$A$2:$A$10</definedName>
    <definedName name="FM_SOA" localSheetId="5">'[1]FM SOA'!$A$2:$A$10</definedName>
    <definedName name="FM_SOA" localSheetId="2">'[1]FM SOA'!$A$2:$A$10</definedName>
    <definedName name="FM_SOA" localSheetId="10">'[1]FM SOA'!$A$2:$A$10</definedName>
    <definedName name="FM_SOA">'[2]FM SOA'!$A$2:$A$10</definedName>
    <definedName name="FM_SSCM" localSheetId="3">'[1]FM SSCM'!$A$2:$A$6</definedName>
    <definedName name="FM_SSCM" localSheetId="7">'[1]FM SSCM'!$A$2:$A$6</definedName>
    <definedName name="FM_SSCM" localSheetId="8">'[1]FM SSCM'!$A$2:$A$6</definedName>
    <definedName name="FM_SSCM" localSheetId="1">'[1]FM SSCM'!$A$2:$A$6</definedName>
    <definedName name="FM_SSCM" localSheetId="4">'[1]FM SSCM'!$A$2:$A$6</definedName>
    <definedName name="FM_SSCM" localSheetId="0">'[1]FM SSCM'!$A$2:$A$6</definedName>
    <definedName name="FM_SSCM" localSheetId="5">'[1]FM SSCM'!$A$2:$A$6</definedName>
    <definedName name="FM_SSCM" localSheetId="2">'[1]FM SSCM'!$A$2:$A$6</definedName>
    <definedName name="FM_SSCM" localSheetId="10">'[1]FM SSCM'!$A$2:$A$6</definedName>
    <definedName name="FM_SSCM">'[2]FM SSCM'!$A$2:$A$6</definedName>
    <definedName name="Rack_Number" localSheetId="3">[1]Rack!$A$2:$A$31</definedName>
    <definedName name="Rack_Number" localSheetId="7">[1]Rack!$A$2:$A$31</definedName>
    <definedName name="Rack_Number" localSheetId="8">[1]Rack!$A$2:$A$31</definedName>
    <definedName name="Rack_Number" localSheetId="1">[1]Rack!$A$2:$A$31</definedName>
    <definedName name="Rack_Number" localSheetId="4">[1]Rack!$A$2:$A$31</definedName>
    <definedName name="Rack_Number" localSheetId="0">[1]Rack!$A$2:$A$31</definedName>
    <definedName name="Rack_Number" localSheetId="5">[1]Rack!$A$2:$A$31</definedName>
    <definedName name="Rack_Number" localSheetId="2">[1]Rack!$A$2:$A$31</definedName>
    <definedName name="Rack_Number" localSheetId="10">[1]Rack!$A$2:$A$31</definedName>
    <definedName name="Rack_Number">[2]Rack!$A$2:$A$31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Administrator</author>
  </authors>
  <commentList>
    <comment ref="F58" authorId="0">
      <text>
        <r>
          <rPr>
            <sz val="14"/>
            <rFont val="宋体"/>
            <charset val="134"/>
          </rPr>
          <t>i4K只有ACTION有导视</t>
        </r>
      </text>
    </comment>
    <comment ref="H58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</t>
        </r>
        <r>
          <rPr>
            <sz val="16"/>
            <rFont val="宋体"/>
            <charset val="134"/>
          </rPr>
          <t>eFx专用</t>
        </r>
      </text>
    </comment>
    <comment ref="I59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仅适用eX3/2系统</t>
        </r>
      </text>
    </comment>
  </commentList>
</comments>
</file>

<file path=xl/comments2.xml><?xml version="1.0" encoding="utf-8"?>
<comments xmlns="http://schemas.openxmlformats.org/spreadsheetml/2006/main">
  <authors>
    <author>Administrator</author>
  </authors>
  <commentList>
    <comment ref="G161" authorId="0">
      <text>
        <r>
          <rPr>
            <sz val="9"/>
            <rFont val="宋体"/>
            <charset val="134"/>
          </rPr>
          <t xml:space="preserve">
</t>
        </r>
        <r>
          <rPr>
            <sz val="14"/>
            <rFont val="宋体"/>
            <charset val="134"/>
          </rPr>
          <t>I4K只有纪录片有导视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H69" authorId="0">
      <text>
        <r>
          <rPr>
            <sz val="16"/>
            <rFont val="宋体"/>
            <charset val="134"/>
          </rPr>
          <t>格式是M2</t>
        </r>
      </text>
    </comment>
    <comment ref="O70" authorId="0">
      <text>
        <r>
          <rPr>
            <sz val="14"/>
            <rFont val="宋体"/>
            <charset val="134"/>
          </rPr>
          <t>和电影表的文件名相同</t>
        </r>
      </text>
    </comment>
    <comment ref="O71" authorId="0">
      <text>
        <r>
          <rPr>
            <sz val="14"/>
            <rFont val="宋体"/>
            <charset val="134"/>
          </rPr>
          <t>和电影表的文件名相同</t>
        </r>
      </text>
    </comment>
    <comment ref="O72" authorId="0">
      <text>
        <r>
          <rPr>
            <sz val="14"/>
            <rFont val="宋体"/>
            <charset val="134"/>
          </rPr>
          <t>和TV表的文件名相同</t>
        </r>
      </text>
    </comment>
    <comment ref="O73" authorId="0">
      <text>
        <r>
          <rPr>
            <sz val="14"/>
            <rFont val="宋体"/>
            <charset val="134"/>
          </rPr>
          <t>和TV表的文件名相同</t>
        </r>
      </text>
    </comment>
  </commentList>
</comments>
</file>

<file path=xl/comments4.xml><?xml version="1.0" encoding="utf-8"?>
<comments xmlns="http://schemas.openxmlformats.org/spreadsheetml/2006/main">
  <authors>
    <author>Administrator</author>
  </authors>
  <commentList>
    <comment ref="H11" authorId="0">
      <text>
        <r>
          <rPr>
            <b/>
            <sz val="12"/>
            <rFont val="宋体"/>
            <charset val="134"/>
          </rPr>
          <t>Administrator:</t>
        </r>
        <r>
          <rPr>
            <sz val="12"/>
            <rFont val="宋体"/>
            <charset val="134"/>
          </rPr>
          <t xml:space="preserve">
用787_9的安全视频素材</t>
        </r>
      </text>
    </comment>
    <comment ref="I11" authorId="0">
      <text>
        <r>
          <rPr>
            <sz val="9"/>
            <rFont val="宋体"/>
            <charset val="134"/>
          </rPr>
          <t xml:space="preserve">
</t>
        </r>
        <r>
          <rPr>
            <sz val="12"/>
            <rFont val="宋体"/>
            <charset val="134"/>
          </rPr>
          <t>用efx系统B737-800/8机型的素材</t>
        </r>
      </text>
    </comment>
    <comment ref="J11" authorId="0">
      <text>
        <r>
          <rPr>
            <sz val="12"/>
            <rFont val="宋体"/>
            <charset val="134"/>
          </rPr>
          <t>用B747_400的素材</t>
        </r>
      </text>
    </comment>
    <comment ref="K11" authorId="0">
      <text>
        <r>
          <rPr>
            <sz val="12"/>
            <rFont val="宋体"/>
            <charset val="134"/>
          </rPr>
          <t xml:space="preserve">用A330_200的素材
</t>
        </r>
      </text>
    </comment>
    <comment ref="L11" authorId="0">
      <text>
        <r>
          <rPr>
            <sz val="12"/>
            <rFont val="宋体"/>
            <charset val="134"/>
          </rPr>
          <t xml:space="preserve">用A330_200的素材
</t>
        </r>
      </text>
    </comment>
  </commentList>
</comments>
</file>

<file path=xl/comments5.xml><?xml version="1.0" encoding="utf-8"?>
<comments xmlns="http://schemas.openxmlformats.org/spreadsheetml/2006/main">
  <authors>
    <author>Administrator</author>
  </authors>
  <commentList>
    <comment ref="H33" authorId="0">
      <text>
        <r>
          <rPr>
            <sz val="9"/>
            <rFont val="宋体"/>
            <charset val="134"/>
          </rPr>
          <t xml:space="preserve">用 787 9机型2023中英版替换about us中的安全须知
</t>
        </r>
      </text>
    </comment>
    <comment ref="I33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 787 9机型2023中英版替换about us中的安全须知
</t>
        </r>
      </text>
    </comment>
    <comment ref="J33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用B737-800/8机型 2023中英版安全须知
</t>
        </r>
      </text>
    </comment>
    <comment ref="K33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用B747_400中英的素材
</t>
        </r>
      </text>
    </comment>
    <comment ref="L33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 A330_200_Eng 
</t>
        </r>
      </text>
    </comment>
    <comment ref="M33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 A330_200_Eng</t>
        </r>
      </text>
    </comment>
    <comment ref="J34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用：02-B737-800/8 (中)安全须知 2023 </t>
        </r>
      </text>
    </comment>
  </commentList>
</comments>
</file>

<file path=xl/sharedStrings.xml><?xml version="1.0" encoding="utf-8"?>
<sst xmlns="http://schemas.openxmlformats.org/spreadsheetml/2006/main" count="4935" uniqueCount="1262">
  <si>
    <t>Versions</t>
  </si>
  <si>
    <t>Updates</t>
  </si>
  <si>
    <t>Made By</t>
  </si>
  <si>
    <t>Date</t>
  </si>
  <si>
    <t>V1</t>
  </si>
  <si>
    <t>完成初版</t>
  </si>
  <si>
    <t>Envee</t>
  </si>
  <si>
    <t>2024.11.12</t>
  </si>
  <si>
    <t>V2</t>
  </si>
  <si>
    <t>增加第一版编码信息</t>
  </si>
  <si>
    <t>2024.11.13</t>
  </si>
  <si>
    <t>V3</t>
  </si>
  <si>
    <t>删除电影《十全九美》，删除TV《航拍天下 第四季 5》</t>
  </si>
  <si>
    <t>2024.11.14</t>
  </si>
  <si>
    <t>V4</t>
  </si>
  <si>
    <t>删除TV《墨雨云间 8》《新闻女王 15》《八闽有鲜味 7》，在efx系统中拉回《墨雨云间 7》,标黄</t>
  </si>
  <si>
    <t>V5</t>
  </si>
  <si>
    <t>修改电影《他是龙》英文title，标黄</t>
  </si>
  <si>
    <t>2024.11.18</t>
  </si>
  <si>
    <t>V6</t>
  </si>
  <si>
    <t>增加第二版编码信息</t>
  </si>
  <si>
    <t>V7</t>
  </si>
  <si>
    <t>修改3k几部TV filename</t>
  </si>
  <si>
    <t>2024.11.20</t>
  </si>
  <si>
    <t>V8</t>
  </si>
  <si>
    <t>修改1部电影（负负得正）和2部TV（想念，中国村落 3）时长，标注颜色</t>
  </si>
  <si>
    <t>V9</t>
  </si>
  <si>
    <t>新增3k TV，更换i4K广播和60min大舱节目，标黄</t>
  </si>
  <si>
    <t>V10</t>
  </si>
  <si>
    <t>修改TV《吉聚欢喜 20230123》英文标题，标黄</t>
  </si>
  <si>
    <t>V11</t>
  </si>
  <si>
    <t>增加S3KTV信息</t>
  </si>
  <si>
    <t>2024.11.22</t>
  </si>
  <si>
    <t>V12</t>
  </si>
  <si>
    <t>增加常规节目所有信息</t>
  </si>
  <si>
    <t>V13</t>
  </si>
  <si>
    <t>本月无片前广告；也不沿用。增加泰雷兹广告filename</t>
  </si>
  <si>
    <t>V14</t>
  </si>
  <si>
    <t>增加所有节目编码信息</t>
  </si>
  <si>
    <t>2024.11.27</t>
  </si>
  <si>
    <t>V15</t>
  </si>
  <si>
    <t>修改TV《神奇的中国 1》字幕，标紫</t>
  </si>
  <si>
    <t>2024.12.6</t>
  </si>
  <si>
    <t>V16</t>
  </si>
  <si>
    <t>增加空博广告合集信息</t>
  </si>
  <si>
    <t>2024.12.10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</si>
  <si>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</si>
  <si>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</si>
  <si>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</si>
  <si>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</si>
  <si>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</si>
  <si>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</si>
  <si>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</si>
  <si>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</si>
  <si>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</si>
  <si>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</si>
  <si>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</si>
  <si>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</si>
  <si>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</si>
  <si>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</si>
  <si>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</si>
  <si>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</si>
  <si>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</si>
  <si>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</si>
  <si>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</si>
  <si>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</si>
  <si>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</si>
  <si>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</si>
  <si>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</si>
  <si>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</si>
  <si>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</si>
  <si>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</si>
  <si>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</si>
  <si>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</si>
  <si>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File Data</t>
  </si>
  <si>
    <t>PAC</t>
  </si>
  <si>
    <t>TTE</t>
  </si>
  <si>
    <t>PAC Filename</t>
  </si>
  <si>
    <t>PAC TR Filename</t>
  </si>
  <si>
    <t xml:space="preserve">TTE Filename </t>
  </si>
  <si>
    <t xml:space="preserve">TTE TR Filename </t>
  </si>
  <si>
    <t>File Info</t>
  </si>
  <si>
    <t>Language &amp; Subtitle</t>
  </si>
  <si>
    <t>Run Time</t>
  </si>
  <si>
    <t>Aspect Ratio</t>
  </si>
  <si>
    <t>TR Run Time (hh:mm:ss)</t>
  </si>
  <si>
    <t>Label</t>
  </si>
  <si>
    <t>No.</t>
  </si>
  <si>
    <t>File Received On</t>
  </si>
  <si>
    <t>cycle</t>
  </si>
  <si>
    <t>AVOD Category</t>
  </si>
  <si>
    <t>File Number</t>
  </si>
  <si>
    <t>Title_ZHO</t>
  </si>
  <si>
    <t>Title_ENG</t>
  </si>
  <si>
    <t>TR_Title_ENG</t>
  </si>
  <si>
    <t>eX3/2 &amp; eX3 NG</t>
  </si>
  <si>
    <t>eFx</t>
  </si>
  <si>
    <t>S3k</t>
  </si>
  <si>
    <t>i5000</t>
  </si>
  <si>
    <t>i4000</t>
  </si>
  <si>
    <t>eX3/2 &amp; eX3 NG
eFx</t>
  </si>
  <si>
    <t>3ki</t>
  </si>
  <si>
    <t xml:space="preserve">i4K </t>
  </si>
  <si>
    <t>i5K</t>
  </si>
  <si>
    <t>i4K/i5K</t>
  </si>
  <si>
    <t>License period</t>
  </si>
  <si>
    <t>Movie Rating</t>
  </si>
  <si>
    <t>Parent Rating</t>
  </si>
  <si>
    <t>Release Year</t>
  </si>
  <si>
    <t>Distributor</t>
  </si>
  <si>
    <t>Laboratory</t>
  </si>
  <si>
    <t>Lang1</t>
  </si>
  <si>
    <t>Lang2</t>
  </si>
  <si>
    <t>Lang3</t>
  </si>
  <si>
    <t>Lang4</t>
  </si>
  <si>
    <t>Embedded Sub1</t>
  </si>
  <si>
    <t>Embedded Sub2</t>
  </si>
  <si>
    <t>Run Time (min)</t>
  </si>
  <si>
    <t>Run Time (hh:mm:ss)</t>
  </si>
  <si>
    <t>Run Time (sec)</t>
  </si>
  <si>
    <t>eX3/2 &amp; eX3 NG/eFx/i5k</t>
  </si>
  <si>
    <t>i4k/3ki</t>
  </si>
  <si>
    <t>0125</t>
  </si>
  <si>
    <t>Action</t>
  </si>
  <si>
    <t>门前宝地</t>
  </si>
  <si>
    <t>100 Yards</t>
  </si>
  <si>
    <t>√</t>
  </si>
  <si>
    <t>cam012500201</t>
  </si>
  <si>
    <t>cat012500201</t>
  </si>
  <si>
    <t>06/30/2025</t>
  </si>
  <si>
    <t>NR</t>
  </si>
  <si>
    <t>ENV</t>
  </si>
  <si>
    <t>Zho</t>
  </si>
  <si>
    <t>New</t>
  </si>
  <si>
    <t>周处除三害</t>
  </si>
  <si>
    <t>The Pig, the Snake, and the Pigeon</t>
  </si>
  <si>
    <t>cam012500202</t>
  </si>
  <si>
    <t>cat012500202</t>
  </si>
  <si>
    <t>Eng</t>
  </si>
  <si>
    <t>汉密尔顿：国家利益</t>
  </si>
  <si>
    <t>Hamilton: I Nationens Interesse</t>
  </si>
  <si>
    <t>cam012500203</t>
  </si>
  <si>
    <t>cat012500203</t>
  </si>
  <si>
    <t>Swe</t>
  </si>
  <si>
    <t>Hot</t>
  </si>
  <si>
    <t>Drama</t>
  </si>
  <si>
    <t>祝你幸福！</t>
  </si>
  <si>
    <t>Enjoy Yourself</t>
  </si>
  <si>
    <t>cam012500301</t>
  </si>
  <si>
    <t>cat012500301</t>
  </si>
  <si>
    <t>孤注一掷</t>
  </si>
  <si>
    <t>No More Bets</t>
  </si>
  <si>
    <t>cam012500302</t>
  </si>
  <si>
    <t>cat012500302</t>
  </si>
  <si>
    <t>再会长江</t>
  </si>
  <si>
    <t>The Yangtze River</t>
  </si>
  <si>
    <t>cam012500303</t>
  </si>
  <si>
    <t>cat012500303</t>
  </si>
  <si>
    <t>乘船而去</t>
  </si>
  <si>
    <t>Gone with the Boat</t>
  </si>
  <si>
    <t>cam012500304</t>
  </si>
  <si>
    <t>cat012500304</t>
  </si>
  <si>
    <t>何处生长</t>
  </si>
  <si>
    <t>Growing Apart</t>
  </si>
  <si>
    <t>cam012500305</t>
  </si>
  <si>
    <t>cat012500305</t>
  </si>
  <si>
    <t>负负得正</t>
  </si>
  <si>
    <t>Land of Broken Hearts</t>
  </si>
  <si>
    <t>cam012500306</t>
  </si>
  <si>
    <t>cat012500306</t>
  </si>
  <si>
    <t>来处是归途</t>
  </si>
  <si>
    <t>Being Mortal</t>
  </si>
  <si>
    <t>cam012500307</t>
  </si>
  <si>
    <t>cat012500307</t>
  </si>
  <si>
    <t>张灯结彩</t>
  </si>
  <si>
    <t>Zhang Deng Jie Cai</t>
  </si>
  <si>
    <t>cam012500308</t>
  </si>
  <si>
    <t>cat012500308</t>
  </si>
  <si>
    <t>03/31/2025</t>
  </si>
  <si>
    <t>Topic</t>
  </si>
  <si>
    <t>我的英格兰</t>
  </si>
  <si>
    <t>England Is Mine</t>
  </si>
  <si>
    <t>cam012500309</t>
  </si>
  <si>
    <t>cat012500309</t>
  </si>
  <si>
    <t>柠檬汽水</t>
  </si>
  <si>
    <t>Lemonade</t>
  </si>
  <si>
    <t>cam012500310</t>
  </si>
  <si>
    <t>cat012500310</t>
  </si>
  <si>
    <t>沙丘2</t>
  </si>
  <si>
    <t>Dune: Part Two</t>
  </si>
  <si>
    <t>cam012500311</t>
  </si>
  <si>
    <t>cat012500311</t>
  </si>
  <si>
    <t>PG</t>
  </si>
  <si>
    <t>愿得一人心</t>
  </si>
  <si>
    <t>Running Forever</t>
  </si>
  <si>
    <t>cam012500312</t>
  </si>
  <si>
    <t>cat012500312</t>
  </si>
  <si>
    <t>水逆老爸</t>
  </si>
  <si>
    <t>Our Struggles</t>
  </si>
  <si>
    <t>cam012500313</t>
  </si>
  <si>
    <t>cat012500313</t>
  </si>
  <si>
    <t>Fra</t>
  </si>
  <si>
    <t>主要音调</t>
  </si>
  <si>
    <t>The Major Tones</t>
  </si>
  <si>
    <t>cam012500314</t>
  </si>
  <si>
    <t>cat012500314</t>
  </si>
  <si>
    <t>G</t>
  </si>
  <si>
    <t>Spa</t>
  </si>
  <si>
    <t>沉默</t>
  </si>
  <si>
    <t>Not A Word</t>
  </si>
  <si>
    <t>cam012500315</t>
  </si>
  <si>
    <t>cat012500315</t>
  </si>
  <si>
    <t>Deu</t>
  </si>
  <si>
    <t>巴乔：神奇的马尾辫</t>
  </si>
  <si>
    <t>Baggio: The Divine Ponytail</t>
  </si>
  <si>
    <t>cam012500316</t>
  </si>
  <si>
    <t>cat012500316</t>
  </si>
  <si>
    <t>Ita</t>
  </si>
  <si>
    <t>Romance</t>
  </si>
  <si>
    <t>最好的相遇</t>
  </si>
  <si>
    <t>An Encounter to Remember</t>
  </si>
  <si>
    <t>cam012500401</t>
  </si>
  <si>
    <t>cat012500401</t>
  </si>
  <si>
    <t>穿过月亮的旅行</t>
  </si>
  <si>
    <t>I Love You to the Moon and Back</t>
  </si>
  <si>
    <t>cam012500402</t>
  </si>
  <si>
    <t>cat012500402</t>
  </si>
  <si>
    <t>云边有个小卖部</t>
  </si>
  <si>
    <t>Moments We Shared</t>
  </si>
  <si>
    <t>cam012500403</t>
  </si>
  <si>
    <t>cat012500403</t>
  </si>
  <si>
    <t>回到亚历山大港</t>
  </si>
  <si>
    <t>Back to Alexandria</t>
  </si>
  <si>
    <t>cam012500404</t>
  </si>
  <si>
    <t>cat012500404</t>
  </si>
  <si>
    <t>过季</t>
  </si>
  <si>
    <t>Out of Season</t>
  </si>
  <si>
    <t>cam012500405</t>
  </si>
  <si>
    <t>cat012500405</t>
  </si>
  <si>
    <t>PG13</t>
  </si>
  <si>
    <t>留校奇缘</t>
  </si>
  <si>
    <t>Grounded</t>
  </si>
  <si>
    <t>cam012500406</t>
  </si>
  <si>
    <t>cat012500406</t>
  </si>
  <si>
    <t>冬天的柠檬</t>
  </si>
  <si>
    <t>Winter Lemons</t>
  </si>
  <si>
    <t>cam012500407</t>
  </si>
  <si>
    <t>cat012500407</t>
  </si>
  <si>
    <t>他是龙</t>
  </si>
  <si>
    <t>Dragon</t>
  </si>
  <si>
    <t>cam012500408</t>
  </si>
  <si>
    <t>cat012500408</t>
  </si>
  <si>
    <t>Rus</t>
  </si>
  <si>
    <t>Comedy</t>
  </si>
  <si>
    <t>抓娃娃</t>
  </si>
  <si>
    <t>Successor</t>
  </si>
  <si>
    <t>cam012500501</t>
  </si>
  <si>
    <t>cat012500501</t>
  </si>
  <si>
    <t>红毯先生</t>
  </si>
  <si>
    <t>The Movie Emperor</t>
  </si>
  <si>
    <t>cam012500502</t>
  </si>
  <si>
    <t>cat012500502</t>
  </si>
  <si>
    <t>没完没了</t>
  </si>
  <si>
    <t>Sorry Baby</t>
  </si>
  <si>
    <t>cam012500504</t>
  </si>
  <si>
    <t>cat012500504</t>
  </si>
  <si>
    <t>不见不散</t>
  </si>
  <si>
    <t>Be There or Be Square</t>
  </si>
  <si>
    <t>cam012500505</t>
  </si>
  <si>
    <t>cat012500505</t>
  </si>
  <si>
    <t>没事偷着乐</t>
  </si>
  <si>
    <t>A Tree in the House</t>
  </si>
  <si>
    <t>cam012500506</t>
  </si>
  <si>
    <t>cat012500506</t>
  </si>
  <si>
    <t>心急吃不了热豆腐</t>
  </si>
  <si>
    <t>Eat Hot Tofu Slowly</t>
  </si>
  <si>
    <t>cam012500507</t>
  </si>
  <si>
    <t>cat012500507</t>
  </si>
  <si>
    <t>驴得水</t>
  </si>
  <si>
    <t>Mr. Donkey</t>
  </si>
  <si>
    <t>cam012500508</t>
  </si>
  <si>
    <t>cat012500508</t>
  </si>
  <si>
    <t>唐人街探案3</t>
  </si>
  <si>
    <t>Detective Chinatown 3</t>
  </si>
  <si>
    <t>cam012500509</t>
  </si>
  <si>
    <t>cat012500509</t>
  </si>
  <si>
    <t>七天之内</t>
  </si>
  <si>
    <t>7 Days No More</t>
  </si>
  <si>
    <t>cam012500510</t>
  </si>
  <si>
    <t>cat012500510</t>
  </si>
  <si>
    <t>酷爸爸</t>
  </si>
  <si>
    <t>Daddy Cool</t>
  </si>
  <si>
    <t>cam012500511</t>
  </si>
  <si>
    <t>cat012500511</t>
  </si>
  <si>
    <t>充满恩典</t>
  </si>
  <si>
    <t>Full of Grace</t>
  </si>
  <si>
    <t>cam012500512</t>
  </si>
  <si>
    <t>cat012500512</t>
  </si>
  <si>
    <t>罗莎的婚礼</t>
  </si>
  <si>
    <t>Rosa's Wedding</t>
  </si>
  <si>
    <t>cam012500513</t>
  </si>
  <si>
    <t>cat012500513</t>
  </si>
  <si>
    <t>记忆中的远方</t>
  </si>
  <si>
    <t>Memory Lane</t>
  </si>
  <si>
    <t>cam012500514</t>
  </si>
  <si>
    <t>cat012500514</t>
  </si>
  <si>
    <t>Nld</t>
  </si>
  <si>
    <t>河上划船的家伙们</t>
  </si>
  <si>
    <t>River Rascals</t>
  </si>
  <si>
    <t>cam012500515</t>
  </si>
  <si>
    <t>cat012500515</t>
  </si>
  <si>
    <t>Ces</t>
  </si>
  <si>
    <t>Kids</t>
  </si>
  <si>
    <t>喜羊羊与灰太狼之守护</t>
  </si>
  <si>
    <t>Pleasant Goat and Big Big Wolf: The World Guardians</t>
  </si>
  <si>
    <t>cam012500601</t>
  </si>
  <si>
    <t>cat012500601</t>
  </si>
  <si>
    <t>喜羊羊与灰太狼之筐出未来</t>
  </si>
  <si>
    <t>Pleasant Goat and Big Big Wolf: Dunk For Future</t>
  </si>
  <si>
    <t>cam012500602</t>
  </si>
  <si>
    <t>cat012500602</t>
  </si>
  <si>
    <t>Classic</t>
  </si>
  <si>
    <t>熊出没：重返地球</t>
  </si>
  <si>
    <t>Boonie Bears: Back to Earth</t>
  </si>
  <si>
    <t>cam012500603</t>
  </si>
  <si>
    <t>cat012500603</t>
  </si>
  <si>
    <t>熊出没·奇幻空间</t>
  </si>
  <si>
    <t>Bonnie Bears: Entangled Worlds</t>
  </si>
  <si>
    <t>cam012500604</t>
  </si>
  <si>
    <t>cat012500604</t>
  </si>
  <si>
    <t>熊出没之熊心归来</t>
  </si>
  <si>
    <t>Boonie Bears: The Big Top Secret</t>
  </si>
  <si>
    <t>cam012500605</t>
  </si>
  <si>
    <t>cat012500605</t>
  </si>
  <si>
    <t>熊出没之雪岭熊风</t>
  </si>
  <si>
    <t>Boonie Bears: Mystical Winter</t>
  </si>
  <si>
    <t>cam012500606</t>
  </si>
  <si>
    <t>cat012500606</t>
  </si>
  <si>
    <t>新猪猪侠大电影·超级赛车</t>
  </si>
  <si>
    <t>GG BOND: Super Racing</t>
  </si>
  <si>
    <t>cam012500607</t>
  </si>
  <si>
    <t>cat012500607</t>
  </si>
  <si>
    <t>萌鸡小队：萌闯新世界</t>
  </si>
  <si>
    <t>Little Chicken Troops</t>
  </si>
  <si>
    <t>cam012500608</t>
  </si>
  <si>
    <t>cat012500608</t>
  </si>
  <si>
    <t>宇宙护卫队：风暴力量</t>
  </si>
  <si>
    <t>Cosmicrew: Storm Force</t>
  </si>
  <si>
    <t>cam012500609</t>
  </si>
  <si>
    <t>cat012500609</t>
  </si>
  <si>
    <t>新大头儿子和小头爸爸5：我的外星朋友</t>
  </si>
  <si>
    <t>New Happy Dad and Son 5: My Alien Friend</t>
  </si>
  <si>
    <t>cam012500610</t>
  </si>
  <si>
    <t>cat012500610</t>
  </si>
  <si>
    <t>最后的美洲豹</t>
  </si>
  <si>
    <t>Autumn and the Black Jaguar</t>
  </si>
  <si>
    <t>cam012500611</t>
  </si>
  <si>
    <t>cat012500611</t>
  </si>
  <si>
    <t>风之王国</t>
  </si>
  <si>
    <t>Sirocco and the Kingdom of the Winds</t>
  </si>
  <si>
    <t>cam012500612</t>
  </si>
  <si>
    <t>cat012500612</t>
  </si>
  <si>
    <t>all</t>
  </si>
  <si>
    <t>佳片速递</t>
  </si>
  <si>
    <t>New Onboard</t>
  </si>
  <si>
    <t>cam012500701</t>
  </si>
  <si>
    <t>cat012500701</t>
  </si>
  <si>
    <t>不适用</t>
  </si>
  <si>
    <t>Welcome video</t>
  </si>
  <si>
    <t>欢迎视频</t>
  </si>
  <si>
    <t>Welcome Video</t>
  </si>
  <si>
    <t>/</t>
  </si>
  <si>
    <t>cam012500702</t>
  </si>
  <si>
    <t xml:space="preserve">                        /</t>
  </si>
  <si>
    <t>File data</t>
  </si>
  <si>
    <t>PACFilename</t>
  </si>
  <si>
    <t>TTE Filename</t>
  </si>
  <si>
    <t>info</t>
  </si>
  <si>
    <t>Category</t>
  </si>
  <si>
    <t>Shorts Series Name</t>
  </si>
  <si>
    <t>i5</t>
  </si>
  <si>
    <t>S3K</t>
  </si>
  <si>
    <t>i4K</t>
  </si>
  <si>
    <r>
      <rPr>
        <b/>
        <sz val="12"/>
        <rFont val="Arial"/>
        <charset val="134"/>
      </rPr>
      <t xml:space="preserve">Run Time(hh:mm:00)
</t>
    </r>
    <r>
      <rPr>
        <b/>
        <sz val="12"/>
        <rFont val="宋体"/>
        <charset val="134"/>
      </rPr>
      <t>精确到分钟</t>
    </r>
  </si>
  <si>
    <t>eX3&amp;2/eX3 NG/eFx/i5K</t>
  </si>
  <si>
    <t>3ki/i4</t>
  </si>
  <si>
    <t>i4</t>
  </si>
  <si>
    <r>
      <rPr>
        <sz val="12"/>
        <rFont val="Arial"/>
        <charset val="134"/>
      </rPr>
      <t xml:space="preserve">YOUKU </t>
    </r>
    <r>
      <rPr>
        <sz val="12"/>
        <rFont val="宋体"/>
        <charset val="134"/>
      </rPr>
      <t>优酷视频</t>
    </r>
  </si>
  <si>
    <t>度华年 4</t>
  </si>
  <si>
    <t>The Princess Royal 4</t>
  </si>
  <si>
    <t>cas012500101</t>
  </si>
  <si>
    <t>墨雨云间 7</t>
  </si>
  <si>
    <t>The Double 7</t>
  </si>
  <si>
    <t>cas012500103</t>
  </si>
  <si>
    <t>听你这么说 7 马岩松：我希望我的建筑可以改变城市</t>
  </si>
  <si>
    <t>I Hear You 7 Ma Yansong: I Hope My Architecture Can Change Cities</t>
  </si>
  <si>
    <t>cas012500104</t>
  </si>
  <si>
    <t>锵锵拾遗 7 有院子才是中国人的生活</t>
  </si>
  <si>
    <t>Gathering Fragments of the Past 7 A Courtyard Is the Essence of Chinese Life</t>
  </si>
  <si>
    <t>cas012500105</t>
  </si>
  <si>
    <t>蕃尼看世界之奇遇冒险 7 蕃尼家族挑战高空吊桥！在雪山下搭建蕃尼营地</t>
  </si>
  <si>
    <t>Funny Traveling Around the World 7 The Funny Family Challenges the High-Altitude Suspension Bridge! Building a Funny Campsite at the Foot of the Snow Mountain</t>
  </si>
  <si>
    <t>cas012500107</t>
  </si>
  <si>
    <t>冰火魔厨 7</t>
  </si>
  <si>
    <t>The Magic Chef of Ice and Fire 7</t>
  </si>
  <si>
    <t>cas012500108</t>
  </si>
  <si>
    <t>暗河传 7</t>
  </si>
  <si>
    <t>Legend of Assassin 7</t>
  </si>
  <si>
    <t>cas012500109</t>
  </si>
  <si>
    <t>沧元图 7</t>
  </si>
  <si>
    <t>The Demon Hunter 7</t>
  </si>
  <si>
    <t>cas012500110</t>
  </si>
  <si>
    <t>飞驰人生热爱篇 7</t>
  </si>
  <si>
    <t>Pegasus·Passion 7</t>
  </si>
  <si>
    <t>cas012500111</t>
  </si>
  <si>
    <t>别对我动心 7</t>
  </si>
  <si>
    <t>Everyone Loves Me 7</t>
  </si>
  <si>
    <t>cas012500112</t>
  </si>
  <si>
    <t>两岸一味 11 一起烤个猪：表皮金黄，肉香四溢</t>
  </si>
  <si>
    <t>Shared Flavor Across the Straits 11 Roast a Pig Together: Golden Crispy Skin, Overflowing with Aroma</t>
  </si>
  <si>
    <t>cas012500113</t>
  </si>
  <si>
    <t>师兄啊师兄 6</t>
  </si>
  <si>
    <t>My Senior Brother Is Too Steady 6</t>
  </si>
  <si>
    <t>cas012500114</t>
  </si>
  <si>
    <t>DOCUMENTARY</t>
  </si>
  <si>
    <t>汉唐文化</t>
  </si>
  <si>
    <t>Hantang Culture</t>
  </si>
  <si>
    <t>cas012500201</t>
  </si>
  <si>
    <t>中国 第一季 1</t>
  </si>
  <si>
    <t>China S01E01</t>
  </si>
  <si>
    <t>cas012500202</t>
  </si>
  <si>
    <t>故宫的礼物 3</t>
  </si>
  <si>
    <t>The Gifts from the Palace Museum 3</t>
  </si>
  <si>
    <t>cas012500203</t>
  </si>
  <si>
    <t>新三峡 3 山</t>
  </si>
  <si>
    <t>New Three Gorges 3 Mountain</t>
  </si>
  <si>
    <t>cas012500204</t>
  </si>
  <si>
    <t>大泰山 1 河山元脉</t>
  </si>
  <si>
    <t>Mount Tai 1 Birthplace of Mount Tai</t>
  </si>
  <si>
    <t>cas012500205</t>
  </si>
  <si>
    <t>中国草 1 我叫菌草</t>
  </si>
  <si>
    <t>Chinese Juncao 1 My Name Is Juncao</t>
  </si>
  <si>
    <t>cas012500206</t>
  </si>
  <si>
    <t>庞贝新发现 2</t>
  </si>
  <si>
    <t>Pompeii: The New Dig Ep02</t>
  </si>
  <si>
    <t>cas012500207</t>
  </si>
  <si>
    <t>行走世界菜市场 7</t>
  </si>
  <si>
    <t>Food Markets Ep07</t>
  </si>
  <si>
    <t>cas012500208</t>
  </si>
  <si>
    <t>NATURE</t>
  </si>
  <si>
    <t>香港自然故事 4 山林篇 下</t>
  </si>
  <si>
    <t>Hong Kong Nature Stories 4 The Mountain Forest (Part 2)</t>
  </si>
  <si>
    <t>cas012500301</t>
  </si>
  <si>
    <t>香港自然故事 3 山林篇 上</t>
  </si>
  <si>
    <t>Hong Kong Nature Stories 3 The Mountain Forest (Part 1)</t>
  </si>
  <si>
    <t>cas012500302</t>
  </si>
  <si>
    <t>自然传奇 野性世界</t>
  </si>
  <si>
    <t>Natural Legend: Wild World</t>
  </si>
  <si>
    <t>cas012500303</t>
  </si>
  <si>
    <t>全球绝美国家公园 第17集</t>
  </si>
  <si>
    <t>Our Great National Parks EP17</t>
  </si>
  <si>
    <t>cas012500304</t>
  </si>
  <si>
    <t>如果地球上没有陆地 7</t>
  </si>
  <si>
    <t>If There Was No Land on Earth Ep07</t>
  </si>
  <si>
    <t>cas012500305</t>
  </si>
  <si>
    <t>DRAMA</t>
  </si>
  <si>
    <t>唐朝诡事录之西行 3</t>
  </si>
  <si>
    <t>Strange Tales Of Tang Dynasty To The WestⅡ EP3</t>
  </si>
  <si>
    <t>cas012500407</t>
  </si>
  <si>
    <t>唐朝诡事录之西行 2</t>
  </si>
  <si>
    <t>Strange Tales Of Tang Dynasty To The WestⅡ EP2</t>
  </si>
  <si>
    <t>cas012500408</t>
  </si>
  <si>
    <t>唐朝诡事录之西行 1</t>
  </si>
  <si>
    <t>Strange Tales Of Tang Dynasty To The WestⅡ EP1</t>
  </si>
  <si>
    <t>cas012500409</t>
  </si>
  <si>
    <t>追风者 3</t>
  </si>
  <si>
    <t>War of Faith 3</t>
  </si>
  <si>
    <t>cas012500410</t>
  </si>
  <si>
    <t>追风者 2</t>
  </si>
  <si>
    <t>War of Faith 2</t>
  </si>
  <si>
    <t>cas012500411</t>
  </si>
  <si>
    <t>追风者 1</t>
  </si>
  <si>
    <t>War of Faith 1</t>
  </si>
  <si>
    <t>cas012500412</t>
  </si>
  <si>
    <t>万物生灵 第五季 6</t>
  </si>
  <si>
    <t>All Creatures Great and Small S05E06</t>
  </si>
  <si>
    <t>cas012500401</t>
  </si>
  <si>
    <t>万物生灵 第五季 5</t>
  </si>
  <si>
    <t>All Creatures Great and Small S05E05</t>
  </si>
  <si>
    <t>cas012500402</t>
  </si>
  <si>
    <t>万物生灵 第五季 4</t>
  </si>
  <si>
    <t>All Creatures Great and Small S05E04</t>
  </si>
  <si>
    <t>cas012500403</t>
  </si>
  <si>
    <t>万物生灵 第五季 3</t>
  </si>
  <si>
    <t>All Creatures Great and Small S05E03</t>
  </si>
  <si>
    <t>cas012500404</t>
  </si>
  <si>
    <t>万物生灵 第五季 2</t>
  </si>
  <si>
    <t>All Creatures Great and Small S05E02</t>
  </si>
  <si>
    <t>cas012500405</t>
  </si>
  <si>
    <t>万物生灵 第五季 1</t>
  </si>
  <si>
    <t>All Creatures Great and Small S05E01</t>
  </si>
  <si>
    <t>cas012500406</t>
  </si>
  <si>
    <t>TRAVEL</t>
  </si>
  <si>
    <t>空中博览1月国际去程</t>
  </si>
  <si>
    <t>Air Panorama International Outbound</t>
  </si>
  <si>
    <t>cas012500501</t>
  </si>
  <si>
    <t>空中博览1月国际回程</t>
  </si>
  <si>
    <t>Air Panorama International Inbound</t>
  </si>
  <si>
    <t>cas012500502</t>
  </si>
  <si>
    <t>空中博览1月国内去程</t>
  </si>
  <si>
    <t>Air Panorama Domestic Outbound</t>
  </si>
  <si>
    <t>cas012500503</t>
  </si>
  <si>
    <t>空中博览1月国内回程</t>
  </si>
  <si>
    <t>Air Panorama Domestic Inbound</t>
  </si>
  <si>
    <t>cas012500504</t>
  </si>
  <si>
    <t>京城十二时辰 10</t>
  </si>
  <si>
    <t>The 12 two-hour Periods in Beijing 10</t>
  </si>
  <si>
    <t>cas012500505</t>
  </si>
  <si>
    <t>花儿与少年·好友记 第9期</t>
  </si>
  <si>
    <t>Divas Hit The Road·Good Friends E09</t>
  </si>
  <si>
    <t>cas012500506</t>
  </si>
  <si>
    <t>花儿与少年·好友记 第8期</t>
  </si>
  <si>
    <t>Divas Hit The Road·Good Friends E08</t>
  </si>
  <si>
    <t>cas012500507</t>
  </si>
  <si>
    <t>冰雪迎宾 2 “尔滨”，冬天里的一团火</t>
  </si>
  <si>
    <t>Snow and Ice Welcome Guests 2 "Erbin", a Fire in Winter</t>
  </si>
  <si>
    <t>cas012500508</t>
  </si>
  <si>
    <t>冰雪迎宾 1 “尔滨”，家里来客人了</t>
  </si>
  <si>
    <t>Snow and Ice Welcome Guests 1 "Erbin", We Have a Visitor</t>
  </si>
  <si>
    <t>cas012500509</t>
  </si>
  <si>
    <t>家住查干湖 2 畅游其间</t>
  </si>
  <si>
    <t>Lives in Chagan Lake 2 Explore It Freely</t>
  </si>
  <si>
    <t>cas012500510</t>
  </si>
  <si>
    <t>家住查干湖 1 年年有余</t>
  </si>
  <si>
    <t>Lives in Chagan Lake 1 Surplus Year after Year</t>
  </si>
  <si>
    <t>cas012500511</t>
  </si>
  <si>
    <t>此生要去的100个地方 8 柳杉</t>
  </si>
  <si>
    <t>100 Places to Visit in This Lifetime 8 Cryptomeria</t>
  </si>
  <si>
    <t>cas012500512</t>
  </si>
  <si>
    <t>此生要去的100个地方 7 珙桐花</t>
  </si>
  <si>
    <t>100 Places to Visit in This Lifetime 7 Gongtong Flowers</t>
  </si>
  <si>
    <t>cas012500513</t>
  </si>
  <si>
    <t>我的希腊之旅 第六季 7</t>
  </si>
  <si>
    <t>My Greek Odyssey S06E07</t>
  </si>
  <si>
    <t>cas012500515</t>
  </si>
  <si>
    <t>KIDS</t>
  </si>
  <si>
    <t>加菲猫的幸福生活 8</t>
  </si>
  <si>
    <t>The Garfield Show Ep08</t>
  </si>
  <si>
    <t>cas012500601</t>
  </si>
  <si>
    <t>加菲猫的幸福生活 7</t>
  </si>
  <si>
    <t>The Garfield Show Ep07</t>
  </si>
  <si>
    <t>cas012500602</t>
  </si>
  <si>
    <t>如果历史是一群喵 第一季 4 大禹建国</t>
  </si>
  <si>
    <t>If History Is a Group of Cats S01E04 Yu the Great Founding the Xia Dynasty</t>
  </si>
  <si>
    <t>cas012500603</t>
  </si>
  <si>
    <t>如果历史是一群喵 第一季 3 三皇五帝</t>
  </si>
  <si>
    <t>If History Is a Group of Cats S01E03 Three Sovereigns and Five Emperors</t>
  </si>
  <si>
    <t>cas012500604</t>
  </si>
  <si>
    <t>京剧猫之信念的冒险 15</t>
  </si>
  <si>
    <t>Jing-Ju Cats S02E15</t>
  </si>
  <si>
    <t>cas012500605</t>
  </si>
  <si>
    <t>京剧猫之信念的冒险 13</t>
  </si>
  <si>
    <t>Jing-Ju Cats S02E13</t>
  </si>
  <si>
    <t>cas012500611</t>
  </si>
  <si>
    <t>熊出没 怪兽计划2（5-6）</t>
  </si>
  <si>
    <t>Boonie Bears Project Monster 2 (5-6)</t>
  </si>
  <si>
    <t>cas012500606</t>
  </si>
  <si>
    <t>山海传奇 7</t>
  </si>
  <si>
    <t>Legends of Mountains and Seas 7</t>
  </si>
  <si>
    <t>cas012500607</t>
  </si>
  <si>
    <t>天真与功夫袜 43-44</t>
  </si>
  <si>
    <t>Tianzhen and Kung Fu Socks 43-44</t>
  </si>
  <si>
    <t>cas012500608</t>
  </si>
  <si>
    <t>小鸡彩虹 第七季 19-20</t>
  </si>
  <si>
    <t>Chicky Rainbow Season 7 19-20</t>
  </si>
  <si>
    <t>cas012500609</t>
  </si>
  <si>
    <t>百变校巴 第十一季 17-18</t>
  </si>
  <si>
    <t>Versatile School Bus Season 11 17-18</t>
  </si>
  <si>
    <t>cas012500610</t>
  </si>
  <si>
    <t>LIFESTYLE</t>
  </si>
  <si>
    <t>强国青年说 第三季 3 马背上的女骑手</t>
  </si>
  <si>
    <t>Youth of a Strong Nation S03E03 Equestrian Ladies on Horseback</t>
  </si>
  <si>
    <t>cas012500701</t>
  </si>
  <si>
    <t>灿烂的花园 12</t>
  </si>
  <si>
    <t>Brilliant Garden Ep12</t>
  </si>
  <si>
    <t>cas012500702</t>
  </si>
  <si>
    <t>灿烂的花园 11</t>
  </si>
  <si>
    <t>Brilliant Garden Ep11</t>
  </si>
  <si>
    <t>cas012500703</t>
  </si>
  <si>
    <t>灿烂的花园 10</t>
  </si>
  <si>
    <t>Brilliant Garden Ep10</t>
  </si>
  <si>
    <t>cas012500704</t>
  </si>
  <si>
    <t>爸爸当家 第二季 第15期下</t>
  </si>
  <si>
    <t>Daddy at Home S02E15P02</t>
  </si>
  <si>
    <t>cas012500705</t>
  </si>
  <si>
    <t>爸爸当家 第二季 第15期上</t>
  </si>
  <si>
    <t>Daddy at Home S02E15P01</t>
  </si>
  <si>
    <t>cas012500706</t>
  </si>
  <si>
    <t>爸爸当家 第二季 第14期下</t>
  </si>
  <si>
    <t>Daddy at Home S02E14P02</t>
  </si>
  <si>
    <t>cas012500707</t>
  </si>
  <si>
    <t>爸爸当家 第二季 第14期上</t>
  </si>
  <si>
    <t>Daddy at Home S02E14P01</t>
  </si>
  <si>
    <t>cas012500708</t>
  </si>
  <si>
    <t>快乐老友记 第二季 第1期</t>
  </si>
  <si>
    <t>Happy Friends S02E01</t>
  </si>
  <si>
    <t>cas012500709</t>
  </si>
  <si>
    <t>快乐老友记 第二季 超前企划</t>
  </si>
  <si>
    <t>Happy Friends S02Intro</t>
  </si>
  <si>
    <t>cas012500710</t>
  </si>
  <si>
    <t>生活圈 元旦特别制作：健康开新年 新年要健康</t>
  </si>
  <si>
    <t>Circle of Life New Year's Day Special Production: Healthy Open the New Year to Be Healthy</t>
  </si>
  <si>
    <t>cas012500711</t>
  </si>
  <si>
    <t>四季流转年夜饭 第三季 3 家乡味道</t>
  </si>
  <si>
    <t>New Year's Eve Dinner in Four Seasons S03E03 Taste of Home</t>
  </si>
  <si>
    <t>cas012500712</t>
  </si>
  <si>
    <t>四季流转年夜饭 第三季 2 落地生根</t>
  </si>
  <si>
    <t>New Year's Eve Dinner in Four Seasons S03E02 Take Root on the Ground</t>
  </si>
  <si>
    <t>cas012500713</t>
  </si>
  <si>
    <t>四季流转年夜饭 第三季 1 珍味丰年</t>
  </si>
  <si>
    <t>New Year's Eve Dinner in Four Seasons S03E01 The Year Is Rich and Delicious</t>
  </si>
  <si>
    <t>cas012500714</t>
  </si>
  <si>
    <t>巅峰食刻—中法厨王竞技 弓身披甲</t>
  </si>
  <si>
    <t>Peakedness Food Moment - Chinese and French Chef Competition - Shrimp and Crab Food</t>
  </si>
  <si>
    <t>cas012500715</t>
  </si>
  <si>
    <t>三餐四季 20240707</t>
  </si>
  <si>
    <t>Three Meals and Four Seasons 20240707</t>
  </si>
  <si>
    <t>cas012500716</t>
  </si>
  <si>
    <t>山水间的家 第三季 20240908</t>
  </si>
  <si>
    <t>A Home among Mountains and Rivers Season 3 20240908</t>
  </si>
  <si>
    <t>cas012500717</t>
  </si>
  <si>
    <t>星厨的迪拜菜单 10</t>
  </si>
  <si>
    <t>Jason Atherton's Dubai Dishes Ep10</t>
  </si>
  <si>
    <t>cas012500718</t>
  </si>
  <si>
    <t>星厨的迪拜菜单 9</t>
  </si>
  <si>
    <t>Jason Atherton's Dubai Dishes Ep09</t>
  </si>
  <si>
    <t>cas012500719</t>
  </si>
  <si>
    <t>SPORTS</t>
  </si>
  <si>
    <t>健身动起来 奥运冠军带我练</t>
  </si>
  <si>
    <t>Fitness Moves Fitness Dance: Olympic Champion Took Me to Practice</t>
  </si>
  <si>
    <t>cas012500801</t>
  </si>
  <si>
    <t>台球 斯诺克武汉公开赛第3轮：丁俊晖VS袁思俊</t>
  </si>
  <si>
    <t>Billiards: Snooker Wuhan Open 3rd round: Ding Junhui VS Yuan Sijun</t>
  </si>
  <si>
    <t>cas012500802</t>
  </si>
  <si>
    <t>天下足球 姆巴佩：渐入佳境</t>
  </si>
  <si>
    <t>Total Soccer: Mbappe: It's Getting Better</t>
  </si>
  <si>
    <t>cas012500803</t>
  </si>
  <si>
    <t>天下足球 十大退役再复出</t>
  </si>
  <si>
    <t>Total Soccer: Ten Retired and Then Came Back</t>
  </si>
  <si>
    <t>cas012500804</t>
  </si>
  <si>
    <t>篮球公园 山东男篮主帅邱彪</t>
  </si>
  <si>
    <t>Basketball Park: Shandong Men's Basketball Coach Qiu Biao</t>
  </si>
  <si>
    <t>cas012500805</t>
  </si>
  <si>
    <t>篮球公园 一城一队一帅：杨鸣</t>
  </si>
  <si>
    <t>Basketball Park: A City, A Team, A Coach: Yangming</t>
  </si>
  <si>
    <t>cas012500806</t>
  </si>
  <si>
    <t>国际篮联赛事集锦 2</t>
  </si>
  <si>
    <t>FIBA World Basketball Ep02</t>
  </si>
  <si>
    <t>cas012500807</t>
  </si>
  <si>
    <t>燃情竞技高尔夫 2</t>
  </si>
  <si>
    <t>How Good Is Golf Ep02</t>
  </si>
  <si>
    <t>cas012500808</t>
  </si>
  <si>
    <t>内线：F1方程式赛车 2</t>
  </si>
  <si>
    <t>The Inside Line Ep02</t>
  </si>
  <si>
    <t>cas012500809</t>
  </si>
  <si>
    <t>极限悬崖跳水 3</t>
  </si>
  <si>
    <t>More Than a Dive Ep3</t>
  </si>
  <si>
    <t>cas012500810</t>
  </si>
  <si>
    <t>极限悬崖跳水 2</t>
  </si>
  <si>
    <t>More Than a Dive Ep2</t>
  </si>
  <si>
    <t>cas012500814</t>
  </si>
  <si>
    <t>体坛最极致 4</t>
  </si>
  <si>
    <t>The Greatest of All Time Ep04</t>
  </si>
  <si>
    <t>cas012500811</t>
  </si>
  <si>
    <t>电子竞技场 79</t>
  </si>
  <si>
    <t>Arena Esports 79</t>
  </si>
  <si>
    <t>cas012500812</t>
  </si>
  <si>
    <t>电子竞技场 78</t>
  </si>
  <si>
    <t>Arena Esports 78</t>
  </si>
  <si>
    <t>cas012500813</t>
  </si>
  <si>
    <t>COMEDY</t>
  </si>
  <si>
    <t>一年一度喜剧大赛 第一季 1</t>
  </si>
  <si>
    <t>Super Sketch Show S01E01</t>
  </si>
  <si>
    <t>cas012500901</t>
  </si>
  <si>
    <t>星光大道 这一站 星光 20240608</t>
  </si>
  <si>
    <t>Avenue of Stars This Station: Starlight 20240608</t>
  </si>
  <si>
    <t>cas012500902</t>
  </si>
  <si>
    <t>开门大吉 20240826</t>
  </si>
  <si>
    <t>Open the Door and Be Happy 20240826</t>
  </si>
  <si>
    <t>cas012500903</t>
  </si>
  <si>
    <t>吉聚欢喜 20230123</t>
  </si>
  <si>
    <t>Spring Festival New Year Column Drama 20230123</t>
  </si>
  <si>
    <t>cas012500904</t>
  </si>
  <si>
    <t>轻松一笑 第二十一季 11</t>
  </si>
  <si>
    <t>Just For Laughs Gags S21E11</t>
  </si>
  <si>
    <t>cas012500905</t>
  </si>
  <si>
    <t>ENTERTAINMENT</t>
  </si>
  <si>
    <t>时光音乐会·老友记 2</t>
  </si>
  <si>
    <t>Time Concert·Old Friends Ep02</t>
  </si>
  <si>
    <t>cas012501001</t>
  </si>
  <si>
    <t>时光音乐会·老友记 1</t>
  </si>
  <si>
    <t>Time Concert·Old Friends Ep01</t>
  </si>
  <si>
    <t>cas012501002</t>
  </si>
  <si>
    <t>歌手2024 12</t>
  </si>
  <si>
    <t>SINGER2024 EP12</t>
  </si>
  <si>
    <t>cas012501003</t>
  </si>
  <si>
    <t>歌手2024 11</t>
  </si>
  <si>
    <t>SINGER2024 EP11</t>
  </si>
  <si>
    <t>cas012501006</t>
  </si>
  <si>
    <t>歌手2024 10</t>
  </si>
  <si>
    <t>SINGER2024 EP10</t>
  </si>
  <si>
    <t>cas012501007</t>
  </si>
  <si>
    <t>2024维也纳新年音乐会</t>
  </si>
  <si>
    <t>2024 Vienna New Year's Concert</t>
  </si>
  <si>
    <t>cas012501004</t>
  </si>
  <si>
    <t>精彩音乐汇 我的爱对你说 20241012</t>
  </si>
  <si>
    <t>Wonderful Music Collection: My Love Says to You 20241012</t>
  </si>
  <si>
    <t>cas012501005</t>
  </si>
  <si>
    <t>声生不息·家年华 12</t>
  </si>
  <si>
    <t>Circle of Sound EP12</t>
  </si>
  <si>
    <t>cas012501008</t>
  </si>
  <si>
    <t>声生不息·家年华 11</t>
  </si>
  <si>
    <t>Circle of Sound EP11</t>
  </si>
  <si>
    <t>cas012501009</t>
  </si>
  <si>
    <t>CHINA</t>
  </si>
  <si>
    <t>中国节日 2 春节（下）</t>
  </si>
  <si>
    <t>Chinese Festival 2 Spring Festival (Part 2)</t>
  </si>
  <si>
    <t>cas012501101</t>
  </si>
  <si>
    <t>中国节日 1 春节（上）</t>
  </si>
  <si>
    <t>Chinese Festival 1 Spring Festival (Part 1)</t>
  </si>
  <si>
    <t>cas012501102</t>
  </si>
  <si>
    <t>何以中国 4</t>
  </si>
  <si>
    <t>China Before China Ep04</t>
  </si>
  <si>
    <t>cas012501103</t>
  </si>
  <si>
    <t>何以中国 3</t>
  </si>
  <si>
    <t>China Before China Ep03</t>
  </si>
  <si>
    <t>cas012501104</t>
  </si>
  <si>
    <t>中国村落 3</t>
  </si>
  <si>
    <t>The Villages in China Ep03</t>
  </si>
  <si>
    <t>cas012501105</t>
  </si>
  <si>
    <t>神奇的中国 1</t>
  </si>
  <si>
    <t>Amazing China 1</t>
  </si>
  <si>
    <t>cas012501106</t>
  </si>
  <si>
    <t>AmazingChina1_CA_i4K_0125_43_ZhoZhoEngSUBZhoSUB_Ed_M1.mpg</t>
  </si>
  <si>
    <t>AmazingChina1_CA_i5K_0125_169_ZhoZhoEngSUBZhoSUB_Ed_M4.mpg</t>
  </si>
  <si>
    <t>诗画中国 江河万古流 20240622</t>
  </si>
  <si>
    <t>Poetry and Painting in China: Rivers Flow Through the Ages 20240622</t>
  </si>
  <si>
    <t>cas012501107</t>
  </si>
  <si>
    <t>色彩中国 2</t>
  </si>
  <si>
    <t>The Colours of China Ep02</t>
  </si>
  <si>
    <t>cas012501108</t>
  </si>
  <si>
    <t>Short Video</t>
  </si>
  <si>
    <t>Entertainment</t>
  </si>
  <si>
    <t>100个中国女孩的家 6 露营11年，她在都市丽人和“野女孩”间无缝切换</t>
  </si>
  <si>
    <t>At Home With 100 Girls 6 After 11 years of camping, she switches seamlessly between being a city girl and a "wild girl".</t>
  </si>
  <si>
    <t>cas012501201</t>
  </si>
  <si>
    <t>100个中国女孩的家 5 清华建筑师爆改胡同小院！是“桃花源“啊！</t>
  </si>
  <si>
    <t>At Home With 100 Girls 5 Tsinghua architects transformed hutong courtyards</t>
  </si>
  <si>
    <t>cas012501202</t>
  </si>
  <si>
    <t>100个中国女孩的家 4 西湖边的神仙房子，我也就说了200多遍“天呐”</t>
  </si>
  <si>
    <t>At Home With 100 Girls 4 Nice House by the West Lake</t>
  </si>
  <si>
    <t>cas012501203</t>
  </si>
  <si>
    <t>100个中国女孩的家 3 深夜徐老师</t>
  </si>
  <si>
    <t>At Home With 100 Girls 3 Miss Xu</t>
  </si>
  <si>
    <t>cas012501204</t>
  </si>
  <si>
    <t>琴歌（最终发行版本）</t>
  </si>
  <si>
    <t>The Songs of Qin</t>
  </si>
  <si>
    <t>cas012501205</t>
  </si>
  <si>
    <t>想念</t>
  </si>
  <si>
    <t>Missing</t>
  </si>
  <si>
    <t>cas012501206</t>
  </si>
  <si>
    <t>蚁人宣告</t>
  </si>
  <si>
    <t>Ant-Man Proclamation</t>
  </si>
  <si>
    <t>cas012501207</t>
  </si>
  <si>
    <t>拼一座石狮</t>
  </si>
  <si>
    <t>Build a Shishi</t>
  </si>
  <si>
    <t>cas012501208</t>
  </si>
  <si>
    <t>鸽生</t>
  </si>
  <si>
    <t>Pidge</t>
  </si>
  <si>
    <t>cas012501209</t>
  </si>
  <si>
    <t>双囍兄弟《莫吉托》</t>
  </si>
  <si>
    <t>Mojito</t>
  </si>
  <si>
    <t>cas012501210</t>
  </si>
  <si>
    <t>幸存者偏差</t>
  </si>
  <si>
    <t>Survivorship Bias</t>
  </si>
  <si>
    <t>cas012501211</t>
  </si>
  <si>
    <t>月感</t>
  </si>
  <si>
    <t>Moonsense</t>
  </si>
  <si>
    <t>cas012501212</t>
  </si>
  <si>
    <t>半梦长久</t>
  </si>
  <si>
    <t>A Dream That Lasts Halfway</t>
  </si>
  <si>
    <t>cas012501213</t>
  </si>
  <si>
    <t>请不要离开我（常规版）</t>
  </si>
  <si>
    <t>Please Don't Leave Me (Standard Version)</t>
  </si>
  <si>
    <t>cas012501214</t>
  </si>
  <si>
    <t>告别</t>
  </si>
  <si>
    <t>Goodbye</t>
  </si>
  <si>
    <t>cas012501215</t>
  </si>
  <si>
    <t>亿点点</t>
  </si>
  <si>
    <t>Infinitely</t>
  </si>
  <si>
    <t>cas012501216</t>
  </si>
  <si>
    <t>Just 4 U</t>
  </si>
  <si>
    <t>cas012501217</t>
  </si>
  <si>
    <t>Bedroom</t>
  </si>
  <si>
    <t>cas012501218</t>
  </si>
  <si>
    <t>不潮不用花钱</t>
  </si>
  <si>
    <t>High Fashion</t>
  </si>
  <si>
    <t>cas012501219</t>
  </si>
  <si>
    <t>我记得</t>
  </si>
  <si>
    <t>I Remember</t>
  </si>
  <si>
    <t>cas012501220</t>
  </si>
  <si>
    <t>Food</t>
  </si>
  <si>
    <t>不白吃的食神之旅 10 黄大琴的丝娃娃</t>
  </si>
  <si>
    <t>Foodie Boy's Journey to Gods of Cookery 10 Siwawa by Huang Daqin</t>
  </si>
  <si>
    <t>cas012501301</t>
  </si>
  <si>
    <t>不白吃的食神之旅 9 华哥的重庆烤脑花</t>
  </si>
  <si>
    <t>Foodie Boy's Journey to Gods of Cookery 9 Wah's Chongqing Roasted Brain Flower</t>
  </si>
  <si>
    <t>cas012501302</t>
  </si>
  <si>
    <t>不白吃的食神之旅 8 何孃的毛血旺</t>
  </si>
  <si>
    <t>Foodie Boy's Journey to Gods of Cookery 8 Auntie Ho's Duck Blood in Chili Sauce</t>
  </si>
  <si>
    <t>cas012501303</t>
  </si>
  <si>
    <t>不白吃的食神之旅新春特辑 4 “臭”香的灵魂，田螺鸭脚煲！</t>
  </si>
  <si>
    <t>Foodie Boy's Journey to Gods of Cookery - Chinese New Year Special 4 Duck Feet with Conch in Casserole</t>
  </si>
  <si>
    <t>cas012501304</t>
  </si>
  <si>
    <t>不白吃的食神之旅新春特辑 3 鸭鸭！说好的幸福呢！</t>
  </si>
  <si>
    <t>Foodie Boy's Journey to Gods of Cookery - Chinese New Year Special 3 Duck! Where's the promised happiness?</t>
  </si>
  <si>
    <t>cas012501305</t>
  </si>
  <si>
    <t>不白吃的食神之旅新春特辑 2 霸王餐水盆羊肉的后果</t>
  </si>
  <si>
    <t>Foodie Boy's Journey to Gods of Cookery - Chinese New Year Special 2 Shuipen Yangrou</t>
  </si>
  <si>
    <t>cas012501306</t>
  </si>
  <si>
    <t>不白吃的食神之旅新春特辑 1 西安美食千千万，油泼辣子占一半</t>
  </si>
  <si>
    <t>Foodie Boy's Journey to Gods of Cookery - Chinese New Year Special 1 Xi'an Cuisine Chili Crunch</t>
  </si>
  <si>
    <t>cas012501307</t>
  </si>
  <si>
    <t>Humanity</t>
  </si>
  <si>
    <t>新生万物 第六集 苏绣（下）</t>
  </si>
  <si>
    <t>All Reviving 6 Suzhou Embroidery (2)</t>
  </si>
  <si>
    <t>cas012501401</t>
  </si>
  <si>
    <t>新生万物 第五集 苏绣（上）</t>
  </si>
  <si>
    <t>All Reviving 5 Suzhou Embroidery (1)</t>
  </si>
  <si>
    <t>cas012501402</t>
  </si>
  <si>
    <t>不白吃古诗词漫游记 6 题西林壁</t>
  </si>
  <si>
    <t>Mr. Foodie's Journey to Chinese Poems 6 Written on the Wall at West Forest Temple</t>
  </si>
  <si>
    <t>cas012501403</t>
  </si>
  <si>
    <t>不白吃古诗词漫游记 5 浪淘沙·其一</t>
  </si>
  <si>
    <t>Mr. Foodie's Journey to Chinese Poems 5 Tidal Wave (Ⅰ)</t>
  </si>
  <si>
    <t>cas012501404</t>
  </si>
  <si>
    <t>北京，请回答｜你的快递是怎么来的？一起走进智慧物流“最后一公里”！</t>
  </si>
  <si>
    <t>Welcome to Beijing ｜ How Is Your Package Delivered? Discover the Last Mile of Smart Logistics!</t>
  </si>
  <si>
    <t>cas012501405</t>
  </si>
  <si>
    <t>Tha</t>
  </si>
  <si>
    <t>北京，请回答｜石头会说话，这座小众博物馆里藏着你不知道的北京历史！</t>
  </si>
  <si>
    <t>Welcome to Beijing ｜ Stones Tell Stories - Discover Hidden History in Beijing's Niche Museum!</t>
  </si>
  <si>
    <t>cas012501406</t>
  </si>
  <si>
    <t>北京，请回答｜随机“抽查”应变自如！挑战在北京一天不说中文</t>
  </si>
  <si>
    <t>Welcome to Beijing ｜ Challenge of Not Speaking Chinese for a Day in Beijing</t>
  </si>
  <si>
    <t>cas012501407</t>
  </si>
  <si>
    <t>北京，请回答｜体验“中轴线专列”，感受北京轨道交通的神奇之处！</t>
  </si>
  <si>
    <t>Welcome to Beijing ｜ Experience the Charms of Beijing's Central Axis with a Special Subway Line</t>
  </si>
  <si>
    <t>cas012501408</t>
  </si>
  <si>
    <t>Vie</t>
  </si>
  <si>
    <t>北京，请回答｜听说在北京有钱没处花？原来移动支付竟如此“丝滑”！</t>
  </si>
  <si>
    <t>Welcome to Beijing ｜ Nowhere to Spend Money in Beijing? Mobile Payments Are Amazingly "Smooth"!</t>
  </si>
  <si>
    <t>cas012501409</t>
  </si>
  <si>
    <t>北京，请回答｜在北京市中心种地？这个农业版中轴线Citywalk不一般！</t>
  </si>
  <si>
    <t>Welcome to Beijing ｜ Unusual Agricultural City Walk Along Central Axis!</t>
  </si>
  <si>
    <t>cas012501410</t>
  </si>
  <si>
    <t>北京，请回答｜在京郊“网红打卡点”过周末，快来投票帮我选民宿吧！</t>
  </si>
  <si>
    <t>Welcome to Beijing ｜ Spend Weekend at Beijing's Trendy Countryside B&amp;B!</t>
  </si>
  <si>
    <t>cas012501411</t>
  </si>
  <si>
    <t>北京，请回答丨京籍“AI司机”上岗！一起体验“火出圈”的自动驾驶</t>
  </si>
  <si>
    <t>Welcome to Beijing ｜ "AI Drivers" Hit the Roads of Beijing! Autonomous Vehicles Take the Wheel!</t>
  </si>
  <si>
    <t>cas012501412</t>
  </si>
  <si>
    <t>精彩导航</t>
  </si>
  <si>
    <t>Wonderful Navigation</t>
  </si>
  <si>
    <t>cas012501501</t>
  </si>
  <si>
    <t>eFX</t>
  </si>
  <si>
    <t>i4k</t>
  </si>
  <si>
    <t>Ad</t>
  </si>
  <si>
    <t>CA0125 Advertisement</t>
  </si>
  <si>
    <t>CA0125Advertisement_i4K_0125_43_ZhoZho_Ed_M2_Blank.mpg</t>
  </si>
  <si>
    <t>CA0125Advertisement_i5K_0125_169_ZhoZho_Ed_M2_Blank.mpg</t>
  </si>
  <si>
    <t>Env</t>
  </si>
  <si>
    <t>3kiFilename</t>
  </si>
  <si>
    <t>Series Name</t>
  </si>
  <si>
    <t>eX3/2</t>
  </si>
  <si>
    <t>eX3 NG</t>
  </si>
  <si>
    <t>eX3/eFx/i5k</t>
  </si>
  <si>
    <t>3ki/i4k</t>
  </si>
  <si>
    <t>Overhead</t>
  </si>
  <si>
    <t>01-5 Air Int'l_out 1</t>
  </si>
  <si>
    <t>空中博览国际去程 1-01</t>
  </si>
  <si>
    <t>150 Air Panorama A01-1</t>
  </si>
  <si>
    <t>cah012500201</t>
  </si>
  <si>
    <t>空中博览国际去程 1-02</t>
  </si>
  <si>
    <t>150 Air Panorama A01-2</t>
  </si>
  <si>
    <t>cah012500202</t>
  </si>
  <si>
    <t>空中博览国际去程 1-03</t>
  </si>
  <si>
    <t>150 Air Panorama A01-3</t>
  </si>
  <si>
    <t>cah012500203</t>
  </si>
  <si>
    <t>空中博览国际去程 1-04</t>
  </si>
  <si>
    <t>150 Air Panorama A01-4</t>
  </si>
  <si>
    <t>cah012500204</t>
  </si>
  <si>
    <t>01-6 Air Int'l_out 2</t>
  </si>
  <si>
    <t>空中博览国际去程 1-05</t>
  </si>
  <si>
    <t>150 Air Panorama A01-5</t>
  </si>
  <si>
    <t>cah012500205</t>
  </si>
  <si>
    <t>空中博览国际去程 1-06</t>
  </si>
  <si>
    <t>150 Air Panorama A01-6</t>
  </si>
  <si>
    <t>cah012500206</t>
  </si>
  <si>
    <t>空中博览国际去程 1-07</t>
  </si>
  <si>
    <t>150 Air Panorama A01-7</t>
  </si>
  <si>
    <t>cah012500207</t>
  </si>
  <si>
    <t>空中博览国际去程 1-08</t>
  </si>
  <si>
    <t>150 Air Panorama A01-8</t>
  </si>
  <si>
    <t>cah012500208</t>
  </si>
  <si>
    <t>01-7 Air Int'l_In 1</t>
  </si>
  <si>
    <t>空中博览国际回程 1-01</t>
  </si>
  <si>
    <t>150 Air Panorama B01-1</t>
  </si>
  <si>
    <t>cah012500209</t>
  </si>
  <si>
    <t>空中博览国际回程 1-02</t>
  </si>
  <si>
    <t>150 Air Panorama B01-2</t>
  </si>
  <si>
    <t>cah012500210</t>
  </si>
  <si>
    <t>空中博览国际回程 1-03</t>
  </si>
  <si>
    <t>150 Air Panorama B01-3</t>
  </si>
  <si>
    <t>cah012500211</t>
  </si>
  <si>
    <t>空中博览国际回程 1-04</t>
  </si>
  <si>
    <t>150 Air Panorama B01-4</t>
  </si>
  <si>
    <t>cah012500212</t>
  </si>
  <si>
    <t>01-8 Air Int'l_In 2</t>
  </si>
  <si>
    <t>空中博览国际回程 1-05</t>
  </si>
  <si>
    <t>150 Air Panorama B01-5</t>
  </si>
  <si>
    <t>cah012500213</t>
  </si>
  <si>
    <t>空中博览国际回程 1-06</t>
  </si>
  <si>
    <t>150 Air Panorama B01-6</t>
  </si>
  <si>
    <t>cah012500214</t>
  </si>
  <si>
    <t>空中博览国际回程 1-07</t>
  </si>
  <si>
    <t>150 Air Panorama B01-7</t>
  </si>
  <si>
    <t>cah012500215</t>
  </si>
  <si>
    <t>空中博览国际回程 1-08</t>
  </si>
  <si>
    <t>150 Air Panorama B01-8</t>
  </si>
  <si>
    <t>cah012500216</t>
  </si>
  <si>
    <t>01-1Air Domestic_out 1</t>
  </si>
  <si>
    <t>空中博览国内去程 1-01</t>
  </si>
  <si>
    <t>150 Air Panorama C01-1</t>
  </si>
  <si>
    <t>cah012500217</t>
  </si>
  <si>
    <t>空中博览国内去程 1-02</t>
  </si>
  <si>
    <t>150 Air Panorama C01-2</t>
  </si>
  <si>
    <t>cah012500218</t>
  </si>
  <si>
    <t>空中博览国内去程 1-03</t>
  </si>
  <si>
    <t>150 Air Panorama C01-3</t>
  </si>
  <si>
    <t>cah012500219</t>
  </si>
  <si>
    <t>空中博览国内去程 1-04</t>
  </si>
  <si>
    <t>150 Air Panorama C01-4</t>
  </si>
  <si>
    <t>cah012500220</t>
  </si>
  <si>
    <t>01-2Air Domestic_out 2</t>
  </si>
  <si>
    <t>空中博览国内去程 1-05</t>
  </si>
  <si>
    <t>150 Air Panorama C01-5</t>
  </si>
  <si>
    <t>cah012500221</t>
  </si>
  <si>
    <t>空中博览国内去程 1-06</t>
  </si>
  <si>
    <t>150 Air Panorama C01-6</t>
  </si>
  <si>
    <t>cah012500222</t>
  </si>
  <si>
    <t>空中博览国内去程 1-07</t>
  </si>
  <si>
    <t>150 Air Panorama C01-7</t>
  </si>
  <si>
    <t>cah012500223</t>
  </si>
  <si>
    <t>空中博览国内去程 1-08</t>
  </si>
  <si>
    <t>150 Air Panorama C01-8</t>
  </si>
  <si>
    <t>cah012500224</t>
  </si>
  <si>
    <t>01-3Air Domestic_In 1</t>
  </si>
  <si>
    <t>空中博览国内回程 1-01</t>
  </si>
  <si>
    <t>150 Air Panorama D01-1</t>
  </si>
  <si>
    <t>cah012500225</t>
  </si>
  <si>
    <t>空中博览国内回程 1-02</t>
  </si>
  <si>
    <t>150 Air Panorama D01-2</t>
  </si>
  <si>
    <t>cah012500226</t>
  </si>
  <si>
    <t>空中博览国内回程 1-03</t>
  </si>
  <si>
    <t>150 Air Panorama D01-3</t>
  </si>
  <si>
    <t>cah012500227</t>
  </si>
  <si>
    <t>空中博览国内回程 1-04</t>
  </si>
  <si>
    <t>150 Air Panorama D01-4</t>
  </si>
  <si>
    <t>cah012500228</t>
  </si>
  <si>
    <t>01-4Air Domestic_In 2</t>
  </si>
  <si>
    <t>空中博览国内回程 1-05</t>
  </si>
  <si>
    <t>150 Air Panorama D01-5</t>
  </si>
  <si>
    <t>cah012500229</t>
  </si>
  <si>
    <t>空中博览国内回程 1-06</t>
  </si>
  <si>
    <t>150 Air Panorama D01-6</t>
  </si>
  <si>
    <t>cah012500230</t>
  </si>
  <si>
    <t>空中博览国内回程 1-07</t>
  </si>
  <si>
    <t>150 Air Panorama D01-7</t>
  </si>
  <si>
    <t>cah012500231</t>
  </si>
  <si>
    <t>空中博览国内回程 1-08</t>
  </si>
  <si>
    <t>150 Air Panorama D01-8</t>
  </si>
  <si>
    <t>cah012500232</t>
  </si>
  <si>
    <t>[A350专用]空中博览国际去程 1-01</t>
  </si>
  <si>
    <t>[A350 Exclusive]150 Air Panorama A01-1</t>
  </si>
  <si>
    <t>cah012500233</t>
  </si>
  <si>
    <t>[A350专用]空中博览国际去程 1-02</t>
  </si>
  <si>
    <t>[A350 Exclusive]150 Air Panorama A01-2</t>
  </si>
  <si>
    <t>cah012500234</t>
  </si>
  <si>
    <t>[A350专用]空中博览国际去程 1-03</t>
  </si>
  <si>
    <t>[A350 Exclusive]150 Air Panorama A01-3</t>
  </si>
  <si>
    <t>cah012500235</t>
  </si>
  <si>
    <t>[A350专用]空中博览国际去程 1-04</t>
  </si>
  <si>
    <t>[A350 Exclusive]150 Air Panorama A01-4</t>
  </si>
  <si>
    <t>cah012500236</t>
  </si>
  <si>
    <t>[A350专用]空中博览国际去程 1-05</t>
  </si>
  <si>
    <t>[A350 Exclusive]150 Air Panorama A01-5</t>
  </si>
  <si>
    <t>cah012500237</t>
  </si>
  <si>
    <t>[A350专用]空中博览国际去程 1-06</t>
  </si>
  <si>
    <t>[A350 Exclusive]150 Air Panorama A01-6</t>
  </si>
  <si>
    <t>cah012500238</t>
  </si>
  <si>
    <t>[A350专用]空中博览国际去程 1-07</t>
  </si>
  <si>
    <t>[A350 Exclusive]150 Air Panorama A01-7</t>
  </si>
  <si>
    <t>cah012500239</t>
  </si>
  <si>
    <t>[A350专用]空中博览国际去程 1-08</t>
  </si>
  <si>
    <t>[A350 Exclusive]150 Air Panorama A01-8</t>
  </si>
  <si>
    <t>cah012500240</t>
  </si>
  <si>
    <t>[A350专用]空中博览国际回程 1-01</t>
  </si>
  <si>
    <t>[A350 Exclusive]150 Air Panorama B01-1</t>
  </si>
  <si>
    <t>cah012500241</t>
  </si>
  <si>
    <t>[A350专用]空中博览国际回程 1-02</t>
  </si>
  <si>
    <t>[A350 Exclusive]150 Air Panorama B01-2</t>
  </si>
  <si>
    <t>cah012500242</t>
  </si>
  <si>
    <t>[A350专用]空中博览国际回程 1-03</t>
  </si>
  <si>
    <t>[A350 Exclusive]150 Air Panorama B01-3</t>
  </si>
  <si>
    <t>cah012500243</t>
  </si>
  <si>
    <t>[A350专用]空中博览国际回程 1-04</t>
  </si>
  <si>
    <t>[A350 Exclusive]150 Air Panorama B01-4</t>
  </si>
  <si>
    <t>cah012500244</t>
  </si>
  <si>
    <t>[A350专用]空中博览国际回程 1-05</t>
  </si>
  <si>
    <t>[A350 Exclusive]150 Air Panorama B01-5</t>
  </si>
  <si>
    <t>cah012500245</t>
  </si>
  <si>
    <t>[A350专用]空中博览国际回程 1-06</t>
  </si>
  <si>
    <t>[A350 Exclusive]150 Air Panorama B01-6</t>
  </si>
  <si>
    <t>cah012500246</t>
  </si>
  <si>
    <t>[A350专用]空中博览国际回程 1-07</t>
  </si>
  <si>
    <t>[A350 Exclusive]150 Air Panorama B01-7</t>
  </si>
  <si>
    <t>cah012500247</t>
  </si>
  <si>
    <t>[A350专用]空中博览国际回程 1-08</t>
  </si>
  <si>
    <t>[A350 Exclusive]150 Air Panorama B01-8</t>
  </si>
  <si>
    <t>cah012500248</t>
  </si>
  <si>
    <t>[A350专用]空中博览国内去程 1-01</t>
  </si>
  <si>
    <t>[A350 Exclusive]150 Air Panorama C01-1</t>
  </si>
  <si>
    <t>cah012500249</t>
  </si>
  <si>
    <t>[A350专用]空中博览国内去程 1-02</t>
  </si>
  <si>
    <t>[A350 Exclusive]150 Air Panorama C01-2</t>
  </si>
  <si>
    <t>cah012500250</t>
  </si>
  <si>
    <t>[A350专用]空中博览国内去程 1-03</t>
  </si>
  <si>
    <t>[A350 Exclusive]150 Air Panorama C01-3</t>
  </si>
  <si>
    <t>cah012500251</t>
  </si>
  <si>
    <t>[A350专用]空中博览国内去程 1-04</t>
  </si>
  <si>
    <t>[A350 Exclusive]150 Air Panorama C01-4</t>
  </si>
  <si>
    <t>cah012500252</t>
  </si>
  <si>
    <t>[A350专用]空中博览国内去程 1-05</t>
  </si>
  <si>
    <t>[A350 Exclusive]150 Air Panorama C01-5</t>
  </si>
  <si>
    <t>cah012500253</t>
  </si>
  <si>
    <t>[A350专用]空中博览国内去程 1-06</t>
  </si>
  <si>
    <t>[A350 Exclusive]150 Air Panorama C01-6</t>
  </si>
  <si>
    <t>cah012500254</t>
  </si>
  <si>
    <t>[A350专用]空中博览国内去程 1-07</t>
  </si>
  <si>
    <t>[A350 Exclusive]150 Air Panorama C01-7</t>
  </si>
  <si>
    <t>cah012500255</t>
  </si>
  <si>
    <t>[A350专用]空中博览国内去程 1-08</t>
  </si>
  <si>
    <t>[A350 Exclusive]150 Air Panorama C01-8</t>
  </si>
  <si>
    <t>cah012500256</t>
  </si>
  <si>
    <t>[A350专用]空中博览国内回程 1-01</t>
  </si>
  <si>
    <t>[A350 Exclusive]150 Air Panorama D01-1</t>
  </si>
  <si>
    <t>cah012500257</t>
  </si>
  <si>
    <t>[A350专用]空中博览国内回程 1-02</t>
  </si>
  <si>
    <t>[A350 Exclusive]150 Air Panorama D01-2</t>
  </si>
  <si>
    <t>cah012500258</t>
  </si>
  <si>
    <t>[A350专用]空中博览国内回程 1-03</t>
  </si>
  <si>
    <t>[A350 Exclusive]150 Air Panorama D01-3</t>
  </si>
  <si>
    <t>cah012500259</t>
  </si>
  <si>
    <t>[A350专用]空中博览国内回程 1-04</t>
  </si>
  <si>
    <t>[A350 Exclusive]150 Air Panorama D01-4</t>
  </si>
  <si>
    <t>cah012500260</t>
  </si>
  <si>
    <t>[A350专用]空中博览国内回程 1-05</t>
  </si>
  <si>
    <t>[A350 Exclusive]150 Air Panorama D01-5</t>
  </si>
  <si>
    <t>cah012500261</t>
  </si>
  <si>
    <t>[A350专用]空中博览国内回程 1-06</t>
  </si>
  <si>
    <t>[A350 Exclusive]150 Air Panorama D01-6</t>
  </si>
  <si>
    <t>cah012500262</t>
  </si>
  <si>
    <t>[A350专用]空中博览国内回程 1-07</t>
  </si>
  <si>
    <t>[A350 Exclusive]150 Air Panorama D01-7</t>
  </si>
  <si>
    <t>cah012500263</t>
  </si>
  <si>
    <t>[A350专用]空中博览国内回程 1-08</t>
  </si>
  <si>
    <t>[A350 Exclusive]150 Air Panorama D01-8</t>
  </si>
  <si>
    <t>cah012500264</t>
  </si>
  <si>
    <t>Air Panorama AD 1</t>
  </si>
  <si>
    <t>cah012500265</t>
  </si>
  <si>
    <r>
      <rPr>
        <sz val="12"/>
        <rFont val="Arial"/>
        <charset val="134"/>
      </rPr>
      <t xml:space="preserve">02-MOV 1- </t>
    </r>
    <r>
      <rPr>
        <sz val="12"/>
        <rFont val="宋体"/>
        <charset val="134"/>
      </rPr>
      <t>抓娃娃</t>
    </r>
  </si>
  <si>
    <t>02-MOV 1- Successor</t>
  </si>
  <si>
    <r>
      <rPr>
        <sz val="12"/>
        <rFont val="Arial"/>
        <charset val="134"/>
      </rPr>
      <t xml:space="preserve">02-MOV 2- </t>
    </r>
    <r>
      <rPr>
        <sz val="12"/>
        <rFont val="宋体"/>
        <charset val="134"/>
      </rPr>
      <t>红毯先生</t>
    </r>
  </si>
  <si>
    <t>02-MOV 2- The Movie Emperor</t>
  </si>
  <si>
    <r>
      <rPr>
        <sz val="12"/>
        <rFont val="Arial"/>
        <charset val="134"/>
      </rPr>
      <t xml:space="preserve">02-TV 1 30min: </t>
    </r>
    <r>
      <rPr>
        <sz val="12"/>
        <rFont val="宋体"/>
        <charset val="134"/>
      </rPr>
      <t>中国节日</t>
    </r>
    <r>
      <rPr>
        <sz val="12"/>
        <rFont val="Arial"/>
        <charset val="134"/>
      </rPr>
      <t xml:space="preserve"> 1 </t>
    </r>
    <r>
      <rPr>
        <sz val="12"/>
        <rFont val="宋体"/>
        <charset val="134"/>
      </rPr>
      <t>春节（上）</t>
    </r>
  </si>
  <si>
    <t>02-TV 1 30min: Chinese Festival 1 Spring Festival (Part 1)</t>
  </si>
  <si>
    <r>
      <rPr>
        <sz val="12"/>
        <rFont val="Arial"/>
        <charset val="134"/>
      </rPr>
      <t xml:space="preserve">02-TV 2 60min: </t>
    </r>
    <r>
      <rPr>
        <sz val="12"/>
        <rFont val="宋体"/>
        <charset val="134"/>
      </rPr>
      <t>一年一度喜剧大赛</t>
    </r>
    <r>
      <rPr>
        <sz val="12"/>
        <rFont val="Arial"/>
        <charset val="134"/>
      </rPr>
      <t xml:space="preserve"> </t>
    </r>
    <r>
      <rPr>
        <sz val="12"/>
        <rFont val="宋体"/>
        <charset val="134"/>
      </rPr>
      <t>第一季</t>
    </r>
    <r>
      <rPr>
        <sz val="12"/>
        <rFont val="Arial"/>
        <charset val="134"/>
      </rPr>
      <t xml:space="preserve"> 1</t>
    </r>
  </si>
  <si>
    <t>02-TV 2 60min: Super Sketch Show S01E01</t>
  </si>
  <si>
    <t xml:space="preserve">eX3/2 &amp; eX3 NG
</t>
  </si>
  <si>
    <t>I5K</t>
  </si>
  <si>
    <t>I4K</t>
  </si>
  <si>
    <t>0622</t>
  </si>
  <si>
    <t>VA/Safety Video+ About Us-Snapshots-TRACK1</t>
  </si>
  <si>
    <r>
      <rPr>
        <sz val="11"/>
        <rFont val="Arial"/>
        <charset val="134"/>
      </rPr>
      <t>A330_200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</si>
  <si>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A330_200_Eng 0622 Safety Video Owg</t>
  </si>
  <si>
    <t>VA/Safety Video</t>
  </si>
  <si>
    <r>
      <rPr>
        <sz val="11"/>
        <rFont val="Arial"/>
        <charset val="134"/>
      </rPr>
      <t>A330_300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</si>
  <si>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A330_300_Eng 0622 Safety Video Owg</t>
  </si>
  <si>
    <t>VA</t>
  </si>
  <si>
    <r>
      <rPr>
        <sz val="11"/>
        <rFont val="Arial"/>
        <charset val="134"/>
      </rPr>
      <t>B777-300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</si>
  <si>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B777-300_Eng 0622 Safety Video Owg</t>
  </si>
  <si>
    <r>
      <rPr>
        <sz val="11"/>
        <rFont val="Arial"/>
        <charset val="134"/>
      </rPr>
      <t>A350-900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</si>
  <si>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A350-900 (Eng) 0622 Safety Video OWG</t>
  </si>
  <si>
    <t>cah062200401</t>
  </si>
  <si>
    <r>
      <rPr>
        <sz val="11"/>
        <rFont val="Arial"/>
        <charset val="134"/>
      </rPr>
      <t>02-747-8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</si>
  <si>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02-747-8 (Eng) 0622 Safety Video OWG</t>
  </si>
  <si>
    <t>cah062200402</t>
  </si>
  <si>
    <r>
      <rPr>
        <sz val="11"/>
        <rFont val="Arial"/>
        <charset val="134"/>
      </rPr>
      <t>787 9 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</si>
  <si>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787 9 (Eng) 0622 Safety Video OWG</t>
  </si>
  <si>
    <t>cah062200403</t>
  </si>
  <si>
    <t>ABOUT US</t>
  </si>
  <si>
    <t>国航冬奥版安全须知</t>
  </si>
  <si>
    <t>Safety Video</t>
  </si>
  <si>
    <t>cah062200404</t>
  </si>
  <si>
    <t>cah062200405</t>
  </si>
  <si>
    <t>cah042200408</t>
  </si>
  <si>
    <t>与A330-200相同</t>
  </si>
  <si>
    <r>
      <rPr>
        <sz val="11"/>
        <rFont val="Arial"/>
        <charset val="134"/>
      </rPr>
      <t>02-A321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</si>
  <si>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02-A321 (Eng) 0622 Safety Video OWG</t>
  </si>
  <si>
    <t>cah062200406</t>
  </si>
  <si>
    <r>
      <rPr>
        <sz val="11"/>
        <rFont val="Arial"/>
        <charset val="134"/>
      </rPr>
      <t>02-B737-800/8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</si>
  <si>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02-B737-800/8 (Eng) 0622 Safety Video OWG</t>
  </si>
  <si>
    <t>cah062200407</t>
  </si>
  <si>
    <t>eX2 / eX3</t>
  </si>
  <si>
    <t xml:space="preserve">
eX2 / eX3
eX3 NG
</t>
  </si>
  <si>
    <r>
      <rPr>
        <sz val="11"/>
        <rFont val="Arial"/>
        <charset val="134"/>
      </rPr>
      <t>A350-900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0125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</si>
  <si>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A350-900_Eng 0125 Safety Video 2023</t>
  </si>
  <si>
    <t>cah012500401</t>
  </si>
  <si>
    <r>
      <rPr>
        <sz val="11"/>
        <rFont val="Arial"/>
        <charset val="134"/>
      </rPr>
      <t>A350-900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0125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</si>
  <si>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A350-900_Zho 0125 Safety Video 2023</t>
  </si>
  <si>
    <t>cah012500402</t>
  </si>
  <si>
    <r>
      <rPr>
        <sz val="11"/>
        <rFont val="Arial"/>
        <charset val="134"/>
      </rPr>
      <t>A350-900</t>
    </r>
    <r>
      <rPr>
        <sz val="11"/>
        <rFont val="宋体"/>
        <charset val="134"/>
      </rPr>
      <t>（中粤）</t>
    </r>
    <r>
      <rPr>
        <sz val="11"/>
        <rFont val="Arial"/>
        <charset val="134"/>
      </rPr>
      <t>0125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</si>
  <si>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A350-900_Can 0125 Safety Video 2023</t>
  </si>
  <si>
    <t>cah012500403</t>
  </si>
  <si>
    <t>Can</t>
  </si>
  <si>
    <r>
      <rPr>
        <sz val="11"/>
        <rFont val="Arial"/>
        <charset val="134"/>
      </rPr>
      <t>02_B747-8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0125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</si>
  <si>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02_B747-8_Eng 0125 Safety Video 2023</t>
  </si>
  <si>
    <t>cah012500404</t>
  </si>
  <si>
    <r>
      <rPr>
        <sz val="11"/>
        <rFont val="Arial"/>
        <charset val="134"/>
      </rPr>
      <t>02_B747-8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0125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</si>
  <si>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02_B747-8_Zho 0125 Safety Video 2023</t>
  </si>
  <si>
    <t>cah012500405</t>
  </si>
  <si>
    <r>
      <rPr>
        <sz val="11"/>
        <rFont val="Arial"/>
        <charset val="134"/>
      </rPr>
      <t>11_B747-8</t>
    </r>
    <r>
      <rPr>
        <sz val="11"/>
        <rFont val="宋体"/>
        <charset val="134"/>
      </rPr>
      <t>（中粤）</t>
    </r>
    <r>
      <rPr>
        <sz val="11"/>
        <rFont val="Arial"/>
        <charset val="134"/>
      </rPr>
      <t>0125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</si>
  <si>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11_B747-8_Can 0125 Safety Video 2023</t>
  </si>
  <si>
    <t>cah012500406</t>
  </si>
  <si>
    <r>
      <rPr>
        <sz val="11"/>
        <rFont val="Arial"/>
        <charset val="134"/>
      </rPr>
      <t>B787-9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0125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</si>
  <si>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B787-9_Eng 0125 Safety Video 2023</t>
  </si>
  <si>
    <t>cah012500407</t>
  </si>
  <si>
    <r>
      <rPr>
        <sz val="11"/>
        <rFont val="Arial"/>
        <charset val="134"/>
      </rPr>
      <t>B787-9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0125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</si>
  <si>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B787-9_Zho 0125 Safety Video 2023</t>
  </si>
  <si>
    <t>cah012500408</t>
  </si>
  <si>
    <r>
      <rPr>
        <sz val="11"/>
        <rFont val="Arial"/>
        <charset val="134"/>
      </rPr>
      <t>B787-9</t>
    </r>
    <r>
      <rPr>
        <sz val="11"/>
        <rFont val="宋体"/>
        <charset val="134"/>
      </rPr>
      <t>（中粤）</t>
    </r>
    <r>
      <rPr>
        <sz val="11"/>
        <rFont val="Arial"/>
        <charset val="134"/>
      </rPr>
      <t>0125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</si>
  <si>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B787-9_Can 0125 Safety Video 2023</t>
  </si>
  <si>
    <t>cah012500409</t>
  </si>
  <si>
    <r>
      <rPr>
        <sz val="11"/>
        <rFont val="Arial"/>
        <charset val="134"/>
      </rPr>
      <t>A330-200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0125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</si>
  <si>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A330-200_Eng 0125 Safety Video 2023</t>
  </si>
  <si>
    <r>
      <rPr>
        <sz val="11"/>
        <rFont val="Arial"/>
        <charset val="134"/>
      </rPr>
      <t>A330-200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0125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</si>
  <si>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A330-200_Zho 0125 Safety Video 2023</t>
  </si>
  <si>
    <t>A330-200_Can 0125 Safety Video 2023</t>
  </si>
  <si>
    <r>
      <rPr>
        <sz val="11"/>
        <rFont val="Arial"/>
        <charset val="134"/>
      </rPr>
      <t>A330-300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0125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</si>
  <si>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A330-300_Eng 0125 Safety Video 2023</t>
  </si>
  <si>
    <r>
      <rPr>
        <sz val="11"/>
        <rFont val="Arial"/>
        <charset val="134"/>
      </rPr>
      <t>A330-300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0125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</si>
  <si>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A330-300_Zho 0125 Safety Video 2023</t>
  </si>
  <si>
    <t>A330-300_Can 0125 Safety Video 2023</t>
  </si>
  <si>
    <r>
      <rPr>
        <sz val="11"/>
        <rFont val="Arial"/>
        <charset val="134"/>
      </rPr>
      <t>B777-300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0125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</si>
  <si>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B777-300_Eng 0125 Safety Video 2023</t>
  </si>
  <si>
    <r>
      <rPr>
        <sz val="11"/>
        <rFont val="Arial"/>
        <charset val="134"/>
      </rPr>
      <t>B777-300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0125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</si>
  <si>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B777-300_Zho 0125 Safety Video 2023</t>
  </si>
  <si>
    <t>B777-300_Can 0125 Safety Video 2023</t>
  </si>
  <si>
    <r>
      <rPr>
        <sz val="11"/>
        <rFont val="Arial"/>
        <charset val="134"/>
      </rPr>
      <t>02_A321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0125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</si>
  <si>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02_A321_Eng 0125 Safety Video 2023</t>
  </si>
  <si>
    <t>cah012500501</t>
  </si>
  <si>
    <r>
      <rPr>
        <sz val="11"/>
        <rFont val="Arial"/>
        <charset val="134"/>
      </rPr>
      <t>02_A321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0125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</si>
  <si>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02_A321_Zho 0125 Safety Video 2023</t>
  </si>
  <si>
    <t>cah012500502</t>
  </si>
  <si>
    <r>
      <rPr>
        <sz val="11"/>
        <rFont val="Arial"/>
        <charset val="134"/>
      </rPr>
      <t>02_B737-800/8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0125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</si>
  <si>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02_B737-800/8_Eng 0125 Safety Video 2023</t>
  </si>
  <si>
    <t>cah012500503</t>
  </si>
  <si>
    <r>
      <rPr>
        <sz val="11"/>
        <rFont val="Arial"/>
        <charset val="134"/>
      </rPr>
      <t>02_B737-800/8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0125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</si>
  <si>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02_B737-800/8_Zho 0125 Safety Video 2023</t>
  </si>
  <si>
    <t>cah012500504</t>
  </si>
  <si>
    <r>
      <rPr>
        <sz val="11"/>
        <rFont val="Arial"/>
        <charset val="134"/>
      </rPr>
      <t>07_A321</t>
    </r>
    <r>
      <rPr>
        <sz val="11"/>
        <rFont val="宋体"/>
        <charset val="134"/>
      </rPr>
      <t>（中粤）</t>
    </r>
    <r>
      <rPr>
        <sz val="11"/>
        <rFont val="Arial"/>
        <charset val="134"/>
      </rPr>
      <t>2023</t>
    </r>
    <r>
      <rPr>
        <sz val="11"/>
        <rFont val="宋体"/>
        <charset val="134"/>
      </rPr>
      <t>安全须知</t>
    </r>
  </si>
  <si>
    <t>07_A321_Can 0125 Safety Video 2023</t>
  </si>
  <si>
    <t>cah012500505</t>
  </si>
  <si>
    <r>
      <rPr>
        <sz val="11"/>
        <rFont val="Arial"/>
        <charset val="134"/>
      </rPr>
      <t>07_B737-800/8</t>
    </r>
    <r>
      <rPr>
        <sz val="11"/>
        <rFont val="宋体"/>
        <charset val="134"/>
      </rPr>
      <t>（中粤）</t>
    </r>
    <r>
      <rPr>
        <sz val="11"/>
        <rFont val="Arial"/>
        <charset val="134"/>
      </rPr>
      <t>2023</t>
    </r>
    <r>
      <rPr>
        <sz val="11"/>
        <rFont val="宋体"/>
        <charset val="134"/>
      </rPr>
      <t>安全须知</t>
    </r>
  </si>
  <si>
    <t>07_B737-800/8_Can 0125 Safety 2023</t>
  </si>
  <si>
    <t>cah012500506</t>
  </si>
  <si>
    <t>20_Dalian B737-800/8 Eng 0125 Safety Video</t>
  </si>
  <si>
    <t>cah012500507</t>
  </si>
  <si>
    <t>21_Dalian B737-800/8 Zho 0125 Safety Video</t>
  </si>
  <si>
    <t>cah012500508</t>
  </si>
  <si>
    <r>
      <rPr>
        <sz val="11"/>
        <rFont val="Arial"/>
        <charset val="134"/>
      </rPr>
      <t>B747-400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0125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</si>
  <si>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B747-400_Eng 0125 Safety Video 2023</t>
  </si>
  <si>
    <t>cah012500601</t>
  </si>
  <si>
    <r>
      <rPr>
        <sz val="11"/>
        <rFont val="Arial"/>
        <charset val="134"/>
      </rPr>
      <t>B747-400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0125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2023</t>
    </r>
  </si>
  <si>
    <t>B747-400_Zho 0125 Safety Video 2023</t>
  </si>
  <si>
    <t>cah012500602</t>
  </si>
  <si>
    <t>About Us</t>
  </si>
  <si>
    <r>
      <rPr>
        <sz val="11"/>
        <rFont val="宋体"/>
        <charset val="134"/>
      </rPr>
      <t>国航安全须知</t>
    </r>
    <r>
      <rPr>
        <sz val="11"/>
        <rFont val="Arial"/>
        <charset val="134"/>
      </rPr>
      <t xml:space="preserve"> 2023</t>
    </r>
  </si>
  <si>
    <t>Safety Video 2023</t>
  </si>
  <si>
    <t>cah012500701</t>
  </si>
  <si>
    <t>cah012500702</t>
  </si>
  <si>
    <t>cah012500603</t>
  </si>
  <si>
    <t>国航安全须知（中）2023</t>
  </si>
  <si>
    <t>Safety Video CN 2023</t>
  </si>
  <si>
    <t>cah012500703</t>
  </si>
  <si>
    <t>system</t>
  </si>
  <si>
    <t>Filename</t>
  </si>
  <si>
    <t>type</t>
  </si>
  <si>
    <t>s3k</t>
  </si>
  <si>
    <t>Broadcast Video</t>
  </si>
  <si>
    <t>TV</t>
  </si>
  <si>
    <t>Air Panorama Domestic Outbound With Ad</t>
  </si>
  <si>
    <t>Air Panorama Domestic Inbound With Ad</t>
  </si>
  <si>
    <t>Air Panorama International Outbound With Ad</t>
  </si>
  <si>
    <t>Air Panorama International Inbound With Ad</t>
  </si>
  <si>
    <t>Cabin Exerciseovie</t>
  </si>
  <si>
    <t>机上健身操</t>
  </si>
  <si>
    <t>Cabin Exercise</t>
  </si>
  <si>
    <t>CabinExercise_0711_43_ZhoEng_Ed.mpg</t>
  </si>
  <si>
    <t>同电视表</t>
  </si>
  <si>
    <t>Movie</t>
  </si>
  <si>
    <t>同电影表</t>
  </si>
  <si>
    <t>Daily</t>
  </si>
  <si>
    <t>Air Panorama Domestic Outbound With Ad-1</t>
  </si>
  <si>
    <t>Air Panorama Domestic Inbound With Ad-1</t>
  </si>
  <si>
    <t>Air Panorama International Outbound With Ad-1</t>
  </si>
  <si>
    <t>Air Panorama International Inbound With Ad-1</t>
  </si>
  <si>
    <t>Artist</t>
  </si>
  <si>
    <t>eX2/eX3
 eX3 NG</t>
  </si>
  <si>
    <t>0624</t>
  </si>
  <si>
    <t>BGM/PA/Boarding Music</t>
  </si>
  <si>
    <t>Various Artists</t>
  </si>
  <si>
    <t>登机音乐-爱</t>
  </si>
  <si>
    <t>ONBOARD-LOVE</t>
  </si>
  <si>
    <t>caj062400101ma.mp3</t>
  </si>
  <si>
    <t>caj042400101ma.abs</t>
  </si>
  <si>
    <t>离机音乐-爱</t>
  </si>
  <si>
    <t>DEBOARD-LOVE</t>
  </si>
  <si>
    <t>caj062400102ma.mp3</t>
  </si>
  <si>
    <t>caj042400102ma.abs</t>
  </si>
  <si>
    <t>0424</t>
  </si>
  <si>
    <t>备播</t>
  </si>
  <si>
    <t>BACK-UP</t>
  </si>
  <si>
    <t>caj042400103ma.mp3</t>
  </si>
  <si>
    <t>caj042400103ma.abs</t>
  </si>
  <si>
    <t>eX3/2 &amp; eX3 NG/eFx/i4K/i5K</t>
  </si>
  <si>
    <t>3Ki</t>
  </si>
  <si>
    <t>VA/Identifiers/PA/Boarding Music</t>
  </si>
  <si>
    <r>
      <rPr>
        <sz val="12"/>
        <rFont val="Arial"/>
        <charset val="134"/>
      </rPr>
      <t>01-4</t>
    </r>
    <r>
      <rPr>
        <sz val="12"/>
        <rFont val="宋体"/>
        <charset val="134"/>
      </rPr>
      <t>月正常版视频登机音乐</t>
    </r>
  </si>
  <si>
    <t>01-CA0424 Video BGM</t>
  </si>
  <si>
    <t>cah042400101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</si>
</sst>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2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[$-409]General"/>
    <numFmt numFmtId="177" formatCode="@&quot;m4.mpg&quot;"/>
    <numFmt numFmtId="178" formatCode="@&quot;m1.mpg&quot;"/>
    <numFmt numFmtId="179" formatCode="hh:mm:ss"/>
    <numFmt numFmtId="180" formatCode="0000"/>
    <numFmt numFmtId="181" formatCode="@&quot;m2.mpg&quot;"/>
    <numFmt numFmtId="182" formatCode="0.00_);[Red]\(0.00\)"/>
    <numFmt numFmtId="183" formatCode="yyyy/m/d;@"/>
  </numFmts>
  <fonts count="57">
    <font>
      <sz val="11"/>
      <color theme="1"/>
      <name val="宋体"/>
      <charset val="134"/>
      <scheme val="minor"/>
    </font>
    <font>
      <b/>
      <sz val="10"/>
      <name val="Arial"/>
      <charset val="134"/>
    </font>
    <font>
      <b/>
      <sz val="12"/>
      <name val="Arial"/>
      <charset val="134"/>
    </font>
    <font>
      <sz val="12"/>
      <name val="Arial"/>
      <charset val="134"/>
    </font>
    <font>
      <sz val="10"/>
      <name val="Arial"/>
      <charset val="134"/>
    </font>
    <font>
      <sz val="12"/>
      <color rgb="FF000000"/>
      <name val="Arial"/>
      <charset val="134"/>
    </font>
    <font>
      <sz val="12"/>
      <name val="宋体"/>
      <charset val="134"/>
    </font>
    <font>
      <b/>
      <sz val="16"/>
      <name val="Arial"/>
      <charset val="134"/>
    </font>
    <font>
      <sz val="11"/>
      <name val="Arial"/>
      <charset val="134"/>
    </font>
    <font>
      <sz val="11"/>
      <name val="宋体"/>
      <charset val="134"/>
    </font>
    <font>
      <b/>
      <sz val="11"/>
      <name val="Arial"/>
      <charset val="134"/>
    </font>
    <font>
      <sz val="8"/>
      <name val="Arial"/>
      <charset val="134"/>
    </font>
    <font>
      <sz val="11"/>
      <color rgb="FF000000"/>
      <name val="Arial"/>
      <charset val="134"/>
    </font>
    <font>
      <sz val="11"/>
      <color rgb="FFFF0000"/>
      <name val="Arial"/>
      <charset val="134"/>
    </font>
    <font>
      <sz val="11"/>
      <color theme="1"/>
      <name val="Arial"/>
      <charset val="134"/>
    </font>
    <font>
      <sz val="12"/>
      <name val="宋体"/>
      <charset val="134"/>
      <scheme val="minor"/>
    </font>
    <font>
      <b/>
      <sz val="9"/>
      <name val="Arial"/>
      <charset val="134"/>
    </font>
    <font>
      <sz val="9"/>
      <color rgb="FF000000"/>
      <name val="Arial"/>
      <charset val="134"/>
    </font>
    <font>
      <sz val="12"/>
      <color rgb="FF000000"/>
      <name val="Arial"/>
      <charset val="0"/>
    </font>
    <font>
      <sz val="11"/>
      <color rgb="FF000000"/>
      <name val="Arial"/>
      <charset val="0"/>
    </font>
    <font>
      <sz val="11"/>
      <name val="Arial"/>
      <charset val="0"/>
    </font>
    <font>
      <sz val="12"/>
      <name val="Arial"/>
      <charset val="0"/>
    </font>
    <font>
      <b/>
      <sz val="14"/>
      <name val="Arial"/>
      <charset val="134"/>
    </font>
    <font>
      <b/>
      <sz val="11"/>
      <name val="Arial"/>
      <charset val="0"/>
    </font>
    <font>
      <sz val="12"/>
      <color rgb="FFFF0000"/>
      <name val="宋体"/>
      <charset val="134"/>
    </font>
    <font>
      <sz val="12"/>
      <color theme="1"/>
      <name val="Arial"/>
      <charset val="134"/>
    </font>
    <font>
      <sz val="11"/>
      <color theme="1"/>
      <name val="宋体"/>
      <charset val="134"/>
    </font>
    <font>
      <sz val="10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2"/>
      <color indexed="8"/>
      <name val="Verdana"/>
      <charset val="134"/>
    </font>
    <font>
      <sz val="10"/>
      <color rgb="FF000000"/>
      <name val="Arial"/>
      <charset val="134"/>
    </font>
    <font>
      <sz val="10"/>
      <color indexed="8"/>
      <name val="Arial"/>
      <charset val="134"/>
    </font>
    <font>
      <b/>
      <sz val="12"/>
      <name val="宋体"/>
      <charset val="134"/>
    </font>
    <font>
      <sz val="14"/>
      <name val="宋体"/>
      <charset val="134"/>
    </font>
    <font>
      <sz val="9"/>
      <name val="宋体"/>
      <charset val="134"/>
    </font>
    <font>
      <b/>
      <sz val="9"/>
      <name val="宋体"/>
      <charset val="134"/>
    </font>
    <font>
      <sz val="16"/>
      <name val="宋体"/>
      <charset val="134"/>
    </font>
    <font>
      <b/>
      <sz val="12"/>
      <name val="宋体"/>
      <charset val="134"/>
    </font>
    <font>
      <sz val="12"/>
      <name val="宋体"/>
      <charset val="134"/>
    </font>
  </fonts>
  <fills count="51">
    <fill>
      <patternFill patternType="none"/>
    </fill>
    <fill>
      <patternFill patternType="gray125"/>
    </fill>
    <fill>
      <patternFill patternType="solid">
        <fgColor rgb="FF76F8CF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599993896298105"/>
        <bgColor rgb="FF000000"/>
      </patternFill>
    </fill>
    <fill>
      <patternFill patternType="solid">
        <fgColor rgb="FF76F8CF"/>
        <bgColor rgb="FF000000"/>
      </patternFill>
    </fill>
    <fill>
      <patternFill patternType="solid">
        <fgColor theme="7" tint="0.6"/>
        <bgColor indexed="64"/>
      </patternFill>
    </fill>
    <fill>
      <patternFill patternType="solid">
        <fgColor theme="7" tint="0.6"/>
        <bgColor rgb="FF000000"/>
      </patternFill>
    </fill>
    <fill>
      <patternFill patternType="solid">
        <fgColor rgb="FFB8CCE4"/>
        <bgColor rgb="FF000000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599993896298105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ACDF5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D883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rgb="FFCCC0DA"/>
        <bgColor rgb="FF000000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</fills>
  <borders count="10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thick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double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ck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/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6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0" fillId="22" borderId="94" applyNumberFormat="0" applyFon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95" applyNumberFormat="0" applyFill="0" applyAlignment="0" applyProtection="0">
      <alignment vertical="center"/>
    </xf>
    <xf numFmtId="0" fontId="34" fillId="0" borderId="95" applyNumberFormat="0" applyFill="0" applyAlignment="0" applyProtection="0">
      <alignment vertical="center"/>
    </xf>
    <xf numFmtId="0" fontId="35" fillId="0" borderId="96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3" borderId="97" applyNumberFormat="0" applyAlignment="0" applyProtection="0">
      <alignment vertical="center"/>
    </xf>
    <xf numFmtId="0" fontId="37" fillId="24" borderId="98" applyNumberFormat="0" applyAlignment="0" applyProtection="0">
      <alignment vertical="center"/>
    </xf>
    <xf numFmtId="0" fontId="38" fillId="24" borderId="97" applyNumberFormat="0" applyAlignment="0" applyProtection="0">
      <alignment vertical="center"/>
    </xf>
    <xf numFmtId="0" fontId="39" fillId="25" borderId="99" applyNumberFormat="0" applyAlignment="0" applyProtection="0">
      <alignment vertical="center"/>
    </xf>
    <xf numFmtId="0" fontId="40" fillId="0" borderId="100" applyNumberFormat="0" applyFill="0" applyAlignment="0" applyProtection="0">
      <alignment vertical="center"/>
    </xf>
    <xf numFmtId="0" fontId="41" fillId="0" borderId="101" applyNumberFormat="0" applyFill="0" applyAlignment="0" applyProtection="0">
      <alignment vertical="center"/>
    </xf>
    <xf numFmtId="0" fontId="42" fillId="26" borderId="0" applyNumberFormat="0" applyBorder="0" applyAlignment="0" applyProtection="0">
      <alignment vertical="center"/>
    </xf>
    <xf numFmtId="0" fontId="43" fillId="27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6" fillId="34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6" fillId="38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45" fillId="40" borderId="0" applyNumberFormat="0" applyBorder="0" applyAlignment="0" applyProtection="0">
      <alignment vertical="center"/>
    </xf>
    <xf numFmtId="0" fontId="45" fillId="41" borderId="0" applyNumberFormat="0" applyBorder="0" applyAlignment="0" applyProtection="0">
      <alignment vertical="center"/>
    </xf>
    <xf numFmtId="0" fontId="46" fillId="42" borderId="0" applyNumberFormat="0" applyBorder="0" applyAlignment="0" applyProtection="0">
      <alignment vertical="center"/>
    </xf>
    <xf numFmtId="0" fontId="46" fillId="3" borderId="0" applyNumberFormat="0" applyBorder="0" applyAlignment="0" applyProtection="0">
      <alignment vertical="center"/>
    </xf>
    <xf numFmtId="0" fontId="45" fillId="43" borderId="0" applyNumberFormat="0" applyBorder="0" applyAlignment="0" applyProtection="0">
      <alignment vertical="center"/>
    </xf>
    <xf numFmtId="0" fontId="45" fillId="44" borderId="0" applyNumberFormat="0" applyBorder="0" applyAlignment="0" applyProtection="0">
      <alignment vertical="center"/>
    </xf>
    <xf numFmtId="0" fontId="46" fillId="45" borderId="0" applyNumberFormat="0" applyBorder="0" applyAlignment="0" applyProtection="0">
      <alignment vertical="center"/>
    </xf>
    <xf numFmtId="0" fontId="46" fillId="46" borderId="0" applyNumberFormat="0" applyBorder="0" applyAlignment="0" applyProtection="0">
      <alignment vertical="center"/>
    </xf>
    <xf numFmtId="0" fontId="45" fillId="47" borderId="0" applyNumberFormat="0" applyBorder="0" applyAlignment="0" applyProtection="0">
      <alignment vertical="center"/>
    </xf>
    <xf numFmtId="0" fontId="45" fillId="48" borderId="0" applyNumberFormat="0" applyBorder="0" applyAlignment="0" applyProtection="0">
      <alignment vertical="center"/>
    </xf>
    <xf numFmtId="0" fontId="46" fillId="49" borderId="0" applyNumberFormat="0" applyBorder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45" fillId="50" borderId="0" applyNumberFormat="0" applyBorder="0" applyAlignment="0" applyProtection="0">
      <alignment vertical="center"/>
    </xf>
    <xf numFmtId="0" fontId="47" fillId="0" borderId="0" applyNumberFormat="0" applyFill="0" applyBorder="0" applyProtection="0">
      <alignment vertical="top" wrapText="1"/>
    </xf>
    <xf numFmtId="0" fontId="4" fillId="0" borderId="0"/>
    <xf numFmtId="0" fontId="47" fillId="0" borderId="0" applyNumberFormat="0" applyFill="0" applyBorder="0" applyProtection="0">
      <alignment vertical="top" wrapText="1"/>
    </xf>
    <xf numFmtId="176" fontId="27" fillId="0" borderId="0">
      <alignment vertical="center"/>
    </xf>
    <xf numFmtId="0" fontId="0" fillId="0" borderId="0">
      <alignment vertical="center"/>
    </xf>
    <xf numFmtId="0" fontId="48" fillId="0" borderId="0"/>
    <xf numFmtId="0" fontId="49" fillId="0" borderId="0"/>
  </cellStyleXfs>
  <cellXfs count="508">
    <xf numFmtId="0" fontId="0" fillId="0" borderId="0" xfId="0"/>
    <xf numFmtId="176" fontId="1" fillId="0" borderId="0" xfId="50" applyNumberFormat="1" applyFont="1" applyFill="1" applyBorder="1" applyAlignment="1"/>
    <xf numFmtId="176" fontId="1" fillId="0" borderId="0" xfId="50" applyNumberFormat="1" applyFont="1" applyFill="1" applyAlignment="1"/>
    <xf numFmtId="176" fontId="1" fillId="0" borderId="0" xfId="50" applyNumberFormat="1" applyFont="1" applyFill="1" applyBorder="1" applyAlignment="1">
      <alignment horizontal="left"/>
    </xf>
    <xf numFmtId="49" fontId="1" fillId="0" borderId="0" xfId="50" applyNumberFormat="1" applyFont="1" applyFill="1" applyBorder="1" applyAlignment="1">
      <alignment horizontal="right"/>
    </xf>
    <xf numFmtId="176" fontId="1" fillId="0" borderId="0" xfId="50" applyNumberFormat="1" applyFont="1" applyFill="1" applyBorder="1" applyAlignment="1">
      <alignment horizontal="center"/>
    </xf>
    <xf numFmtId="14" fontId="1" fillId="0" borderId="0" xfId="50" applyNumberFormat="1" applyFont="1" applyFill="1" applyBorder="1" applyAlignment="1">
      <alignment horizontal="right"/>
    </xf>
    <xf numFmtId="0" fontId="1" fillId="0" borderId="0" xfId="50" applyNumberFormat="1" applyFont="1" applyFill="1" applyBorder="1" applyAlignment="1">
      <alignment horizontal="left"/>
    </xf>
    <xf numFmtId="176" fontId="1" fillId="0" borderId="0" xfId="50" applyNumberFormat="1" applyFont="1" applyFill="1" applyAlignment="1">
      <alignment horizontal="right"/>
    </xf>
    <xf numFmtId="1" fontId="1" fillId="0" borderId="0" xfId="50" applyNumberFormat="1" applyFont="1" applyFill="1" applyAlignment="1">
      <alignment horizontal="right"/>
    </xf>
    <xf numFmtId="176" fontId="1" fillId="0" borderId="0" xfId="50" applyNumberFormat="1" applyFont="1" applyFill="1" applyAlignment="1">
      <alignment horizontal="left"/>
    </xf>
    <xf numFmtId="2" fontId="1" fillId="0" borderId="0" xfId="50" applyNumberFormat="1" applyFont="1" applyFill="1" applyAlignment="1">
      <alignment horizontal="right"/>
    </xf>
    <xf numFmtId="176" fontId="1" fillId="0" borderId="0" xfId="50" applyNumberFormat="1" applyFont="1" applyFill="1" applyAlignment="1">
      <alignment horizontal="center"/>
    </xf>
    <xf numFmtId="176" fontId="2" fillId="2" borderId="1" xfId="50" applyNumberFormat="1" applyFont="1" applyFill="1" applyBorder="1" applyAlignment="1">
      <alignment horizontal="center" vertical="center"/>
    </xf>
    <xf numFmtId="176" fontId="2" fillId="2" borderId="2" xfId="50" applyNumberFormat="1" applyFont="1" applyFill="1" applyBorder="1" applyAlignment="1">
      <alignment horizontal="center" vertical="center"/>
    </xf>
    <xf numFmtId="176" fontId="2" fillId="3" borderId="3" xfId="50" applyNumberFormat="1" applyFont="1" applyFill="1" applyBorder="1" applyAlignment="1">
      <alignment horizontal="center" vertical="center"/>
    </xf>
    <xf numFmtId="176" fontId="2" fillId="2" borderId="4" xfId="50" applyNumberFormat="1" applyFont="1" applyFill="1" applyBorder="1" applyAlignment="1">
      <alignment horizontal="center" textRotation="90"/>
    </xf>
    <xf numFmtId="176" fontId="2" fillId="2" borderId="5" xfId="50" applyNumberFormat="1" applyFont="1" applyFill="1" applyBorder="1" applyAlignment="1">
      <alignment horizontal="center" textRotation="90"/>
    </xf>
    <xf numFmtId="176" fontId="2" fillId="2" borderId="6" xfId="50" applyNumberFormat="1" applyFont="1" applyFill="1" applyBorder="1" applyAlignment="1">
      <alignment horizontal="center" textRotation="90"/>
    </xf>
    <xf numFmtId="176" fontId="2" fillId="2" borderId="7" xfId="50" applyNumberFormat="1" applyFont="1" applyFill="1" applyBorder="1" applyAlignment="1">
      <alignment horizontal="center" textRotation="90"/>
    </xf>
    <xf numFmtId="176" fontId="2" fillId="2" borderId="8" xfId="50" applyNumberFormat="1" applyFont="1" applyFill="1" applyBorder="1" applyAlignment="1">
      <alignment horizontal="center" textRotation="90"/>
    </xf>
    <xf numFmtId="176" fontId="2" fillId="3" borderId="9" xfId="50" applyNumberFormat="1" applyFont="1" applyFill="1" applyBorder="1" applyAlignment="1">
      <alignment horizontal="center" vertical="center" textRotation="90"/>
    </xf>
    <xf numFmtId="176" fontId="2" fillId="2" borderId="10" xfId="50" applyNumberFormat="1" applyFont="1" applyFill="1" applyBorder="1" applyAlignment="1">
      <alignment horizontal="center" textRotation="90"/>
    </xf>
    <xf numFmtId="176" fontId="2" fillId="2" borderId="11" xfId="50" applyNumberFormat="1" applyFont="1" applyFill="1" applyBorder="1" applyAlignment="1">
      <alignment horizontal="center" textRotation="90"/>
    </xf>
    <xf numFmtId="176" fontId="2" fillId="2" borderId="1" xfId="50" applyNumberFormat="1" applyFont="1" applyFill="1" applyBorder="1" applyAlignment="1">
      <alignment horizontal="center" textRotation="90"/>
    </xf>
    <xf numFmtId="176" fontId="2" fillId="2" borderId="12" xfId="50" applyNumberFormat="1" applyFont="1" applyFill="1" applyBorder="1" applyAlignment="1">
      <alignment horizontal="center" textRotation="90"/>
    </xf>
    <xf numFmtId="176" fontId="2" fillId="2" borderId="13" xfId="50" applyNumberFormat="1" applyFont="1" applyFill="1" applyBorder="1" applyAlignment="1">
      <alignment horizontal="center" textRotation="90"/>
    </xf>
    <xf numFmtId="176" fontId="2" fillId="3" borderId="14" xfId="50" applyNumberFormat="1" applyFont="1" applyFill="1" applyBorder="1" applyAlignment="1">
      <alignment horizontal="center" vertical="center" textRotation="90"/>
    </xf>
    <xf numFmtId="176" fontId="3" fillId="2" borderId="15" xfId="50" applyNumberFormat="1" applyFont="1" applyFill="1" applyBorder="1" applyAlignment="1">
      <alignment horizontal="left"/>
    </xf>
    <xf numFmtId="49" fontId="3" fillId="2" borderId="15" xfId="50" applyNumberFormat="1" applyFont="1" applyFill="1" applyBorder="1" applyAlignment="1">
      <alignment horizontal="left"/>
    </xf>
    <xf numFmtId="49" fontId="4" fillId="2" borderId="15" xfId="50" applyNumberFormat="1" applyFont="1" applyFill="1" applyBorder="1" applyAlignment="1">
      <alignment horizontal="left"/>
    </xf>
    <xf numFmtId="0" fontId="5" fillId="4" borderId="15" xfId="0" applyNumberFormat="1" applyFont="1" applyFill="1" applyBorder="1" applyAlignment="1">
      <alignment horizontal="center" wrapText="1"/>
    </xf>
    <xf numFmtId="49" fontId="4" fillId="2" borderId="16" xfId="50" applyNumberFormat="1" applyFont="1" applyFill="1" applyBorder="1" applyAlignment="1">
      <alignment horizontal="left"/>
    </xf>
    <xf numFmtId="176" fontId="6" fillId="2" borderId="15" xfId="50" applyNumberFormat="1" applyFont="1" applyFill="1" applyBorder="1" applyAlignment="1">
      <alignment horizontal="left"/>
    </xf>
    <xf numFmtId="176" fontId="7" fillId="0" borderId="0" xfId="50" applyNumberFormat="1" applyFont="1" applyFill="1" applyBorder="1" applyAlignment="1">
      <alignment horizontal="left"/>
    </xf>
    <xf numFmtId="176" fontId="2" fillId="3" borderId="17" xfId="50" applyNumberFormat="1" applyFont="1" applyFill="1" applyBorder="1" applyAlignment="1">
      <alignment horizontal="center" vertical="center"/>
    </xf>
    <xf numFmtId="176" fontId="2" fillId="3" borderId="18" xfId="50" applyNumberFormat="1" applyFont="1" applyFill="1" applyBorder="1" applyAlignment="1">
      <alignment horizontal="center" vertical="center"/>
    </xf>
    <xf numFmtId="176" fontId="2" fillId="2" borderId="3" xfId="0" applyNumberFormat="1" applyFont="1" applyFill="1" applyBorder="1" applyAlignment="1">
      <alignment horizontal="center" vertical="center"/>
    </xf>
    <xf numFmtId="176" fontId="2" fillId="2" borderId="18" xfId="0" applyNumberFormat="1" applyFont="1" applyFill="1" applyBorder="1" applyAlignment="1">
      <alignment horizontal="center" vertical="center"/>
    </xf>
    <xf numFmtId="176" fontId="2" fillId="2" borderId="13" xfId="50" applyNumberFormat="1" applyFont="1" applyFill="1" applyBorder="1" applyAlignment="1">
      <alignment horizontal="center" vertical="center"/>
    </xf>
    <xf numFmtId="176" fontId="2" fillId="3" borderId="2" xfId="50" applyNumberFormat="1" applyFont="1" applyFill="1" applyBorder="1" applyAlignment="1">
      <alignment horizontal="center" vertical="center"/>
    </xf>
    <xf numFmtId="176" fontId="2" fillId="3" borderId="9" xfId="50" applyNumberFormat="1" applyFont="1" applyFill="1" applyBorder="1" applyAlignment="1">
      <alignment horizontal="center" vertical="center" textRotation="90" wrapText="1"/>
    </xf>
    <xf numFmtId="176" fontId="2" fillId="3" borderId="14" xfId="50" applyNumberFormat="1" applyFont="1" applyFill="1" applyBorder="1" applyAlignment="1">
      <alignment horizontal="center" vertical="center" textRotation="90" wrapText="1"/>
    </xf>
    <xf numFmtId="176" fontId="2" fillId="2" borderId="19" xfId="50" applyNumberFormat="1" applyFont="1" applyFill="1" applyBorder="1" applyAlignment="1">
      <alignment horizontal="center" vertical="center" wrapText="1"/>
    </xf>
    <xf numFmtId="176" fontId="2" fillId="2" borderId="9" xfId="50" applyNumberFormat="1" applyFont="1" applyFill="1" applyBorder="1" applyAlignment="1">
      <alignment horizontal="center" vertical="center"/>
    </xf>
    <xf numFmtId="176" fontId="2" fillId="3" borderId="8" xfId="50" applyNumberFormat="1" applyFont="1" applyFill="1" applyBorder="1" applyAlignment="1">
      <alignment horizontal="center" textRotation="90"/>
    </xf>
    <xf numFmtId="176" fontId="2" fillId="2" borderId="19" xfId="50" applyNumberFormat="1" applyFont="1" applyFill="1" applyBorder="1" applyAlignment="1">
      <alignment horizontal="center" vertical="center"/>
    </xf>
    <xf numFmtId="176" fontId="2" fillId="2" borderId="14" xfId="50" applyNumberFormat="1" applyFont="1" applyFill="1" applyBorder="1" applyAlignment="1">
      <alignment horizontal="center" vertical="center"/>
    </xf>
    <xf numFmtId="176" fontId="2" fillId="3" borderId="13" xfId="50" applyNumberFormat="1" applyFont="1" applyFill="1" applyBorder="1" applyAlignment="1">
      <alignment horizontal="center" textRotation="90"/>
    </xf>
    <xf numFmtId="177" fontId="8" fillId="2" borderId="15" xfId="52" applyNumberFormat="1" applyFont="1" applyFill="1" applyBorder="1" applyAlignment="1" applyProtection="1">
      <alignment horizontal="center"/>
      <protection locked="0"/>
    </xf>
    <xf numFmtId="178" fontId="8" fillId="2" borderId="15" xfId="52" applyNumberFormat="1" applyFont="1" applyFill="1" applyBorder="1" applyAlignment="1" applyProtection="1">
      <alignment horizontal="center"/>
      <protection locked="0"/>
    </xf>
    <xf numFmtId="176" fontId="3" fillId="5" borderId="15" xfId="0" applyNumberFormat="1" applyFont="1" applyFill="1" applyBorder="1" applyAlignment="1">
      <alignment horizontal="left"/>
    </xf>
    <xf numFmtId="49" fontId="3" fillId="3" borderId="15" xfId="50" applyNumberFormat="1" applyFont="1" applyFill="1" applyBorder="1" applyAlignment="1">
      <alignment horizontal="center"/>
    </xf>
    <xf numFmtId="0" fontId="2" fillId="3" borderId="20" xfId="0" applyNumberFormat="1" applyFont="1" applyFill="1" applyBorder="1" applyAlignment="1">
      <alignment horizontal="center" vertical="center"/>
    </xf>
    <xf numFmtId="0" fontId="2" fillId="3" borderId="8" xfId="0" applyNumberFormat="1" applyFont="1" applyFill="1" applyBorder="1" applyAlignment="1">
      <alignment horizontal="center" vertical="center"/>
    </xf>
    <xf numFmtId="176" fontId="2" fillId="2" borderId="20" xfId="50" applyNumberFormat="1" applyFont="1" applyFill="1" applyBorder="1" applyAlignment="1">
      <alignment horizontal="center" vertical="center"/>
    </xf>
    <xf numFmtId="176" fontId="2" fillId="3" borderId="2" xfId="50" applyNumberFormat="1" applyFont="1" applyFill="1" applyBorder="1" applyAlignment="1">
      <alignment horizontal="center" textRotation="90"/>
    </xf>
    <xf numFmtId="176" fontId="2" fillId="3" borderId="1" xfId="50" applyNumberFormat="1" applyFont="1" applyFill="1" applyBorder="1" applyAlignment="1">
      <alignment horizontal="center" textRotation="90"/>
    </xf>
    <xf numFmtId="0" fontId="2" fillId="3" borderId="1" xfId="50" applyNumberFormat="1" applyFont="1" applyFill="1" applyBorder="1" applyAlignment="1">
      <alignment horizontal="center" textRotation="90"/>
    </xf>
    <xf numFmtId="176" fontId="2" fillId="3" borderId="11" xfId="50" applyNumberFormat="1" applyFont="1" applyFill="1" applyBorder="1" applyAlignment="1">
      <alignment horizontal="center" textRotation="90"/>
    </xf>
    <xf numFmtId="0" fontId="2" fillId="3" borderId="11" xfId="50" applyNumberFormat="1" applyFont="1" applyFill="1" applyBorder="1" applyAlignment="1">
      <alignment horizontal="center" textRotation="90"/>
    </xf>
    <xf numFmtId="176" fontId="3" fillId="3" borderId="15" xfId="50" applyNumberFormat="1" applyFont="1" applyFill="1" applyBorder="1" applyAlignment="1">
      <alignment horizontal="center"/>
    </xf>
    <xf numFmtId="0" fontId="3" fillId="2" borderId="15" xfId="0" applyNumberFormat="1" applyFont="1" applyFill="1" applyBorder="1" applyAlignment="1">
      <alignment horizontal="center"/>
    </xf>
    <xf numFmtId="0" fontId="2" fillId="0" borderId="0" xfId="50" applyNumberFormat="1" applyFont="1" applyFill="1" applyAlignment="1">
      <alignment horizontal="left" vertical="top"/>
    </xf>
    <xf numFmtId="0" fontId="2" fillId="0" borderId="0" xfId="50" applyNumberFormat="1" applyFont="1" applyFill="1" applyAlignment="1">
      <alignment horizontal="left"/>
    </xf>
    <xf numFmtId="176" fontId="2" fillId="2" borderId="20" xfId="0" applyNumberFormat="1" applyFont="1" applyFill="1" applyBorder="1" applyAlignment="1">
      <alignment horizontal="left" vertical="center"/>
    </xf>
    <xf numFmtId="176" fontId="2" fillId="3" borderId="3" xfId="0" applyNumberFormat="1" applyFont="1" applyFill="1" applyBorder="1" applyAlignment="1">
      <alignment horizontal="center" vertical="center"/>
    </xf>
    <xf numFmtId="176" fontId="2" fillId="3" borderId="18" xfId="0" applyNumberFormat="1" applyFont="1" applyFill="1" applyBorder="1" applyAlignment="1">
      <alignment horizontal="center" vertical="center"/>
    </xf>
    <xf numFmtId="176" fontId="2" fillId="2" borderId="2" xfId="50" applyNumberFormat="1" applyFont="1" applyFill="1" applyBorder="1" applyAlignment="1">
      <alignment horizontal="center" textRotation="90"/>
    </xf>
    <xf numFmtId="176" fontId="2" fillId="2" borderId="21" xfId="50" applyNumberFormat="1" applyFont="1" applyFill="1" applyBorder="1" applyAlignment="1">
      <alignment horizontal="center" textRotation="90"/>
    </xf>
    <xf numFmtId="176" fontId="2" fillId="3" borderId="11" xfId="0" applyNumberFormat="1" applyFont="1" applyFill="1" applyBorder="1" applyAlignment="1">
      <alignment horizontal="center" vertical="center" textRotation="90"/>
    </xf>
    <xf numFmtId="176" fontId="2" fillId="2" borderId="22" xfId="50" applyNumberFormat="1" applyFont="1" applyFill="1" applyBorder="1" applyAlignment="1">
      <alignment horizontal="center" textRotation="90"/>
    </xf>
    <xf numFmtId="179" fontId="3" fillId="2" borderId="15" xfId="0" applyNumberFormat="1" applyFont="1" applyFill="1" applyBorder="1" applyAlignment="1">
      <alignment horizontal="center"/>
    </xf>
    <xf numFmtId="176" fontId="3" fillId="3" borderId="15" xfId="0" applyNumberFormat="1" applyFont="1" applyFill="1" applyBorder="1" applyAlignment="1"/>
    <xf numFmtId="176" fontId="1" fillId="0" borderId="0" xfId="50" applyNumberFormat="1" applyFont="1" applyFill="1" applyBorder="1" applyAlignment="1">
      <alignment horizontal="right"/>
    </xf>
    <xf numFmtId="1" fontId="1" fillId="0" borderId="0" xfId="50" applyNumberFormat="1" applyFont="1" applyFill="1" applyBorder="1" applyAlignment="1">
      <alignment horizontal="right"/>
    </xf>
    <xf numFmtId="2" fontId="1" fillId="0" borderId="0" xfId="50" applyNumberFormat="1" applyFont="1" applyFill="1" applyBorder="1" applyAlignment="1">
      <alignment horizontal="right"/>
    </xf>
    <xf numFmtId="176" fontId="2" fillId="2" borderId="23" xfId="50" applyNumberFormat="1" applyFont="1" applyFill="1" applyBorder="1" applyAlignment="1">
      <alignment horizontal="center" textRotation="90"/>
    </xf>
    <xf numFmtId="176" fontId="2" fillId="2" borderId="24" xfId="50" applyNumberFormat="1" applyFont="1" applyFill="1" applyBorder="1" applyAlignment="1">
      <alignment horizontal="center" textRotation="90"/>
    </xf>
    <xf numFmtId="176" fontId="2" fillId="2" borderId="25" xfId="50" applyNumberFormat="1" applyFont="1" applyFill="1" applyBorder="1" applyAlignment="1">
      <alignment horizontal="center" textRotation="90"/>
    </xf>
    <xf numFmtId="176" fontId="2" fillId="2" borderId="26" xfId="50" applyNumberFormat="1" applyFont="1" applyFill="1" applyBorder="1" applyAlignment="1">
      <alignment horizontal="center" textRotation="90"/>
    </xf>
    <xf numFmtId="176" fontId="3" fillId="2" borderId="16" xfId="50" applyNumberFormat="1" applyFont="1" applyFill="1" applyBorder="1" applyAlignment="1">
      <alignment horizontal="left"/>
    </xf>
    <xf numFmtId="49" fontId="3" fillId="2" borderId="16" xfId="50" applyNumberFormat="1" applyFont="1" applyFill="1" applyBorder="1" applyAlignment="1">
      <alignment horizontal="left"/>
    </xf>
    <xf numFmtId="176" fontId="3" fillId="2" borderId="27" xfId="50" applyNumberFormat="1" applyFont="1" applyFill="1" applyBorder="1" applyAlignment="1">
      <alignment horizontal="center" textRotation="90"/>
    </xf>
    <xf numFmtId="176" fontId="6" fillId="2" borderId="16" xfId="50" applyNumberFormat="1" applyFont="1" applyFill="1" applyBorder="1" applyAlignment="1">
      <alignment horizontal="left"/>
    </xf>
    <xf numFmtId="176" fontId="3" fillId="2" borderId="28" xfId="50" applyNumberFormat="1" applyFont="1" applyFill="1" applyBorder="1" applyAlignment="1">
      <alignment horizontal="center" textRotation="90"/>
    </xf>
    <xf numFmtId="176" fontId="3" fillId="2" borderId="16" xfId="50" applyNumberFormat="1" applyFont="1" applyFill="1" applyBorder="1" applyAlignment="1">
      <alignment horizontal="center" textRotation="90"/>
    </xf>
    <xf numFmtId="176" fontId="2" fillId="6" borderId="3" xfId="50" applyNumberFormat="1" applyFont="1" applyFill="1" applyBorder="1" applyAlignment="1">
      <alignment horizontal="center" vertical="center"/>
    </xf>
    <xf numFmtId="176" fontId="2" fillId="6" borderId="17" xfId="50" applyNumberFormat="1" applyFont="1" applyFill="1" applyBorder="1" applyAlignment="1">
      <alignment horizontal="center" vertical="center"/>
    </xf>
    <xf numFmtId="176" fontId="2" fillId="6" borderId="18" xfId="50" applyNumberFormat="1" applyFont="1" applyFill="1" applyBorder="1" applyAlignment="1">
      <alignment horizontal="center" vertical="center"/>
    </xf>
    <xf numFmtId="176" fontId="2" fillId="2" borderId="29" xfId="50" applyNumberFormat="1" applyFont="1" applyFill="1" applyBorder="1" applyAlignment="1">
      <alignment horizontal="center" vertical="center"/>
    </xf>
    <xf numFmtId="176" fontId="2" fillId="6" borderId="9" xfId="50" applyNumberFormat="1" applyFont="1" applyFill="1" applyBorder="1" applyAlignment="1">
      <alignment horizontal="left" vertical="center" textRotation="90" wrapText="1"/>
    </xf>
    <xf numFmtId="176" fontId="2" fillId="6" borderId="14" xfId="50" applyNumberFormat="1" applyFont="1" applyFill="1" applyBorder="1" applyAlignment="1">
      <alignment horizontal="center" vertical="center" textRotation="90"/>
    </xf>
    <xf numFmtId="176" fontId="2" fillId="6" borderId="9" xfId="50" applyNumberFormat="1" applyFont="1" applyFill="1" applyBorder="1" applyAlignment="1">
      <alignment horizontal="center" vertical="center" textRotation="90" wrapText="1"/>
    </xf>
    <xf numFmtId="176" fontId="2" fillId="6" borderId="14" xfId="50" applyNumberFormat="1" applyFont="1" applyFill="1" applyBorder="1" applyAlignment="1">
      <alignment horizontal="center" vertical="center" textRotation="90" wrapText="1"/>
    </xf>
    <xf numFmtId="176" fontId="2" fillId="6" borderId="30" xfId="50" applyNumberFormat="1" applyFont="1" applyFill="1" applyBorder="1" applyAlignment="1">
      <alignment horizontal="left" vertical="center" textRotation="90"/>
    </xf>
    <xf numFmtId="176" fontId="2" fillId="6" borderId="30" xfId="50" applyNumberFormat="1" applyFont="1" applyFill="1" applyBorder="1" applyAlignment="1">
      <alignment horizontal="center" vertical="center" textRotation="90"/>
    </xf>
    <xf numFmtId="176" fontId="2" fillId="6" borderId="30" xfId="50" applyNumberFormat="1" applyFont="1" applyFill="1" applyBorder="1" applyAlignment="1">
      <alignment horizontal="center" vertical="center" textRotation="90" wrapText="1"/>
    </xf>
    <xf numFmtId="176" fontId="2" fillId="2" borderId="31" xfId="50" applyNumberFormat="1" applyFont="1" applyFill="1" applyBorder="1" applyAlignment="1">
      <alignment horizontal="center" vertical="center"/>
    </xf>
    <xf numFmtId="176" fontId="2" fillId="2" borderId="30" xfId="50" applyNumberFormat="1" applyFont="1" applyFill="1" applyBorder="1" applyAlignment="1">
      <alignment horizontal="center" vertical="center"/>
    </xf>
    <xf numFmtId="0" fontId="5" fillId="7" borderId="32" xfId="0" applyNumberFormat="1" applyFont="1" applyFill="1" applyBorder="1" applyAlignment="1">
      <alignment horizontal="center" wrapText="1"/>
    </xf>
    <xf numFmtId="0" fontId="8" fillId="2" borderId="15" xfId="52" applyNumberFormat="1" applyFont="1" applyFill="1" applyBorder="1" applyAlignment="1" applyProtection="1">
      <alignment horizontal="center"/>
      <protection locked="0"/>
    </xf>
    <xf numFmtId="176" fontId="2" fillId="6" borderId="2" xfId="50" applyNumberFormat="1" applyFont="1" applyFill="1" applyBorder="1" applyAlignment="1">
      <alignment horizontal="center" vertical="center"/>
    </xf>
    <xf numFmtId="0" fontId="2" fillId="6" borderId="20" xfId="0" applyNumberFormat="1" applyFont="1" applyFill="1" applyBorder="1" applyAlignment="1">
      <alignment horizontal="center" vertical="center"/>
    </xf>
    <xf numFmtId="176" fontId="2" fillId="6" borderId="8" xfId="50" applyNumberFormat="1" applyFont="1" applyFill="1" applyBorder="1" applyAlignment="1">
      <alignment horizontal="center" textRotation="90"/>
    </xf>
    <xf numFmtId="176" fontId="2" fillId="6" borderId="2" xfId="50" applyNumberFormat="1" applyFont="1" applyFill="1" applyBorder="1" applyAlignment="1">
      <alignment horizontal="center" textRotation="90"/>
    </xf>
    <xf numFmtId="176" fontId="2" fillId="6" borderId="1" xfId="50" applyNumberFormat="1" applyFont="1" applyFill="1" applyBorder="1" applyAlignment="1">
      <alignment horizontal="center" textRotation="90"/>
    </xf>
    <xf numFmtId="0" fontId="2" fillId="6" borderId="1" xfId="50" applyNumberFormat="1" applyFont="1" applyFill="1" applyBorder="1" applyAlignment="1">
      <alignment horizontal="center" textRotation="90"/>
    </xf>
    <xf numFmtId="176" fontId="2" fillId="6" borderId="33" xfId="50" applyNumberFormat="1" applyFont="1" applyFill="1" applyBorder="1" applyAlignment="1">
      <alignment horizontal="center" textRotation="90"/>
    </xf>
    <xf numFmtId="0" fontId="2" fillId="6" borderId="33" xfId="50" applyNumberFormat="1" applyFont="1" applyFill="1" applyBorder="1" applyAlignment="1">
      <alignment horizontal="center" textRotation="90"/>
    </xf>
    <xf numFmtId="49" fontId="3" fillId="6" borderId="15" xfId="50" applyNumberFormat="1" applyFont="1" applyFill="1" applyBorder="1" applyAlignment="1">
      <alignment horizontal="center"/>
    </xf>
    <xf numFmtId="176" fontId="3" fillId="6" borderId="15" xfId="50" applyNumberFormat="1" applyFont="1" applyFill="1" applyBorder="1" applyAlignment="1">
      <alignment horizontal="center"/>
    </xf>
    <xf numFmtId="0" fontId="2" fillId="6" borderId="8" xfId="0" applyNumberFormat="1" applyFont="1" applyFill="1" applyBorder="1" applyAlignment="1">
      <alignment horizontal="center" vertical="center"/>
    </xf>
    <xf numFmtId="176" fontId="2" fillId="2" borderId="34" xfId="50" applyNumberFormat="1" applyFont="1" applyFill="1" applyBorder="1" applyAlignment="1">
      <alignment horizontal="center" textRotation="90"/>
    </xf>
    <xf numFmtId="176" fontId="2" fillId="2" borderId="14" xfId="50" applyNumberFormat="1" applyFont="1" applyFill="1" applyBorder="1" applyAlignment="1">
      <alignment horizontal="center" textRotation="90"/>
    </xf>
    <xf numFmtId="176" fontId="2" fillId="2" borderId="33" xfId="50" applyNumberFormat="1" applyFont="1" applyFill="1" applyBorder="1" applyAlignment="1">
      <alignment horizontal="center" textRotation="90"/>
    </xf>
    <xf numFmtId="176" fontId="2" fillId="2" borderId="35" xfId="50" applyNumberFormat="1" applyFont="1" applyFill="1" applyBorder="1" applyAlignment="1">
      <alignment horizontal="center" textRotation="90"/>
    </xf>
    <xf numFmtId="176" fontId="2" fillId="2" borderId="30" xfId="50" applyNumberFormat="1" applyFont="1" applyFill="1" applyBorder="1" applyAlignment="1">
      <alignment horizontal="center" textRotation="90"/>
    </xf>
    <xf numFmtId="0" fontId="3" fillId="2" borderId="15" xfId="0" applyNumberFormat="1" applyFont="1" applyFill="1" applyBorder="1" applyAlignment="1">
      <alignment horizontal="center" vertical="center"/>
    </xf>
    <xf numFmtId="179" fontId="3" fillId="2" borderId="15" xfId="0" applyNumberFormat="1" applyFont="1" applyFill="1" applyBorder="1" applyAlignment="1">
      <alignment vertical="center"/>
    </xf>
    <xf numFmtId="0" fontId="3" fillId="2" borderId="16" xfId="0" applyNumberFormat="1" applyFont="1" applyFill="1" applyBorder="1" applyAlignment="1">
      <alignment horizontal="center" vertical="center"/>
    </xf>
    <xf numFmtId="176" fontId="4" fillId="0" borderId="0" xfId="0" applyNumberFormat="1" applyFont="1" applyFill="1" applyAlignment="1"/>
    <xf numFmtId="176" fontId="2" fillId="3" borderId="36" xfId="50" applyNumberFormat="1" applyFont="1" applyFill="1" applyBorder="1" applyAlignment="1">
      <alignment horizontal="center" vertical="center"/>
    </xf>
    <xf numFmtId="176" fontId="2" fillId="2" borderId="37" xfId="50" applyNumberFormat="1" applyFont="1" applyFill="1" applyBorder="1" applyAlignment="1">
      <alignment horizontal="center" textRotation="90"/>
    </xf>
    <xf numFmtId="176" fontId="2" fillId="2" borderId="38" xfId="50" applyNumberFormat="1" applyFont="1" applyFill="1" applyBorder="1" applyAlignment="1">
      <alignment horizontal="center" textRotation="90"/>
    </xf>
    <xf numFmtId="176" fontId="2" fillId="3" borderId="39" xfId="50" applyNumberFormat="1" applyFont="1" applyFill="1" applyBorder="1" applyAlignment="1">
      <alignment horizontal="center" textRotation="90" wrapText="1"/>
    </xf>
    <xf numFmtId="176" fontId="2" fillId="2" borderId="40" xfId="50" applyNumberFormat="1" applyFont="1" applyFill="1" applyBorder="1" applyAlignment="1">
      <alignment horizontal="center" textRotation="90"/>
    </xf>
    <xf numFmtId="176" fontId="2" fillId="2" borderId="41" xfId="50" applyNumberFormat="1" applyFont="1" applyFill="1" applyBorder="1" applyAlignment="1">
      <alignment horizontal="center" textRotation="90"/>
    </xf>
    <xf numFmtId="176" fontId="2" fillId="2" borderId="42" xfId="50" applyNumberFormat="1" applyFont="1" applyFill="1" applyBorder="1" applyAlignment="1">
      <alignment horizontal="center" textRotation="90"/>
    </xf>
    <xf numFmtId="176" fontId="2" fillId="2" borderId="43" xfId="50" applyNumberFormat="1" applyFont="1" applyFill="1" applyBorder="1" applyAlignment="1">
      <alignment horizontal="center" textRotation="90"/>
    </xf>
    <xf numFmtId="176" fontId="2" fillId="2" borderId="44" xfId="50" applyNumberFormat="1" applyFont="1" applyFill="1" applyBorder="1" applyAlignment="1">
      <alignment horizontal="center" textRotation="90"/>
    </xf>
    <xf numFmtId="176" fontId="2" fillId="3" borderId="45" xfId="50" applyNumberFormat="1" applyFont="1" applyFill="1" applyBorder="1" applyAlignment="1">
      <alignment horizontal="center" textRotation="90" wrapText="1"/>
    </xf>
    <xf numFmtId="0" fontId="5" fillId="8" borderId="32" xfId="0" applyNumberFormat="1" applyFont="1" applyFill="1" applyBorder="1" applyAlignment="1">
      <alignment horizontal="center" wrapText="1"/>
    </xf>
    <xf numFmtId="176" fontId="2" fillId="9" borderId="1" xfId="50" applyNumberFormat="1" applyFont="1" applyFill="1" applyBorder="1" applyAlignment="1">
      <alignment horizontal="center" textRotation="90"/>
    </xf>
    <xf numFmtId="176" fontId="2" fillId="9" borderId="11" xfId="50" applyNumberFormat="1" applyFont="1" applyFill="1" applyBorder="1" applyAlignment="1">
      <alignment horizontal="center" textRotation="90"/>
    </xf>
    <xf numFmtId="176" fontId="2" fillId="9" borderId="33" xfId="50" applyNumberFormat="1" applyFont="1" applyFill="1" applyBorder="1" applyAlignment="1">
      <alignment horizontal="center" textRotation="90"/>
    </xf>
    <xf numFmtId="176" fontId="2" fillId="3" borderId="33" xfId="50" applyNumberFormat="1" applyFont="1" applyFill="1" applyBorder="1" applyAlignment="1">
      <alignment horizontal="center" textRotation="90"/>
    </xf>
    <xf numFmtId="0" fontId="2" fillId="3" borderId="33" xfId="50" applyNumberFormat="1" applyFont="1" applyFill="1" applyBorder="1" applyAlignment="1">
      <alignment horizontal="center" textRotation="90"/>
    </xf>
    <xf numFmtId="176" fontId="3" fillId="10" borderId="16" xfId="0" applyNumberFormat="1" applyFont="1" applyFill="1" applyBorder="1" applyAlignment="1">
      <alignment horizontal="left"/>
    </xf>
    <xf numFmtId="176" fontId="2" fillId="3" borderId="1" xfId="0" applyNumberFormat="1" applyFont="1" applyFill="1" applyBorder="1" applyAlignment="1">
      <alignment horizontal="center" vertical="center" textRotation="90"/>
    </xf>
    <xf numFmtId="176" fontId="2" fillId="3" borderId="33" xfId="0" applyNumberFormat="1" applyFont="1" applyFill="1" applyBorder="1" applyAlignment="1">
      <alignment horizontal="center" vertical="center" textRotation="90"/>
    </xf>
    <xf numFmtId="176" fontId="3" fillId="3" borderId="16" xfId="0" applyNumberFormat="1" applyFont="1" applyFill="1" applyBorder="1" applyAlignment="1">
      <alignment vertical="center"/>
    </xf>
    <xf numFmtId="176" fontId="4" fillId="0" borderId="15" xfId="0" applyNumberFormat="1" applyFont="1" applyFill="1" applyBorder="1" applyAlignment="1"/>
    <xf numFmtId="176" fontId="2" fillId="2" borderId="21" xfId="50" applyNumberFormat="1" applyFont="1" applyFill="1" applyBorder="1" applyAlignment="1">
      <alignment horizontal="center" vertical="center"/>
    </xf>
    <xf numFmtId="176" fontId="2" fillId="2" borderId="46" xfId="50" applyNumberFormat="1" applyFont="1" applyFill="1" applyBorder="1" applyAlignment="1">
      <alignment horizontal="center" textRotation="90"/>
    </xf>
    <xf numFmtId="176" fontId="2" fillId="2" borderId="47" xfId="50" applyNumberFormat="1" applyFont="1" applyFill="1" applyBorder="1" applyAlignment="1">
      <alignment horizontal="center" textRotation="90"/>
    </xf>
    <xf numFmtId="176" fontId="2" fillId="3" borderId="48" xfId="50" applyNumberFormat="1" applyFont="1" applyFill="1" applyBorder="1" applyAlignment="1">
      <alignment horizontal="center" vertical="center" textRotation="90" wrapText="1"/>
    </xf>
    <xf numFmtId="176" fontId="2" fillId="2" borderId="49" xfId="50" applyNumberFormat="1" applyFont="1" applyFill="1" applyBorder="1" applyAlignment="1">
      <alignment horizontal="center" textRotation="90"/>
    </xf>
    <xf numFmtId="176" fontId="2" fillId="2" borderId="50" xfId="50" applyNumberFormat="1" applyFont="1" applyFill="1" applyBorder="1" applyAlignment="1">
      <alignment horizontal="center" textRotation="90"/>
    </xf>
    <xf numFmtId="176" fontId="2" fillId="3" borderId="51" xfId="50" applyNumberFormat="1" applyFont="1" applyFill="1" applyBorder="1" applyAlignment="1">
      <alignment horizontal="center" vertical="center" textRotation="90" wrapText="1"/>
    </xf>
    <xf numFmtId="49" fontId="3" fillId="2" borderId="52" xfId="50" applyNumberFormat="1" applyFont="1" applyFill="1" applyBorder="1" applyAlignment="1">
      <alignment horizontal="left"/>
    </xf>
    <xf numFmtId="176" fontId="2" fillId="2" borderId="15" xfId="50" applyNumberFormat="1" applyFont="1" applyFill="1" applyBorder="1" applyAlignment="1">
      <alignment horizontal="center" vertical="center" textRotation="90"/>
    </xf>
    <xf numFmtId="176" fontId="3" fillId="2" borderId="45" xfId="50" applyNumberFormat="1" applyFont="1" applyFill="1" applyBorder="1" applyAlignment="1">
      <alignment horizontal="left"/>
    </xf>
    <xf numFmtId="176" fontId="9" fillId="2" borderId="15" xfId="50" applyNumberFormat="1" applyFont="1" applyFill="1" applyBorder="1" applyAlignment="1">
      <alignment horizontal="left"/>
    </xf>
    <xf numFmtId="0" fontId="5" fillId="8" borderId="52" xfId="0" applyNumberFormat="1" applyFont="1" applyFill="1" applyBorder="1" applyAlignment="1">
      <alignment horizontal="center" wrapText="1"/>
    </xf>
    <xf numFmtId="176" fontId="3" fillId="2" borderId="53" xfId="50" applyNumberFormat="1" applyFont="1" applyFill="1" applyBorder="1" applyAlignment="1">
      <alignment horizontal="left"/>
    </xf>
    <xf numFmtId="176" fontId="8" fillId="2" borderId="15" xfId="50" applyNumberFormat="1" applyFont="1" applyFill="1" applyBorder="1" applyAlignment="1">
      <alignment horizontal="left"/>
    </xf>
    <xf numFmtId="0" fontId="5" fillId="8" borderId="16" xfId="0" applyNumberFormat="1" applyFont="1" applyFill="1" applyBorder="1" applyAlignment="1">
      <alignment horizontal="center" wrapText="1"/>
    </xf>
    <xf numFmtId="176" fontId="9" fillId="11" borderId="15" xfId="50" applyNumberFormat="1" applyFont="1" applyFill="1" applyBorder="1" applyAlignment="1">
      <alignment horizontal="left"/>
    </xf>
    <xf numFmtId="176" fontId="8" fillId="11" borderId="15" xfId="50" applyNumberFormat="1" applyFont="1" applyFill="1" applyBorder="1" applyAlignment="1">
      <alignment horizontal="left"/>
    </xf>
    <xf numFmtId="176" fontId="2" fillId="2" borderId="27" xfId="50" applyNumberFormat="1" applyFont="1" applyFill="1" applyBorder="1" applyAlignment="1">
      <alignment horizontal="center" vertical="center" textRotation="90"/>
    </xf>
    <xf numFmtId="176" fontId="2" fillId="2" borderId="28" xfId="50" applyNumberFormat="1" applyFont="1" applyFill="1" applyBorder="1" applyAlignment="1">
      <alignment horizontal="center" vertical="center" textRotation="90"/>
    </xf>
    <xf numFmtId="176" fontId="2" fillId="2" borderId="16" xfId="50" applyNumberFormat="1" applyFont="1" applyFill="1" applyBorder="1" applyAlignment="1">
      <alignment horizontal="center" vertical="center" textRotation="90"/>
    </xf>
    <xf numFmtId="176" fontId="2" fillId="2" borderId="54" xfId="50" applyNumberFormat="1" applyFont="1" applyFill="1" applyBorder="1" applyAlignment="1">
      <alignment horizontal="center" vertical="center"/>
    </xf>
    <xf numFmtId="176" fontId="2" fillId="3" borderId="8" xfId="50" applyNumberFormat="1" applyFont="1" applyFill="1" applyBorder="1" applyAlignment="1">
      <alignment horizontal="center" vertical="center"/>
    </xf>
    <xf numFmtId="176" fontId="2" fillId="3" borderId="55" xfId="50" applyNumberFormat="1" applyFont="1" applyFill="1" applyBorder="1" applyAlignment="1">
      <alignment horizontal="center" vertical="center" textRotation="90" wrapText="1"/>
    </xf>
    <xf numFmtId="176" fontId="2" fillId="2" borderId="56" xfId="50" applyNumberFormat="1" applyFont="1" applyFill="1" applyBorder="1" applyAlignment="1">
      <alignment horizontal="center" vertical="center"/>
    </xf>
    <xf numFmtId="176" fontId="2" fillId="3" borderId="57" xfId="50" applyNumberFormat="1" applyFont="1" applyFill="1" applyBorder="1" applyAlignment="1">
      <alignment horizontal="center" vertical="center" textRotation="90" wrapText="1"/>
    </xf>
    <xf numFmtId="176" fontId="2" fillId="2" borderId="58" xfId="50" applyNumberFormat="1" applyFont="1" applyFill="1" applyBorder="1" applyAlignment="1">
      <alignment horizontal="center" vertical="center"/>
    </xf>
    <xf numFmtId="0" fontId="8" fillId="2" borderId="16" xfId="52" applyNumberFormat="1" applyFont="1" applyFill="1" applyBorder="1" applyAlignment="1" applyProtection="1">
      <alignment horizontal="left"/>
    </xf>
    <xf numFmtId="176" fontId="8" fillId="3" borderId="15" xfId="50" applyNumberFormat="1" applyFont="1" applyFill="1" applyBorder="1" applyAlignment="1">
      <alignment horizontal="left"/>
    </xf>
    <xf numFmtId="14" fontId="10" fillId="3" borderId="15" xfId="50" applyNumberFormat="1" applyFont="1" applyFill="1" applyBorder="1" applyAlignment="1">
      <alignment horizontal="left"/>
    </xf>
    <xf numFmtId="176" fontId="8" fillId="3" borderId="15" xfId="50" applyNumberFormat="1" applyFont="1" applyFill="1" applyBorder="1" applyAlignment="1">
      <alignment horizontal="center"/>
    </xf>
    <xf numFmtId="176" fontId="8" fillId="3" borderId="15" xfId="0" applyNumberFormat="1" applyFont="1" applyFill="1" applyBorder="1" applyAlignment="1"/>
    <xf numFmtId="0" fontId="8" fillId="2" borderId="16" xfId="52" applyNumberFormat="1" applyFont="1" applyFill="1" applyBorder="1" applyAlignment="1" applyProtection="1">
      <alignment horizontal="center"/>
      <protection locked="0"/>
    </xf>
    <xf numFmtId="176" fontId="4" fillId="3" borderId="15" xfId="0" applyNumberFormat="1" applyFont="1" applyFill="1" applyBorder="1" applyAlignment="1"/>
    <xf numFmtId="0" fontId="9" fillId="2" borderId="16" xfId="52" applyNumberFormat="1" applyFont="1" applyFill="1" applyBorder="1" applyAlignment="1" applyProtection="1">
      <alignment horizontal="center"/>
      <protection locked="0"/>
    </xf>
    <xf numFmtId="176" fontId="2" fillId="3" borderId="9" xfId="0" applyNumberFormat="1" applyFont="1" applyFill="1" applyBorder="1" applyAlignment="1">
      <alignment horizontal="center" vertical="center" textRotation="90"/>
    </xf>
    <xf numFmtId="176" fontId="2" fillId="3" borderId="14" xfId="0" applyNumberFormat="1" applyFont="1" applyFill="1" applyBorder="1" applyAlignment="1">
      <alignment horizontal="center" vertical="center" textRotation="90"/>
    </xf>
    <xf numFmtId="176" fontId="2" fillId="3" borderId="30" xfId="0" applyNumberFormat="1" applyFont="1" applyFill="1" applyBorder="1" applyAlignment="1">
      <alignment horizontal="center" vertical="center" textRotation="90"/>
    </xf>
    <xf numFmtId="176" fontId="4" fillId="0" borderId="0" xfId="0" applyNumberFormat="1" applyFont="1" applyFill="1" applyBorder="1" applyAlignment="1"/>
    <xf numFmtId="176" fontId="3" fillId="3" borderId="15" xfId="0" applyNumberFormat="1" applyFont="1" applyFill="1" applyBorder="1" applyAlignment="1">
      <alignment vertical="center"/>
    </xf>
    <xf numFmtId="176" fontId="4" fillId="0" borderId="53" xfId="0" applyNumberFormat="1" applyFont="1" applyFill="1" applyBorder="1" applyAlignment="1"/>
    <xf numFmtId="176" fontId="10" fillId="0" borderId="0" xfId="50" applyNumberFormat="1" applyFont="1" applyFill="1" applyAlignment="1"/>
    <xf numFmtId="176" fontId="10" fillId="2" borderId="0" xfId="50" applyNumberFormat="1" applyFont="1" applyFill="1" applyAlignment="1"/>
    <xf numFmtId="176" fontId="10" fillId="0" borderId="0" xfId="50" applyNumberFormat="1" applyFont="1" applyFill="1" applyBorder="1" applyAlignment="1"/>
    <xf numFmtId="176" fontId="2" fillId="2" borderId="59" xfId="50" applyNumberFormat="1" applyFont="1" applyFill="1" applyBorder="1" applyAlignment="1">
      <alignment horizontal="center" vertical="center"/>
    </xf>
    <xf numFmtId="176" fontId="2" fillId="2" borderId="60" xfId="50" applyNumberFormat="1" applyFont="1" applyFill="1" applyBorder="1" applyAlignment="1">
      <alignment horizontal="center" vertical="center"/>
    </xf>
    <xf numFmtId="176" fontId="2" fillId="2" borderId="61" xfId="50" applyNumberFormat="1" applyFont="1" applyFill="1" applyBorder="1" applyAlignment="1">
      <alignment horizontal="center" vertical="center"/>
    </xf>
    <xf numFmtId="176" fontId="2" fillId="12" borderId="55" xfId="50" applyNumberFormat="1" applyFont="1" applyFill="1" applyBorder="1" applyAlignment="1">
      <alignment horizontal="center" vertical="center"/>
    </xf>
    <xf numFmtId="176" fontId="2" fillId="12" borderId="62" xfId="50" applyNumberFormat="1" applyFont="1" applyFill="1" applyBorder="1" applyAlignment="1">
      <alignment horizontal="center" vertical="center" textRotation="90"/>
    </xf>
    <xf numFmtId="176" fontId="2" fillId="12" borderId="14" xfId="50" applyNumberFormat="1" applyFont="1" applyFill="1" applyBorder="1" applyAlignment="1">
      <alignment horizontal="center" vertical="center" textRotation="90"/>
    </xf>
    <xf numFmtId="49" fontId="8" fillId="2" borderId="15" xfId="50" applyNumberFormat="1" applyFont="1" applyFill="1" applyBorder="1" applyAlignment="1">
      <alignment horizontal="left"/>
    </xf>
    <xf numFmtId="49" fontId="11" fillId="2" borderId="15" xfId="50" applyNumberFormat="1" applyFont="1" applyFill="1" applyBorder="1" applyAlignment="1">
      <alignment horizontal="left"/>
    </xf>
    <xf numFmtId="0" fontId="12" fillId="12" borderId="15" xfId="0" applyNumberFormat="1" applyFont="1" applyFill="1" applyBorder="1" applyAlignment="1">
      <alignment horizontal="center" wrapText="1"/>
    </xf>
    <xf numFmtId="0" fontId="8" fillId="12" borderId="15" xfId="0" applyNumberFormat="1" applyFont="1" applyFill="1" applyBorder="1" applyAlignment="1">
      <alignment horizontal="center" wrapText="1"/>
    </xf>
    <xf numFmtId="176" fontId="2" fillId="12" borderId="63" xfId="50" applyNumberFormat="1" applyFont="1" applyFill="1" applyBorder="1" applyAlignment="1">
      <alignment horizontal="center" vertical="center"/>
    </xf>
    <xf numFmtId="176" fontId="2" fillId="12" borderId="48" xfId="50" applyNumberFormat="1" applyFont="1" applyFill="1" applyBorder="1" applyAlignment="1">
      <alignment horizontal="center" vertical="center"/>
    </xf>
    <xf numFmtId="176" fontId="2" fillId="2" borderId="55" xfId="50" applyNumberFormat="1" applyFont="1" applyFill="1" applyBorder="1" applyAlignment="1">
      <alignment horizontal="center" vertical="center"/>
    </xf>
    <xf numFmtId="176" fontId="2" fillId="2" borderId="63" xfId="50" applyNumberFormat="1" applyFont="1" applyFill="1" applyBorder="1" applyAlignment="1">
      <alignment horizontal="center" vertical="center"/>
    </xf>
    <xf numFmtId="176" fontId="2" fillId="12" borderId="62" xfId="50" applyNumberFormat="1" applyFont="1" applyFill="1" applyBorder="1" applyAlignment="1">
      <alignment horizontal="center" vertical="center" textRotation="90" wrapText="1"/>
    </xf>
    <xf numFmtId="176" fontId="2" fillId="2" borderId="9" xfId="50" applyNumberFormat="1" applyFont="1" applyFill="1" applyBorder="1" applyAlignment="1">
      <alignment horizontal="center" vertical="center" wrapText="1"/>
    </xf>
    <xf numFmtId="176" fontId="2" fillId="12" borderId="14" xfId="50" applyNumberFormat="1" applyFont="1" applyFill="1" applyBorder="1" applyAlignment="1">
      <alignment horizontal="center" vertical="center" textRotation="90" wrapText="1"/>
    </xf>
    <xf numFmtId="0" fontId="13" fillId="12" borderId="15" xfId="0" applyNumberFormat="1" applyFont="1" applyFill="1" applyBorder="1" applyAlignment="1">
      <alignment horizontal="center" wrapText="1"/>
    </xf>
    <xf numFmtId="176" fontId="2" fillId="2" borderId="64" xfId="50" applyNumberFormat="1" applyFont="1" applyFill="1" applyBorder="1" applyAlignment="1">
      <alignment horizontal="center" vertical="center"/>
    </xf>
    <xf numFmtId="176" fontId="2" fillId="2" borderId="65" xfId="50" applyNumberFormat="1" applyFont="1" applyFill="1" applyBorder="1" applyAlignment="1">
      <alignment horizontal="center" vertical="center"/>
    </xf>
    <xf numFmtId="176" fontId="2" fillId="2" borderId="66" xfId="50" applyNumberFormat="1" applyFont="1" applyFill="1" applyBorder="1" applyAlignment="1">
      <alignment horizontal="center" vertical="center"/>
    </xf>
    <xf numFmtId="176" fontId="2" fillId="12" borderId="8" xfId="50" applyNumberFormat="1" applyFont="1" applyFill="1" applyBorder="1" applyAlignment="1">
      <alignment horizontal="center" textRotation="90"/>
    </xf>
    <xf numFmtId="176" fontId="2" fillId="12" borderId="2" xfId="50" applyNumberFormat="1" applyFont="1" applyFill="1" applyBorder="1" applyAlignment="1">
      <alignment horizontal="center" textRotation="90"/>
    </xf>
    <xf numFmtId="176" fontId="2" fillId="12" borderId="1" xfId="50" applyNumberFormat="1" applyFont="1" applyFill="1" applyBorder="1" applyAlignment="1">
      <alignment horizontal="center" textRotation="90"/>
    </xf>
    <xf numFmtId="176" fontId="2" fillId="2" borderId="62" xfId="50" applyNumberFormat="1" applyFont="1" applyFill="1" applyBorder="1" applyAlignment="1">
      <alignment horizontal="center" vertical="center"/>
    </xf>
    <xf numFmtId="176" fontId="2" fillId="12" borderId="13" xfId="50" applyNumberFormat="1" applyFont="1" applyFill="1" applyBorder="1" applyAlignment="1">
      <alignment horizontal="center" textRotation="90"/>
    </xf>
    <xf numFmtId="176" fontId="2" fillId="12" borderId="11" xfId="50" applyNumberFormat="1" applyFont="1" applyFill="1" applyBorder="1" applyAlignment="1">
      <alignment horizontal="center" textRotation="90"/>
    </xf>
    <xf numFmtId="176" fontId="8" fillId="5" borderId="15" xfId="0" applyNumberFormat="1" applyFont="1" applyFill="1" applyBorder="1" applyAlignment="1">
      <alignment horizontal="left"/>
    </xf>
    <xf numFmtId="49" fontId="14" fillId="13" borderId="15" xfId="50" applyNumberFormat="1" applyFont="1" applyFill="1" applyBorder="1" applyAlignment="1">
      <alignment horizontal="center"/>
    </xf>
    <xf numFmtId="49" fontId="8" fillId="13" borderId="15" xfId="50" applyNumberFormat="1" applyFont="1" applyFill="1" applyBorder="1" applyAlignment="1">
      <alignment horizontal="center"/>
    </xf>
    <xf numFmtId="176" fontId="8" fillId="2" borderId="15" xfId="0" applyNumberFormat="1" applyFont="1" applyFill="1" applyBorder="1" applyAlignment="1">
      <alignment horizontal="left"/>
    </xf>
    <xf numFmtId="176" fontId="1" fillId="0" borderId="0" xfId="50" applyNumberFormat="1" applyFont="1" applyFill="1" applyAlignment="1">
      <alignment horizontal="center" vertical="center"/>
    </xf>
    <xf numFmtId="176" fontId="2" fillId="2" borderId="29" xfId="0" applyNumberFormat="1" applyFont="1" applyFill="1" applyBorder="1" applyAlignment="1">
      <alignment horizontal="left" vertical="center"/>
    </xf>
    <xf numFmtId="176" fontId="2" fillId="12" borderId="3" xfId="0" applyNumberFormat="1" applyFont="1" applyFill="1" applyBorder="1" applyAlignment="1">
      <alignment horizontal="center"/>
    </xf>
    <xf numFmtId="176" fontId="2" fillId="12" borderId="18" xfId="0" applyNumberFormat="1" applyFont="1" applyFill="1" applyBorder="1" applyAlignment="1">
      <alignment horizontal="center" vertical="center"/>
    </xf>
    <xf numFmtId="0" fontId="2" fillId="12" borderId="1" xfId="50" applyNumberFormat="1" applyFont="1" applyFill="1" applyBorder="1" applyAlignment="1">
      <alignment horizontal="center" textRotation="90"/>
    </xf>
    <xf numFmtId="176" fontId="2" fillId="2" borderId="38" xfId="50" applyNumberFormat="1" applyFont="1" applyFill="1" applyBorder="1" applyAlignment="1">
      <alignment horizontal="center" vertical="center" textRotation="90" wrapText="1"/>
    </xf>
    <xf numFmtId="176" fontId="2" fillId="12" borderId="14" xfId="0" applyNumberFormat="1" applyFont="1" applyFill="1" applyBorder="1" applyAlignment="1">
      <alignment horizontal="center" textRotation="90"/>
    </xf>
    <xf numFmtId="176" fontId="2" fillId="12" borderId="51" xfId="0" applyNumberFormat="1" applyFont="1" applyFill="1" applyBorder="1" applyAlignment="1">
      <alignment horizontal="center" vertical="center" textRotation="90"/>
    </xf>
    <xf numFmtId="0" fontId="2" fillId="12" borderId="11" xfId="50" applyNumberFormat="1" applyFont="1" applyFill="1" applyBorder="1" applyAlignment="1">
      <alignment horizontal="center" textRotation="90"/>
    </xf>
    <xf numFmtId="176" fontId="2" fillId="2" borderId="67" xfId="50" applyNumberFormat="1" applyFont="1" applyFill="1" applyBorder="1" applyAlignment="1">
      <alignment horizontal="center" vertical="center" textRotation="90"/>
    </xf>
    <xf numFmtId="176" fontId="8" fillId="12" borderId="15" xfId="50" applyNumberFormat="1" applyFont="1" applyFill="1" applyBorder="1" applyAlignment="1">
      <alignment horizontal="center"/>
    </xf>
    <xf numFmtId="0" fontId="8" fillId="2" borderId="15" xfId="0" applyNumberFormat="1" applyFont="1" applyFill="1" applyBorder="1" applyAlignment="1">
      <alignment horizontal="center" vertical="center"/>
    </xf>
    <xf numFmtId="179" fontId="3" fillId="2" borderId="15" xfId="0" applyNumberFormat="1" applyFont="1" applyFill="1" applyBorder="1" applyAlignment="1">
      <alignment horizontal="center" vertical="center"/>
    </xf>
    <xf numFmtId="179" fontId="8" fillId="2" borderId="15" xfId="0" applyNumberFormat="1" applyFont="1" applyFill="1" applyBorder="1" applyAlignment="1">
      <alignment vertical="center"/>
    </xf>
    <xf numFmtId="176" fontId="8" fillId="12" borderId="15" xfId="0" applyNumberFormat="1" applyFont="1" applyFill="1" applyBorder="1" applyAlignment="1">
      <alignment horizontal="center" vertical="center"/>
    </xf>
    <xf numFmtId="49" fontId="14" fillId="12" borderId="15" xfId="50" applyNumberFormat="1" applyFont="1" applyFill="1" applyBorder="1" applyAlignment="1">
      <alignment horizontal="center"/>
    </xf>
    <xf numFmtId="179" fontId="3" fillId="0" borderId="0" xfId="0" applyNumberFormat="1" applyFont="1" applyFill="1" applyBorder="1" applyAlignment="1">
      <alignment horizontal="center" vertical="center"/>
    </xf>
    <xf numFmtId="176" fontId="10" fillId="0" borderId="0" xfId="50" applyNumberFormat="1" applyFont="1" applyFill="1" applyAlignment="1">
      <alignment horizontal="right"/>
    </xf>
    <xf numFmtId="1" fontId="10" fillId="0" borderId="0" xfId="50" applyNumberFormat="1" applyFont="1" applyFill="1" applyAlignment="1">
      <alignment horizontal="right"/>
    </xf>
    <xf numFmtId="176" fontId="10" fillId="0" borderId="0" xfId="50" applyNumberFormat="1" applyFont="1" applyFill="1" applyAlignment="1">
      <alignment horizontal="left"/>
    </xf>
    <xf numFmtId="2" fontId="10" fillId="0" borderId="0" xfId="50" applyNumberFormat="1" applyFont="1" applyFill="1" applyAlignment="1">
      <alignment horizontal="right"/>
    </xf>
    <xf numFmtId="1" fontId="10" fillId="0" borderId="0" xfId="50" applyNumberFormat="1" applyFont="1" applyFill="1" applyBorder="1" applyAlignment="1">
      <alignment horizontal="right"/>
    </xf>
    <xf numFmtId="176" fontId="10" fillId="0" borderId="0" xfId="50" applyNumberFormat="1" applyFont="1" applyFill="1" applyBorder="1" applyAlignment="1">
      <alignment horizontal="right"/>
    </xf>
    <xf numFmtId="176" fontId="10" fillId="0" borderId="0" xfId="50" applyNumberFormat="1" applyFont="1" applyFill="1" applyBorder="1" applyAlignment="1">
      <alignment horizontal="left"/>
    </xf>
    <xf numFmtId="2" fontId="10" fillId="0" borderId="0" xfId="50" applyNumberFormat="1" applyFont="1" applyFill="1" applyBorder="1" applyAlignment="1">
      <alignment horizontal="right"/>
    </xf>
    <xf numFmtId="176" fontId="10" fillId="0" borderId="0" xfId="50" applyNumberFormat="1" applyFont="1" applyFill="1" applyAlignment="1">
      <alignment horizontal="center"/>
    </xf>
    <xf numFmtId="176" fontId="10" fillId="0" borderId="0" xfId="50" applyNumberFormat="1" applyFont="1" applyFill="1" applyBorder="1" applyAlignment="1">
      <alignment horizontal="center"/>
    </xf>
    <xf numFmtId="176" fontId="2" fillId="3" borderId="30" xfId="50" applyNumberFormat="1" applyFont="1" applyFill="1" applyBorder="1" applyAlignment="1">
      <alignment horizontal="center" vertical="center" textRotation="90"/>
    </xf>
    <xf numFmtId="176" fontId="8" fillId="2" borderId="16" xfId="50" applyNumberFormat="1" applyFont="1" applyFill="1" applyBorder="1" applyAlignment="1">
      <alignment horizontal="left"/>
    </xf>
    <xf numFmtId="49" fontId="8" fillId="2" borderId="16" xfId="50" applyNumberFormat="1" applyFont="1" applyFill="1" applyBorder="1" applyAlignment="1">
      <alignment horizontal="left"/>
    </xf>
    <xf numFmtId="176" fontId="8" fillId="2" borderId="27" xfId="50" applyNumberFormat="1" applyFont="1" applyFill="1" applyBorder="1" applyAlignment="1">
      <alignment horizontal="left"/>
    </xf>
    <xf numFmtId="0" fontId="12" fillId="8" borderId="68" xfId="0" applyNumberFormat="1" applyFont="1" applyFill="1" applyBorder="1" applyAlignment="1">
      <alignment horizontal="center" wrapText="1"/>
    </xf>
    <xf numFmtId="49" fontId="11" fillId="2" borderId="16" xfId="50" applyNumberFormat="1" applyFont="1" applyFill="1" applyBorder="1" applyAlignment="1">
      <alignment horizontal="left"/>
    </xf>
    <xf numFmtId="0" fontId="12" fillId="8" borderId="32" xfId="0" applyNumberFormat="1" applyFont="1" applyFill="1" applyBorder="1" applyAlignment="1">
      <alignment horizontal="center" wrapText="1"/>
    </xf>
    <xf numFmtId="176" fontId="9" fillId="2" borderId="27" xfId="50" applyNumberFormat="1" applyFont="1" applyFill="1" applyBorder="1" applyAlignment="1">
      <alignment horizontal="left"/>
    </xf>
    <xf numFmtId="176" fontId="2" fillId="2" borderId="48" xfId="50" applyNumberFormat="1" applyFont="1" applyFill="1" applyBorder="1" applyAlignment="1">
      <alignment horizontal="center" vertical="center"/>
    </xf>
    <xf numFmtId="176" fontId="2" fillId="3" borderId="30" xfId="50" applyNumberFormat="1" applyFont="1" applyFill="1" applyBorder="1" applyAlignment="1">
      <alignment horizontal="center" vertical="center" textRotation="90" wrapText="1"/>
    </xf>
    <xf numFmtId="177" fontId="8" fillId="2" borderId="16" xfId="52" applyNumberFormat="1" applyFont="1" applyFill="1" applyBorder="1" applyAlignment="1" applyProtection="1">
      <alignment horizontal="center"/>
      <protection locked="0"/>
    </xf>
    <xf numFmtId="178" fontId="8" fillId="2" borderId="16" xfId="52" applyNumberFormat="1" applyFont="1" applyFill="1" applyBorder="1" applyAlignment="1" applyProtection="1">
      <alignment horizontal="center"/>
      <protection locked="0"/>
    </xf>
    <xf numFmtId="176" fontId="8" fillId="5" borderId="16" xfId="0" applyNumberFormat="1" applyFont="1" applyFill="1" applyBorder="1" applyAlignment="1">
      <alignment horizontal="left"/>
    </xf>
    <xf numFmtId="0" fontId="12" fillId="8" borderId="69" xfId="0" applyNumberFormat="1" applyFont="1" applyFill="1" applyBorder="1" applyAlignment="1">
      <alignment horizontal="center" wrapText="1"/>
    </xf>
    <xf numFmtId="0" fontId="12" fillId="8" borderId="70" xfId="0" applyNumberFormat="1" applyFont="1" applyFill="1" applyBorder="1" applyAlignment="1">
      <alignment horizontal="center" wrapText="1"/>
    </xf>
    <xf numFmtId="0" fontId="12" fillId="8" borderId="15" xfId="0" applyNumberFormat="1" applyFont="1" applyFill="1" applyBorder="1" applyAlignment="1">
      <alignment horizontal="center" wrapText="1"/>
    </xf>
    <xf numFmtId="178" fontId="8" fillId="2" borderId="45" xfId="52" applyNumberFormat="1" applyFont="1" applyFill="1" applyBorder="1" applyAlignment="1" applyProtection="1">
      <alignment horizontal="center"/>
      <protection locked="0"/>
    </xf>
    <xf numFmtId="178" fontId="1" fillId="0" borderId="0" xfId="50" applyNumberFormat="1" applyFont="1" applyFill="1" applyBorder="1" applyAlignment="1">
      <alignment horizontal="left"/>
    </xf>
    <xf numFmtId="176" fontId="2" fillId="2" borderId="71" xfId="50" applyNumberFormat="1" applyFont="1" applyFill="1" applyBorder="1" applyAlignment="1">
      <alignment horizontal="center" vertical="center"/>
    </xf>
    <xf numFmtId="49" fontId="3" fillId="3" borderId="15" xfId="50" applyNumberFormat="1" applyFont="1" applyFill="1" applyBorder="1" applyAlignment="1">
      <alignment horizontal="center" vertical="center"/>
    </xf>
    <xf numFmtId="49" fontId="14" fillId="3" borderId="15" xfId="50" applyNumberFormat="1" applyFont="1" applyFill="1" applyBorder="1" applyAlignment="1">
      <alignment horizontal="center"/>
    </xf>
    <xf numFmtId="49" fontId="8" fillId="3" borderId="15" xfId="50" applyNumberFormat="1" applyFont="1" applyFill="1" applyBorder="1" applyAlignment="1">
      <alignment horizontal="center"/>
    </xf>
    <xf numFmtId="176" fontId="2" fillId="3" borderId="3" xfId="0" applyNumberFormat="1" applyFont="1" applyFill="1" applyBorder="1" applyAlignment="1">
      <alignment horizontal="center"/>
    </xf>
    <xf numFmtId="176" fontId="2" fillId="3" borderId="14" xfId="0" applyNumberFormat="1" applyFont="1" applyFill="1" applyBorder="1" applyAlignment="1">
      <alignment horizontal="center" textRotation="90"/>
    </xf>
    <xf numFmtId="176" fontId="2" fillId="3" borderId="51" xfId="0" applyNumberFormat="1" applyFont="1" applyFill="1" applyBorder="1" applyAlignment="1">
      <alignment horizontal="center" vertical="center" textRotation="90"/>
    </xf>
    <xf numFmtId="176" fontId="2" fillId="3" borderId="30" xfId="0" applyNumberFormat="1" applyFont="1" applyFill="1" applyBorder="1" applyAlignment="1">
      <alignment horizontal="center" textRotation="90"/>
    </xf>
    <xf numFmtId="176" fontId="2" fillId="3" borderId="72" xfId="0" applyNumberFormat="1" applyFont="1" applyFill="1" applyBorder="1" applyAlignment="1">
      <alignment horizontal="center" vertical="center" textRotation="90"/>
    </xf>
    <xf numFmtId="0" fontId="8" fillId="2" borderId="16" xfId="0" applyNumberFormat="1" applyFont="1" applyFill="1" applyBorder="1" applyAlignment="1">
      <alignment horizontal="center" vertical="center"/>
    </xf>
    <xf numFmtId="176" fontId="8" fillId="3" borderId="16" xfId="0" applyNumberFormat="1" applyFont="1" applyFill="1" applyBorder="1" applyAlignment="1">
      <alignment horizontal="center" vertical="center"/>
    </xf>
    <xf numFmtId="176" fontId="2" fillId="2" borderId="35" xfId="50" applyNumberFormat="1" applyFont="1" applyFill="1" applyBorder="1" applyAlignment="1">
      <alignment horizontal="center" vertical="center"/>
    </xf>
    <xf numFmtId="176" fontId="2" fillId="2" borderId="9" xfId="50" applyNumberFormat="1" applyFont="1" applyFill="1" applyBorder="1" applyAlignment="1">
      <alignment horizontal="center" textRotation="90"/>
    </xf>
    <xf numFmtId="176" fontId="2" fillId="2" borderId="20" xfId="50" applyNumberFormat="1" applyFont="1" applyFill="1" applyBorder="1" applyAlignment="1">
      <alignment horizontal="center" textRotation="90"/>
    </xf>
    <xf numFmtId="176" fontId="2" fillId="2" borderId="73" xfId="50" applyNumberFormat="1" applyFont="1" applyFill="1" applyBorder="1" applyAlignment="1">
      <alignment horizontal="center" textRotation="90"/>
    </xf>
    <xf numFmtId="176" fontId="2" fillId="2" borderId="74" xfId="50" applyNumberFormat="1" applyFont="1" applyFill="1" applyBorder="1" applyAlignment="1">
      <alignment horizontal="center" textRotation="90"/>
    </xf>
    <xf numFmtId="176" fontId="7" fillId="2" borderId="15" xfId="50" applyNumberFormat="1" applyFont="1" applyFill="1" applyBorder="1" applyAlignment="1">
      <alignment horizontal="center" vertical="center" textRotation="90"/>
    </xf>
    <xf numFmtId="180" fontId="8" fillId="2" borderId="16" xfId="50" applyNumberFormat="1" applyFont="1" applyFill="1" applyBorder="1" applyAlignment="1">
      <alignment horizontal="left"/>
    </xf>
    <xf numFmtId="176" fontId="4" fillId="2" borderId="15" xfId="50" applyNumberFormat="1" applyFont="1" applyFill="1" applyBorder="1" applyAlignment="1">
      <alignment horizontal="center" textRotation="90"/>
    </xf>
    <xf numFmtId="176" fontId="9" fillId="2" borderId="16" xfId="50" applyNumberFormat="1" applyFont="1" applyFill="1" applyBorder="1" applyAlignment="1">
      <alignment horizontal="left"/>
    </xf>
    <xf numFmtId="180" fontId="8" fillId="2" borderId="45" xfId="50" applyNumberFormat="1" applyFont="1" applyFill="1" applyBorder="1" applyAlignment="1">
      <alignment horizontal="left"/>
    </xf>
    <xf numFmtId="176" fontId="2" fillId="2" borderId="75" xfId="50" applyNumberFormat="1" applyFont="1" applyFill="1" applyBorder="1" applyAlignment="1">
      <alignment horizontal="center" vertical="center"/>
    </xf>
    <xf numFmtId="176" fontId="2" fillId="14" borderId="54" xfId="50" applyNumberFormat="1" applyFont="1" applyFill="1" applyBorder="1" applyAlignment="1">
      <alignment horizontal="center" textRotation="90"/>
    </xf>
    <xf numFmtId="176" fontId="2" fillId="3" borderId="76" xfId="50" applyNumberFormat="1" applyFont="1" applyFill="1" applyBorder="1" applyAlignment="1">
      <alignment horizontal="center" vertical="center" textRotation="90"/>
    </xf>
    <xf numFmtId="176" fontId="2" fillId="3" borderId="34" xfId="50" applyNumberFormat="1" applyFont="1" applyFill="1" applyBorder="1" applyAlignment="1">
      <alignment horizontal="center" vertical="center" textRotation="90"/>
    </xf>
    <xf numFmtId="176" fontId="2" fillId="3" borderId="38" xfId="50" applyNumberFormat="1" applyFont="1" applyFill="1" applyBorder="1" applyAlignment="1">
      <alignment horizontal="center" vertical="center" textRotation="90"/>
    </xf>
    <xf numFmtId="176" fontId="2" fillId="3" borderId="54" xfId="50" applyNumberFormat="1" applyFont="1" applyFill="1" applyBorder="1" applyAlignment="1">
      <alignment horizontal="center" vertical="center" textRotation="90"/>
    </xf>
    <xf numFmtId="176" fontId="2" fillId="14" borderId="56" xfId="50" applyNumberFormat="1" applyFont="1" applyFill="1" applyBorder="1" applyAlignment="1">
      <alignment horizontal="center" textRotation="90"/>
    </xf>
    <xf numFmtId="176" fontId="2" fillId="3" borderId="73" xfId="50" applyNumberFormat="1" applyFont="1" applyFill="1" applyBorder="1" applyAlignment="1">
      <alignment horizontal="center" vertical="center" textRotation="90"/>
    </xf>
    <xf numFmtId="176" fontId="2" fillId="3" borderId="74" xfId="50" applyNumberFormat="1" applyFont="1" applyFill="1" applyBorder="1" applyAlignment="1">
      <alignment horizontal="center" vertical="center" textRotation="90"/>
    </xf>
    <xf numFmtId="176" fontId="2" fillId="3" borderId="44" xfId="50" applyNumberFormat="1" applyFont="1" applyFill="1" applyBorder="1" applyAlignment="1">
      <alignment horizontal="center" vertical="center" textRotation="90"/>
    </xf>
    <xf numFmtId="176" fontId="2" fillId="3" borderId="58" xfId="50" applyNumberFormat="1" applyFont="1" applyFill="1" applyBorder="1" applyAlignment="1">
      <alignment horizontal="center" vertical="center" textRotation="90"/>
    </xf>
    <xf numFmtId="176" fontId="2" fillId="14" borderId="58" xfId="50" applyNumberFormat="1" applyFont="1" applyFill="1" applyBorder="1" applyAlignment="1">
      <alignment horizontal="center" textRotation="90"/>
    </xf>
    <xf numFmtId="0" fontId="5" fillId="4" borderId="32" xfId="0" applyNumberFormat="1" applyFont="1" applyFill="1" applyBorder="1" applyAlignment="1">
      <alignment horizontal="center" wrapText="1"/>
    </xf>
    <xf numFmtId="0" fontId="5" fillId="4" borderId="16" xfId="0" applyNumberFormat="1" applyFont="1" applyFill="1" applyBorder="1" applyAlignment="1">
      <alignment horizontal="center" wrapText="1"/>
    </xf>
    <xf numFmtId="177" fontId="8" fillId="14" borderId="16" xfId="52" applyNumberFormat="1" applyFont="1" applyFill="1" applyBorder="1" applyAlignment="1" applyProtection="1">
      <alignment horizontal="center"/>
      <protection locked="0"/>
    </xf>
    <xf numFmtId="176" fontId="2" fillId="2" borderId="77" xfId="50" applyNumberFormat="1" applyFont="1" applyFill="1" applyBorder="1" applyAlignment="1">
      <alignment horizontal="center" vertical="center"/>
    </xf>
    <xf numFmtId="176" fontId="2" fillId="2" borderId="5" xfId="50" applyNumberFormat="1" applyFont="1" applyFill="1" applyBorder="1" applyAlignment="1">
      <alignment horizontal="center" vertical="center"/>
    </xf>
    <xf numFmtId="176" fontId="2" fillId="2" borderId="78" xfId="50" applyNumberFormat="1" applyFont="1" applyFill="1" applyBorder="1" applyAlignment="1">
      <alignment horizontal="center" textRotation="90"/>
    </xf>
    <xf numFmtId="176" fontId="2" fillId="2" borderId="79" xfId="50" applyNumberFormat="1" applyFont="1" applyFill="1" applyBorder="1" applyAlignment="1">
      <alignment horizontal="center" textRotation="90"/>
    </xf>
    <xf numFmtId="176" fontId="3" fillId="5" borderId="16" xfId="0" applyNumberFormat="1" applyFont="1" applyFill="1" applyBorder="1" applyAlignment="1">
      <alignment horizontal="left"/>
    </xf>
    <xf numFmtId="176" fontId="3" fillId="5" borderId="45" xfId="0" applyNumberFormat="1" applyFont="1" applyFill="1" applyBorder="1" applyAlignment="1">
      <alignment horizontal="left"/>
    </xf>
    <xf numFmtId="176" fontId="2" fillId="2" borderId="44" xfId="50" applyNumberFormat="1" applyFont="1" applyFill="1" applyBorder="1" applyAlignment="1">
      <alignment horizontal="center" vertical="center" textRotation="90"/>
    </xf>
    <xf numFmtId="179" fontId="3" fillId="2" borderId="16" xfId="0" applyNumberFormat="1" applyFont="1" applyFill="1" applyBorder="1" applyAlignment="1">
      <alignment horizontal="center" vertical="center"/>
    </xf>
    <xf numFmtId="1" fontId="15" fillId="0" borderId="0" xfId="50" applyNumberFormat="1" applyFont="1" applyFill="1" applyAlignment="1">
      <alignment horizontal="center" vertical="center" wrapText="1"/>
    </xf>
    <xf numFmtId="49" fontId="3" fillId="2" borderId="45" xfId="50" applyNumberFormat="1" applyFont="1" applyFill="1" applyBorder="1" applyAlignment="1">
      <alignment horizontal="left"/>
    </xf>
    <xf numFmtId="176" fontId="3" fillId="2" borderId="27" xfId="50" applyNumberFormat="1" applyFont="1" applyFill="1" applyBorder="1" applyAlignment="1">
      <alignment horizontal="left"/>
    </xf>
    <xf numFmtId="176" fontId="3" fillId="11" borderId="15" xfId="50" applyNumberFormat="1" applyFont="1" applyFill="1" applyBorder="1" applyAlignment="1">
      <alignment horizontal="left"/>
    </xf>
    <xf numFmtId="181" fontId="8" fillId="15" borderId="15" xfId="52" applyNumberFormat="1" applyFont="1" applyFill="1" applyBorder="1" applyAlignment="1" applyProtection="1">
      <alignment horizontal="center"/>
      <protection locked="0"/>
    </xf>
    <xf numFmtId="181" fontId="8" fillId="15" borderId="16" xfId="52" applyNumberFormat="1" applyFont="1" applyFill="1" applyBorder="1" applyAlignment="1" applyProtection="1">
      <alignment horizontal="center"/>
      <protection locked="0"/>
    </xf>
    <xf numFmtId="177" fontId="8" fillId="14" borderId="15" xfId="52" applyNumberFormat="1" applyFont="1" applyFill="1" applyBorder="1" applyAlignment="1" applyProtection="1">
      <alignment horizontal="center"/>
      <protection locked="0"/>
    </xf>
    <xf numFmtId="0" fontId="5" fillId="4" borderId="80" xfId="0" applyNumberFormat="1" applyFont="1" applyFill="1" applyBorder="1" applyAlignment="1">
      <alignment horizontal="center" wrapText="1"/>
    </xf>
    <xf numFmtId="0" fontId="5" fillId="4" borderId="81" xfId="0" applyNumberFormat="1" applyFont="1" applyFill="1" applyBorder="1" applyAlignment="1">
      <alignment horizontal="center" wrapText="1"/>
    </xf>
    <xf numFmtId="0" fontId="5" fillId="4" borderId="28" xfId="0" applyNumberFormat="1" applyFont="1" applyFill="1" applyBorder="1" applyAlignment="1">
      <alignment horizontal="center" wrapText="1"/>
    </xf>
    <xf numFmtId="177" fontId="8" fillId="14" borderId="27" xfId="52" applyNumberFormat="1" applyFont="1" applyFill="1" applyBorder="1" applyAlignment="1" applyProtection="1">
      <alignment horizontal="center"/>
      <protection locked="0"/>
    </xf>
    <xf numFmtId="176" fontId="3" fillId="3" borderId="27" xfId="50" applyNumberFormat="1" applyFont="1" applyFill="1" applyBorder="1" applyAlignment="1">
      <alignment horizontal="center"/>
    </xf>
    <xf numFmtId="179" fontId="3" fillId="2" borderId="27" xfId="0" applyNumberFormat="1" applyFont="1" applyFill="1" applyBorder="1" applyAlignment="1">
      <alignment vertical="center"/>
    </xf>
    <xf numFmtId="176" fontId="1" fillId="0" borderId="0" xfId="50" applyNumberFormat="1" applyFont="1" applyFill="1" applyAlignment="1">
      <alignment horizontal="left" vertical="center"/>
    </xf>
    <xf numFmtId="176" fontId="3" fillId="2" borderId="16" xfId="50" applyNumberFormat="1" applyFont="1" applyFill="1" applyBorder="1" applyAlignment="1">
      <alignment horizontal="left" vertical="center"/>
    </xf>
    <xf numFmtId="49" fontId="3" fillId="2" borderId="16" xfId="50" applyNumberFormat="1" applyFont="1" applyFill="1" applyBorder="1" applyAlignment="1">
      <alignment horizontal="left" vertical="center"/>
    </xf>
    <xf numFmtId="176" fontId="2" fillId="2" borderId="16" xfId="50" applyNumberFormat="1" applyFont="1" applyFill="1" applyBorder="1" applyAlignment="1">
      <alignment horizontal="left" vertical="center" textRotation="90"/>
    </xf>
    <xf numFmtId="0" fontId="5" fillId="4" borderId="32" xfId="0" applyNumberFormat="1" applyFont="1" applyFill="1" applyBorder="1" applyAlignment="1">
      <alignment horizontal="left" vertical="center" wrapText="1"/>
    </xf>
    <xf numFmtId="176" fontId="2" fillId="2" borderId="3" xfId="50" applyNumberFormat="1" applyFont="1" applyFill="1" applyBorder="1" applyAlignment="1">
      <alignment horizontal="center"/>
    </xf>
    <xf numFmtId="176" fontId="2" fillId="2" borderId="18" xfId="50" applyNumberFormat="1" applyFont="1" applyFill="1" applyBorder="1" applyAlignment="1">
      <alignment horizontal="center"/>
    </xf>
    <xf numFmtId="176" fontId="2" fillId="2" borderId="30" xfId="50" applyNumberFormat="1" applyFont="1" applyFill="1" applyBorder="1" applyAlignment="1">
      <alignment horizontal="center" vertical="center" wrapText="1"/>
    </xf>
    <xf numFmtId="182" fontId="8" fillId="2" borderId="16" xfId="52" applyNumberFormat="1" applyFont="1" applyFill="1" applyBorder="1" applyAlignment="1" applyProtection="1">
      <alignment horizontal="left" vertical="center"/>
      <protection locked="0"/>
    </xf>
    <xf numFmtId="49" fontId="3" fillId="3" borderId="15" xfId="50" applyNumberFormat="1" applyFont="1" applyFill="1" applyBorder="1" applyAlignment="1">
      <alignment horizontal="left" vertical="center"/>
    </xf>
    <xf numFmtId="0" fontId="3" fillId="2" borderId="15" xfId="0" applyNumberFormat="1" applyFont="1" applyFill="1" applyBorder="1" applyAlignment="1">
      <alignment horizontal="left" vertical="center"/>
    </xf>
    <xf numFmtId="179" fontId="3" fillId="2" borderId="15" xfId="0" applyNumberFormat="1" applyFont="1" applyFill="1" applyBorder="1" applyAlignment="1">
      <alignment horizontal="left" vertical="center"/>
    </xf>
    <xf numFmtId="176" fontId="2" fillId="3" borderId="18" xfId="0" applyNumberFormat="1" applyFont="1" applyFill="1" applyBorder="1" applyAlignment="1">
      <alignment horizontal="center"/>
    </xf>
    <xf numFmtId="176" fontId="2" fillId="3" borderId="51" xfId="0" applyNumberFormat="1" applyFont="1" applyFill="1" applyBorder="1" applyAlignment="1">
      <alignment horizontal="center" textRotation="90"/>
    </xf>
    <xf numFmtId="176" fontId="2" fillId="3" borderId="72" xfId="0" applyNumberFormat="1" applyFont="1" applyFill="1" applyBorder="1" applyAlignment="1">
      <alignment horizontal="center" textRotation="90"/>
    </xf>
    <xf numFmtId="0" fontId="3" fillId="2" borderId="16" xfId="0" applyNumberFormat="1" applyFont="1" applyFill="1" applyBorder="1" applyAlignment="1">
      <alignment horizontal="left" vertical="center"/>
    </xf>
    <xf numFmtId="176" fontId="3" fillId="3" borderId="16" xfId="0" applyNumberFormat="1" applyFont="1" applyFill="1" applyBorder="1" applyAlignment="1">
      <alignment horizontal="left" vertical="center"/>
    </xf>
    <xf numFmtId="1" fontId="1" fillId="0" borderId="0" xfId="50" applyNumberFormat="1" applyFont="1" applyFill="1" applyAlignment="1">
      <alignment horizontal="left" vertical="center"/>
    </xf>
    <xf numFmtId="2" fontId="1" fillId="0" borderId="0" xfId="50" applyNumberFormat="1" applyFont="1" applyFill="1" applyAlignment="1">
      <alignment horizontal="left" vertical="center"/>
    </xf>
    <xf numFmtId="176" fontId="1" fillId="0" borderId="15" xfId="50" applyNumberFormat="1" applyFont="1" applyFill="1" applyBorder="1" applyAlignment="1"/>
    <xf numFmtId="176" fontId="16" fillId="0" borderId="0" xfId="50" applyNumberFormat="1" applyFont="1" applyFill="1" applyBorder="1" applyAlignment="1">
      <alignment horizontal="left"/>
    </xf>
    <xf numFmtId="14" fontId="10" fillId="0" borderId="0" xfId="50" applyNumberFormat="1" applyFont="1" applyFill="1" applyBorder="1" applyAlignment="1">
      <alignment horizontal="right"/>
    </xf>
    <xf numFmtId="176" fontId="2" fillId="0" borderId="0" xfId="50" applyNumberFormat="1" applyFont="1" applyFill="1" applyAlignment="1">
      <alignment horizontal="center" vertical="center"/>
    </xf>
    <xf numFmtId="176" fontId="10" fillId="2" borderId="1" xfId="50" applyNumberFormat="1" applyFont="1" applyFill="1" applyBorder="1" applyAlignment="1">
      <alignment horizontal="center" vertical="center"/>
    </xf>
    <xf numFmtId="176" fontId="3" fillId="2" borderId="16" xfId="50" applyNumberFormat="1" applyFont="1" applyFill="1" applyBorder="1" applyAlignment="1">
      <alignment horizontal="center"/>
    </xf>
    <xf numFmtId="176" fontId="2" fillId="2" borderId="15" xfId="50" applyNumberFormat="1" applyFont="1" applyFill="1" applyBorder="1" applyAlignment="1">
      <alignment horizontal="center" textRotation="90"/>
    </xf>
    <xf numFmtId="49" fontId="8" fillId="2" borderId="82" xfId="50" applyNumberFormat="1" applyFont="1" applyFill="1" applyBorder="1" applyAlignment="1">
      <alignment horizontal="left"/>
    </xf>
    <xf numFmtId="176" fontId="3" fillId="2" borderId="27" xfId="50" applyNumberFormat="1" applyFont="1" applyFill="1" applyBorder="1" applyAlignment="1">
      <alignment horizontal="center" vertical="center" textRotation="90"/>
    </xf>
    <xf numFmtId="176" fontId="2" fillId="2" borderId="27" xfId="50" applyNumberFormat="1" applyFont="1" applyFill="1" applyBorder="1" applyAlignment="1">
      <alignment horizontal="center" textRotation="90"/>
    </xf>
    <xf numFmtId="176" fontId="6" fillId="2" borderId="15" xfId="50" applyNumberFormat="1" applyFont="1" applyFill="1" applyBorder="1" applyAlignment="1"/>
    <xf numFmtId="176" fontId="3" fillId="2" borderId="15" xfId="50" applyNumberFormat="1" applyFont="1" applyFill="1" applyBorder="1" applyAlignment="1"/>
    <xf numFmtId="176" fontId="3" fillId="2" borderId="28" xfId="50" applyNumberFormat="1" applyFont="1" applyFill="1" applyBorder="1" applyAlignment="1">
      <alignment horizontal="center" vertical="center" textRotation="90"/>
    </xf>
    <xf numFmtId="176" fontId="2" fillId="2" borderId="28" xfId="50" applyNumberFormat="1" applyFont="1" applyFill="1" applyBorder="1" applyAlignment="1">
      <alignment horizontal="center" textRotation="90"/>
    </xf>
    <xf numFmtId="176" fontId="3" fillId="2" borderId="15" xfId="50" applyNumberFormat="1" applyFont="1" applyFill="1" applyBorder="1" applyAlignment="1">
      <alignment horizontal="center" vertical="center" textRotation="90"/>
    </xf>
    <xf numFmtId="0" fontId="6" fillId="2" borderId="15" xfId="0" applyNumberFormat="1" applyFont="1" applyFill="1" applyBorder="1" applyAlignment="1" applyProtection="1">
      <alignment horizontal="left"/>
    </xf>
    <xf numFmtId="0" fontId="3" fillId="2" borderId="15" xfId="0" applyNumberFormat="1" applyFont="1" applyFill="1" applyBorder="1" applyAlignment="1" applyProtection="1">
      <alignment horizontal="left"/>
    </xf>
    <xf numFmtId="0" fontId="6" fillId="2" borderId="15" xfId="0" applyNumberFormat="1" applyFont="1" applyFill="1" applyBorder="1" applyAlignment="1" applyProtection="1">
      <alignment horizontal="left" vertical="center"/>
    </xf>
    <xf numFmtId="0" fontId="3" fillId="2" borderId="15" xfId="0" applyNumberFormat="1" applyFont="1" applyFill="1" applyBorder="1" applyAlignment="1" applyProtection="1">
      <alignment horizontal="left" vertical="center"/>
    </xf>
    <xf numFmtId="0" fontId="6" fillId="2" borderId="16" xfId="0" applyNumberFormat="1" applyFont="1" applyFill="1" applyBorder="1" applyAlignment="1" applyProtection="1">
      <alignment horizontal="left" vertical="center"/>
    </xf>
    <xf numFmtId="0" fontId="3" fillId="2" borderId="16" xfId="0" applyNumberFormat="1" applyFont="1" applyFill="1" applyBorder="1" applyAlignment="1" applyProtection="1">
      <alignment horizontal="left" vertical="center"/>
    </xf>
    <xf numFmtId="0" fontId="3" fillId="2" borderId="15" xfId="0" applyNumberFormat="1" applyFont="1" applyFill="1" applyBorder="1" applyAlignment="1" applyProtection="1">
      <alignment horizontal="left" vertical="center" wrapText="1"/>
    </xf>
    <xf numFmtId="176" fontId="6" fillId="2" borderId="15" xfId="0" applyNumberFormat="1" applyFont="1" applyFill="1" applyBorder="1" applyAlignment="1">
      <alignment horizontal="left" vertical="center"/>
    </xf>
    <xf numFmtId="0" fontId="3" fillId="2" borderId="15" xfId="0" applyNumberFormat="1" applyFont="1" applyFill="1" applyBorder="1" applyAlignment="1">
      <alignment vertical="center"/>
    </xf>
    <xf numFmtId="0" fontId="6" fillId="2" borderId="15" xfId="0" applyNumberFormat="1" applyFont="1" applyFill="1" applyBorder="1" applyAlignment="1">
      <alignment vertical="center"/>
    </xf>
    <xf numFmtId="176" fontId="10" fillId="6" borderId="3" xfId="50" applyNumberFormat="1" applyFont="1" applyFill="1" applyBorder="1" applyAlignment="1">
      <alignment horizontal="center"/>
    </xf>
    <xf numFmtId="176" fontId="10" fillId="6" borderId="19" xfId="50" applyNumberFormat="1" applyFont="1" applyFill="1" applyBorder="1" applyAlignment="1">
      <alignment horizontal="center" vertical="center" wrapText="1"/>
    </xf>
    <xf numFmtId="0" fontId="17" fillId="7" borderId="32" xfId="0" applyNumberFormat="1" applyFont="1" applyFill="1" applyBorder="1" applyAlignment="1">
      <alignment horizontal="center" wrapText="1"/>
    </xf>
    <xf numFmtId="177" fontId="8" fillId="2" borderId="16" xfId="52" applyNumberFormat="1" applyFont="1" applyFill="1" applyBorder="1" applyAlignment="1" applyProtection="1">
      <alignment horizontal="center" vertical="center"/>
      <protection locked="0"/>
    </xf>
    <xf numFmtId="178" fontId="8" fillId="2" borderId="15" xfId="52" applyNumberFormat="1" applyFont="1" applyFill="1" applyBorder="1" applyAlignment="1" applyProtection="1">
      <alignment horizontal="center" vertical="center"/>
      <protection locked="0"/>
    </xf>
    <xf numFmtId="176" fontId="10" fillId="6" borderId="15" xfId="50" applyNumberFormat="1" applyFont="1" applyFill="1" applyBorder="1" applyAlignment="1">
      <alignment horizontal="center" vertical="center" wrapText="1"/>
    </xf>
    <xf numFmtId="0" fontId="17" fillId="16" borderId="32" xfId="0" applyNumberFormat="1" applyFont="1" applyFill="1" applyBorder="1" applyAlignment="1">
      <alignment horizontal="center" wrapText="1"/>
    </xf>
    <xf numFmtId="176" fontId="8" fillId="7" borderId="15" xfId="0" applyNumberFormat="1" applyFont="1" applyFill="1" applyBorder="1" applyAlignment="1">
      <alignment horizontal="left"/>
    </xf>
    <xf numFmtId="177" fontId="8" fillId="2" borderId="15" xfId="52" applyNumberFormat="1" applyFont="1" applyFill="1" applyBorder="1" applyAlignment="1" applyProtection="1">
      <alignment horizontal="center" vertical="center"/>
      <protection locked="0"/>
    </xf>
    <xf numFmtId="178" fontId="8" fillId="11" borderId="15" xfId="52" applyNumberFormat="1" applyFont="1" applyFill="1" applyBorder="1" applyAlignment="1" applyProtection="1">
      <alignment horizontal="center" vertical="center"/>
      <protection locked="0"/>
    </xf>
    <xf numFmtId="176" fontId="10" fillId="6" borderId="18" xfId="50" applyNumberFormat="1" applyFont="1" applyFill="1" applyBorder="1" applyAlignment="1">
      <alignment horizontal="center"/>
    </xf>
    <xf numFmtId="176" fontId="10" fillId="2" borderId="8" xfId="50" applyNumberFormat="1" applyFont="1" applyFill="1" applyBorder="1" applyAlignment="1">
      <alignment horizontal="center" vertical="center"/>
    </xf>
    <xf numFmtId="176" fontId="10" fillId="2" borderId="2" xfId="50" applyNumberFormat="1" applyFont="1" applyFill="1" applyBorder="1" applyAlignment="1">
      <alignment horizontal="center" vertical="center"/>
    </xf>
    <xf numFmtId="0" fontId="2" fillId="2" borderId="20" xfId="0" applyNumberFormat="1" applyFont="1" applyFill="1" applyBorder="1" applyAlignment="1">
      <alignment horizontal="center" vertical="center"/>
    </xf>
    <xf numFmtId="176" fontId="10" fillId="2" borderId="2" xfId="50" applyNumberFormat="1" applyFont="1" applyFill="1" applyBorder="1" applyAlignment="1">
      <alignment horizontal="center" textRotation="90"/>
    </xf>
    <xf numFmtId="176" fontId="10" fillId="2" borderId="1" xfId="50" applyNumberFormat="1" applyFont="1" applyFill="1" applyBorder="1" applyAlignment="1">
      <alignment horizontal="center" textRotation="90"/>
    </xf>
    <xf numFmtId="0" fontId="2" fillId="2" borderId="1" xfId="50" applyNumberFormat="1" applyFont="1" applyFill="1" applyBorder="1" applyAlignment="1">
      <alignment horizontal="center" textRotation="90"/>
    </xf>
    <xf numFmtId="176" fontId="10" fillId="2" borderId="11" xfId="50" applyNumberFormat="1" applyFont="1" applyFill="1" applyBorder="1" applyAlignment="1">
      <alignment horizontal="center" textRotation="90"/>
    </xf>
    <xf numFmtId="0" fontId="2" fillId="2" borderId="11" xfId="50" applyNumberFormat="1" applyFont="1" applyFill="1" applyBorder="1" applyAlignment="1">
      <alignment horizontal="center" textRotation="90"/>
    </xf>
    <xf numFmtId="0" fontId="18" fillId="5" borderId="16" xfId="0" applyFont="1" applyFill="1" applyBorder="1" applyAlignment="1">
      <alignment horizontal="left"/>
    </xf>
    <xf numFmtId="0" fontId="19" fillId="5" borderId="45" xfId="0" applyFont="1" applyFill="1" applyBorder="1" applyAlignment="1">
      <alignment horizontal="center" wrapText="1"/>
    </xf>
    <xf numFmtId="176" fontId="20" fillId="5" borderId="45" xfId="0" applyNumberFormat="1" applyFont="1" applyFill="1" applyBorder="1" applyAlignment="1">
      <alignment horizontal="center"/>
    </xf>
    <xf numFmtId="176" fontId="20" fillId="5" borderId="53" xfId="0" applyNumberFormat="1" applyFont="1" applyFill="1" applyBorder="1" applyAlignment="1">
      <alignment horizontal="center"/>
    </xf>
    <xf numFmtId="176" fontId="8" fillId="7" borderId="16" xfId="0" applyNumberFormat="1" applyFont="1" applyFill="1" applyBorder="1" applyAlignment="1">
      <alignment horizontal="left"/>
    </xf>
    <xf numFmtId="0" fontId="18" fillId="5" borderId="45" xfId="0" applyFont="1" applyFill="1" applyBorder="1" applyAlignment="1">
      <alignment horizontal="left"/>
    </xf>
    <xf numFmtId="0" fontId="2" fillId="2" borderId="8" xfId="0" applyNumberFormat="1" applyFont="1" applyFill="1" applyBorder="1" applyAlignment="1">
      <alignment horizontal="center" vertical="center"/>
    </xf>
    <xf numFmtId="176" fontId="2" fillId="6" borderId="27" xfId="0" applyNumberFormat="1" applyFont="1" applyFill="1" applyBorder="1" applyAlignment="1">
      <alignment horizontal="center"/>
    </xf>
    <xf numFmtId="176" fontId="2" fillId="6" borderId="83" xfId="0" applyNumberFormat="1" applyFont="1" applyFill="1" applyBorder="1" applyAlignment="1">
      <alignment horizontal="center"/>
    </xf>
    <xf numFmtId="176" fontId="2" fillId="2" borderId="15" xfId="0" applyNumberFormat="1" applyFont="1" applyFill="1" applyBorder="1" applyAlignment="1">
      <alignment horizontal="center" vertical="center"/>
    </xf>
    <xf numFmtId="176" fontId="2" fillId="2" borderId="2" xfId="50" applyNumberFormat="1" applyFont="1" applyFill="1" applyBorder="1" applyAlignment="1">
      <alignment horizontal="center" vertical="center" textRotation="90" wrapText="1"/>
    </xf>
    <xf numFmtId="176" fontId="2" fillId="6" borderId="84" xfId="0" applyNumberFormat="1" applyFont="1" applyFill="1" applyBorder="1" applyAlignment="1">
      <alignment horizontal="center" textRotation="90"/>
    </xf>
    <xf numFmtId="176" fontId="2" fillId="6" borderId="84" xfId="0" applyNumberFormat="1" applyFont="1" applyFill="1" applyBorder="1" applyAlignment="1">
      <alignment horizontal="center" vertical="center" textRotation="90"/>
    </xf>
    <xf numFmtId="176" fontId="2" fillId="2" borderId="15" xfId="0" applyNumberFormat="1" applyFont="1" applyFill="1" applyBorder="1" applyAlignment="1">
      <alignment horizontal="center" vertical="center" textRotation="90"/>
    </xf>
    <xf numFmtId="176" fontId="2" fillId="2" borderId="1" xfId="50" applyNumberFormat="1" applyFont="1" applyFill="1" applyBorder="1" applyAlignment="1">
      <alignment horizontal="center" vertical="center" textRotation="90"/>
    </xf>
    <xf numFmtId="176" fontId="2" fillId="6" borderId="85" xfId="0" applyNumberFormat="1" applyFont="1" applyFill="1" applyBorder="1" applyAlignment="1">
      <alignment horizontal="center" textRotation="90"/>
    </xf>
    <xf numFmtId="176" fontId="2" fillId="6" borderId="85" xfId="0" applyNumberFormat="1" applyFont="1" applyFill="1" applyBorder="1" applyAlignment="1">
      <alignment horizontal="center" vertical="center" textRotation="90"/>
    </xf>
    <xf numFmtId="176" fontId="2" fillId="2" borderId="27" xfId="0" applyNumberFormat="1" applyFont="1" applyFill="1" applyBorder="1" applyAlignment="1">
      <alignment horizontal="center" vertical="center" textRotation="90"/>
    </xf>
    <xf numFmtId="179" fontId="21" fillId="5" borderId="15" xfId="0" applyNumberFormat="1" applyFont="1" applyFill="1" applyBorder="1" applyAlignment="1">
      <alignment horizontal="center" vertical="center"/>
    </xf>
    <xf numFmtId="176" fontId="3" fillId="6" borderId="16" xfId="0" applyNumberFormat="1" applyFont="1" applyFill="1" applyBorder="1" applyAlignment="1"/>
    <xf numFmtId="179" fontId="21" fillId="5" borderId="16" xfId="0" applyNumberFormat="1" applyFont="1" applyFill="1" applyBorder="1" applyAlignment="1">
      <alignment horizontal="center" vertical="center"/>
    </xf>
    <xf numFmtId="176" fontId="3" fillId="2" borderId="16" xfId="50" applyNumberFormat="1" applyFont="1" applyFill="1" applyBorder="1" applyAlignment="1">
      <alignment horizontal="center" vertical="center"/>
    </xf>
    <xf numFmtId="176" fontId="8" fillId="2" borderId="27" xfId="50" applyNumberFormat="1" applyFont="1" applyFill="1" applyBorder="1" applyAlignment="1">
      <alignment horizontal="center" vertical="center" textRotation="90"/>
    </xf>
    <xf numFmtId="176" fontId="8" fillId="2" borderId="28" xfId="50" applyNumberFormat="1" applyFont="1" applyFill="1" applyBorder="1" applyAlignment="1">
      <alignment horizontal="center" vertical="center" textRotation="90"/>
    </xf>
    <xf numFmtId="0" fontId="6" fillId="2" borderId="15" xfId="0" applyNumberFormat="1" applyFont="1" applyFill="1" applyBorder="1" applyAlignment="1">
      <alignment horizontal="left" vertical="center"/>
    </xf>
    <xf numFmtId="176" fontId="3" fillId="2" borderId="15" xfId="0" applyNumberFormat="1" applyFont="1" applyFill="1" applyBorder="1" applyAlignment="1">
      <alignment vertical="center"/>
    </xf>
    <xf numFmtId="176" fontId="3" fillId="2" borderId="15" xfId="0" applyNumberFormat="1" applyFont="1" applyFill="1" applyBorder="1" applyAlignment="1">
      <alignment horizontal="left" vertical="center"/>
    </xf>
    <xf numFmtId="176" fontId="3" fillId="11" borderId="15" xfId="0" applyNumberFormat="1" applyFont="1" applyFill="1" applyBorder="1" applyAlignment="1">
      <alignment horizontal="left" vertical="center"/>
    </xf>
    <xf numFmtId="176" fontId="8" fillId="2" borderId="16" xfId="50" applyNumberFormat="1" applyFont="1" applyFill="1" applyBorder="1" applyAlignment="1">
      <alignment horizontal="center" vertical="center" textRotation="90"/>
    </xf>
    <xf numFmtId="176" fontId="8" fillId="2" borderId="15" xfId="50" applyNumberFormat="1" applyFont="1" applyFill="1" applyBorder="1" applyAlignment="1">
      <alignment horizontal="center" vertical="center" textRotation="90"/>
    </xf>
    <xf numFmtId="176" fontId="22" fillId="2" borderId="28" xfId="50" applyNumberFormat="1" applyFont="1" applyFill="1" applyBorder="1" applyAlignment="1">
      <alignment horizontal="center" vertical="center" textRotation="90"/>
    </xf>
    <xf numFmtId="0" fontId="17" fillId="7" borderId="15" xfId="0" applyNumberFormat="1" applyFont="1" applyFill="1" applyBorder="1" applyAlignment="1">
      <alignment horizontal="center" wrapText="1"/>
    </xf>
    <xf numFmtId="14" fontId="23" fillId="5" borderId="45" xfId="0" applyNumberFormat="1" applyFont="1" applyFill="1" applyBorder="1" applyAlignment="1">
      <alignment horizontal="center"/>
    </xf>
    <xf numFmtId="0" fontId="18" fillId="17" borderId="16" xfId="0" applyFont="1" applyFill="1" applyBorder="1" applyAlignment="1">
      <alignment horizontal="left"/>
    </xf>
    <xf numFmtId="0" fontId="18" fillId="18" borderId="45" xfId="0" applyFont="1" applyFill="1" applyBorder="1" applyAlignment="1">
      <alignment horizontal="left"/>
    </xf>
    <xf numFmtId="179" fontId="21" fillId="18" borderId="16" xfId="0" applyNumberFormat="1" applyFont="1" applyFill="1" applyBorder="1" applyAlignment="1">
      <alignment horizontal="center" vertical="center"/>
    </xf>
    <xf numFmtId="179" fontId="3" fillId="2" borderId="15" xfId="50" applyNumberFormat="1" applyFont="1" applyFill="1" applyBorder="1" applyAlignment="1">
      <alignment horizontal="center" vertical="center"/>
    </xf>
    <xf numFmtId="179" fontId="3" fillId="19" borderId="16" xfId="0" applyNumberFormat="1" applyFont="1" applyFill="1" applyBorder="1" applyAlignment="1">
      <alignment horizontal="center" vertical="center"/>
    </xf>
    <xf numFmtId="176" fontId="4" fillId="2" borderId="15" xfId="50" applyNumberFormat="1" applyFont="1" applyFill="1" applyBorder="1" applyAlignment="1">
      <alignment horizontal="left"/>
    </xf>
    <xf numFmtId="49" fontId="24" fillId="2" borderId="15" xfId="50" applyNumberFormat="1" applyFont="1" applyFill="1" applyBorder="1" applyAlignment="1">
      <alignment horizontal="left"/>
    </xf>
    <xf numFmtId="176" fontId="8" fillId="7" borderId="15" xfId="0" applyNumberFormat="1" applyFont="1" applyFill="1" applyBorder="1" applyAlignment="1">
      <alignment horizontal="center"/>
    </xf>
    <xf numFmtId="0" fontId="25" fillId="2" borderId="15" xfId="0" applyFont="1" applyFill="1" applyBorder="1" applyAlignment="1">
      <alignment horizontal="center" vertical="center"/>
    </xf>
    <xf numFmtId="14" fontId="4" fillId="2" borderId="15" xfId="50" applyNumberFormat="1" applyFont="1" applyFill="1" applyBorder="1" applyAlignment="1">
      <alignment horizontal="right"/>
    </xf>
    <xf numFmtId="0" fontId="25" fillId="2" borderId="15" xfId="0" applyFont="1" applyFill="1" applyBorder="1" applyAlignment="1">
      <alignment horizontal="left"/>
    </xf>
    <xf numFmtId="176" fontId="2" fillId="2" borderId="15" xfId="50" applyNumberFormat="1" applyFont="1" applyFill="1" applyBorder="1" applyAlignment="1">
      <alignment horizontal="center" vertical="center"/>
    </xf>
    <xf numFmtId="176" fontId="8" fillId="0" borderId="0" xfId="0" applyNumberFormat="1" applyFont="1" applyFill="1" applyAlignment="1"/>
    <xf numFmtId="0" fontId="1" fillId="0" borderId="0" xfId="50" applyNumberFormat="1" applyFont="1" applyFill="1" applyAlignment="1"/>
    <xf numFmtId="176" fontId="1" fillId="0" borderId="0" xfId="50" applyNumberFormat="1" applyFont="1" applyFill="1" applyBorder="1" applyAlignment="1">
      <alignment horizontal="center" vertical="center"/>
    </xf>
    <xf numFmtId="176" fontId="1" fillId="0" borderId="0" xfId="50" applyNumberFormat="1" applyFont="1" applyFill="1" applyBorder="1" applyAlignment="1">
      <alignment horizontal="left" vertical="center"/>
    </xf>
    <xf numFmtId="176" fontId="1" fillId="20" borderId="0" xfId="50" applyNumberFormat="1" applyFont="1" applyFill="1" applyAlignment="1"/>
    <xf numFmtId="0" fontId="1" fillId="20" borderId="0" xfId="50" applyNumberFormat="1" applyFont="1" applyFill="1" applyAlignment="1"/>
    <xf numFmtId="176" fontId="1" fillId="20" borderId="0" xfId="50" applyNumberFormat="1" applyFont="1" applyFill="1" applyBorder="1" applyAlignment="1">
      <alignment horizontal="left"/>
    </xf>
    <xf numFmtId="176" fontId="2" fillId="2" borderId="86" xfId="50" applyNumberFormat="1" applyFont="1" applyFill="1" applyBorder="1" applyAlignment="1">
      <alignment vertical="center"/>
    </xf>
    <xf numFmtId="0" fontId="2" fillId="2" borderId="87" xfId="50" applyNumberFormat="1" applyFont="1" applyFill="1" applyBorder="1" applyAlignment="1">
      <alignment vertical="center"/>
    </xf>
    <xf numFmtId="176" fontId="2" fillId="2" borderId="88" xfId="50" applyNumberFormat="1" applyFont="1" applyFill="1" applyBorder="1" applyAlignment="1">
      <alignment vertical="center"/>
    </xf>
    <xf numFmtId="176" fontId="2" fillId="2" borderId="89" xfId="50" applyNumberFormat="1" applyFont="1" applyFill="1" applyBorder="1" applyAlignment="1">
      <alignment horizontal="center" vertical="center"/>
    </xf>
    <xf numFmtId="176" fontId="2" fillId="2" borderId="84" xfId="50" applyNumberFormat="1" applyFont="1" applyFill="1" applyBorder="1" applyAlignment="1">
      <alignment horizontal="center" textRotation="90"/>
    </xf>
    <xf numFmtId="0" fontId="2" fillId="2" borderId="55" xfId="50" applyNumberFormat="1" applyFont="1" applyFill="1" applyBorder="1" applyAlignment="1">
      <alignment horizontal="center" textRotation="90"/>
    </xf>
    <xf numFmtId="176" fontId="2" fillId="2" borderId="54" xfId="50" applyNumberFormat="1" applyFont="1" applyFill="1" applyBorder="1" applyAlignment="1">
      <alignment horizontal="center" textRotation="90"/>
    </xf>
    <xf numFmtId="176" fontId="2" fillId="2" borderId="85" xfId="50" applyNumberFormat="1" applyFont="1" applyFill="1" applyBorder="1" applyAlignment="1">
      <alignment horizontal="center" textRotation="90"/>
    </xf>
    <xf numFmtId="0" fontId="2" fillId="2" borderId="90" xfId="50" applyNumberFormat="1" applyFont="1" applyFill="1" applyBorder="1" applyAlignment="1">
      <alignment horizontal="center" textRotation="90"/>
    </xf>
    <xf numFmtId="176" fontId="2" fillId="2" borderId="58" xfId="50" applyNumberFormat="1" applyFont="1" applyFill="1" applyBorder="1" applyAlignment="1">
      <alignment horizontal="center" textRotation="90"/>
    </xf>
    <xf numFmtId="176" fontId="2" fillId="2" borderId="62" xfId="50" applyNumberFormat="1" applyFont="1" applyFill="1" applyBorder="1" applyAlignment="1">
      <alignment horizontal="center" textRotation="90"/>
    </xf>
    <xf numFmtId="49" fontId="8" fillId="2" borderId="82" xfId="50" applyNumberFormat="1" applyFont="1" applyFill="1" applyBorder="1" applyAlignment="1"/>
    <xf numFmtId="176" fontId="4" fillId="2" borderId="15" xfId="0" applyNumberFormat="1" applyFont="1" applyFill="1" applyBorder="1" applyAlignment="1">
      <alignment horizontal="center" vertical="center" textRotation="90"/>
    </xf>
    <xf numFmtId="176" fontId="8" fillId="2" borderId="53" xfId="50" applyNumberFormat="1" applyFont="1" applyFill="1" applyBorder="1" applyAlignment="1">
      <alignment horizontal="left"/>
    </xf>
    <xf numFmtId="0" fontId="14" fillId="2" borderId="15" xfId="0" applyFont="1" applyFill="1" applyBorder="1" applyAlignment="1">
      <alignment vertical="center"/>
    </xf>
    <xf numFmtId="176" fontId="4" fillId="2" borderId="28" xfId="0" applyNumberFormat="1" applyFont="1" applyFill="1" applyBorder="1" applyAlignment="1">
      <alignment horizontal="center" vertical="center" textRotation="90"/>
    </xf>
    <xf numFmtId="176" fontId="4" fillId="2" borderId="27" xfId="0" applyNumberFormat="1" applyFont="1" applyFill="1" applyBorder="1" applyAlignment="1">
      <alignment horizontal="center" vertical="center" textRotation="90"/>
    </xf>
    <xf numFmtId="0" fontId="26" fillId="2" borderId="15" xfId="0" applyFont="1" applyFill="1" applyBorder="1" applyAlignment="1">
      <alignment vertical="center"/>
    </xf>
    <xf numFmtId="0" fontId="14" fillId="11" borderId="15" xfId="0" applyFont="1" applyFill="1" applyBorder="1" applyAlignment="1">
      <alignment vertical="center"/>
    </xf>
    <xf numFmtId="176" fontId="4" fillId="2" borderId="16" xfId="0" applyNumberFormat="1" applyFont="1" applyFill="1" applyBorder="1" applyAlignment="1">
      <alignment horizontal="center" vertical="center" textRotation="90"/>
    </xf>
    <xf numFmtId="176" fontId="4" fillId="2" borderId="27" xfId="0" applyNumberFormat="1" applyFont="1" applyFill="1" applyBorder="1" applyAlignment="1">
      <alignment horizontal="center" vertical="center"/>
    </xf>
    <xf numFmtId="176" fontId="4" fillId="2" borderId="15" xfId="0" applyNumberFormat="1" applyFont="1" applyFill="1" applyBorder="1" applyAlignment="1">
      <alignment horizontal="left" vertical="center"/>
    </xf>
    <xf numFmtId="176" fontId="8" fillId="2" borderId="15" xfId="50" applyNumberFormat="1" applyFont="1" applyFill="1" applyBorder="1" applyAlignment="1">
      <alignment horizontal="center"/>
    </xf>
    <xf numFmtId="176" fontId="2" fillId="3" borderId="29" xfId="50" applyNumberFormat="1" applyFont="1" applyFill="1" applyBorder="1" applyAlignment="1">
      <alignment horizontal="center" vertical="center"/>
    </xf>
    <xf numFmtId="176" fontId="2" fillId="6" borderId="3" xfId="50" applyNumberFormat="1" applyFont="1" applyFill="1" applyBorder="1" applyAlignment="1">
      <alignment horizontal="center"/>
    </xf>
    <xf numFmtId="176" fontId="2" fillId="6" borderId="9" xfId="50" applyNumberFormat="1" applyFont="1" applyFill="1" applyBorder="1" applyAlignment="1">
      <alignment horizontal="center" vertical="center" wrapText="1"/>
    </xf>
    <xf numFmtId="176" fontId="2" fillId="6" borderId="30" xfId="50" applyNumberFormat="1" applyFont="1" applyFill="1" applyBorder="1" applyAlignment="1">
      <alignment horizontal="center" vertical="center" wrapText="1"/>
    </xf>
    <xf numFmtId="0" fontId="5" fillId="4" borderId="68" xfId="0" applyNumberFormat="1" applyFont="1" applyFill="1" applyBorder="1" applyAlignment="1">
      <alignment horizontal="center" wrapText="1"/>
    </xf>
    <xf numFmtId="178" fontId="8" fillId="2" borderId="16" xfId="52" applyNumberFormat="1" applyFont="1" applyFill="1" applyBorder="1" applyAlignment="1" applyProtection="1">
      <alignment horizontal="center" vertical="center"/>
      <protection locked="0"/>
    </xf>
    <xf numFmtId="177" fontId="8" fillId="6" borderId="16" xfId="52" applyNumberFormat="1" applyFont="1" applyFill="1" applyBorder="1" applyAlignment="1" applyProtection="1">
      <alignment horizontal="center" vertical="center"/>
      <protection locked="0"/>
    </xf>
    <xf numFmtId="176" fontId="8" fillId="6" borderId="15" xfId="50" applyNumberFormat="1" applyFont="1" applyFill="1" applyBorder="1" applyAlignment="1">
      <alignment horizontal="center"/>
    </xf>
    <xf numFmtId="176" fontId="2" fillId="6" borderId="18" xfId="50" applyNumberFormat="1" applyFont="1" applyFill="1" applyBorder="1" applyAlignment="1">
      <alignment horizontal="center"/>
    </xf>
    <xf numFmtId="176" fontId="2" fillId="2" borderId="3" xfId="50" applyNumberFormat="1" applyFont="1" applyFill="1" applyBorder="1" applyAlignment="1">
      <alignment horizontal="center" vertical="center"/>
    </xf>
    <xf numFmtId="176" fontId="2" fillId="2" borderId="18" xfId="50" applyNumberFormat="1" applyFont="1" applyFill="1" applyBorder="1" applyAlignment="1">
      <alignment horizontal="center" vertical="center"/>
    </xf>
    <xf numFmtId="176" fontId="2" fillId="3" borderId="20" xfId="50" applyNumberFormat="1" applyFont="1" applyFill="1" applyBorder="1" applyAlignment="1">
      <alignment horizontal="center" vertical="center"/>
    </xf>
    <xf numFmtId="176" fontId="2" fillId="2" borderId="35" xfId="0" applyNumberFormat="1" applyFont="1" applyFill="1" applyBorder="1" applyAlignment="1">
      <alignment horizontal="center" vertical="center"/>
    </xf>
    <xf numFmtId="176" fontId="2" fillId="2" borderId="20" xfId="0" applyNumberFormat="1" applyFont="1" applyFill="1" applyBorder="1" applyAlignment="1">
      <alignment horizontal="center" vertical="center"/>
    </xf>
    <xf numFmtId="176" fontId="2" fillId="2" borderId="29" xfId="0" applyNumberFormat="1" applyFont="1" applyFill="1" applyBorder="1" applyAlignment="1">
      <alignment horizontal="center" vertical="center"/>
    </xf>
    <xf numFmtId="176" fontId="2" fillId="2" borderId="0" xfId="50" applyNumberFormat="1" applyFont="1" applyFill="1" applyBorder="1" applyAlignment="1">
      <alignment horizontal="center" vertical="center"/>
    </xf>
    <xf numFmtId="176" fontId="2" fillId="3" borderId="19" xfId="50" applyNumberFormat="1" applyFont="1" applyFill="1" applyBorder="1" applyAlignment="1">
      <alignment horizontal="center" vertical="center"/>
    </xf>
    <xf numFmtId="176" fontId="2" fillId="2" borderId="91" xfId="50" applyNumberFormat="1" applyFont="1" applyFill="1" applyBorder="1" applyAlignment="1">
      <alignment horizontal="center" vertical="center"/>
    </xf>
    <xf numFmtId="176" fontId="2" fillId="2" borderId="30" xfId="50" applyNumberFormat="1" applyFont="1" applyFill="1" applyBorder="1" applyAlignment="1">
      <alignment vertical="center"/>
    </xf>
    <xf numFmtId="176" fontId="2" fillId="3" borderId="31" xfId="50" applyNumberFormat="1" applyFont="1" applyFill="1" applyBorder="1" applyAlignment="1">
      <alignment horizontal="center" vertical="center"/>
    </xf>
    <xf numFmtId="178" fontId="8" fillId="12" borderId="16" xfId="52" applyNumberFormat="1" applyFont="1" applyFill="1" applyBorder="1" applyAlignment="1" applyProtection="1">
      <alignment horizontal="center" vertical="center"/>
      <protection locked="0"/>
    </xf>
    <xf numFmtId="176" fontId="8" fillId="3" borderId="16" xfId="50" applyNumberFormat="1" applyFont="1" applyFill="1" applyBorder="1" applyAlignment="1">
      <alignment horizontal="left"/>
    </xf>
    <xf numFmtId="183" fontId="3" fillId="2" borderId="15" xfId="51" applyNumberFormat="1" applyFont="1" applyFill="1" applyBorder="1" applyAlignment="1">
      <alignment horizontal="center" vertical="center" wrapText="1"/>
    </xf>
    <xf numFmtId="176" fontId="8" fillId="2" borderId="15" xfId="0" applyNumberFormat="1" applyFont="1" applyFill="1" applyBorder="1" applyAlignment="1">
      <alignment horizontal="center" vertical="center"/>
    </xf>
    <xf numFmtId="176" fontId="8" fillId="2" borderId="15" xfId="0" applyNumberFormat="1" applyFont="1" applyFill="1" applyBorder="1" applyAlignment="1">
      <alignment horizontal="center"/>
    </xf>
    <xf numFmtId="0" fontId="25" fillId="2" borderId="15" xfId="0" applyNumberFormat="1" applyFont="1" applyFill="1" applyBorder="1" applyAlignment="1">
      <alignment horizontal="center"/>
    </xf>
    <xf numFmtId="177" fontId="8" fillId="6" borderId="92" xfId="52" applyNumberFormat="1" applyFont="1" applyFill="1" applyBorder="1" applyAlignment="1" applyProtection="1">
      <alignment horizontal="center" vertical="center"/>
      <protection locked="0"/>
    </xf>
    <xf numFmtId="176" fontId="8" fillId="2" borderId="90" xfId="50" applyNumberFormat="1" applyFont="1" applyFill="1" applyBorder="1" applyAlignment="1">
      <alignment horizontal="center"/>
    </xf>
    <xf numFmtId="176" fontId="8" fillId="2" borderId="51" xfId="50" applyNumberFormat="1" applyFont="1" applyFill="1" applyBorder="1" applyAlignment="1">
      <alignment horizontal="center"/>
    </xf>
    <xf numFmtId="176" fontId="9" fillId="3" borderId="93" xfId="50" applyNumberFormat="1" applyFont="1" applyFill="1" applyBorder="1" applyAlignment="1">
      <alignment horizontal="left"/>
    </xf>
    <xf numFmtId="176" fontId="2" fillId="2" borderId="8" xfId="0" applyNumberFormat="1" applyFont="1" applyFill="1" applyBorder="1" applyAlignment="1">
      <alignment horizontal="center" vertical="center"/>
    </xf>
    <xf numFmtId="176" fontId="2" fillId="2" borderId="2" xfId="50" applyNumberFormat="1" applyFont="1" applyFill="1" applyBorder="1" applyAlignment="1">
      <alignment horizontal="left"/>
    </xf>
    <xf numFmtId="176" fontId="2" fillId="2" borderId="1" xfId="50" applyNumberFormat="1" applyFont="1" applyFill="1" applyBorder="1" applyAlignment="1">
      <alignment horizontal="left" textRotation="90"/>
    </xf>
    <xf numFmtId="176" fontId="2" fillId="2" borderId="31" xfId="50" applyNumberFormat="1" applyFont="1" applyFill="1" applyBorder="1" applyAlignment="1">
      <alignment horizontal="center" textRotation="90"/>
    </xf>
    <xf numFmtId="176" fontId="2" fillId="2" borderId="33" xfId="50" applyNumberFormat="1" applyFont="1" applyFill="1" applyBorder="1" applyAlignment="1">
      <alignment horizontal="left" textRotation="90"/>
    </xf>
    <xf numFmtId="176" fontId="3" fillId="2" borderId="15" xfId="50" applyNumberFormat="1" applyFont="1" applyFill="1" applyBorder="1" applyAlignment="1">
      <alignment horizontal="center"/>
    </xf>
    <xf numFmtId="176" fontId="2" fillId="3" borderId="48" xfId="50" applyNumberFormat="1" applyFont="1" applyFill="1" applyBorder="1" applyAlignment="1">
      <alignment horizontal="center" vertical="center" textRotation="90"/>
    </xf>
    <xf numFmtId="179" fontId="10" fillId="3" borderId="15" xfId="50" applyNumberFormat="1" applyFont="1" applyFill="1" applyBorder="1" applyAlignment="1">
      <alignment horizontal="center" vertical="center"/>
    </xf>
    <xf numFmtId="176" fontId="2" fillId="2" borderId="2" xfId="50" applyNumberFormat="1" applyFont="1" applyFill="1" applyBorder="1" applyAlignment="1">
      <alignment horizontal="center" vertical="center" textRotation="90"/>
    </xf>
    <xf numFmtId="176" fontId="2" fillId="3" borderId="9" xfId="0" applyNumberFormat="1" applyFont="1" applyFill="1" applyBorder="1" applyAlignment="1">
      <alignment horizontal="center" textRotation="90"/>
    </xf>
    <xf numFmtId="176" fontId="2" fillId="3" borderId="48" xfId="0" applyNumberFormat="1" applyFont="1" applyFill="1" applyBorder="1" applyAlignment="1">
      <alignment horizontal="center" textRotation="90"/>
    </xf>
    <xf numFmtId="176" fontId="2" fillId="3" borderId="51" xfId="50" applyNumberFormat="1" applyFont="1" applyFill="1" applyBorder="1" applyAlignment="1">
      <alignment horizontal="center" vertical="center" textRotation="90"/>
    </xf>
    <xf numFmtId="176" fontId="2" fillId="3" borderId="72" xfId="50" applyNumberFormat="1" applyFont="1" applyFill="1" applyBorder="1" applyAlignment="1">
      <alignment horizontal="center" vertical="center" textRotation="90"/>
    </xf>
    <xf numFmtId="179" fontId="20" fillId="21" borderId="16" xfId="0" applyNumberFormat="1" applyFont="1" applyFill="1" applyBorder="1" applyAlignment="1">
      <alignment horizontal="center" vertical="center"/>
    </xf>
    <xf numFmtId="179" fontId="8" fillId="3" borderId="15" xfId="50" applyNumberFormat="1" applyFont="1" applyFill="1" applyBorder="1" applyAlignment="1">
      <alignment horizontal="center" vertical="center"/>
    </xf>
    <xf numFmtId="176" fontId="4" fillId="0" borderId="0" xfId="0" applyNumberFormat="1" applyFont="1" applyFill="1" applyAlignment="1">
      <alignment vertical="center"/>
    </xf>
    <xf numFmtId="176" fontId="4" fillId="0" borderId="15" xfId="0" applyNumberFormat="1" applyFont="1" applyFill="1" applyBorder="1" applyAlignment="1">
      <alignment vertical="center"/>
    </xf>
    <xf numFmtId="176" fontId="27" fillId="0" borderId="15" xfId="0" applyNumberFormat="1" applyFont="1" applyFill="1" applyBorder="1" applyAlignment="1">
      <alignment vertical="center" wrapText="1"/>
    </xf>
    <xf numFmtId="176" fontId="27" fillId="0" borderId="15" xfId="0" applyNumberFormat="1" applyFont="1" applyFill="1" applyBorder="1" applyAlignment="1">
      <alignment horizontal="left" vertical="center" wrapText="1"/>
    </xf>
    <xf numFmtId="176" fontId="27" fillId="0" borderId="15" xfId="0" applyNumberFormat="1" applyFont="1" applyFill="1" applyBorder="1" applyAlignment="1">
      <alignment vertical="center"/>
    </xf>
    <xf numFmtId="176" fontId="27" fillId="0" borderId="15" xfId="0" applyNumberFormat="1" applyFont="1" applyFill="1" applyBorder="1" applyAlignment="1"/>
  </cellXfs>
  <cellStyles count="56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 2" xfId="49"/>
    <cellStyle name="AFE 2" xfId="50"/>
    <cellStyle name="常规 2" xfId="51"/>
    <cellStyle name="普通 3" xfId="52"/>
    <cellStyle name="常规 5" xfId="53"/>
    <cellStyle name="_HU Grid_0210 V1.xls" xfId="54"/>
    <cellStyle name="_HU Grid_0210 V1.xls 2" xfId="55"/>
  </cellStyles>
  <tableStyles count="0" defaultTableStyle="TableStyleMedium2" defaultPivotStyle="PivotStyleMedium9"/>
  <colors>
    <mruColors>
      <color rgb="00CCC698"/>
      <color rgb="00F7B2EF"/>
      <color rgb="00F8E9FF"/>
      <color rgb="00CCC0DA"/>
      <color rgb="00F9C0F3"/>
      <color rgb="0076F8CF"/>
      <color rgb="00FACDF5"/>
      <color rgb="00FF0000"/>
      <color rgb="00FFFF00"/>
      <color rgb="00D883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8" Type="http://schemas.openxmlformats.org/officeDocument/2006/relationships/styles" Target="styles.xml"/><Relationship Id="rId17" Type="http://schemas.microsoft.com/office/2006/relationships/vbaProject" Target="vbaProject.bin"/><Relationship Id="rId16" Type="http://schemas.openxmlformats.org/officeDocument/2006/relationships/sharedStrings" Target="sharedStrings.xml"/><Relationship Id="rId15" Type="http://schemas.openxmlformats.org/officeDocument/2006/relationships/theme" Target="theme/theme1.xml"/><Relationship Id="rId14" Type="http://schemas.openxmlformats.org/officeDocument/2006/relationships/externalLink" Target="externalLinks/externalLink2.xml"/><Relationship Id="rId13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16</xdr:col>
      <xdr:colOff>20955</xdr:colOff>
      <xdr:row>57</xdr:row>
      <xdr:rowOff>33655</xdr:rowOff>
    </xdr:from>
    <xdr:to>
      <xdr:col>17</xdr:col>
      <xdr:colOff>9525</xdr:colOff>
      <xdr:row>57</xdr:row>
      <xdr:rowOff>271780</xdr:rowOff>
    </xdr:to>
    <xdr:cxnSp>
      <xdr:nvCxnSpPr>
        <xdr:cNvPr id="2" name="直接连接符 1"/>
        <xdr:cNvCxnSpPr/>
      </xdr:nvCxnSpPr>
      <xdr:spPr>
        <a:xfrm>
          <a:off x="16414750" y="17569180"/>
          <a:ext cx="1584325" cy="2381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57</xdr:row>
      <xdr:rowOff>21590</xdr:rowOff>
    </xdr:from>
    <xdr:to>
      <xdr:col>20</xdr:col>
      <xdr:colOff>9525</xdr:colOff>
      <xdr:row>57</xdr:row>
      <xdr:rowOff>259715</xdr:rowOff>
    </xdr:to>
    <xdr:cxnSp>
      <xdr:nvCxnSpPr>
        <xdr:cNvPr id="3" name="直接连接符 2"/>
        <xdr:cNvCxnSpPr/>
      </xdr:nvCxnSpPr>
      <xdr:spPr>
        <a:xfrm>
          <a:off x="23467060" y="17557115"/>
          <a:ext cx="2117725" cy="2381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57</xdr:row>
      <xdr:rowOff>33655</xdr:rowOff>
    </xdr:from>
    <xdr:to>
      <xdr:col>17</xdr:col>
      <xdr:colOff>9525</xdr:colOff>
      <xdr:row>57</xdr:row>
      <xdr:rowOff>271780</xdr:rowOff>
    </xdr:to>
    <xdr:cxnSp>
      <xdr:nvCxnSpPr>
        <xdr:cNvPr id="4" name="直接连接符 3"/>
        <xdr:cNvCxnSpPr/>
      </xdr:nvCxnSpPr>
      <xdr:spPr>
        <a:xfrm>
          <a:off x="16414750" y="17569180"/>
          <a:ext cx="1584325" cy="2381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57</xdr:row>
      <xdr:rowOff>33655</xdr:rowOff>
    </xdr:from>
    <xdr:to>
      <xdr:col>17</xdr:col>
      <xdr:colOff>9525</xdr:colOff>
      <xdr:row>57</xdr:row>
      <xdr:rowOff>271780</xdr:rowOff>
    </xdr:to>
    <xdr:cxnSp>
      <xdr:nvCxnSpPr>
        <xdr:cNvPr id="5" name="直接连接符 4"/>
        <xdr:cNvCxnSpPr/>
      </xdr:nvCxnSpPr>
      <xdr:spPr>
        <a:xfrm>
          <a:off x="16414750" y="17569180"/>
          <a:ext cx="1584325" cy="2381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57</xdr:row>
      <xdr:rowOff>33655</xdr:rowOff>
    </xdr:from>
    <xdr:to>
      <xdr:col>17</xdr:col>
      <xdr:colOff>9525</xdr:colOff>
      <xdr:row>57</xdr:row>
      <xdr:rowOff>271780</xdr:rowOff>
    </xdr:to>
    <xdr:cxnSp>
      <xdr:nvCxnSpPr>
        <xdr:cNvPr id="6" name="直接连接符 5"/>
        <xdr:cNvCxnSpPr/>
      </xdr:nvCxnSpPr>
      <xdr:spPr>
        <a:xfrm>
          <a:off x="16414750" y="17569180"/>
          <a:ext cx="1584325" cy="2381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57</xdr:row>
      <xdr:rowOff>33655</xdr:rowOff>
    </xdr:from>
    <xdr:to>
      <xdr:col>17</xdr:col>
      <xdr:colOff>9525</xdr:colOff>
      <xdr:row>57</xdr:row>
      <xdr:rowOff>271780</xdr:rowOff>
    </xdr:to>
    <xdr:cxnSp>
      <xdr:nvCxnSpPr>
        <xdr:cNvPr id="7" name="直接连接符 6"/>
        <xdr:cNvCxnSpPr/>
      </xdr:nvCxnSpPr>
      <xdr:spPr>
        <a:xfrm>
          <a:off x="16414750" y="17569180"/>
          <a:ext cx="1584325" cy="2381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57</xdr:row>
      <xdr:rowOff>33655</xdr:rowOff>
    </xdr:from>
    <xdr:to>
      <xdr:col>17</xdr:col>
      <xdr:colOff>9525</xdr:colOff>
      <xdr:row>57</xdr:row>
      <xdr:rowOff>271780</xdr:rowOff>
    </xdr:to>
    <xdr:cxnSp>
      <xdr:nvCxnSpPr>
        <xdr:cNvPr id="8" name="直接连接符 7"/>
        <xdr:cNvCxnSpPr/>
      </xdr:nvCxnSpPr>
      <xdr:spPr>
        <a:xfrm>
          <a:off x="16414750" y="17569180"/>
          <a:ext cx="1584325" cy="2381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57</xdr:row>
      <xdr:rowOff>33655</xdr:rowOff>
    </xdr:from>
    <xdr:to>
      <xdr:col>17</xdr:col>
      <xdr:colOff>9525</xdr:colOff>
      <xdr:row>57</xdr:row>
      <xdr:rowOff>271780</xdr:rowOff>
    </xdr:to>
    <xdr:cxnSp>
      <xdr:nvCxnSpPr>
        <xdr:cNvPr id="9" name="直接连接符 8"/>
        <xdr:cNvCxnSpPr/>
      </xdr:nvCxnSpPr>
      <xdr:spPr>
        <a:xfrm>
          <a:off x="16414750" y="17569180"/>
          <a:ext cx="1584325" cy="2381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57</xdr:row>
      <xdr:rowOff>33655</xdr:rowOff>
    </xdr:from>
    <xdr:to>
      <xdr:col>17</xdr:col>
      <xdr:colOff>9525</xdr:colOff>
      <xdr:row>57</xdr:row>
      <xdr:rowOff>271780</xdr:rowOff>
    </xdr:to>
    <xdr:cxnSp>
      <xdr:nvCxnSpPr>
        <xdr:cNvPr id="10" name="直接连接符 9"/>
        <xdr:cNvCxnSpPr/>
      </xdr:nvCxnSpPr>
      <xdr:spPr>
        <a:xfrm>
          <a:off x="16414750" y="17569180"/>
          <a:ext cx="1584325" cy="2381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57</xdr:row>
      <xdr:rowOff>33655</xdr:rowOff>
    </xdr:from>
    <xdr:to>
      <xdr:col>17</xdr:col>
      <xdr:colOff>9525</xdr:colOff>
      <xdr:row>57</xdr:row>
      <xdr:rowOff>271780</xdr:rowOff>
    </xdr:to>
    <xdr:cxnSp>
      <xdr:nvCxnSpPr>
        <xdr:cNvPr id="11" name="直接连接符 10"/>
        <xdr:cNvCxnSpPr/>
      </xdr:nvCxnSpPr>
      <xdr:spPr>
        <a:xfrm>
          <a:off x="16414750" y="17569180"/>
          <a:ext cx="1584325" cy="2381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57</xdr:row>
      <xdr:rowOff>33655</xdr:rowOff>
    </xdr:from>
    <xdr:to>
      <xdr:col>17</xdr:col>
      <xdr:colOff>9525</xdr:colOff>
      <xdr:row>57</xdr:row>
      <xdr:rowOff>271780</xdr:rowOff>
    </xdr:to>
    <xdr:cxnSp>
      <xdr:nvCxnSpPr>
        <xdr:cNvPr id="12" name="直接连接符 11"/>
        <xdr:cNvCxnSpPr/>
      </xdr:nvCxnSpPr>
      <xdr:spPr>
        <a:xfrm>
          <a:off x="16414750" y="17569180"/>
          <a:ext cx="1584325" cy="2381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57</xdr:row>
      <xdr:rowOff>33655</xdr:rowOff>
    </xdr:from>
    <xdr:to>
      <xdr:col>17</xdr:col>
      <xdr:colOff>9525</xdr:colOff>
      <xdr:row>57</xdr:row>
      <xdr:rowOff>271780</xdr:rowOff>
    </xdr:to>
    <xdr:cxnSp>
      <xdr:nvCxnSpPr>
        <xdr:cNvPr id="13" name="直接连接符 12"/>
        <xdr:cNvCxnSpPr/>
      </xdr:nvCxnSpPr>
      <xdr:spPr>
        <a:xfrm>
          <a:off x="16414750" y="17569180"/>
          <a:ext cx="1584325" cy="2381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57</xdr:row>
      <xdr:rowOff>33655</xdr:rowOff>
    </xdr:from>
    <xdr:to>
      <xdr:col>17</xdr:col>
      <xdr:colOff>9525</xdr:colOff>
      <xdr:row>57</xdr:row>
      <xdr:rowOff>271780</xdr:rowOff>
    </xdr:to>
    <xdr:cxnSp>
      <xdr:nvCxnSpPr>
        <xdr:cNvPr id="14" name="直接连接符 13"/>
        <xdr:cNvCxnSpPr/>
      </xdr:nvCxnSpPr>
      <xdr:spPr>
        <a:xfrm>
          <a:off x="16414750" y="17569180"/>
          <a:ext cx="1584325" cy="2381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57</xdr:row>
      <xdr:rowOff>33655</xdr:rowOff>
    </xdr:from>
    <xdr:to>
      <xdr:col>17</xdr:col>
      <xdr:colOff>9525</xdr:colOff>
      <xdr:row>57</xdr:row>
      <xdr:rowOff>271780</xdr:rowOff>
    </xdr:to>
    <xdr:cxnSp>
      <xdr:nvCxnSpPr>
        <xdr:cNvPr id="15" name="直接连接符 14"/>
        <xdr:cNvCxnSpPr/>
      </xdr:nvCxnSpPr>
      <xdr:spPr>
        <a:xfrm>
          <a:off x="16414750" y="17569180"/>
          <a:ext cx="1584325" cy="2381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57</xdr:row>
      <xdr:rowOff>33655</xdr:rowOff>
    </xdr:from>
    <xdr:to>
      <xdr:col>17</xdr:col>
      <xdr:colOff>9525</xdr:colOff>
      <xdr:row>57</xdr:row>
      <xdr:rowOff>271780</xdr:rowOff>
    </xdr:to>
    <xdr:cxnSp>
      <xdr:nvCxnSpPr>
        <xdr:cNvPr id="16" name="直接连接符 15"/>
        <xdr:cNvCxnSpPr/>
      </xdr:nvCxnSpPr>
      <xdr:spPr>
        <a:xfrm>
          <a:off x="16414750" y="17569180"/>
          <a:ext cx="1584325" cy="2381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57</xdr:row>
      <xdr:rowOff>33655</xdr:rowOff>
    </xdr:from>
    <xdr:to>
      <xdr:col>17</xdr:col>
      <xdr:colOff>9525</xdr:colOff>
      <xdr:row>57</xdr:row>
      <xdr:rowOff>271780</xdr:rowOff>
    </xdr:to>
    <xdr:cxnSp>
      <xdr:nvCxnSpPr>
        <xdr:cNvPr id="17" name="直接连接符 16"/>
        <xdr:cNvCxnSpPr/>
      </xdr:nvCxnSpPr>
      <xdr:spPr>
        <a:xfrm>
          <a:off x="16414750" y="17569180"/>
          <a:ext cx="1584325" cy="2381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57</xdr:row>
      <xdr:rowOff>33655</xdr:rowOff>
    </xdr:from>
    <xdr:to>
      <xdr:col>17</xdr:col>
      <xdr:colOff>9525</xdr:colOff>
      <xdr:row>57</xdr:row>
      <xdr:rowOff>271780</xdr:rowOff>
    </xdr:to>
    <xdr:cxnSp>
      <xdr:nvCxnSpPr>
        <xdr:cNvPr id="18" name="直接连接符 17"/>
        <xdr:cNvCxnSpPr/>
      </xdr:nvCxnSpPr>
      <xdr:spPr>
        <a:xfrm>
          <a:off x="16414750" y="17569180"/>
          <a:ext cx="1584325" cy="23812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_08_rest_of_year\061107%20MSU%20Data%20Capture%20(READ%20ONLY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8.218\_08_rest_of_year\061107%20MSU%20Data%20Capture%20(READ%20ONLY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tatus Sum By Cust"/>
      <sheetName val="Status Summary"/>
      <sheetName val="DPMO_by_Milestone"/>
      <sheetName val="Gant Chart"/>
      <sheetName val="Data Capture"/>
      <sheetName val="Paretos(Cum)FailModes"/>
      <sheetName val="DDDate"/>
      <sheetName val="DDProgName"/>
      <sheetName val="FM SDS"/>
      <sheetName val="FM Int Mgmt"/>
      <sheetName val="FM Diff"/>
      <sheetName val="FM GUI"/>
      <sheetName val="FM Config"/>
      <sheetName val="FM MediaRec"/>
      <sheetName val="FM ML"/>
      <sheetName val="FM DR"/>
      <sheetName val="FM PreATP"/>
      <sheetName val="FM ATP"/>
      <sheetName val="FM PostATP"/>
      <sheetName val="FM SOA"/>
      <sheetName val="FM OnHold"/>
      <sheetName val="FM SSCM"/>
      <sheetName val="FM CloseOut"/>
      <sheetName val="FM field"/>
      <sheetName val="CT Strat Matrix"/>
      <sheetName val="Fail times"/>
      <sheetName val="Help"/>
      <sheetName val="Rac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tatus Sum By Cust"/>
      <sheetName val="Status Summary"/>
      <sheetName val="DPMO_by_Milestone"/>
      <sheetName val="Gant Chart"/>
      <sheetName val="Data Capture"/>
      <sheetName val="Paretos(Cum)FailModes"/>
      <sheetName val="DDDate"/>
      <sheetName val="DDProgName"/>
      <sheetName val="FM SDS"/>
      <sheetName val="FM Int Mgmt"/>
      <sheetName val="FM Diff"/>
      <sheetName val="FM GUI"/>
      <sheetName val="FM Config"/>
      <sheetName val="FM MediaRec"/>
      <sheetName val="FM ML"/>
      <sheetName val="FM DR"/>
      <sheetName val="FM PreATP"/>
      <sheetName val="FM ATP"/>
      <sheetName val="FM PostATP"/>
      <sheetName val="FM SOA"/>
      <sheetName val="FM OnHold"/>
      <sheetName val="FM SSCM"/>
      <sheetName val="FM CloseOut"/>
      <sheetName val="FM field"/>
      <sheetName val="CT Strat Matrix"/>
      <sheetName val="Fail times"/>
      <sheetName val="Help"/>
      <sheetName val="Rac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D45"/>
  <sheetViews>
    <sheetView tabSelected="1" topLeftCell="A6" workbookViewId="0">
      <selection activeCell="B21" sqref="B21"/>
    </sheetView>
  </sheetViews>
  <sheetFormatPr defaultColWidth="7.88333333333333" defaultRowHeight="27" customHeight="1" outlineLevelCol="3"/>
  <cols>
    <col min="1" max="1" width="7.88333333333333" style="121"/>
    <col min="2" max="2" width="64.75" style="502" customWidth="1"/>
    <col min="3" max="3" width="7.88333333333333" style="121"/>
    <col min="4" max="4" width="10" style="121" customWidth="1"/>
    <col min="5" max="16384" width="7.88333333333333" style="121"/>
  </cols>
  <sheetData>
    <row r="1" ht="19" customHeight="1" spans="1:4">
      <c r="A1" s="142" t="s">
        <v>0</v>
      </c>
      <c r="B1" s="503" t="s">
        <v>1</v>
      </c>
      <c r="C1" s="142" t="s">
        <v>2</v>
      </c>
      <c r="D1" s="182" t="s">
        <v>3</v>
      </c>
    </row>
    <row r="2" ht="19" customHeight="1" spans="1:4">
      <c r="A2" s="503" t="s">
        <v>4</v>
      </c>
      <c r="B2" s="504" t="s">
        <v>5</v>
      </c>
      <c r="C2" s="503" t="s">
        <v>6</v>
      </c>
      <c r="D2" s="503" t="s">
        <v>7</v>
      </c>
    </row>
    <row r="3" ht="69" customHeight="1" spans="1:4">
      <c r="A3" s="503" t="s">
        <v>8</v>
      </c>
      <c r="B3" s="504" t="s">
        <v>9</v>
      </c>
      <c r="C3" s="503" t="s">
        <v>6</v>
      </c>
      <c r="D3" s="503" t="s">
        <v>10</v>
      </c>
    </row>
    <row r="4" ht="75" customHeight="1" spans="1:4">
      <c r="A4" s="503" t="s">
        <v>11</v>
      </c>
      <c r="B4" s="504" t="s">
        <v>12</v>
      </c>
      <c r="C4" s="503" t="s">
        <v>6</v>
      </c>
      <c r="D4" s="503" t="s">
        <v>13</v>
      </c>
    </row>
    <row r="5" ht="52" customHeight="1" spans="1:4">
      <c r="A5" s="503" t="s">
        <v>14</v>
      </c>
      <c r="B5" s="504" t="s">
        <v>15</v>
      </c>
      <c r="C5" s="503" t="s">
        <v>6</v>
      </c>
      <c r="D5" s="503" t="s">
        <v>13</v>
      </c>
    </row>
    <row r="6" ht="39" customHeight="1" spans="1:4">
      <c r="A6" s="503" t="s">
        <v>16</v>
      </c>
      <c r="B6" s="504" t="s">
        <v>17</v>
      </c>
      <c r="C6" s="503" t="s">
        <v>6</v>
      </c>
      <c r="D6" s="503" t="s">
        <v>18</v>
      </c>
    </row>
    <row r="7" ht="66" customHeight="1" spans="1:4">
      <c r="A7" s="503" t="s">
        <v>19</v>
      </c>
      <c r="B7" s="504" t="s">
        <v>20</v>
      </c>
      <c r="C7" s="503" t="s">
        <v>6</v>
      </c>
      <c r="D7" s="503" t="s">
        <v>18</v>
      </c>
    </row>
    <row r="8" ht="39" customHeight="1" spans="1:4">
      <c r="A8" s="503" t="s">
        <v>21</v>
      </c>
      <c r="B8" s="504" t="s">
        <v>22</v>
      </c>
      <c r="C8" s="503" t="s">
        <v>6</v>
      </c>
      <c r="D8" s="503" t="s">
        <v>23</v>
      </c>
    </row>
    <row r="9" ht="66" customHeight="1" spans="1:4">
      <c r="A9" s="503" t="s">
        <v>24</v>
      </c>
      <c r="B9" s="504" t="s">
        <v>25</v>
      </c>
      <c r="C9" s="503" t="s">
        <v>6</v>
      </c>
      <c r="D9" s="503" t="s">
        <v>23</v>
      </c>
    </row>
    <row r="10" ht="33" customHeight="1" spans="1:4">
      <c r="A10" s="503" t="s">
        <v>26</v>
      </c>
      <c r="B10" s="504" t="s">
        <v>27</v>
      </c>
      <c r="C10" s="503" t="s">
        <v>6</v>
      </c>
      <c r="D10" s="503" t="s">
        <v>23</v>
      </c>
    </row>
    <row r="11" ht="30" customHeight="1" spans="1:4">
      <c r="A11" s="503" t="s">
        <v>28</v>
      </c>
      <c r="B11" s="504" t="s">
        <v>29</v>
      </c>
      <c r="C11" s="503" t="s">
        <v>6</v>
      </c>
      <c r="D11" s="503" t="s">
        <v>23</v>
      </c>
    </row>
    <row r="12" ht="18" customHeight="1" spans="1:4">
      <c r="A12" s="503" t="s">
        <v>30</v>
      </c>
      <c r="B12" s="505" t="s">
        <v>31</v>
      </c>
      <c r="C12" s="503" t="s">
        <v>6</v>
      </c>
      <c r="D12" s="503" t="s">
        <v>32</v>
      </c>
    </row>
    <row r="13" ht="18" customHeight="1" spans="1:4">
      <c r="A13" s="503" t="s">
        <v>33</v>
      </c>
      <c r="B13" s="504" t="s">
        <v>34</v>
      </c>
      <c r="C13" s="503" t="s">
        <v>6</v>
      </c>
      <c r="D13" s="503" t="s">
        <v>32</v>
      </c>
    </row>
    <row r="14" ht="39" customHeight="1" spans="1:4">
      <c r="A14" s="503" t="s">
        <v>35</v>
      </c>
      <c r="B14" s="504" t="s">
        <v>36</v>
      </c>
      <c r="C14" s="503" t="s">
        <v>6</v>
      </c>
      <c r="D14" s="503" t="s">
        <v>32</v>
      </c>
    </row>
    <row r="15" ht="36" customHeight="1" spans="1:4">
      <c r="A15" s="503" t="s">
        <v>37</v>
      </c>
      <c r="B15" s="504" t="s">
        <v>38</v>
      </c>
      <c r="C15" s="503" t="s">
        <v>6</v>
      </c>
      <c r="D15" s="503" t="s">
        <v>39</v>
      </c>
    </row>
    <row r="16" ht="18" customHeight="1" spans="1:4">
      <c r="A16" s="503" t="s">
        <v>40</v>
      </c>
      <c r="B16" s="504" t="s">
        <v>41</v>
      </c>
      <c r="C16" s="503" t="s">
        <v>6</v>
      </c>
      <c r="D16" s="503" t="s">
        <v>42</v>
      </c>
    </row>
    <row r="17" ht="18" customHeight="1" spans="1:4">
      <c r="A17" s="503" t="s">
        <v>43</v>
      </c>
      <c r="B17" s="504" t="s">
        <v>44</v>
      </c>
      <c r="C17" s="503" t="s">
        <v>6</v>
      </c>
      <c r="D17" s="503" t="s">
        <v>45</v>
      </c>
    </row>
    <row r="18" ht="18" customHeight="1" spans="1:4">
      <c r="A18" s="503" t="s">
        <v>46</v>
      </c>
      <c r="B18" s="504"/>
      <c r="C18" s="503"/>
      <c r="D18" s="503"/>
    </row>
    <row r="19" ht="18" customHeight="1" spans="1:4">
      <c r="A19" s="503" t="s">
        <v>47</v>
      </c>
      <c r="B19" s="504"/>
      <c r="C19" s="503"/>
      <c r="D19" s="503"/>
    </row>
    <row r="20" customHeight="1" spans="1:4">
      <c r="A20" s="503" t="s">
        <v>48</v>
      </c>
      <c r="B20" s="504"/>
      <c r="C20" s="503"/>
      <c r="D20" s="503"/>
    </row>
    <row r="21" ht="18" customHeight="1" spans="1:4">
      <c r="A21" s="503" t="s">
        <v>49</v>
      </c>
      <c r="B21" s="506"/>
      <c r="C21" s="503"/>
      <c r="D21" s="503"/>
    </row>
    <row r="22" ht="17" customHeight="1" spans="1:4">
      <c r="A22" s="503" t="s">
        <v>50</v>
      </c>
      <c r="B22" s="504"/>
      <c r="C22" s="503"/>
      <c r="D22" s="503"/>
    </row>
    <row r="23" ht="22" customHeight="1" spans="1:4">
      <c r="A23" s="503" t="s">
        <v>51</v>
      </c>
      <c r="B23" s="506"/>
      <c r="C23" s="503"/>
      <c r="D23" s="503"/>
    </row>
    <row r="24" customHeight="1" spans="1:4">
      <c r="A24" s="503" t="s">
        <v>52</v>
      </c>
      <c r="B24" s="504"/>
      <c r="C24" s="503"/>
      <c r="D24" s="503"/>
    </row>
    <row r="25" customHeight="1" spans="1:4">
      <c r="A25" s="503" t="s">
        <v>53</v>
      </c>
      <c r="C25" s="503"/>
      <c r="D25" s="503"/>
    </row>
    <row r="26" customHeight="1" spans="1:4">
      <c r="A26" s="503" t="s">
        <v>54</v>
      </c>
      <c r="B26" s="506"/>
      <c r="C26" s="503"/>
      <c r="D26" s="503"/>
    </row>
    <row r="27" customHeight="1" spans="1:4">
      <c r="A27" s="503" t="s">
        <v>55</v>
      </c>
      <c r="B27" s="504"/>
      <c r="C27" s="507"/>
      <c r="D27" s="182"/>
    </row>
    <row r="28" customHeight="1" spans="1:4">
      <c r="A28" s="503" t="s">
        <v>56</v>
      </c>
      <c r="B28" s="504"/>
      <c r="C28" s="507"/>
      <c r="D28" s="182"/>
    </row>
    <row r="29" customHeight="1" spans="1:4">
      <c r="A29" s="503" t="s">
        <v>57</v>
      </c>
      <c r="B29" s="504"/>
      <c r="C29" s="507"/>
      <c r="D29" s="182"/>
    </row>
    <row r="30" customHeight="1" spans="1:4">
      <c r="A30" s="503" t="s">
        <v>58</v>
      </c>
      <c r="B30" s="506"/>
      <c r="C30" s="507"/>
      <c r="D30" s="182"/>
    </row>
    <row r="31" customHeight="1" spans="1:4">
      <c r="A31" s="503" t="s">
        <v>59</v>
      </c>
      <c r="B31" s="506"/>
      <c r="C31" s="507"/>
      <c r="D31" s="182"/>
    </row>
    <row r="32" customHeight="1" spans="1:4">
      <c r="A32" s="503" t="s">
        <v>60</v>
      </c>
      <c r="B32" s="506"/>
      <c r="C32" s="507"/>
      <c r="D32" s="182"/>
    </row>
    <row r="33" customHeight="1" spans="1:4">
      <c r="A33" s="503" t="s">
        <v>61</v>
      </c>
      <c r="B33" s="506"/>
      <c r="C33" s="507"/>
      <c r="D33" s="182"/>
    </row>
    <row r="34" customHeight="1" spans="1:4">
      <c r="A34" s="503" t="s">
        <v>62</v>
      </c>
      <c r="B34" s="506"/>
      <c r="C34" s="507"/>
      <c r="D34" s="182"/>
    </row>
    <row r="35" customHeight="1" spans="1:4">
      <c r="A35" s="503" t="s">
        <v>63</v>
      </c>
      <c r="B35" s="506"/>
      <c r="C35" s="507"/>
      <c r="D35" s="182"/>
    </row>
    <row r="36" customHeight="1" spans="1:4">
      <c r="A36" s="503" t="s">
        <v>64</v>
      </c>
      <c r="B36" s="506"/>
      <c r="C36" s="507"/>
      <c r="D36" s="182"/>
    </row>
    <row r="37" customHeight="1" spans="1:4">
      <c r="A37" s="503" t="s">
        <v>65</v>
      </c>
      <c r="B37" s="506"/>
      <c r="C37" s="507"/>
      <c r="D37" s="142"/>
    </row>
    <row r="38" customHeight="1" spans="1:4">
      <c r="A38" s="503" t="s">
        <v>66</v>
      </c>
      <c r="B38" s="506"/>
      <c r="C38" s="507"/>
      <c r="D38" s="142"/>
    </row>
    <row r="39" customHeight="1" spans="1:4">
      <c r="A39" s="503" t="s">
        <v>67</v>
      </c>
      <c r="B39" s="506"/>
      <c r="C39" s="507"/>
      <c r="D39" s="142"/>
    </row>
    <row r="40" customHeight="1" spans="1:4">
      <c r="A40" s="503" t="s">
        <v>68</v>
      </c>
      <c r="B40" s="506"/>
      <c r="C40" s="507"/>
      <c r="D40" s="142"/>
    </row>
    <row r="41" customHeight="1" spans="1:4">
      <c r="A41" s="503" t="s">
        <v>69</v>
      </c>
      <c r="B41" s="506"/>
      <c r="C41" s="507"/>
      <c r="D41" s="142"/>
    </row>
    <row r="42" customHeight="1" spans="1:4">
      <c r="A42" s="503" t="s">
        <v>70</v>
      </c>
      <c r="B42" s="503"/>
      <c r="C42" s="142"/>
      <c r="D42" s="142"/>
    </row>
    <row r="43" customHeight="1" spans="1:4">
      <c r="A43" s="503" t="s">
        <v>71</v>
      </c>
      <c r="B43" s="503"/>
      <c r="C43" s="142"/>
      <c r="D43" s="142"/>
    </row>
    <row r="44" customHeight="1" spans="1:4">
      <c r="A44" s="503" t="s">
        <v>72</v>
      </c>
      <c r="B44" s="503"/>
      <c r="C44" s="142"/>
      <c r="D44" s="142"/>
    </row>
    <row r="45" customHeight="1" spans="1:4">
      <c r="A45" s="503" t="s">
        <v>73</v>
      </c>
      <c r="B45" s="503"/>
      <c r="C45" s="142"/>
      <c r="D45" s="142"/>
    </row>
  </sheetData>
  <pageMargins left="0.699305555555556" right="0.699305555555556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M59"/>
  <sheetViews>
    <sheetView zoomScale="90" zoomScaleNormal="90" workbookViewId="0">
      <pane xSplit="7" ySplit="4" topLeftCell="AC31" activePane="bottomRight" state="frozen"/>
      <selection/>
      <selection pane="topRight"/>
      <selection pane="bottomLeft"/>
      <selection pane="bottomRight" activeCell="AL17" sqref="AL17"/>
    </sheetView>
  </sheetViews>
  <sheetFormatPr defaultColWidth="8" defaultRowHeight="12.75"/>
  <cols>
    <col min="1" max="1" width="3.25833333333333" style="2" customWidth="1"/>
    <col min="2" max="2" width="7.63333333333333" style="428" customWidth="1"/>
    <col min="3" max="3" width="6.14166666666667" style="2" customWidth="1"/>
    <col min="4" max="4" width="4.41666666666667" style="3" customWidth="1"/>
    <col min="5" max="5" width="3.25833333333333" style="3" customWidth="1"/>
    <col min="6" max="6" width="30.5833333333333" style="4" customWidth="1"/>
    <col min="7" max="7" width="38.9666666666667" style="3" customWidth="1"/>
    <col min="8" max="8" width="29.525" style="3" customWidth="1"/>
    <col min="9" max="10" width="5.15" style="3" customWidth="1"/>
    <col min="11" max="11" width="5.30833333333333" style="3" customWidth="1"/>
    <col min="12" max="13" width="4.83333333333333" style="3" customWidth="1"/>
    <col min="14" max="14" width="22.6416666666667" style="3" customWidth="1"/>
    <col min="15" max="15" width="21.8833333333333" style="3" customWidth="1"/>
    <col min="16" max="16" width="21.5583333333333" style="3" customWidth="1"/>
    <col min="17" max="17" width="20.9416666666667" style="3" customWidth="1"/>
    <col min="18" max="18" width="30.15" style="5" customWidth="1"/>
    <col min="19" max="19" width="41.6083333333333" style="5" customWidth="1"/>
    <col min="20" max="20" width="27.7916666666667" style="5" customWidth="1"/>
    <col min="21" max="21" width="11.8583333333333" style="5" customWidth="1"/>
    <col min="22" max="22" width="4.99166666666667" style="3" customWidth="1"/>
    <col min="23" max="23" width="5.63333333333333" style="3" customWidth="1"/>
    <col min="24" max="24" width="12.35" style="429" customWidth="1"/>
    <col min="25" max="26" width="8.75833333333333" style="3" customWidth="1"/>
    <col min="27" max="27" width="4.88333333333333" style="3" customWidth="1"/>
    <col min="28" max="30" width="4.88333333333333" style="6" customWidth="1"/>
    <col min="31" max="32" width="4.88333333333333" style="3" customWidth="1"/>
    <col min="33" max="33" width="8.63333333333333" style="3" customWidth="1"/>
    <col min="34" max="34" width="10.5083333333333" style="430" customWidth="1"/>
    <col min="35" max="35" width="10.1416666666667" style="3" customWidth="1"/>
    <col min="36" max="36" width="6.50833333333333" style="429" customWidth="1"/>
    <col min="37" max="37" width="6.50833333333333" style="217" customWidth="1"/>
    <col min="38" max="38" width="11.3833333333333" style="217" customWidth="1"/>
    <col min="39" max="39" width="7.65833333333333" style="8" customWidth="1"/>
    <col min="40" max="16384" width="8" style="2"/>
  </cols>
  <sheetData>
    <row r="1" ht="13.5" spans="1:13">
      <c r="A1" s="431"/>
      <c r="B1" s="432"/>
      <c r="C1" s="431"/>
      <c r="D1" s="433"/>
      <c r="E1" s="433"/>
      <c r="F1" s="12"/>
      <c r="G1" s="12"/>
      <c r="H1" s="12"/>
      <c r="I1" s="12"/>
      <c r="J1" s="12"/>
      <c r="K1" s="12"/>
      <c r="L1" s="12"/>
      <c r="M1" s="12"/>
    </row>
    <row r="2" ht="18.95" customHeight="1" spans="1:39">
      <c r="A2" s="434"/>
      <c r="B2" s="435"/>
      <c r="C2" s="436"/>
      <c r="D2" s="436"/>
      <c r="E2" s="436"/>
      <c r="F2" s="437" t="s">
        <v>74</v>
      </c>
      <c r="G2" s="199"/>
      <c r="H2" s="252"/>
      <c r="I2" s="457" t="s">
        <v>75</v>
      </c>
      <c r="J2" s="457"/>
      <c r="K2" s="457"/>
      <c r="L2" s="15" t="s">
        <v>76</v>
      </c>
      <c r="M2" s="36"/>
      <c r="N2" s="324" t="s">
        <v>77</v>
      </c>
      <c r="O2" s="325"/>
      <c r="P2" s="458" t="s">
        <v>78</v>
      </c>
      <c r="Q2" s="465"/>
      <c r="R2" s="466" t="s">
        <v>79</v>
      </c>
      <c r="S2" s="467"/>
      <c r="T2" s="468" t="s">
        <v>80</v>
      </c>
      <c r="U2" s="469" t="s">
        <v>81</v>
      </c>
      <c r="V2" s="470"/>
      <c r="W2" s="470"/>
      <c r="X2" s="471"/>
      <c r="Y2" s="470"/>
      <c r="Z2" s="487"/>
      <c r="AA2" s="14" t="s">
        <v>82</v>
      </c>
      <c r="AB2" s="14"/>
      <c r="AC2" s="14"/>
      <c r="AD2" s="14"/>
      <c r="AE2" s="488"/>
      <c r="AF2" s="488"/>
      <c r="AG2" s="55"/>
      <c r="AH2" s="65" t="s">
        <v>83</v>
      </c>
      <c r="AI2" s="65"/>
      <c r="AJ2" s="266" t="s">
        <v>84</v>
      </c>
      <c r="AK2" s="331"/>
      <c r="AL2" s="493" t="s">
        <v>85</v>
      </c>
      <c r="AM2" s="494" t="s">
        <v>86</v>
      </c>
    </row>
    <row r="3" ht="18" customHeight="1" spans="1:39">
      <c r="A3" s="438" t="s">
        <v>87</v>
      </c>
      <c r="B3" s="439" t="s">
        <v>88</v>
      </c>
      <c r="C3" s="440" t="s">
        <v>89</v>
      </c>
      <c r="D3" s="440" t="s">
        <v>90</v>
      </c>
      <c r="E3" s="440" t="s">
        <v>91</v>
      </c>
      <c r="F3" s="440" t="s">
        <v>92</v>
      </c>
      <c r="G3" s="440" t="s">
        <v>93</v>
      </c>
      <c r="H3" s="440" t="s">
        <v>94</v>
      </c>
      <c r="I3" s="21" t="s">
        <v>95</v>
      </c>
      <c r="J3" s="21" t="s">
        <v>96</v>
      </c>
      <c r="K3" s="21" t="s">
        <v>97</v>
      </c>
      <c r="L3" s="41" t="s">
        <v>98</v>
      </c>
      <c r="M3" s="41" t="s">
        <v>99</v>
      </c>
      <c r="N3" s="201" t="s">
        <v>100</v>
      </c>
      <c r="O3" s="201" t="s">
        <v>101</v>
      </c>
      <c r="P3" s="459" t="s">
        <v>100</v>
      </c>
      <c r="Q3" s="459" t="s">
        <v>101</v>
      </c>
      <c r="R3" s="472" t="s">
        <v>102</v>
      </c>
      <c r="S3" s="44" t="s">
        <v>103</v>
      </c>
      <c r="T3" s="473" t="s">
        <v>104</v>
      </c>
      <c r="U3" s="24" t="s">
        <v>105</v>
      </c>
      <c r="V3" s="24" t="s">
        <v>106</v>
      </c>
      <c r="W3" s="69" t="s">
        <v>107</v>
      </c>
      <c r="X3" s="274" t="s">
        <v>108</v>
      </c>
      <c r="Y3" s="26" t="s">
        <v>109</v>
      </c>
      <c r="Z3" s="24" t="s">
        <v>110</v>
      </c>
      <c r="AA3" s="24" t="s">
        <v>111</v>
      </c>
      <c r="AB3" s="24" t="s">
        <v>112</v>
      </c>
      <c r="AC3" s="24" t="s">
        <v>113</v>
      </c>
      <c r="AD3" s="24" t="s">
        <v>114</v>
      </c>
      <c r="AE3" s="489" t="s">
        <v>115</v>
      </c>
      <c r="AF3" s="489" t="s">
        <v>116</v>
      </c>
      <c r="AG3" s="24" t="s">
        <v>117</v>
      </c>
      <c r="AH3" s="495" t="s">
        <v>118</v>
      </c>
      <c r="AI3" s="69" t="s">
        <v>119</v>
      </c>
      <c r="AJ3" s="496" t="s">
        <v>120</v>
      </c>
      <c r="AK3" s="497" t="s">
        <v>121</v>
      </c>
      <c r="AL3" s="498"/>
      <c r="AM3" s="56" t="s">
        <v>86</v>
      </c>
    </row>
    <row r="4" ht="106" customHeight="1" spans="1:39">
      <c r="A4" s="441"/>
      <c r="B4" s="442"/>
      <c r="C4" s="443"/>
      <c r="D4" s="444"/>
      <c r="E4" s="443"/>
      <c r="F4" s="443"/>
      <c r="G4" s="443"/>
      <c r="H4" s="443"/>
      <c r="I4" s="244"/>
      <c r="J4" s="244"/>
      <c r="K4" s="244"/>
      <c r="L4" s="253"/>
      <c r="M4" s="253"/>
      <c r="N4" s="326"/>
      <c r="O4" s="326"/>
      <c r="P4" s="460"/>
      <c r="Q4" s="460"/>
      <c r="R4" s="474"/>
      <c r="S4" s="475"/>
      <c r="T4" s="476"/>
      <c r="U4" s="115"/>
      <c r="V4" s="115"/>
      <c r="W4" s="113"/>
      <c r="X4" s="117"/>
      <c r="Y4" s="490"/>
      <c r="Z4" s="115"/>
      <c r="AA4" s="115"/>
      <c r="AB4" s="115"/>
      <c r="AC4" s="115"/>
      <c r="AD4" s="115"/>
      <c r="AE4" s="491"/>
      <c r="AF4" s="491"/>
      <c r="AG4" s="115"/>
      <c r="AH4" s="495"/>
      <c r="AI4" s="113"/>
      <c r="AJ4" s="269"/>
      <c r="AK4" s="333"/>
      <c r="AL4" s="499"/>
      <c r="AM4" s="56"/>
    </row>
    <row r="5" s="427" customFormat="1" ht="23.1" customHeight="1" spans="1:39">
      <c r="A5" s="156">
        <v>1</v>
      </c>
      <c r="B5" s="279"/>
      <c r="C5" s="445" t="s">
        <v>122</v>
      </c>
      <c r="D5" s="446" t="s">
        <v>123</v>
      </c>
      <c r="E5" s="447">
        <v>1</v>
      </c>
      <c r="F5" s="448" t="s">
        <v>124</v>
      </c>
      <c r="G5" s="448" t="s">
        <v>125</v>
      </c>
      <c r="H5" s="448" t="str">
        <f>G5&amp;" (T)"</f>
        <v>100 Yards (T)</v>
      </c>
      <c r="I5" s="461" t="s">
        <v>126</v>
      </c>
      <c r="J5" s="461" t="s">
        <v>126</v>
      </c>
      <c r="K5" s="461" t="s">
        <v>126</v>
      </c>
      <c r="L5" s="461" t="s">
        <v>126</v>
      </c>
      <c r="M5" s="461" t="s">
        <v>126</v>
      </c>
      <c r="N5" s="366" t="s">
        <v>127</v>
      </c>
      <c r="O5" s="462" t="s">
        <v>127</v>
      </c>
      <c r="P5" s="463" t="s">
        <v>128</v>
      </c>
      <c r="Q5" s="477" t="s">
        <v>128</v>
      </c>
      <c r="R5" s="245" t="str">
        <f>CONCATENATE(RemovePunctuation(G5),"_","i4K","_","CA_",C5,"_",AK5,"_",PROPER(AA5),IF(AB5="",PROPER(AA5),PROPER(AB5)),PROPER(AC5),PROPER(AD5),PROPER(AE5),IF(AE5&lt;&gt;"","SUB",""),PROPER(AF5),IF(AF5&lt;&gt;"","SUB",""),"_","Ed","_","M1",".mpg")</f>
        <v>100Yards_i4K_CA_0125_43_ZhoZhoZhoSUB_Ed_M1.mpg</v>
      </c>
      <c r="S5" s="245" t="str">
        <f>CONCATENATE(RemovePunctuation(G5),"_","i5K","_","CA_",C5,"_",AJ5,"_",PROPER(AA5),IF(AB5="",PROPER(AA5),PROPER(AB5)),PROPER(AC5),PROPER(AD5),PROPER(AE5),IF(AE5&lt;&gt;"","SUB",""),PROPER(AF5),IF(AF5&lt;&gt;"","SUB",""),"_","Ed","_","M4",".mpg")</f>
        <v>100Yards_i5K_CA_0125_169_ZhoZhoZhoSUB_Ed_M4.mpg</v>
      </c>
      <c r="T5" s="478" t="str">
        <f>CONCATENATE(RemovePunctuation(G5),"TR","_CA","_",C5,"_",AJ5,"_",PROPER(AA5),PROPER(AA5),"_","Ed","_","M2",".mpg")</f>
        <v>100YardsTR_CA_0125_169_ZhoZho_Ed_M2.mpg</v>
      </c>
      <c r="U5" s="479" t="s">
        <v>129</v>
      </c>
      <c r="V5" s="480"/>
      <c r="W5" s="481" t="s">
        <v>130</v>
      </c>
      <c r="X5" s="482">
        <v>2024</v>
      </c>
      <c r="Y5" s="492" t="s">
        <v>131</v>
      </c>
      <c r="Z5" s="492" t="s">
        <v>131</v>
      </c>
      <c r="AA5" s="492" t="s">
        <v>132</v>
      </c>
      <c r="AB5" s="492"/>
      <c r="AC5" s="492"/>
      <c r="AD5" s="492"/>
      <c r="AE5" s="492" t="s">
        <v>132</v>
      </c>
      <c r="AF5" s="492"/>
      <c r="AG5" s="118">
        <f>ROUNDUP(HOUR(AH5)*60+MINUTE(AH5)+SECOND(AH5)/60,0)</f>
        <v>109</v>
      </c>
      <c r="AH5" s="402">
        <v>0.0753009259259259</v>
      </c>
      <c r="AI5" s="120">
        <f>AG5*60</f>
        <v>6540</v>
      </c>
      <c r="AJ5" s="272">
        <v>169</v>
      </c>
      <c r="AK5" s="272">
        <v>43</v>
      </c>
      <c r="AL5" s="500">
        <v>0.000868055555555556</v>
      </c>
      <c r="AM5" s="501" t="s">
        <v>133</v>
      </c>
    </row>
    <row r="6" s="427" customFormat="1" ht="23.1" customHeight="1" spans="1:39">
      <c r="A6" s="156">
        <v>2</v>
      </c>
      <c r="B6" s="279"/>
      <c r="C6" s="445" t="s">
        <v>122</v>
      </c>
      <c r="D6" s="446"/>
      <c r="E6" s="447">
        <v>2</v>
      </c>
      <c r="F6" s="448" t="s">
        <v>134</v>
      </c>
      <c r="G6" s="448" t="s">
        <v>135</v>
      </c>
      <c r="H6" s="448" t="str">
        <f t="shared" ref="H6:H37" si="0">G6&amp;" (T)"</f>
        <v>The Pig, the Snake, and the Pigeon (T)</v>
      </c>
      <c r="I6" s="461" t="s">
        <v>126</v>
      </c>
      <c r="J6" s="461" t="s">
        <v>126</v>
      </c>
      <c r="K6" s="461" t="s">
        <v>126</v>
      </c>
      <c r="L6" s="461" t="s">
        <v>126</v>
      </c>
      <c r="M6" s="461" t="s">
        <v>126</v>
      </c>
      <c r="N6" s="366" t="s">
        <v>136</v>
      </c>
      <c r="O6" s="462" t="s">
        <v>136</v>
      </c>
      <c r="P6" s="463" t="s">
        <v>137</v>
      </c>
      <c r="Q6" s="477" t="s">
        <v>137</v>
      </c>
      <c r="R6" s="245" t="str">
        <f>CONCATENATE(RemovePunctuation(G6),"_","i4K","_","CA_",C6,"_",AK6,"_",PROPER(AA6),IF(AB6="",PROPER(AA6),PROPER(AB6)),PROPER(AC6),PROPER(AD6),PROPER(AE6),IF(AE6&lt;&gt;"","SUB",""),PROPER(AF6),IF(AF6&lt;&gt;"","SUB",""),"_","Ed","_","M1",".mpg")</f>
        <v>ThePigtheSnakeandthePigeon_i4K_CA_0125_43_ZhoZhoEngSUBZhoSUB_Ed_M1.mpg</v>
      </c>
      <c r="S6" s="245" t="str">
        <f>CONCATENATE(RemovePunctuation(G6),"_","i5K","_","CA_",C6,"_",AJ6,"_",PROPER(AA6),IF(AB6="",PROPER(AA6),PROPER(AB6)),PROPER(AC6),PROPER(AD6),PROPER(AE6),IF(AE6&lt;&gt;"","SUB",""),PROPER(AF6),IF(AF6&lt;&gt;"","SUB",""),"_","Ed","_","M4",".mpg")</f>
        <v>ThePigtheSnakeandthePigeon_i5K_CA_0125_169_ZhoZhoEngSUBZhoSUB_Ed_M4.mpg</v>
      </c>
      <c r="T6" s="478" t="str">
        <f>CONCATENATE(RemovePunctuation(G6),"TR","_CA","_",C6,"_",AJ6,"_",PROPER(AA6),PROPER(AA6),"_","Ed","_","M2",".mpg")</f>
        <v>ThePigtheSnakeandthePigeonTR_CA_0125_169_ZhoZho_Ed_M2.mpg</v>
      </c>
      <c r="U6" s="479" t="s">
        <v>129</v>
      </c>
      <c r="V6" s="480"/>
      <c r="W6" s="481" t="s">
        <v>130</v>
      </c>
      <c r="X6" s="482">
        <v>2024</v>
      </c>
      <c r="Y6" s="492" t="s">
        <v>131</v>
      </c>
      <c r="Z6" s="492" t="s">
        <v>131</v>
      </c>
      <c r="AA6" s="492" t="s">
        <v>132</v>
      </c>
      <c r="AB6" s="492"/>
      <c r="AC6" s="492"/>
      <c r="AD6" s="492"/>
      <c r="AE6" s="492" t="s">
        <v>138</v>
      </c>
      <c r="AF6" s="492" t="s">
        <v>132</v>
      </c>
      <c r="AG6" s="118">
        <f>ROUNDUP(HOUR(AH6)*60+MINUTE(AH6)+SECOND(AH6)/60,0)</f>
        <v>130</v>
      </c>
      <c r="AH6" s="402">
        <v>0.0899189814814815</v>
      </c>
      <c r="AI6" s="120">
        <f>AG6*60</f>
        <v>7800</v>
      </c>
      <c r="AJ6" s="272">
        <v>169</v>
      </c>
      <c r="AK6" s="272">
        <v>43</v>
      </c>
      <c r="AL6" s="500">
        <v>0.000648148148148148</v>
      </c>
      <c r="AM6" s="501" t="s">
        <v>133</v>
      </c>
    </row>
    <row r="7" s="427" customFormat="1" ht="23.1" customHeight="1" spans="1:39">
      <c r="A7" s="156">
        <v>3</v>
      </c>
      <c r="B7" s="279"/>
      <c r="C7" s="445" t="s">
        <v>122</v>
      </c>
      <c r="D7" s="446"/>
      <c r="E7" s="447">
        <v>3</v>
      </c>
      <c r="F7" s="448" t="s">
        <v>139</v>
      </c>
      <c r="G7" s="448" t="s">
        <v>140</v>
      </c>
      <c r="H7" s="448" t="str">
        <f t="shared" si="0"/>
        <v>Hamilton: I Nationens Interesse (T)</v>
      </c>
      <c r="I7" s="461" t="s">
        <v>126</v>
      </c>
      <c r="J7" s="461" t="s">
        <v>126</v>
      </c>
      <c r="K7" s="461" t="s">
        <v>126</v>
      </c>
      <c r="L7" s="461" t="s">
        <v>126</v>
      </c>
      <c r="M7" s="461" t="s">
        <v>126</v>
      </c>
      <c r="N7" s="366" t="s">
        <v>141</v>
      </c>
      <c r="O7" s="462" t="s">
        <v>141</v>
      </c>
      <c r="P7" s="463" t="s">
        <v>142</v>
      </c>
      <c r="Q7" s="477" t="s">
        <v>142</v>
      </c>
      <c r="R7" s="245" t="str">
        <f>CONCATENATE(RemovePunctuation(G7),"_","i4K","_","CA_",C7,"_",AK7,"_",PROPER(AA7),IF(AB7="",PROPER(AA7),PROPER(AB7)),PROPER(AC7),PROPER(AD7),PROPER(AE7),IF(AE7&lt;&gt;"","SUB",""),PROPER(AF7),IF(AF7&lt;&gt;"","SUB",""),"_","Ed","_","M1",".mpg")</f>
        <v>HamiltonINationensInteresse_i4K_CA_0125_43_SweSweEngSUBZhoSUB_Ed_M1.mpg</v>
      </c>
      <c r="S7" s="245" t="str">
        <f>CONCATENATE(RemovePunctuation(G7),"_","i5K","_","CA_",C7,"_",AJ7,"_",PROPER(AA7),IF(AB7="",PROPER(AA7),PROPER(AB7)),PROPER(AC7),PROPER(AD7),PROPER(AE7),IF(AE7&lt;&gt;"","SUB",""),PROPER(AF7),IF(AF7&lt;&gt;"","SUB",""),"_","Ed","_","M4",".mpg")</f>
        <v>HamiltonINationensInteresse_i5K_CA_0125_169_SweSweEngSUBZhoSUB_Ed_M4.mpg</v>
      </c>
      <c r="T7" s="478" t="str">
        <f>CONCATENATE(RemovePunctuation(G7),"TR","_CA","_",C7,"_",AJ7,"_",PROPER(AA7),PROPER(AA7),"_","Ed","_","M2",".mpg")</f>
        <v>HamiltonINationensInteresseTR_CA_0125_169_SweSwe_Ed_M2.mpg</v>
      </c>
      <c r="U7" s="479" t="s">
        <v>129</v>
      </c>
      <c r="V7" s="480"/>
      <c r="W7" s="481" t="s">
        <v>130</v>
      </c>
      <c r="X7" s="482">
        <v>2016</v>
      </c>
      <c r="Y7" s="492" t="s">
        <v>131</v>
      </c>
      <c r="Z7" s="492" t="s">
        <v>131</v>
      </c>
      <c r="AA7" s="492" t="s">
        <v>143</v>
      </c>
      <c r="AB7" s="492"/>
      <c r="AC7" s="492"/>
      <c r="AD7" s="492"/>
      <c r="AE7" s="492" t="s">
        <v>138</v>
      </c>
      <c r="AF7" s="492" t="s">
        <v>132</v>
      </c>
      <c r="AG7" s="118">
        <f>ROUNDUP(HOUR(AH7)*60+MINUTE(AH7)+SECOND(AH7)/60,0)</f>
        <v>110</v>
      </c>
      <c r="AH7" s="402">
        <v>0.075787037037037</v>
      </c>
      <c r="AI7" s="120">
        <f>AG7*60</f>
        <v>6600</v>
      </c>
      <c r="AJ7" s="272">
        <v>169</v>
      </c>
      <c r="AK7" s="272">
        <v>43</v>
      </c>
      <c r="AL7" s="500">
        <v>0.000949074074074074</v>
      </c>
      <c r="AM7" s="501" t="s">
        <v>144</v>
      </c>
    </row>
    <row r="8" s="427" customFormat="1" ht="23.1" customHeight="1" spans="1:39">
      <c r="A8" s="156">
        <v>4</v>
      </c>
      <c r="B8" s="279"/>
      <c r="C8" s="445" t="s">
        <v>122</v>
      </c>
      <c r="D8" s="449" t="s">
        <v>145</v>
      </c>
      <c r="E8" s="447">
        <v>1</v>
      </c>
      <c r="F8" s="448" t="s">
        <v>146</v>
      </c>
      <c r="G8" s="448" t="s">
        <v>147</v>
      </c>
      <c r="H8" s="448" t="str">
        <f t="shared" si="0"/>
        <v>Enjoy Yourself (T)</v>
      </c>
      <c r="I8" s="461" t="s">
        <v>126</v>
      </c>
      <c r="J8" s="461" t="s">
        <v>126</v>
      </c>
      <c r="K8" s="461" t="s">
        <v>126</v>
      </c>
      <c r="L8" s="461" t="s">
        <v>126</v>
      </c>
      <c r="M8" s="461" t="s">
        <v>126</v>
      </c>
      <c r="N8" s="366" t="s">
        <v>148</v>
      </c>
      <c r="O8" s="462" t="s">
        <v>148</v>
      </c>
      <c r="P8" s="463" t="s">
        <v>149</v>
      </c>
      <c r="Q8" s="477" t="s">
        <v>149</v>
      </c>
      <c r="R8" s="245" t="str">
        <f>CONCATENATE(RemovePunctuation(G8),"_","i4K","_","CA_",C8,"_",AK8,"_",PROPER(AA8),IF(AB8="",PROPER(AA8),PROPER(AB8)),PROPER(AC8),PROPER(AD8),PROPER(AE8),IF(AE8&lt;&gt;"","SUB",""),PROPER(AF8),IF(AF8&lt;&gt;"","SUB",""),"_","Ed","_","M1",".mpg")</f>
        <v>EnjoyYourself_i4K_CA_0125_43_ZhoZhoEngSUBZhoSUB_Ed_M1.mpg</v>
      </c>
      <c r="S8" s="245" t="str">
        <f>CONCATENATE(RemovePunctuation(G8),"_","i5K","_","CA_",C8,"_",AJ8,"_",PROPER(AA8),IF(AB8="",PROPER(AA8),PROPER(AB8)),PROPER(AC8),PROPER(AD8),PROPER(AE8),IF(AE8&lt;&gt;"","SUB",""),PROPER(AF8),IF(AF8&lt;&gt;"","SUB",""),"_","Ed","_","M4",".mpg")</f>
        <v>EnjoyYourself_i5K_CA_0125_169_ZhoZhoEngSUBZhoSUB_Ed_M4.mpg</v>
      </c>
      <c r="T8" s="478" t="str">
        <f>CONCATENATE(RemovePunctuation(G8),"TR","_CA","_",C8,"_",AJ8,"_",PROPER(AA8),PROPER(AA8),"_","Ed","_","M2",".mpg")</f>
        <v>EnjoyYourselfTR_CA_0125_169_ZhoZho_Ed_M2.mpg</v>
      </c>
      <c r="U8" s="479" t="s">
        <v>129</v>
      </c>
      <c r="V8" s="480"/>
      <c r="W8" s="481" t="s">
        <v>130</v>
      </c>
      <c r="X8" s="482">
        <v>2024</v>
      </c>
      <c r="Y8" s="492" t="s">
        <v>131</v>
      </c>
      <c r="Z8" s="492" t="s">
        <v>131</v>
      </c>
      <c r="AA8" s="492" t="s">
        <v>132</v>
      </c>
      <c r="AB8" s="492"/>
      <c r="AC8" s="492"/>
      <c r="AD8" s="492"/>
      <c r="AE8" s="492" t="s">
        <v>138</v>
      </c>
      <c r="AF8" s="492" t="s">
        <v>132</v>
      </c>
      <c r="AG8" s="118">
        <f t="shared" ref="AG8:AG33" si="1">ROUNDUP(HOUR(AH8)*60+MINUTE(AH8)+SECOND(AH8)/60,0)</f>
        <v>113</v>
      </c>
      <c r="AH8" s="402">
        <v>0.0783217592592593</v>
      </c>
      <c r="AI8" s="120">
        <f t="shared" ref="AI8:AI33" si="2">AG8*60</f>
        <v>6780</v>
      </c>
      <c r="AJ8" s="272">
        <v>169</v>
      </c>
      <c r="AK8" s="272">
        <v>43</v>
      </c>
      <c r="AL8" s="500">
        <v>0.00125</v>
      </c>
      <c r="AM8" s="501" t="s">
        <v>133</v>
      </c>
    </row>
    <row r="9" s="427" customFormat="1" ht="23.1" customHeight="1" spans="1:39">
      <c r="A9" s="156">
        <v>5</v>
      </c>
      <c r="B9" s="279"/>
      <c r="C9" s="445" t="s">
        <v>122</v>
      </c>
      <c r="D9" s="450"/>
      <c r="E9" s="447">
        <v>2</v>
      </c>
      <c r="F9" s="448" t="s">
        <v>150</v>
      </c>
      <c r="G9" s="448" t="s">
        <v>151</v>
      </c>
      <c r="H9" s="448" t="str">
        <f t="shared" si="0"/>
        <v>No More Bets (T)</v>
      </c>
      <c r="I9" s="461" t="s">
        <v>126</v>
      </c>
      <c r="J9" s="461" t="s">
        <v>126</v>
      </c>
      <c r="K9" s="461" t="s">
        <v>126</v>
      </c>
      <c r="L9" s="461" t="s">
        <v>126</v>
      </c>
      <c r="M9" s="461" t="s">
        <v>126</v>
      </c>
      <c r="N9" s="366" t="s">
        <v>152</v>
      </c>
      <c r="O9" s="462" t="s">
        <v>152</v>
      </c>
      <c r="P9" s="463" t="s">
        <v>153</v>
      </c>
      <c r="Q9" s="477" t="s">
        <v>153</v>
      </c>
      <c r="R9" s="245" t="str">
        <f>CONCATENATE(RemovePunctuation(G9),"_","i4K","_","CA_",C9,"_",AK9,"_",PROPER(AA9),IF(AB9="",PROPER(AA9),PROPER(AB9)),PROPER(AC9),PROPER(AD9),PROPER(AE9),IF(AE9&lt;&gt;"","SUB",""),PROPER(AF9),IF(AF9&lt;&gt;"","SUB",""),"_","Ed","_","M1",".mpg")</f>
        <v>NoMoreBets_i4K_CA_0125_43_ZhoZhoEngSUBZhoSUB_Ed_M1.mpg</v>
      </c>
      <c r="S9" s="245" t="str">
        <f>CONCATENATE(RemovePunctuation(G9),"_","i5K","_","CA_",C9,"_",AJ9,"_",PROPER(AA9),IF(AB9="",PROPER(AA9),PROPER(AB9)),PROPER(AC9),PROPER(AD9),PROPER(AE9),IF(AE9&lt;&gt;"","SUB",""),PROPER(AF9),IF(AF9&lt;&gt;"","SUB",""),"_","Ed","_","M4",".mpg")</f>
        <v>NoMoreBets_i5K_CA_0125_169_ZhoZhoEngSUBZhoSUB_Ed_M4.mpg</v>
      </c>
      <c r="T9" s="478" t="str">
        <f>CONCATENATE(RemovePunctuation(G9),"TR","_CA","_",C9,"_",AJ9,"_",PROPER(AA9),PROPER(AA9),"_","Ed","_","M2",".mpg")</f>
        <v>NoMoreBetsTR_CA_0125_169_ZhoZho_Ed_M2.mpg</v>
      </c>
      <c r="U9" s="479" t="s">
        <v>129</v>
      </c>
      <c r="V9" s="480"/>
      <c r="W9" s="481" t="s">
        <v>130</v>
      </c>
      <c r="X9" s="482">
        <v>2024</v>
      </c>
      <c r="Y9" s="492" t="s">
        <v>131</v>
      </c>
      <c r="Z9" s="492" t="s">
        <v>131</v>
      </c>
      <c r="AA9" s="492" t="s">
        <v>132</v>
      </c>
      <c r="AB9" s="492"/>
      <c r="AC9" s="492"/>
      <c r="AD9" s="492"/>
      <c r="AE9" s="492" t="s">
        <v>138</v>
      </c>
      <c r="AF9" s="492" t="s">
        <v>132</v>
      </c>
      <c r="AG9" s="118">
        <f t="shared" si="1"/>
        <v>130</v>
      </c>
      <c r="AH9" s="402">
        <v>0.0901041666666667</v>
      </c>
      <c r="AI9" s="120">
        <f t="shared" si="2"/>
        <v>7800</v>
      </c>
      <c r="AJ9" s="272">
        <v>169</v>
      </c>
      <c r="AK9" s="272">
        <v>43</v>
      </c>
      <c r="AL9" s="500">
        <v>0.00125</v>
      </c>
      <c r="AM9" s="501" t="s">
        <v>133</v>
      </c>
    </row>
    <row r="10" s="427" customFormat="1" ht="23.1" customHeight="1" spans="1:39">
      <c r="A10" s="156">
        <v>6</v>
      </c>
      <c r="B10" s="279"/>
      <c r="C10" s="445" t="s">
        <v>122</v>
      </c>
      <c r="D10" s="449"/>
      <c r="E10" s="447">
        <v>3</v>
      </c>
      <c r="F10" s="448" t="s">
        <v>154</v>
      </c>
      <c r="G10" s="448" t="s">
        <v>155</v>
      </c>
      <c r="H10" s="448" t="str">
        <f t="shared" si="0"/>
        <v>The Yangtze River (T)</v>
      </c>
      <c r="I10" s="461" t="s">
        <v>126</v>
      </c>
      <c r="J10" s="461" t="s">
        <v>126</v>
      </c>
      <c r="K10" s="461" t="s">
        <v>126</v>
      </c>
      <c r="L10" s="461" t="s">
        <v>126</v>
      </c>
      <c r="M10" s="461" t="s">
        <v>126</v>
      </c>
      <c r="N10" s="366" t="s">
        <v>156</v>
      </c>
      <c r="O10" s="462" t="s">
        <v>156</v>
      </c>
      <c r="P10" s="463" t="s">
        <v>157</v>
      </c>
      <c r="Q10" s="477" t="s">
        <v>157</v>
      </c>
      <c r="R10" s="245" t="str">
        <f>CONCATENATE(RemovePunctuation(G10),"_","i4K","_","CA_",C10,"_",AK10,"_",PROPER(AA10),IF(AB10="",PROPER(AA10),PROPER(AB10)),PROPER(AC10),PROPER(AD10),PROPER(AE10),IF(AE10&lt;&gt;"","SUB",""),PROPER(AF10),IF(AF10&lt;&gt;"","SUB",""),"_","Ed","_","M1",".mpg")</f>
        <v>TheYangtzeRiver_i4K_CA_0125_43_ZhoZhoZhoSUB_Ed_M1.mpg</v>
      </c>
      <c r="S10" s="245" t="str">
        <f>CONCATENATE(RemovePunctuation(G10),"_","i5K","_","CA_",C10,"_",AJ10,"_",PROPER(AA10),IF(AB10="",PROPER(AA10),PROPER(AB10)),PROPER(AC10),PROPER(AD10),PROPER(AE10),IF(AE10&lt;&gt;"","SUB",""),PROPER(AF10),IF(AF10&lt;&gt;"","SUB",""),"_","Ed","_","M4",".mpg")</f>
        <v>TheYangtzeRiver_i5K_CA_0125_169_ZhoZhoZhoSUB_Ed_M4.mpg</v>
      </c>
      <c r="T10" s="478" t="str">
        <f>CONCATENATE(RemovePunctuation(G10),"TR","_CA","_",C10,"_",AJ10,"_",PROPER(AA10),PROPER(AA10),"_","Ed","_","M2",".mpg")</f>
        <v>TheYangtzeRiverTR_CA_0125_169_ZhoZho_Ed_M2.mpg</v>
      </c>
      <c r="U10" s="479" t="s">
        <v>129</v>
      </c>
      <c r="V10" s="480"/>
      <c r="W10" s="481" t="s">
        <v>130</v>
      </c>
      <c r="X10" s="482">
        <v>2024</v>
      </c>
      <c r="Y10" s="492" t="s">
        <v>131</v>
      </c>
      <c r="Z10" s="492" t="s">
        <v>131</v>
      </c>
      <c r="AA10" s="492" t="s">
        <v>132</v>
      </c>
      <c r="AB10" s="492"/>
      <c r="AC10" s="492"/>
      <c r="AD10" s="492"/>
      <c r="AE10" s="492" t="s">
        <v>132</v>
      </c>
      <c r="AF10" s="492"/>
      <c r="AG10" s="118">
        <f t="shared" si="1"/>
        <v>111</v>
      </c>
      <c r="AH10" s="402">
        <v>0.0768402777777778</v>
      </c>
      <c r="AI10" s="120">
        <f t="shared" si="2"/>
        <v>6660</v>
      </c>
      <c r="AJ10" s="272">
        <v>169</v>
      </c>
      <c r="AK10" s="272">
        <v>43</v>
      </c>
      <c r="AL10" s="500">
        <v>0.00103009259259259</v>
      </c>
      <c r="AM10" s="501" t="s">
        <v>133</v>
      </c>
    </row>
    <row r="11" s="427" customFormat="1" ht="23.1" customHeight="1" spans="1:39">
      <c r="A11" s="156">
        <v>7</v>
      </c>
      <c r="B11" s="279"/>
      <c r="C11" s="445" t="s">
        <v>122</v>
      </c>
      <c r="D11" s="449"/>
      <c r="E11" s="447">
        <v>4</v>
      </c>
      <c r="F11" s="448" t="s">
        <v>158</v>
      </c>
      <c r="G11" s="448" t="s">
        <v>159</v>
      </c>
      <c r="H11" s="448" t="str">
        <f t="shared" si="0"/>
        <v>Gone with the Boat (T)</v>
      </c>
      <c r="I11" s="461" t="s">
        <v>126</v>
      </c>
      <c r="J11" s="461" t="s">
        <v>126</v>
      </c>
      <c r="K11" s="461" t="s">
        <v>126</v>
      </c>
      <c r="L11" s="461" t="s">
        <v>126</v>
      </c>
      <c r="M11" s="461" t="s">
        <v>126</v>
      </c>
      <c r="N11" s="366" t="s">
        <v>160</v>
      </c>
      <c r="O11" s="462" t="s">
        <v>160</v>
      </c>
      <c r="P11" s="463" t="s">
        <v>161</v>
      </c>
      <c r="Q11" s="477" t="s">
        <v>161</v>
      </c>
      <c r="R11" s="245" t="str">
        <f>CONCATENATE(RemovePunctuation(G11),"_","i4K","_","CA_",C11,"_",AK11,"_",PROPER(AA11),IF(AB11="",PROPER(AA11),PROPER(AB11)),PROPER(AC11),PROPER(AD11),PROPER(AE11),IF(AE11&lt;&gt;"","SUB",""),PROPER(AF11),IF(AF11&lt;&gt;"","SUB",""),"_","Ed","_","M1",".mpg")</f>
        <v>GonewiththeBoat_i4K_CA_0125_43_ZhoZhoEngSUBZhoSUB_Ed_M1.mpg</v>
      </c>
      <c r="S11" s="245" t="str">
        <f>CONCATENATE(RemovePunctuation(G11),"_","i5K","_","CA_",C11,"_",AJ11,"_",PROPER(AA11),IF(AB11="",PROPER(AA11),PROPER(AB11)),PROPER(AC11),PROPER(AD11),PROPER(AE11),IF(AE11&lt;&gt;"","SUB",""),PROPER(AF11),IF(AF11&lt;&gt;"","SUB",""),"_","Ed","_","M4",".mpg")</f>
        <v>GonewiththeBoat_i5K_CA_0125_169_ZhoZhoEngSUBZhoSUB_Ed_M4.mpg</v>
      </c>
      <c r="T11" s="478" t="str">
        <f>CONCATENATE(RemovePunctuation(G11),"TR","_CA","_",C11,"_",AJ11,"_",PROPER(AA11),PROPER(AA11),"_","Ed","_","M2",".mpg")</f>
        <v>GonewiththeBoatTR_CA_0125_169_ZhoZho_Ed_M2.mpg</v>
      </c>
      <c r="U11" s="479" t="s">
        <v>129</v>
      </c>
      <c r="V11" s="480"/>
      <c r="W11" s="481" t="s">
        <v>130</v>
      </c>
      <c r="X11" s="482">
        <v>2024</v>
      </c>
      <c r="Y11" s="492" t="s">
        <v>131</v>
      </c>
      <c r="Z11" s="492" t="s">
        <v>131</v>
      </c>
      <c r="AA11" s="492" t="s">
        <v>132</v>
      </c>
      <c r="AB11" s="492"/>
      <c r="AC11" s="492"/>
      <c r="AD11" s="492"/>
      <c r="AE11" s="492" t="s">
        <v>138</v>
      </c>
      <c r="AF11" s="492" t="s">
        <v>132</v>
      </c>
      <c r="AG11" s="118">
        <f t="shared" si="1"/>
        <v>100</v>
      </c>
      <c r="AH11" s="402">
        <v>0.0687847222222222</v>
      </c>
      <c r="AI11" s="120">
        <f t="shared" si="2"/>
        <v>6000</v>
      </c>
      <c r="AJ11" s="272">
        <v>169</v>
      </c>
      <c r="AK11" s="272">
        <v>43</v>
      </c>
      <c r="AL11" s="500">
        <v>0.000810185185185185</v>
      </c>
      <c r="AM11" s="501" t="s">
        <v>133</v>
      </c>
    </row>
    <row r="12" s="427" customFormat="1" ht="23.1" customHeight="1" spans="1:39">
      <c r="A12" s="156">
        <v>8</v>
      </c>
      <c r="B12" s="279"/>
      <c r="C12" s="445" t="s">
        <v>122</v>
      </c>
      <c r="D12" s="449"/>
      <c r="E12" s="447">
        <v>5</v>
      </c>
      <c r="F12" s="451" t="s">
        <v>162</v>
      </c>
      <c r="G12" s="448" t="s">
        <v>163</v>
      </c>
      <c r="H12" s="448" t="str">
        <f t="shared" si="0"/>
        <v>Growing Apart (T)</v>
      </c>
      <c r="I12" s="461" t="s">
        <v>126</v>
      </c>
      <c r="J12" s="461" t="s">
        <v>126</v>
      </c>
      <c r="K12" s="461" t="s">
        <v>126</v>
      </c>
      <c r="L12" s="461" t="s">
        <v>126</v>
      </c>
      <c r="M12" s="461" t="s">
        <v>126</v>
      </c>
      <c r="N12" s="366" t="s">
        <v>164</v>
      </c>
      <c r="O12" s="462" t="s">
        <v>164</v>
      </c>
      <c r="P12" s="463" t="s">
        <v>165</v>
      </c>
      <c r="Q12" s="477" t="s">
        <v>165</v>
      </c>
      <c r="R12" s="245" t="str">
        <f>CONCATENATE(RemovePunctuation(G12),"_","i4K","_","CA_",C12,"_",AK12,"_",PROPER(AA12),IF(AB12="",PROPER(AA12),PROPER(AB12)),PROPER(AC12),PROPER(AD12),PROPER(AE12),IF(AE12&lt;&gt;"","SUB",""),PROPER(AF12),IF(AF12&lt;&gt;"","SUB",""),"_","Ed","_","M1",".mpg")</f>
        <v>GrowingApart_i4K_CA_0125_43_ZhoZhoEngSUBZhoSUB_Ed_M1.mpg</v>
      </c>
      <c r="S12" s="245" t="str">
        <f>CONCATENATE(RemovePunctuation(G12),"_","i5K","_","CA_",C12,"_",AJ12,"_",PROPER(AA12),IF(AB12="",PROPER(AA12),PROPER(AB12)),PROPER(AC12),PROPER(AD12),PROPER(AE12),IF(AE12&lt;&gt;"","SUB",""),PROPER(AF12),IF(AF12&lt;&gt;"","SUB",""),"_","Ed","_","M4",".mpg")</f>
        <v>GrowingApart_i5K_CA_0125_169_ZhoZhoEngSUBZhoSUB_Ed_M4.mpg</v>
      </c>
      <c r="T12" s="478" t="str">
        <f>CONCATENATE(RemovePunctuation(G12),"TR","_CA","_",C12,"_",AJ12,"_",PROPER(AA12),PROPER(AA12),"_","Ed","_","M2",".mpg")</f>
        <v>GrowingApartTR_CA_0125_169_ZhoZho_Ed_M2.mpg</v>
      </c>
      <c r="U12" s="479" t="s">
        <v>129</v>
      </c>
      <c r="V12" s="480"/>
      <c r="W12" s="481" t="s">
        <v>130</v>
      </c>
      <c r="X12" s="482">
        <v>2024</v>
      </c>
      <c r="Y12" s="492" t="s">
        <v>131</v>
      </c>
      <c r="Z12" s="492" t="s">
        <v>131</v>
      </c>
      <c r="AA12" s="492" t="s">
        <v>132</v>
      </c>
      <c r="AB12" s="492"/>
      <c r="AC12" s="492"/>
      <c r="AD12" s="492"/>
      <c r="AE12" s="492" t="s">
        <v>138</v>
      </c>
      <c r="AF12" s="492" t="s">
        <v>132</v>
      </c>
      <c r="AG12" s="118">
        <f t="shared" si="1"/>
        <v>90</v>
      </c>
      <c r="AH12" s="402">
        <v>0.0619212962962963</v>
      </c>
      <c r="AI12" s="120">
        <f t="shared" si="2"/>
        <v>5400</v>
      </c>
      <c r="AJ12" s="272">
        <v>169</v>
      </c>
      <c r="AK12" s="272">
        <v>43</v>
      </c>
      <c r="AL12" s="500">
        <v>0.000914351851851852</v>
      </c>
      <c r="AM12" s="501" t="s">
        <v>133</v>
      </c>
    </row>
    <row r="13" s="427" customFormat="1" ht="23.1" customHeight="1" spans="1:39">
      <c r="A13" s="156">
        <v>9</v>
      </c>
      <c r="B13" s="279"/>
      <c r="C13" s="445" t="s">
        <v>122</v>
      </c>
      <c r="D13" s="449"/>
      <c r="E13" s="447">
        <v>6</v>
      </c>
      <c r="F13" s="451" t="s">
        <v>166</v>
      </c>
      <c r="G13" s="448" t="s">
        <v>167</v>
      </c>
      <c r="H13" s="448" t="str">
        <f t="shared" si="0"/>
        <v>Land of Broken Hearts (T)</v>
      </c>
      <c r="I13" s="461" t="s">
        <v>126</v>
      </c>
      <c r="J13" s="461" t="s">
        <v>126</v>
      </c>
      <c r="K13" s="461" t="s">
        <v>126</v>
      </c>
      <c r="L13" s="461" t="s">
        <v>126</v>
      </c>
      <c r="M13" s="461" t="s">
        <v>126</v>
      </c>
      <c r="N13" s="366" t="s">
        <v>168</v>
      </c>
      <c r="O13" s="462" t="s">
        <v>168</v>
      </c>
      <c r="P13" s="463" t="s">
        <v>169</v>
      </c>
      <c r="Q13" s="477" t="s">
        <v>169</v>
      </c>
      <c r="R13" s="245" t="str">
        <f>CONCATENATE(RemovePunctuation(G13),"_","i4K","_","CA_",C13,"_",AK13,"_",PROPER(AA13),IF(AB13="",PROPER(AA13),PROPER(AB13)),PROPER(AC13),PROPER(AD13),PROPER(AE13),IF(AE13&lt;&gt;"","SUB",""),PROPER(AF13),IF(AF13&lt;&gt;"","SUB",""),"_","Ed","_","M1",".mpg")</f>
        <v>LandofBrokenHearts_i4K_CA_0125_43_ZhoZhoEngSUBZhoSUB_Ed_M1.mpg</v>
      </c>
      <c r="S13" s="245" t="str">
        <f>CONCATENATE(RemovePunctuation(G13),"_","i5K","_","CA_",C13,"_",AJ13,"_",PROPER(AA13),IF(AB13="",PROPER(AA13),PROPER(AB13)),PROPER(AC13),PROPER(AD13),PROPER(AE13),IF(AE13&lt;&gt;"","SUB",""),PROPER(AF13),IF(AF13&lt;&gt;"","SUB",""),"_","Ed","_","M4",".mpg")</f>
        <v>LandofBrokenHearts_i5K_CA_0125_169_ZhoZhoEngSUBZhoSUB_Ed_M4.mpg</v>
      </c>
      <c r="T13" s="478" t="str">
        <f>CONCATENATE(RemovePunctuation(G13),"TR","_CA","_",C13,"_",AJ13,"_",PROPER(AA13),PROPER(AA13),"_","Ed","_","M2",".mpg")</f>
        <v>LandofBrokenHeartsTR_CA_0125_169_ZhoZho_Ed_M2.mpg</v>
      </c>
      <c r="U13" s="479" t="s">
        <v>129</v>
      </c>
      <c r="V13" s="480"/>
      <c r="W13" s="481" t="s">
        <v>130</v>
      </c>
      <c r="X13" s="482">
        <v>2024</v>
      </c>
      <c r="Y13" s="492" t="s">
        <v>131</v>
      </c>
      <c r="Z13" s="492" t="s">
        <v>131</v>
      </c>
      <c r="AA13" s="492" t="s">
        <v>132</v>
      </c>
      <c r="AB13" s="492"/>
      <c r="AC13" s="492"/>
      <c r="AD13" s="492"/>
      <c r="AE13" s="492" t="s">
        <v>138</v>
      </c>
      <c r="AF13" s="492" t="s">
        <v>132</v>
      </c>
      <c r="AG13" s="118">
        <f t="shared" si="1"/>
        <v>100</v>
      </c>
      <c r="AH13" s="417">
        <v>0.0694444444444444</v>
      </c>
      <c r="AI13" s="120">
        <f t="shared" si="2"/>
        <v>6000</v>
      </c>
      <c r="AJ13" s="272">
        <v>169</v>
      </c>
      <c r="AK13" s="272">
        <v>43</v>
      </c>
      <c r="AL13" s="500">
        <v>0.000717592592592593</v>
      </c>
      <c r="AM13" s="501" t="s">
        <v>133</v>
      </c>
    </row>
    <row r="14" s="427" customFormat="1" ht="23.1" customHeight="1" spans="1:39">
      <c r="A14" s="156">
        <v>10</v>
      </c>
      <c r="B14" s="279"/>
      <c r="C14" s="445" t="s">
        <v>122</v>
      </c>
      <c r="D14" s="449"/>
      <c r="E14" s="447">
        <v>7</v>
      </c>
      <c r="F14" s="448" t="s">
        <v>170</v>
      </c>
      <c r="G14" s="448" t="s">
        <v>171</v>
      </c>
      <c r="H14" s="448" t="str">
        <f t="shared" si="0"/>
        <v>Being Mortal (T)</v>
      </c>
      <c r="I14" s="461" t="s">
        <v>126</v>
      </c>
      <c r="J14" s="461" t="s">
        <v>126</v>
      </c>
      <c r="K14" s="461" t="s">
        <v>126</v>
      </c>
      <c r="L14" s="461" t="s">
        <v>126</v>
      </c>
      <c r="M14" s="461" t="s">
        <v>126</v>
      </c>
      <c r="N14" s="366" t="s">
        <v>172</v>
      </c>
      <c r="O14" s="462" t="s">
        <v>172</v>
      </c>
      <c r="P14" s="463" t="s">
        <v>173</v>
      </c>
      <c r="Q14" s="477" t="s">
        <v>173</v>
      </c>
      <c r="R14" s="245" t="str">
        <f>CONCATENATE(RemovePunctuation(G14),"_","i4K","_","CA_",C14,"_",AK14,"_",PROPER(AA14),IF(AB14="",PROPER(AA14),PROPER(AB14)),PROPER(AC14),PROPER(AD14),PROPER(AE14),IF(AE14&lt;&gt;"","SUB",""),PROPER(AF14),IF(AF14&lt;&gt;"","SUB",""),"_","Ed","_","M1",".mpg")</f>
        <v>BeingMortal_i4K_CA_0125_43_ZhoZhoEngSUBZhoSUB_Ed_M1.mpg</v>
      </c>
      <c r="S14" s="245" t="str">
        <f>CONCATENATE(RemovePunctuation(G14),"_","i5K","_","CA_",C14,"_",AJ14,"_",PROPER(AA14),IF(AB14="",PROPER(AA14),PROPER(AB14)),PROPER(AC14),PROPER(AD14),PROPER(AE14),IF(AE14&lt;&gt;"","SUB",""),PROPER(AF14),IF(AF14&lt;&gt;"","SUB",""),"_","Ed","_","M4",".mpg")</f>
        <v>BeingMortal_i5K_CA_0125_169_ZhoZhoEngSUBZhoSUB_Ed_M4.mpg</v>
      </c>
      <c r="T14" s="478" t="str">
        <f>CONCATENATE(RemovePunctuation(G14),"TR","_CA","_",C14,"_",AJ14,"_",PROPER(AA14),PROPER(AA14),"_","Ed","_","M2",".mpg")</f>
        <v>BeingMortalTR_CA_0125_169_ZhoZho_Ed_M2.mpg</v>
      </c>
      <c r="U14" s="479" t="s">
        <v>129</v>
      </c>
      <c r="V14" s="480"/>
      <c r="W14" s="481" t="s">
        <v>130</v>
      </c>
      <c r="X14" s="482">
        <v>2022</v>
      </c>
      <c r="Y14" s="492" t="s">
        <v>131</v>
      </c>
      <c r="Z14" s="492" t="s">
        <v>131</v>
      </c>
      <c r="AA14" s="492" t="s">
        <v>132</v>
      </c>
      <c r="AB14" s="492"/>
      <c r="AC14" s="492"/>
      <c r="AD14" s="492"/>
      <c r="AE14" s="492" t="s">
        <v>138</v>
      </c>
      <c r="AF14" s="492" t="s">
        <v>132</v>
      </c>
      <c r="AG14" s="118">
        <f t="shared" si="1"/>
        <v>98</v>
      </c>
      <c r="AH14" s="402">
        <v>0.0676157407407407</v>
      </c>
      <c r="AI14" s="120">
        <f t="shared" si="2"/>
        <v>5880</v>
      </c>
      <c r="AJ14" s="272">
        <v>169</v>
      </c>
      <c r="AK14" s="272">
        <v>43</v>
      </c>
      <c r="AL14" s="500">
        <v>0.0012037037037037</v>
      </c>
      <c r="AM14" s="501" t="s">
        <v>133</v>
      </c>
    </row>
    <row r="15" s="427" customFormat="1" ht="23.1" customHeight="1" spans="1:39">
      <c r="A15" s="156">
        <v>11</v>
      </c>
      <c r="B15" s="279"/>
      <c r="C15" s="445" t="s">
        <v>122</v>
      </c>
      <c r="D15" s="449"/>
      <c r="E15" s="447">
        <v>8</v>
      </c>
      <c r="F15" s="448" t="s">
        <v>174</v>
      </c>
      <c r="G15" s="448" t="s">
        <v>175</v>
      </c>
      <c r="H15" s="448" t="str">
        <f t="shared" si="0"/>
        <v>Zhang Deng Jie Cai (T)</v>
      </c>
      <c r="I15" s="461" t="s">
        <v>126</v>
      </c>
      <c r="J15" s="461" t="s">
        <v>126</v>
      </c>
      <c r="K15" s="461" t="s">
        <v>126</v>
      </c>
      <c r="L15" s="461" t="s">
        <v>126</v>
      </c>
      <c r="M15" s="461" t="s">
        <v>126</v>
      </c>
      <c r="N15" s="366" t="s">
        <v>176</v>
      </c>
      <c r="O15" s="462" t="s">
        <v>176</v>
      </c>
      <c r="P15" s="463" t="s">
        <v>177</v>
      </c>
      <c r="Q15" s="477" t="s">
        <v>177</v>
      </c>
      <c r="R15" s="245" t="str">
        <f>CONCATENATE(RemovePunctuation(G15),"_","i4K","_","CA_",C15,"_",AK15,"_",PROPER(AA15),IF(AB15="",PROPER(AA15),PROPER(AB15)),PROPER(AC15),PROPER(AD15),PROPER(AE15),IF(AE15&lt;&gt;"","SUB",""),PROPER(AF15),IF(AF15&lt;&gt;"","SUB",""),"_","Ed","_","M1",".mpg")</f>
        <v>ZhangDengJieCai_i4K_CA_0125_43_ZhoZhoZhoSUB_Ed_M1.mpg</v>
      </c>
      <c r="S15" s="245" t="str">
        <f>CONCATENATE(RemovePunctuation(G15),"_","i5K","_","CA_",C15,"_",AJ15,"_",PROPER(AA15),IF(AB15="",PROPER(AA15),PROPER(AB15)),PROPER(AC15),PROPER(AD15),PROPER(AE15),IF(AE15&lt;&gt;"","SUB",""),PROPER(AF15),IF(AF15&lt;&gt;"","SUB",""),"_","Ed","_","M4",".mpg")</f>
        <v>ZhangDengJieCai_i5K_CA_0125_169_ZhoZhoZhoSUB_Ed_M4.mpg</v>
      </c>
      <c r="T15" s="478" t="str">
        <f>CONCATENATE(RemovePunctuation(G15),"TR","_CA","_",C15,"_",AJ15,"_",PROPER(AA15),PROPER(AA15),"_","Ed","_","M2",".mpg")</f>
        <v>ZhangDengJieCaiTR_CA_0125_169_ZhoZho_Ed_M2.mpg</v>
      </c>
      <c r="U15" s="479" t="s">
        <v>178</v>
      </c>
      <c r="V15" s="480"/>
      <c r="W15" s="481" t="s">
        <v>130</v>
      </c>
      <c r="X15" s="482">
        <v>1982</v>
      </c>
      <c r="Y15" s="492" t="s">
        <v>131</v>
      </c>
      <c r="Z15" s="492" t="s">
        <v>131</v>
      </c>
      <c r="AA15" s="492" t="s">
        <v>132</v>
      </c>
      <c r="AB15" s="492"/>
      <c r="AC15" s="492"/>
      <c r="AD15" s="492"/>
      <c r="AE15" s="492" t="s">
        <v>132</v>
      </c>
      <c r="AF15" s="492"/>
      <c r="AG15" s="118">
        <f t="shared" si="1"/>
        <v>96</v>
      </c>
      <c r="AH15" s="402">
        <v>0.0664236111111111</v>
      </c>
      <c r="AI15" s="120">
        <f t="shared" si="2"/>
        <v>5760</v>
      </c>
      <c r="AJ15" s="272">
        <v>169</v>
      </c>
      <c r="AK15" s="272">
        <v>43</v>
      </c>
      <c r="AL15" s="500">
        <v>0.00111111111111111</v>
      </c>
      <c r="AM15" s="501" t="s">
        <v>179</v>
      </c>
    </row>
    <row r="16" s="427" customFormat="1" ht="23.1" customHeight="1" spans="1:39">
      <c r="A16" s="156">
        <v>12</v>
      </c>
      <c r="B16" s="279"/>
      <c r="C16" s="445" t="s">
        <v>122</v>
      </c>
      <c r="D16" s="449"/>
      <c r="E16" s="447">
        <v>9</v>
      </c>
      <c r="F16" s="448" t="s">
        <v>180</v>
      </c>
      <c r="G16" s="448" t="s">
        <v>181</v>
      </c>
      <c r="H16" s="448" t="str">
        <f t="shared" si="0"/>
        <v>England Is Mine (T)</v>
      </c>
      <c r="I16" s="461" t="s">
        <v>126</v>
      </c>
      <c r="J16" s="461" t="s">
        <v>126</v>
      </c>
      <c r="K16" s="461" t="s">
        <v>126</v>
      </c>
      <c r="L16" s="461" t="s">
        <v>126</v>
      </c>
      <c r="M16" s="461" t="s">
        <v>126</v>
      </c>
      <c r="N16" s="366" t="s">
        <v>182</v>
      </c>
      <c r="O16" s="462" t="s">
        <v>182</v>
      </c>
      <c r="P16" s="463" t="s">
        <v>183</v>
      </c>
      <c r="Q16" s="477" t="s">
        <v>183</v>
      </c>
      <c r="R16" s="245" t="str">
        <f>CONCATENATE(RemovePunctuation(G16),"_","i4K","_","CA_",C16,"_",AK16,"_",PROPER(AA16),IF(AB16="",PROPER(AA16),PROPER(AB16)),PROPER(AC16),PROPER(AD16),PROPER(AE16),IF(AE16&lt;&gt;"","SUB",""),PROPER(AF16),IF(AF16&lt;&gt;"","SUB",""),"_","Ed","_","M1",".mpg")</f>
        <v>EnglandIsMine_i4K_CA_0125_43_EngEngEngSUBZhoSUB_Ed_M1.mpg</v>
      </c>
      <c r="S16" s="245" t="str">
        <f>CONCATENATE(RemovePunctuation(G16),"_","i5K","_","CA_",C16,"_",AJ16,"_",PROPER(AA16),IF(AB16="",PROPER(AA16),PROPER(AB16)),PROPER(AC16),PROPER(AD16),PROPER(AE16),IF(AE16&lt;&gt;"","SUB",""),PROPER(AF16),IF(AF16&lt;&gt;"","SUB",""),"_","Ed","_","M4",".mpg")</f>
        <v>EnglandIsMine_i5K_CA_0125_169_EngEngEngSUBZhoSUB_Ed_M4.mpg</v>
      </c>
      <c r="T16" s="478" t="str">
        <f>CONCATENATE(RemovePunctuation(G16),"TR","_CA","_",C16,"_",AJ16,"_",PROPER(AA16),PROPER(AA16),"_","Ed","_","M2",".mpg")</f>
        <v>EnglandIsMineTR_CA_0125_169_EngEng_Ed_M2.mpg</v>
      </c>
      <c r="U16" s="479" t="s">
        <v>129</v>
      </c>
      <c r="V16" s="480"/>
      <c r="W16" s="481" t="s">
        <v>130</v>
      </c>
      <c r="X16" s="482">
        <v>2017</v>
      </c>
      <c r="Y16" s="492" t="s">
        <v>131</v>
      </c>
      <c r="Z16" s="492" t="s">
        <v>131</v>
      </c>
      <c r="AA16" s="492" t="s">
        <v>138</v>
      </c>
      <c r="AB16" s="492"/>
      <c r="AC16" s="492"/>
      <c r="AD16" s="492"/>
      <c r="AE16" s="492" t="s">
        <v>138</v>
      </c>
      <c r="AF16" s="492" t="s">
        <v>132</v>
      </c>
      <c r="AG16" s="118">
        <f t="shared" si="1"/>
        <v>94</v>
      </c>
      <c r="AH16" s="402">
        <v>0.0652199074074074</v>
      </c>
      <c r="AI16" s="120">
        <f t="shared" si="2"/>
        <v>5640</v>
      </c>
      <c r="AJ16" s="272">
        <v>169</v>
      </c>
      <c r="AK16" s="272">
        <v>43</v>
      </c>
      <c r="AL16" s="500">
        <v>0.000763888888888889</v>
      </c>
      <c r="AM16" s="501" t="s">
        <v>144</v>
      </c>
    </row>
    <row r="17" s="427" customFormat="1" ht="23.1" customHeight="1" spans="1:39">
      <c r="A17" s="156">
        <v>13</v>
      </c>
      <c r="B17" s="279"/>
      <c r="C17" s="445" t="s">
        <v>122</v>
      </c>
      <c r="D17" s="449"/>
      <c r="E17" s="447">
        <v>10</v>
      </c>
      <c r="F17" s="448" t="s">
        <v>184</v>
      </c>
      <c r="G17" s="448" t="s">
        <v>185</v>
      </c>
      <c r="H17" s="448" t="str">
        <f t="shared" si="0"/>
        <v>Lemonade (T)</v>
      </c>
      <c r="I17" s="461" t="s">
        <v>126</v>
      </c>
      <c r="J17" s="461" t="s">
        <v>126</v>
      </c>
      <c r="K17" s="461" t="s">
        <v>126</v>
      </c>
      <c r="L17" s="461" t="s">
        <v>126</v>
      </c>
      <c r="M17" s="461" t="s">
        <v>126</v>
      </c>
      <c r="N17" s="366" t="s">
        <v>186</v>
      </c>
      <c r="O17" s="462" t="s">
        <v>186</v>
      </c>
      <c r="P17" s="463" t="s">
        <v>187</v>
      </c>
      <c r="Q17" s="477" t="s">
        <v>187</v>
      </c>
      <c r="R17" s="245" t="str">
        <f>CONCATENATE(RemovePunctuation(G17),"_","i4K","_","CA_",C17,"_",AK17,"_",PROPER(AA17),IF(AB17="",PROPER(AA17),PROPER(AB17)),PROPER(AC17),PROPER(AD17),PROPER(AE17),IF(AE17&lt;&gt;"","SUB",""),PROPER(AF17),IF(AF17&lt;&gt;"","SUB",""),"_","Ed","_","M1",".mpg")</f>
        <v>Lemonade_i4K_CA_0125_43_EngEngEngSUBZhoSUB_Ed_M1.mpg</v>
      </c>
      <c r="S17" s="245" t="str">
        <f>CONCATENATE(RemovePunctuation(G17),"_","i5K","_","CA_",C17,"_",AJ17,"_",PROPER(AA17),IF(AB17="",PROPER(AA17),PROPER(AB17)),PROPER(AC17),PROPER(AD17),PROPER(AE17),IF(AE17&lt;&gt;"","SUB",""),PROPER(AF17),IF(AF17&lt;&gt;"","SUB",""),"_","Ed","_","M4",".mpg")</f>
        <v>Lemonade_i5K_CA_0125_169_EngEngEngSUBZhoSUB_Ed_M4.mpg</v>
      </c>
      <c r="T17" s="478" t="str">
        <f>CONCATENATE(RemovePunctuation(G17),"TR","_CA","_",C17,"_",AJ17,"_",PROPER(AA17),PROPER(AA17),"_","Ed","_","M2",".mpg")</f>
        <v>LemonadeTR_CA_0125_169_EngEng_Ed_M2.mpg</v>
      </c>
      <c r="U17" s="479" t="s">
        <v>129</v>
      </c>
      <c r="V17" s="480"/>
      <c r="W17" s="481" t="s">
        <v>130</v>
      </c>
      <c r="X17" s="482">
        <v>2018</v>
      </c>
      <c r="Y17" s="492" t="s">
        <v>131</v>
      </c>
      <c r="Z17" s="492" t="s">
        <v>131</v>
      </c>
      <c r="AA17" s="492" t="s">
        <v>138</v>
      </c>
      <c r="AB17" s="492"/>
      <c r="AC17" s="492"/>
      <c r="AD17" s="492"/>
      <c r="AE17" s="492" t="s">
        <v>138</v>
      </c>
      <c r="AF17" s="492" t="s">
        <v>132</v>
      </c>
      <c r="AG17" s="118">
        <f t="shared" si="1"/>
        <v>81</v>
      </c>
      <c r="AH17" s="402">
        <v>0.0558564814814815</v>
      </c>
      <c r="AI17" s="120">
        <f t="shared" si="2"/>
        <v>4860</v>
      </c>
      <c r="AJ17" s="272">
        <v>169</v>
      </c>
      <c r="AK17" s="272">
        <v>43</v>
      </c>
      <c r="AL17" s="500">
        <v>0.00143518518518519</v>
      </c>
      <c r="AM17" s="501" t="s">
        <v>144</v>
      </c>
    </row>
    <row r="18" s="427" customFormat="1" ht="23.1" customHeight="1" spans="1:39">
      <c r="A18" s="156">
        <v>14</v>
      </c>
      <c r="B18" s="279"/>
      <c r="C18" s="445" t="s">
        <v>122</v>
      </c>
      <c r="D18" s="449"/>
      <c r="E18" s="447">
        <v>11</v>
      </c>
      <c r="F18" s="448" t="s">
        <v>188</v>
      </c>
      <c r="G18" s="448" t="s">
        <v>189</v>
      </c>
      <c r="H18" s="448" t="str">
        <f t="shared" si="0"/>
        <v>Dune: Part Two (T)</v>
      </c>
      <c r="I18" s="461" t="s">
        <v>126</v>
      </c>
      <c r="J18" s="461" t="s">
        <v>126</v>
      </c>
      <c r="K18" s="461" t="s">
        <v>126</v>
      </c>
      <c r="L18" s="461" t="s">
        <v>126</v>
      </c>
      <c r="M18" s="461" t="s">
        <v>126</v>
      </c>
      <c r="N18" s="366" t="s">
        <v>190</v>
      </c>
      <c r="O18" s="462" t="s">
        <v>190</v>
      </c>
      <c r="P18" s="463" t="s">
        <v>191</v>
      </c>
      <c r="Q18" s="477" t="s">
        <v>191</v>
      </c>
      <c r="R18" s="245" t="str">
        <f>CONCATENATE(RemovePunctuation(G18),"_","i4K","_","CA_",C18,"_",AK18,"_",PROPER(AA18),IF(AB18="",PROPER(AA18),PROPER(AB18)),PROPER(AC18),PROPER(AD18),PROPER(AE18),IF(AE18&lt;&gt;"","SUB",""),PROPER(AF18),IF(AF18&lt;&gt;"","SUB",""),"_","Ed","_","M1",".mpg")</f>
        <v>DunePartTwo_i4K_CA_0125_43_EngEngZhoSUB_Ed_M1.mpg</v>
      </c>
      <c r="S18" s="245" t="str">
        <f>CONCATENATE(RemovePunctuation(G18),"_","i5K","_","CA_",C18,"_",AJ18,"_",PROPER(AA18),IF(AB18="",PROPER(AA18),PROPER(AB18)),PROPER(AC18),PROPER(AD18),PROPER(AE18),IF(AE18&lt;&gt;"","SUB",""),PROPER(AF18),IF(AF18&lt;&gt;"","SUB",""),"_","Ed","_","M4",".mpg")</f>
        <v>DunePartTwo_i5K_CA_0125_169_EngEngZhoSUB_Ed_M4.mpg</v>
      </c>
      <c r="T18" s="478" t="str">
        <f>CONCATENATE(RemovePunctuation(G18),"TR","_CA","_",C18,"_",AJ18,"_",PROPER(AA18),PROPER(AA18),"_","Ed","_","M2",".mpg")</f>
        <v>DunePartTwoTR_CA_0125_169_EngEng_Ed_M2.mpg</v>
      </c>
      <c r="U18" s="479" t="s">
        <v>129</v>
      </c>
      <c r="V18" s="480"/>
      <c r="W18" s="481" t="s">
        <v>192</v>
      </c>
      <c r="X18" s="482">
        <v>2024</v>
      </c>
      <c r="Y18" s="492" t="s">
        <v>131</v>
      </c>
      <c r="Z18" s="492" t="s">
        <v>131</v>
      </c>
      <c r="AA18" s="492" t="s">
        <v>138</v>
      </c>
      <c r="AB18" s="492"/>
      <c r="AC18" s="492"/>
      <c r="AD18" s="492"/>
      <c r="AE18" s="492" t="s">
        <v>132</v>
      </c>
      <c r="AF18" s="492"/>
      <c r="AG18" s="118">
        <f t="shared" si="1"/>
        <v>166</v>
      </c>
      <c r="AH18" s="402">
        <v>0.115104166666667</v>
      </c>
      <c r="AI18" s="120">
        <f t="shared" si="2"/>
        <v>9960</v>
      </c>
      <c r="AJ18" s="272">
        <v>169</v>
      </c>
      <c r="AK18" s="272">
        <v>43</v>
      </c>
      <c r="AL18" s="500">
        <v>0.0018287037037037</v>
      </c>
      <c r="AM18" s="501" t="s">
        <v>133</v>
      </c>
    </row>
    <row r="19" s="427" customFormat="1" ht="23.1" customHeight="1" spans="1:39">
      <c r="A19" s="156">
        <v>15</v>
      </c>
      <c r="B19" s="279"/>
      <c r="C19" s="445" t="s">
        <v>122</v>
      </c>
      <c r="D19" s="449"/>
      <c r="E19" s="447">
        <v>12</v>
      </c>
      <c r="F19" s="448" t="s">
        <v>193</v>
      </c>
      <c r="G19" s="448" t="s">
        <v>194</v>
      </c>
      <c r="H19" s="448" t="str">
        <f t="shared" si="0"/>
        <v>Running Forever (T)</v>
      </c>
      <c r="I19" s="461" t="s">
        <v>126</v>
      </c>
      <c r="J19" s="461" t="s">
        <v>126</v>
      </c>
      <c r="K19" s="461" t="s">
        <v>126</v>
      </c>
      <c r="L19" s="461" t="s">
        <v>126</v>
      </c>
      <c r="M19" s="461" t="s">
        <v>126</v>
      </c>
      <c r="N19" s="366" t="s">
        <v>195</v>
      </c>
      <c r="O19" s="462" t="s">
        <v>195</v>
      </c>
      <c r="P19" s="463" t="s">
        <v>196</v>
      </c>
      <c r="Q19" s="477" t="s">
        <v>196</v>
      </c>
      <c r="R19" s="245" t="str">
        <f>CONCATENATE(RemovePunctuation(G19),"_","i4K","_","CA_",C19,"_",AK19,"_",PROPER(AA19),IF(AB19="",PROPER(AA19),PROPER(AB19)),PROPER(AC19),PROPER(AD19),PROPER(AE19),IF(AE19&lt;&gt;"","SUB",""),PROPER(AF19),IF(AF19&lt;&gt;"","SUB",""),"_","Ed","_","M1",".mpg")</f>
        <v>RunningForever_i4K_CA_0125_43_EngEngZhoSUB_Ed_M1.mpg</v>
      </c>
      <c r="S19" s="245" t="str">
        <f>CONCATENATE(RemovePunctuation(G19),"_","i5K","_","CA_",C19,"_",AJ19,"_",PROPER(AA19),IF(AB19="",PROPER(AA19),PROPER(AB19)),PROPER(AC19),PROPER(AD19),PROPER(AE19),IF(AE19&lt;&gt;"","SUB",""),PROPER(AF19),IF(AF19&lt;&gt;"","SUB",""),"_","Ed","_","M4",".mpg")</f>
        <v>RunningForever_i5K_CA_0125_169_EngEngZhoSUB_Ed_M4.mpg</v>
      </c>
      <c r="T19" s="478" t="str">
        <f>CONCATENATE(RemovePunctuation(G19),"TR","_CA","_",C19,"_",AJ19,"_",PROPER(AA19),PROPER(AA19),"_","Ed","_","M2",".mpg")</f>
        <v>RunningForeverTR_CA_0125_169_EngEng_Ed_M2.mpg</v>
      </c>
      <c r="U19" s="479" t="s">
        <v>129</v>
      </c>
      <c r="V19" s="480"/>
      <c r="W19" s="481" t="s">
        <v>192</v>
      </c>
      <c r="X19" s="482">
        <v>2015</v>
      </c>
      <c r="Y19" s="492" t="s">
        <v>131</v>
      </c>
      <c r="Z19" s="492" t="s">
        <v>131</v>
      </c>
      <c r="AA19" s="492" t="s">
        <v>138</v>
      </c>
      <c r="AB19" s="492"/>
      <c r="AC19" s="492"/>
      <c r="AD19" s="492"/>
      <c r="AE19" s="492" t="s">
        <v>132</v>
      </c>
      <c r="AF19" s="492"/>
      <c r="AG19" s="118">
        <f t="shared" si="1"/>
        <v>73</v>
      </c>
      <c r="AH19" s="402">
        <v>0.0501736111111111</v>
      </c>
      <c r="AI19" s="120">
        <f t="shared" si="2"/>
        <v>4380</v>
      </c>
      <c r="AJ19" s="272">
        <v>169</v>
      </c>
      <c r="AK19" s="272">
        <v>43</v>
      </c>
      <c r="AL19" s="500">
        <v>0.00131944444444444</v>
      </c>
      <c r="AM19" s="501" t="s">
        <v>133</v>
      </c>
    </row>
    <row r="20" s="427" customFormat="1" ht="23.1" customHeight="1" spans="1:39">
      <c r="A20" s="156">
        <v>16</v>
      </c>
      <c r="B20" s="279"/>
      <c r="C20" s="445" t="s">
        <v>122</v>
      </c>
      <c r="D20" s="449"/>
      <c r="E20" s="447">
        <v>13</v>
      </c>
      <c r="F20" s="448" t="s">
        <v>197</v>
      </c>
      <c r="G20" s="448" t="s">
        <v>198</v>
      </c>
      <c r="H20" s="448" t="str">
        <f t="shared" si="0"/>
        <v>Our Struggles (T)</v>
      </c>
      <c r="I20" s="461" t="s">
        <v>126</v>
      </c>
      <c r="J20" s="461" t="s">
        <v>126</v>
      </c>
      <c r="K20" s="461" t="s">
        <v>126</v>
      </c>
      <c r="L20" s="461" t="s">
        <v>126</v>
      </c>
      <c r="M20" s="461" t="s">
        <v>126</v>
      </c>
      <c r="N20" s="366" t="s">
        <v>199</v>
      </c>
      <c r="O20" s="462" t="s">
        <v>199</v>
      </c>
      <c r="P20" s="463" t="s">
        <v>200</v>
      </c>
      <c r="Q20" s="477" t="s">
        <v>200</v>
      </c>
      <c r="R20" s="245" t="str">
        <f>CONCATENATE(RemovePunctuation(G20),"_","i4K","_","CA_",C20,"_",AK20,"_",PROPER(AA20),IF(AB20="",PROPER(AA20),PROPER(AB20)),PROPER(AC20),PROPER(AD20),PROPER(AE20),IF(AE20&lt;&gt;"","SUB",""),PROPER(AF20),IF(AF20&lt;&gt;"","SUB",""),"_","Ed","_","M1",".mpg")</f>
        <v>OurStruggles_i4K_CA_0125_43_FraFraEngSUBZhoSUB_Ed_M1.mpg</v>
      </c>
      <c r="S20" s="245" t="str">
        <f>CONCATENATE(RemovePunctuation(G20),"_","i5K","_","CA_",C20,"_",AJ20,"_",PROPER(AA20),IF(AB20="",PROPER(AA20),PROPER(AB20)),PROPER(AC20),PROPER(AD20),PROPER(AE20),IF(AE20&lt;&gt;"","SUB",""),PROPER(AF20),IF(AF20&lt;&gt;"","SUB",""),"_","Ed","_","M4",".mpg")</f>
        <v>OurStruggles_i5K_CA_0125_169_FraFraEngSUBZhoSUB_Ed_M4.mpg</v>
      </c>
      <c r="T20" s="478" t="str">
        <f>CONCATENATE(RemovePunctuation(G20),"TR","_CA","_",C20,"_",AJ20,"_",PROPER(AA20),PROPER(AA20),"_","Ed","_","M2",".mpg")</f>
        <v>OurStrugglesTR_CA_0125_169_FraFra_Ed_M2.mpg</v>
      </c>
      <c r="U20" s="479" t="s">
        <v>129</v>
      </c>
      <c r="V20" s="480"/>
      <c r="W20" s="481" t="s">
        <v>130</v>
      </c>
      <c r="X20" s="482">
        <v>2018</v>
      </c>
      <c r="Y20" s="492" t="s">
        <v>131</v>
      </c>
      <c r="Z20" s="492" t="s">
        <v>131</v>
      </c>
      <c r="AA20" s="492" t="s">
        <v>201</v>
      </c>
      <c r="AB20" s="492"/>
      <c r="AC20" s="492"/>
      <c r="AD20" s="492"/>
      <c r="AE20" s="492" t="s">
        <v>138</v>
      </c>
      <c r="AF20" s="492" t="s">
        <v>132</v>
      </c>
      <c r="AG20" s="118">
        <f t="shared" si="1"/>
        <v>95</v>
      </c>
      <c r="AH20" s="402">
        <v>0.0658564814814815</v>
      </c>
      <c r="AI20" s="120">
        <f t="shared" si="2"/>
        <v>5700</v>
      </c>
      <c r="AJ20" s="272">
        <v>169</v>
      </c>
      <c r="AK20" s="272">
        <v>43</v>
      </c>
      <c r="AL20" s="500">
        <v>0.00134259259259259</v>
      </c>
      <c r="AM20" s="501" t="s">
        <v>144</v>
      </c>
    </row>
    <row r="21" s="427" customFormat="1" ht="23.1" customHeight="1" spans="1:39">
      <c r="A21" s="156">
        <v>17</v>
      </c>
      <c r="B21" s="279"/>
      <c r="C21" s="445" t="s">
        <v>122</v>
      </c>
      <c r="D21" s="449"/>
      <c r="E21" s="447">
        <v>14</v>
      </c>
      <c r="F21" s="448" t="s">
        <v>202</v>
      </c>
      <c r="G21" s="448" t="s">
        <v>203</v>
      </c>
      <c r="H21" s="448" t="str">
        <f t="shared" si="0"/>
        <v>The Major Tones (T)</v>
      </c>
      <c r="I21" s="461" t="s">
        <v>126</v>
      </c>
      <c r="J21" s="461" t="s">
        <v>126</v>
      </c>
      <c r="K21" s="461" t="s">
        <v>126</v>
      </c>
      <c r="L21" s="461" t="s">
        <v>126</v>
      </c>
      <c r="M21" s="461" t="s">
        <v>126</v>
      </c>
      <c r="N21" s="366" t="s">
        <v>204</v>
      </c>
      <c r="O21" s="462" t="s">
        <v>204</v>
      </c>
      <c r="P21" s="463" t="s">
        <v>205</v>
      </c>
      <c r="Q21" s="477" t="s">
        <v>205</v>
      </c>
      <c r="R21" s="245" t="str">
        <f>CONCATENATE(RemovePunctuation(G21),"_","i4K","_","CA_",C21,"_",AK21,"_",PROPER(AA21),IF(AB21="",PROPER(AA21),PROPER(AB21)),PROPER(AC21),PROPER(AD21),PROPER(AE21),IF(AE21&lt;&gt;"","SUB",""),PROPER(AF21),IF(AF21&lt;&gt;"","SUB",""),"_","Ed","_","M1",".mpg")</f>
        <v>TheMajorTones_i4K_CA_0125_43_SpaSpaEngSUBZhoSUB_Ed_M1.mpg</v>
      </c>
      <c r="S21" s="245" t="str">
        <f>CONCATENATE(RemovePunctuation(G21),"_","i5K","_","CA_",C21,"_",AJ21,"_",PROPER(AA21),IF(AB21="",PROPER(AA21),PROPER(AB21)),PROPER(AC21),PROPER(AD21),PROPER(AE21),IF(AE21&lt;&gt;"","SUB",""),PROPER(AF21),IF(AF21&lt;&gt;"","SUB",""),"_","Ed","_","M4",".mpg")</f>
        <v>TheMajorTones_i5K_CA_0125_169_SpaSpaEngSUBZhoSUB_Ed_M4.mpg</v>
      </c>
      <c r="T21" s="478" t="str">
        <f>CONCATENATE(RemovePunctuation(G21),"TR","_CA","_",C21,"_",AJ21,"_",PROPER(AA21),PROPER(AA21),"_","Ed","_","M2",".mpg")</f>
        <v>TheMajorTonesTR_CA_0125_169_SpaSpa_Ed_M2.mpg</v>
      </c>
      <c r="U21" s="479" t="s">
        <v>129</v>
      </c>
      <c r="V21" s="480"/>
      <c r="W21" s="481" t="s">
        <v>206</v>
      </c>
      <c r="X21" s="482">
        <v>2024</v>
      </c>
      <c r="Y21" s="492" t="s">
        <v>131</v>
      </c>
      <c r="Z21" s="492" t="s">
        <v>131</v>
      </c>
      <c r="AA21" s="492" t="s">
        <v>207</v>
      </c>
      <c r="AB21" s="492"/>
      <c r="AC21" s="492"/>
      <c r="AD21" s="492"/>
      <c r="AE21" s="492" t="s">
        <v>138</v>
      </c>
      <c r="AF21" s="492" t="s">
        <v>132</v>
      </c>
      <c r="AG21" s="118">
        <f t="shared" si="1"/>
        <v>101</v>
      </c>
      <c r="AH21" s="402">
        <v>0.0697222222222222</v>
      </c>
      <c r="AI21" s="120">
        <f t="shared" si="2"/>
        <v>6060</v>
      </c>
      <c r="AJ21" s="272">
        <v>169</v>
      </c>
      <c r="AK21" s="272">
        <v>43</v>
      </c>
      <c r="AL21" s="500">
        <v>0.00118055555555556</v>
      </c>
      <c r="AM21" s="501" t="s">
        <v>133</v>
      </c>
    </row>
    <row r="22" s="427" customFormat="1" ht="23.1" customHeight="1" spans="1:39">
      <c r="A22" s="156">
        <v>18</v>
      </c>
      <c r="B22" s="279"/>
      <c r="C22" s="445" t="s">
        <v>122</v>
      </c>
      <c r="D22" s="449"/>
      <c r="E22" s="447">
        <v>15</v>
      </c>
      <c r="F22" s="448" t="s">
        <v>208</v>
      </c>
      <c r="G22" s="448" t="s">
        <v>209</v>
      </c>
      <c r="H22" s="448" t="str">
        <f t="shared" si="0"/>
        <v>Not A Word (T)</v>
      </c>
      <c r="I22" s="461" t="s">
        <v>126</v>
      </c>
      <c r="J22" s="461" t="s">
        <v>126</v>
      </c>
      <c r="K22" s="461" t="s">
        <v>126</v>
      </c>
      <c r="L22" s="461" t="s">
        <v>126</v>
      </c>
      <c r="M22" s="461" t="s">
        <v>126</v>
      </c>
      <c r="N22" s="366" t="s">
        <v>210</v>
      </c>
      <c r="O22" s="462" t="s">
        <v>210</v>
      </c>
      <c r="P22" s="463" t="s">
        <v>211</v>
      </c>
      <c r="Q22" s="477" t="s">
        <v>211</v>
      </c>
      <c r="R22" s="245" t="str">
        <f>CONCATENATE(RemovePunctuation(G22),"_","i4K","_","CA_",C22,"_",AK22,"_",PROPER(AA22),IF(AB22="",PROPER(AA22),PROPER(AB22)),PROPER(AC22),PROPER(AD22),PROPER(AE22),IF(AE22&lt;&gt;"","SUB",""),PROPER(AF22),IF(AF22&lt;&gt;"","SUB",""),"_","Ed","_","M1",".mpg")</f>
        <v>NotAWord_i4K_CA_0125_43_DeuDeuEngSUBZhoSUB_Ed_M1.mpg</v>
      </c>
      <c r="S22" s="245" t="str">
        <f>CONCATENATE(RemovePunctuation(G22),"_","i5K","_","CA_",C22,"_",AJ22,"_",PROPER(AA22),IF(AB22="",PROPER(AA22),PROPER(AB22)),PROPER(AC22),PROPER(AD22),PROPER(AE22),IF(AE22&lt;&gt;"","SUB",""),PROPER(AF22),IF(AF22&lt;&gt;"","SUB",""),"_","Ed","_","M4",".mpg")</f>
        <v>NotAWord_i5K_CA_0125_169_DeuDeuEngSUBZhoSUB_Ed_M4.mpg</v>
      </c>
      <c r="T22" s="478" t="str">
        <f>CONCATENATE(RemovePunctuation(G22),"TR","_CA","_",C22,"_",AJ22,"_",PROPER(AA22),PROPER(AA22),"_","Ed","_","M2",".mpg")</f>
        <v>NotAWordTR_CA_0125_169_DeuDeu_Ed_M2.mpg</v>
      </c>
      <c r="U22" s="479" t="s">
        <v>129</v>
      </c>
      <c r="V22" s="480"/>
      <c r="W22" s="481" t="s">
        <v>206</v>
      </c>
      <c r="X22" s="482">
        <v>2024</v>
      </c>
      <c r="Y22" s="492" t="s">
        <v>131</v>
      </c>
      <c r="Z22" s="492" t="s">
        <v>131</v>
      </c>
      <c r="AA22" s="492" t="s">
        <v>212</v>
      </c>
      <c r="AB22" s="492"/>
      <c r="AC22" s="492"/>
      <c r="AD22" s="492"/>
      <c r="AE22" s="492" t="s">
        <v>138</v>
      </c>
      <c r="AF22" s="492" t="s">
        <v>132</v>
      </c>
      <c r="AG22" s="118">
        <f t="shared" si="1"/>
        <v>83</v>
      </c>
      <c r="AH22" s="402">
        <v>0.0573726851851852</v>
      </c>
      <c r="AI22" s="120">
        <f t="shared" si="2"/>
        <v>4980</v>
      </c>
      <c r="AJ22" s="272">
        <v>169</v>
      </c>
      <c r="AK22" s="272">
        <v>43</v>
      </c>
      <c r="AL22" s="500">
        <v>0.00128472222222222</v>
      </c>
      <c r="AM22" s="501" t="s">
        <v>133</v>
      </c>
    </row>
    <row r="23" s="427" customFormat="1" ht="23.1" customHeight="1" spans="1:39">
      <c r="A23" s="156">
        <v>19</v>
      </c>
      <c r="B23" s="279"/>
      <c r="C23" s="445" t="s">
        <v>122</v>
      </c>
      <c r="D23" s="449"/>
      <c r="E23" s="447">
        <v>16</v>
      </c>
      <c r="F23" s="448" t="s">
        <v>213</v>
      </c>
      <c r="G23" s="448" t="s">
        <v>214</v>
      </c>
      <c r="H23" s="448" t="str">
        <f t="shared" si="0"/>
        <v>Baggio: The Divine Ponytail (T)</v>
      </c>
      <c r="I23" s="461" t="s">
        <v>126</v>
      </c>
      <c r="J23" s="461" t="s">
        <v>126</v>
      </c>
      <c r="K23" s="461" t="s">
        <v>126</v>
      </c>
      <c r="L23" s="461" t="s">
        <v>126</v>
      </c>
      <c r="M23" s="461" t="s">
        <v>126</v>
      </c>
      <c r="N23" s="366" t="s">
        <v>215</v>
      </c>
      <c r="O23" s="462" t="s">
        <v>215</v>
      </c>
      <c r="P23" s="463" t="s">
        <v>216</v>
      </c>
      <c r="Q23" s="477" t="s">
        <v>216</v>
      </c>
      <c r="R23" s="245" t="str">
        <f>CONCATENATE(RemovePunctuation(G23),"_","i4K","_","CA_",C23,"_",AK23,"_",PROPER(AA23),IF(AB23="",PROPER(AA23),PROPER(AB23)),PROPER(AC23),PROPER(AD23),PROPER(AE23),IF(AE23&lt;&gt;"","SUB",""),PROPER(AF23),IF(AF23&lt;&gt;"","SUB",""),"_","Ed","_","M1",".mpg")</f>
        <v>BaggioTheDivinePonytail_i4K_CA_0125_43_ItaItaEngSUBZhoSUB_Ed_M1.mpg</v>
      </c>
      <c r="S23" s="245" t="str">
        <f>CONCATENATE(RemovePunctuation(G23),"_","i5K","_","CA_",C23,"_",AJ23,"_",PROPER(AA23),IF(AB23="",PROPER(AA23),PROPER(AB23)),PROPER(AC23),PROPER(AD23),PROPER(AE23),IF(AE23&lt;&gt;"","SUB",""),PROPER(AF23),IF(AF23&lt;&gt;"","SUB",""),"_","Ed","_","M4",".mpg")</f>
        <v>BaggioTheDivinePonytail_i5K_CA_0125_169_ItaItaEngSUBZhoSUB_Ed_M4.mpg</v>
      </c>
      <c r="T23" s="478" t="str">
        <f>CONCATENATE(RemovePunctuation(G23),"TR","_CA","_",C23,"_",AJ23,"_",PROPER(AA23),PROPER(AA23),"_","Ed","_","M2",".mpg")</f>
        <v>BaggioTheDivinePonytailTR_CA_0125_169_ItaIta_Ed_M2.mpg</v>
      </c>
      <c r="U23" s="479" t="s">
        <v>129</v>
      </c>
      <c r="V23" s="480"/>
      <c r="W23" s="481" t="s">
        <v>206</v>
      </c>
      <c r="X23" s="482">
        <v>2021</v>
      </c>
      <c r="Y23" s="492" t="s">
        <v>131</v>
      </c>
      <c r="Z23" s="492" t="s">
        <v>131</v>
      </c>
      <c r="AA23" s="492" t="s">
        <v>217</v>
      </c>
      <c r="AB23" s="492"/>
      <c r="AC23" s="492"/>
      <c r="AD23" s="492"/>
      <c r="AE23" s="492" t="s">
        <v>138</v>
      </c>
      <c r="AF23" s="492" t="s">
        <v>132</v>
      </c>
      <c r="AG23" s="118">
        <f t="shared" si="1"/>
        <v>91</v>
      </c>
      <c r="AH23" s="402">
        <v>0.0628009259259259</v>
      </c>
      <c r="AI23" s="120">
        <f t="shared" si="2"/>
        <v>5460</v>
      </c>
      <c r="AJ23" s="272">
        <v>169</v>
      </c>
      <c r="AK23" s="272">
        <v>43</v>
      </c>
      <c r="AL23" s="500">
        <v>0.000659722222222222</v>
      </c>
      <c r="AM23" s="501" t="s">
        <v>133</v>
      </c>
    </row>
    <row r="24" s="427" customFormat="1" ht="23.1" customHeight="1" spans="1:39">
      <c r="A24" s="156">
        <v>20</v>
      </c>
      <c r="B24" s="279"/>
      <c r="C24" s="445" t="s">
        <v>122</v>
      </c>
      <c r="D24" s="446" t="s">
        <v>218</v>
      </c>
      <c r="E24" s="447">
        <v>1</v>
      </c>
      <c r="F24" s="448" t="s">
        <v>219</v>
      </c>
      <c r="G24" s="448" t="s">
        <v>220</v>
      </c>
      <c r="H24" s="448" t="str">
        <f t="shared" si="0"/>
        <v>An Encounter to Remember (T)</v>
      </c>
      <c r="I24" s="461" t="s">
        <v>126</v>
      </c>
      <c r="J24" s="461" t="s">
        <v>126</v>
      </c>
      <c r="K24" s="461" t="s">
        <v>126</v>
      </c>
      <c r="L24" s="461" t="s">
        <v>126</v>
      </c>
      <c r="M24" s="461" t="s">
        <v>126</v>
      </c>
      <c r="N24" s="366" t="s">
        <v>221</v>
      </c>
      <c r="O24" s="462" t="s">
        <v>221</v>
      </c>
      <c r="P24" s="463" t="s">
        <v>222</v>
      </c>
      <c r="Q24" s="477" t="s">
        <v>222</v>
      </c>
      <c r="R24" s="245" t="str">
        <f>CONCATENATE(RemovePunctuation(G24),"_","i4K","_","CA_",C24,"_",AK24,"_",PROPER(AA24),IF(AB24="",PROPER(AA24),PROPER(AB24)),PROPER(AC24),PROPER(AD24),PROPER(AE24),IF(AE24&lt;&gt;"","SUB",""),PROPER(AF24),IF(AF24&lt;&gt;"","SUB",""),"_","Ed","_","M1",".mpg")</f>
        <v>AnEncountertoRemember_i4K_CA_0125_43_ZhoZhoEngSUBZhoSUB_Ed_M1.mpg</v>
      </c>
      <c r="S24" s="245" t="str">
        <f>CONCATENATE(RemovePunctuation(G24),"_","i5K","_","CA_",C24,"_",AJ24,"_",PROPER(AA24),IF(AB24="",PROPER(AA24),PROPER(AB24)),PROPER(AC24),PROPER(AD24),PROPER(AE24),IF(AE24&lt;&gt;"","SUB",""),PROPER(AF24),IF(AF24&lt;&gt;"","SUB",""),"_","Ed","_","M4",".mpg")</f>
        <v>AnEncountertoRemember_i5K_CA_0125_169_ZhoZhoEngSUBZhoSUB_Ed_M4.mpg</v>
      </c>
      <c r="T24" s="478" t="str">
        <f>CONCATENATE(RemovePunctuation(G24),"TR","_CA","_",C24,"_",AJ24,"_",PROPER(AA24),PROPER(AA24),"_","Ed","_","M2",".mpg")</f>
        <v>AnEncountertoRememberTR_CA_0125_169_ZhoZho_Ed_M2.mpg</v>
      </c>
      <c r="U24" s="479" t="s">
        <v>129</v>
      </c>
      <c r="V24" s="480"/>
      <c r="W24" s="481" t="s">
        <v>130</v>
      </c>
      <c r="X24" s="482">
        <v>2023</v>
      </c>
      <c r="Y24" s="492" t="s">
        <v>131</v>
      </c>
      <c r="Z24" s="492" t="s">
        <v>131</v>
      </c>
      <c r="AA24" s="492" t="s">
        <v>132</v>
      </c>
      <c r="AB24" s="492"/>
      <c r="AC24" s="492"/>
      <c r="AD24" s="492"/>
      <c r="AE24" s="492" t="s">
        <v>138</v>
      </c>
      <c r="AF24" s="492" t="s">
        <v>132</v>
      </c>
      <c r="AG24" s="118">
        <f t="shared" si="1"/>
        <v>106</v>
      </c>
      <c r="AH24" s="402">
        <v>0.0731018518518518</v>
      </c>
      <c r="AI24" s="120">
        <f t="shared" si="2"/>
        <v>6360</v>
      </c>
      <c r="AJ24" s="272">
        <v>169</v>
      </c>
      <c r="AK24" s="272">
        <v>43</v>
      </c>
      <c r="AL24" s="500">
        <v>0.00135416666666667</v>
      </c>
      <c r="AM24" s="501" t="s">
        <v>133</v>
      </c>
    </row>
    <row r="25" s="427" customFormat="1" ht="23.1" customHeight="1" spans="1:39">
      <c r="A25" s="156">
        <v>21</v>
      </c>
      <c r="B25" s="279"/>
      <c r="C25" s="445" t="s">
        <v>122</v>
      </c>
      <c r="D25" s="446"/>
      <c r="E25" s="447">
        <v>2</v>
      </c>
      <c r="F25" s="448" t="s">
        <v>223</v>
      </c>
      <c r="G25" s="448" t="s">
        <v>224</v>
      </c>
      <c r="H25" s="448" t="str">
        <f t="shared" si="0"/>
        <v>I Love You to the Moon and Back (T)</v>
      </c>
      <c r="I25" s="461" t="s">
        <v>126</v>
      </c>
      <c r="J25" s="461" t="s">
        <v>126</v>
      </c>
      <c r="K25" s="461" t="s">
        <v>126</v>
      </c>
      <c r="L25" s="461" t="s">
        <v>126</v>
      </c>
      <c r="M25" s="461" t="s">
        <v>126</v>
      </c>
      <c r="N25" s="366" t="s">
        <v>225</v>
      </c>
      <c r="O25" s="462" t="s">
        <v>225</v>
      </c>
      <c r="P25" s="463" t="s">
        <v>226</v>
      </c>
      <c r="Q25" s="477" t="s">
        <v>226</v>
      </c>
      <c r="R25" s="245" t="str">
        <f>CONCATENATE(RemovePunctuation(G25),"_","i4K","_","CA_",C25,"_",AK25,"_",PROPER(AA25),IF(AB25="",PROPER(AA25),PROPER(AB25)),PROPER(AC25),PROPER(AD25),PROPER(AE25),IF(AE25&lt;&gt;"","SUB",""),PROPER(AF25),IF(AF25&lt;&gt;"","SUB",""),"_","Ed","_","M1",".mpg")</f>
        <v>ILoveYoutotheMoonandBack_i4K_CA_0125_43_ZhoZhoZhoSUB_Ed_M1.mpg</v>
      </c>
      <c r="S25" s="245" t="str">
        <f>CONCATENATE(RemovePunctuation(G25),"_","i5K","_","CA_",C25,"_",AJ25,"_",PROPER(AA25),IF(AB25="",PROPER(AA25),PROPER(AB25)),PROPER(AC25),PROPER(AD25),PROPER(AE25),IF(AE25&lt;&gt;"","SUB",""),PROPER(AF25),IF(AF25&lt;&gt;"","SUB",""),"_","Ed","_","M4",".mpg")</f>
        <v>ILoveYoutotheMoonandBack_i5K_CA_0125_169_ZhoZhoZhoSUB_Ed_M4.mpg</v>
      </c>
      <c r="T25" s="478" t="str">
        <f>CONCATENATE(RemovePunctuation(G25),"TR","_CA","_",C25,"_",AJ25,"_",PROPER(AA25),PROPER(AA25),"_","Ed","_","M2",".mpg")</f>
        <v>ILoveYoutotheMoonandBackTR_CA_0125_169_ZhoZho_Ed_M2.mpg</v>
      </c>
      <c r="U25" s="479" t="s">
        <v>129</v>
      </c>
      <c r="V25" s="480"/>
      <c r="W25" s="481" t="s">
        <v>130</v>
      </c>
      <c r="X25" s="482">
        <v>2024</v>
      </c>
      <c r="Y25" s="492" t="s">
        <v>131</v>
      </c>
      <c r="Z25" s="492" t="s">
        <v>131</v>
      </c>
      <c r="AA25" s="492" t="s">
        <v>132</v>
      </c>
      <c r="AB25" s="492"/>
      <c r="AC25" s="492"/>
      <c r="AD25" s="492"/>
      <c r="AE25" s="492" t="s">
        <v>132</v>
      </c>
      <c r="AF25" s="492"/>
      <c r="AG25" s="118">
        <f t="shared" si="1"/>
        <v>105</v>
      </c>
      <c r="AH25" s="402">
        <v>0.0727199074074074</v>
      </c>
      <c r="AI25" s="120">
        <f t="shared" si="2"/>
        <v>6300</v>
      </c>
      <c r="AJ25" s="272">
        <v>169</v>
      </c>
      <c r="AK25" s="272">
        <v>43</v>
      </c>
      <c r="AL25" s="500">
        <v>0.000543981481481481</v>
      </c>
      <c r="AM25" s="501" t="s">
        <v>133</v>
      </c>
    </row>
    <row r="26" s="427" customFormat="1" ht="23.1" customHeight="1" spans="1:39">
      <c r="A26" s="156">
        <v>22</v>
      </c>
      <c r="B26" s="279"/>
      <c r="C26" s="445" t="s">
        <v>122</v>
      </c>
      <c r="D26" s="446"/>
      <c r="E26" s="447">
        <v>3</v>
      </c>
      <c r="F26" s="448" t="s">
        <v>227</v>
      </c>
      <c r="G26" s="448" t="s">
        <v>228</v>
      </c>
      <c r="H26" s="448" t="str">
        <f t="shared" si="0"/>
        <v>Moments We Shared (T)</v>
      </c>
      <c r="I26" s="461" t="s">
        <v>126</v>
      </c>
      <c r="J26" s="461" t="s">
        <v>126</v>
      </c>
      <c r="K26" s="461" t="s">
        <v>126</v>
      </c>
      <c r="L26" s="461" t="s">
        <v>126</v>
      </c>
      <c r="M26" s="461" t="s">
        <v>126</v>
      </c>
      <c r="N26" s="366" t="s">
        <v>229</v>
      </c>
      <c r="O26" s="462" t="s">
        <v>229</v>
      </c>
      <c r="P26" s="463" t="s">
        <v>230</v>
      </c>
      <c r="Q26" s="477" t="s">
        <v>230</v>
      </c>
      <c r="R26" s="245" t="str">
        <f>CONCATENATE(RemovePunctuation(G26),"_","i4K","_","CA_",C26,"_",AK26,"_",PROPER(AA26),IF(AB26="",PROPER(AA26),PROPER(AB26)),PROPER(AC26),PROPER(AD26),PROPER(AE26),IF(AE26&lt;&gt;"","SUB",""),PROPER(AF26),IF(AF26&lt;&gt;"","SUB",""),"_","Ed","_","M1",".mpg")</f>
        <v>MomentsWeShared_i4K_CA_0125_43_ZhoZhoEngSUBZhoSUB_Ed_M1.mpg</v>
      </c>
      <c r="S26" s="245" t="str">
        <f>CONCATENATE(RemovePunctuation(G26),"_","i5K","_","CA_",C26,"_",AJ26,"_",PROPER(AA26),IF(AB26="",PROPER(AA26),PROPER(AB26)),PROPER(AC26),PROPER(AD26),PROPER(AE26),IF(AE26&lt;&gt;"","SUB",""),PROPER(AF26),IF(AF26&lt;&gt;"","SUB",""),"_","Ed","_","M4",".mpg")</f>
        <v>MomentsWeShared_i5K_CA_0125_169_ZhoZhoEngSUBZhoSUB_Ed_M4.mpg</v>
      </c>
      <c r="T26" s="478" t="str">
        <f>CONCATENATE(RemovePunctuation(G26),"TR","_CA","_",C26,"_",AJ26,"_",PROPER(AA26),PROPER(AA26),"_","Ed","_","M2",".mpg")</f>
        <v>MomentsWeSharedTR_CA_0125_169_ZhoZho_Ed_M2.mpg</v>
      </c>
      <c r="U26" s="479" t="s">
        <v>178</v>
      </c>
      <c r="V26" s="480"/>
      <c r="W26" s="481" t="s">
        <v>130</v>
      </c>
      <c r="X26" s="482">
        <v>2024</v>
      </c>
      <c r="Y26" s="492" t="s">
        <v>131</v>
      </c>
      <c r="Z26" s="492" t="s">
        <v>131</v>
      </c>
      <c r="AA26" s="492" t="s">
        <v>132</v>
      </c>
      <c r="AB26" s="492"/>
      <c r="AC26" s="492"/>
      <c r="AD26" s="492"/>
      <c r="AE26" s="492" t="s">
        <v>138</v>
      </c>
      <c r="AF26" s="492" t="s">
        <v>132</v>
      </c>
      <c r="AG26" s="118">
        <f t="shared" si="1"/>
        <v>131</v>
      </c>
      <c r="AH26" s="402">
        <v>0.0909722222222222</v>
      </c>
      <c r="AI26" s="120">
        <f t="shared" si="2"/>
        <v>7860</v>
      </c>
      <c r="AJ26" s="272">
        <v>169</v>
      </c>
      <c r="AK26" s="272">
        <v>43</v>
      </c>
      <c r="AL26" s="500">
        <v>0.000393518518518519</v>
      </c>
      <c r="AM26" s="501" t="s">
        <v>133</v>
      </c>
    </row>
    <row r="27" s="427" customFormat="1" ht="23.1" customHeight="1" spans="1:39">
      <c r="A27" s="156">
        <v>23</v>
      </c>
      <c r="B27" s="279"/>
      <c r="C27" s="445" t="s">
        <v>122</v>
      </c>
      <c r="D27" s="446"/>
      <c r="E27" s="447">
        <v>4</v>
      </c>
      <c r="F27" s="448" t="s">
        <v>231</v>
      </c>
      <c r="G27" s="448" t="s">
        <v>232</v>
      </c>
      <c r="H27" s="448" t="str">
        <f t="shared" si="0"/>
        <v>Back to Alexandria (T)</v>
      </c>
      <c r="I27" s="461" t="s">
        <v>126</v>
      </c>
      <c r="J27" s="461" t="s">
        <v>126</v>
      </c>
      <c r="K27" s="461" t="s">
        <v>126</v>
      </c>
      <c r="L27" s="461" t="s">
        <v>126</v>
      </c>
      <c r="M27" s="461" t="s">
        <v>126</v>
      </c>
      <c r="N27" s="366" t="s">
        <v>233</v>
      </c>
      <c r="O27" s="462" t="s">
        <v>233</v>
      </c>
      <c r="P27" s="463" t="s">
        <v>234</v>
      </c>
      <c r="Q27" s="477" t="s">
        <v>234</v>
      </c>
      <c r="R27" s="245" t="str">
        <f>CONCATENATE(RemovePunctuation(G27),"_","i4K","_","CA_",C27,"_",AK27,"_",PROPER(AA27),IF(AB27="",PROPER(AA27),PROPER(AB27)),PROPER(AC27),PROPER(AD27),PROPER(AE27),IF(AE27&lt;&gt;"","SUB",""),PROPER(AF27),IF(AF27&lt;&gt;"","SUB",""),"_","Ed","_","M1",".mpg")</f>
        <v>BacktoAlexandria_i4K_CA_0125_43_FraFraEngSUBZhoSUB_Ed_M1.mpg</v>
      </c>
      <c r="S27" s="245" t="str">
        <f>CONCATENATE(RemovePunctuation(G27),"_","i5K","_","CA_",C27,"_",AJ27,"_",PROPER(AA27),IF(AB27="",PROPER(AA27),PROPER(AB27)),PROPER(AC27),PROPER(AD27),PROPER(AE27),IF(AE27&lt;&gt;"","SUB",""),PROPER(AF27),IF(AF27&lt;&gt;"","SUB",""),"_","Ed","_","M4",".mpg")</f>
        <v>BacktoAlexandria_i5K_CA_0125_169_FraFraEngSUBZhoSUB_Ed_M4.mpg</v>
      </c>
      <c r="T27" s="478" t="str">
        <f>CONCATENATE(RemovePunctuation(G27),"TR","_CA","_",C27,"_",AJ27,"_",PROPER(AA27),PROPER(AA27),"_","Ed","_","M2",".mpg")</f>
        <v>BacktoAlexandriaTR_CA_0125_169_FraFra_Ed_M2.mpg</v>
      </c>
      <c r="U27" s="479" t="s">
        <v>129</v>
      </c>
      <c r="V27" s="480"/>
      <c r="W27" s="481" t="s">
        <v>206</v>
      </c>
      <c r="X27" s="482">
        <v>2023</v>
      </c>
      <c r="Y27" s="492" t="s">
        <v>131</v>
      </c>
      <c r="Z27" s="492" t="s">
        <v>131</v>
      </c>
      <c r="AA27" s="492" t="s">
        <v>201</v>
      </c>
      <c r="AB27" s="492"/>
      <c r="AC27" s="492"/>
      <c r="AD27" s="492"/>
      <c r="AE27" s="492" t="s">
        <v>138</v>
      </c>
      <c r="AF27" s="492" t="s">
        <v>132</v>
      </c>
      <c r="AG27" s="118">
        <f t="shared" si="1"/>
        <v>90</v>
      </c>
      <c r="AH27" s="402">
        <v>0.0624768518518519</v>
      </c>
      <c r="AI27" s="120">
        <f t="shared" si="2"/>
        <v>5400</v>
      </c>
      <c r="AJ27" s="272">
        <v>169</v>
      </c>
      <c r="AK27" s="272">
        <v>43</v>
      </c>
      <c r="AL27" s="500">
        <v>0.00105324074074074</v>
      </c>
      <c r="AM27" s="501" t="s">
        <v>144</v>
      </c>
    </row>
    <row r="28" s="427" customFormat="1" ht="23.1" customHeight="1" spans="1:39">
      <c r="A28" s="156">
        <v>24</v>
      </c>
      <c r="B28" s="279"/>
      <c r="C28" s="445" t="s">
        <v>122</v>
      </c>
      <c r="D28" s="446"/>
      <c r="E28" s="447">
        <v>5</v>
      </c>
      <c r="F28" s="448" t="s">
        <v>235</v>
      </c>
      <c r="G28" s="448" t="s">
        <v>236</v>
      </c>
      <c r="H28" s="448" t="str">
        <f t="shared" si="0"/>
        <v>Out of Season (T)</v>
      </c>
      <c r="I28" s="461" t="s">
        <v>126</v>
      </c>
      <c r="J28" s="461" t="s">
        <v>126</v>
      </c>
      <c r="K28" s="461" t="s">
        <v>126</v>
      </c>
      <c r="L28" s="461" t="s">
        <v>126</v>
      </c>
      <c r="M28" s="461" t="s">
        <v>126</v>
      </c>
      <c r="N28" s="366" t="s">
        <v>237</v>
      </c>
      <c r="O28" s="462" t="s">
        <v>237</v>
      </c>
      <c r="P28" s="463" t="s">
        <v>238</v>
      </c>
      <c r="Q28" s="477" t="s">
        <v>238</v>
      </c>
      <c r="R28" s="245" t="str">
        <f>CONCATENATE(RemovePunctuation(G28),"_","i4K","_","CA_",C28,"_",AK28,"_",PROPER(AA28),IF(AB28="",PROPER(AA28),PROPER(AB28)),PROPER(AC28),PROPER(AD28),PROPER(AE28),IF(AE28&lt;&gt;"","SUB",""),PROPER(AF28),IF(AF28&lt;&gt;"","SUB",""),"_","Ed","_","M1",".mpg")</f>
        <v>OutofSeason_i4K_CA_0125_43_FraFraEngSUBZhoSUB_Ed_M1.mpg</v>
      </c>
      <c r="S28" s="245" t="str">
        <f>CONCATENATE(RemovePunctuation(G28),"_","i5K","_","CA_",C28,"_",AJ28,"_",PROPER(AA28),IF(AB28="",PROPER(AA28),PROPER(AB28)),PROPER(AC28),PROPER(AD28),PROPER(AE28),IF(AE28&lt;&gt;"","SUB",""),PROPER(AF28),IF(AF28&lt;&gt;"","SUB",""),"_","Ed","_","M4",".mpg")</f>
        <v>OutofSeason_i5K_CA_0125_169_FraFraEngSUBZhoSUB_Ed_M4.mpg</v>
      </c>
      <c r="T28" s="478" t="str">
        <f>CONCATENATE(RemovePunctuation(G28),"TR","_CA","_",C28,"_",AJ28,"_",PROPER(AA28),PROPER(AA28),"_","Ed","_","M2",".mpg")</f>
        <v>OutofSeasonTR_CA_0125_169_FraFra_Ed_M2.mpg</v>
      </c>
      <c r="U28" s="479" t="s">
        <v>129</v>
      </c>
      <c r="V28" s="480"/>
      <c r="W28" s="481" t="s">
        <v>239</v>
      </c>
      <c r="X28" s="482">
        <v>2024</v>
      </c>
      <c r="Y28" s="492" t="s">
        <v>131</v>
      </c>
      <c r="Z28" s="492" t="s">
        <v>131</v>
      </c>
      <c r="AA28" s="492" t="s">
        <v>201</v>
      </c>
      <c r="AB28" s="492"/>
      <c r="AC28" s="492"/>
      <c r="AD28" s="492"/>
      <c r="AE28" s="492" t="s">
        <v>138</v>
      </c>
      <c r="AF28" s="492" t="s">
        <v>132</v>
      </c>
      <c r="AG28" s="118">
        <f t="shared" si="1"/>
        <v>114</v>
      </c>
      <c r="AH28" s="402">
        <v>0.0786689814814815</v>
      </c>
      <c r="AI28" s="120">
        <f t="shared" si="2"/>
        <v>6840</v>
      </c>
      <c r="AJ28" s="272">
        <v>169</v>
      </c>
      <c r="AK28" s="272">
        <v>43</v>
      </c>
      <c r="AL28" s="500">
        <v>0.00109953703703704</v>
      </c>
      <c r="AM28" s="501" t="s">
        <v>133</v>
      </c>
    </row>
    <row r="29" s="427" customFormat="1" ht="23.1" customHeight="1" spans="1:39">
      <c r="A29" s="156">
        <v>25</v>
      </c>
      <c r="B29" s="279"/>
      <c r="C29" s="445" t="s">
        <v>122</v>
      </c>
      <c r="D29" s="446"/>
      <c r="E29" s="447">
        <v>6</v>
      </c>
      <c r="F29" s="448" t="s">
        <v>240</v>
      </c>
      <c r="G29" s="448" t="s">
        <v>241</v>
      </c>
      <c r="H29" s="448" t="str">
        <f t="shared" si="0"/>
        <v>Grounded (T)</v>
      </c>
      <c r="I29" s="461" t="s">
        <v>126</v>
      </c>
      <c r="J29" s="461" t="s">
        <v>126</v>
      </c>
      <c r="K29" s="461" t="s">
        <v>126</v>
      </c>
      <c r="L29" s="461" t="s">
        <v>126</v>
      </c>
      <c r="M29" s="461" t="s">
        <v>126</v>
      </c>
      <c r="N29" s="366" t="s">
        <v>242</v>
      </c>
      <c r="O29" s="462" t="s">
        <v>242</v>
      </c>
      <c r="P29" s="463" t="s">
        <v>243</v>
      </c>
      <c r="Q29" s="477" t="s">
        <v>243</v>
      </c>
      <c r="R29" s="245" t="str">
        <f>CONCATENATE(RemovePunctuation(G29),"_","i4K","_","CA_",C29,"_",AK29,"_",PROPER(AA29),IF(AB29="",PROPER(AA29),PROPER(AB29)),PROPER(AC29),PROPER(AD29),PROPER(AE29),IF(AE29&lt;&gt;"","SUB",""),PROPER(AF29),IF(AF29&lt;&gt;"","SUB",""),"_","Ed","_","M1",".mpg")</f>
        <v>Grounded_i4K_CA_0125_43_FraFraEngSUBZhoSUB_Ed_M1.mpg</v>
      </c>
      <c r="S29" s="245" t="str">
        <f>CONCATENATE(RemovePunctuation(G29),"_","i5K","_","CA_",C29,"_",AJ29,"_",PROPER(AA29),IF(AB29="",PROPER(AA29),PROPER(AB29)),PROPER(AC29),PROPER(AD29),PROPER(AE29),IF(AE29&lt;&gt;"","SUB",""),PROPER(AF29),IF(AF29&lt;&gt;"","SUB",""),"_","Ed","_","M4",".mpg")</f>
        <v>Grounded_i5K_CA_0125_169_FraFraEngSUBZhoSUB_Ed_M4.mpg</v>
      </c>
      <c r="T29" s="478" t="str">
        <f>CONCATENATE(RemovePunctuation(G29),"TR","_CA","_",C29,"_",AJ29,"_",PROPER(AA29),PROPER(AA29),"_","Ed","_","M2",".mpg")</f>
        <v>GroundedTR_CA_0125_169_FraFra_Ed_M2.mpg</v>
      </c>
      <c r="U29" s="479" t="s">
        <v>129</v>
      </c>
      <c r="V29" s="480"/>
      <c r="W29" s="481" t="s">
        <v>192</v>
      </c>
      <c r="X29" s="482">
        <v>2017</v>
      </c>
      <c r="Y29" s="492" t="s">
        <v>131</v>
      </c>
      <c r="Z29" s="492" t="s">
        <v>131</v>
      </c>
      <c r="AA29" s="492" t="s">
        <v>201</v>
      </c>
      <c r="AB29" s="492"/>
      <c r="AC29" s="492"/>
      <c r="AD29" s="492"/>
      <c r="AE29" s="492" t="s">
        <v>138</v>
      </c>
      <c r="AF29" s="492" t="s">
        <v>132</v>
      </c>
      <c r="AG29" s="118">
        <f t="shared" si="1"/>
        <v>83</v>
      </c>
      <c r="AH29" s="402">
        <v>0.0574768518518518</v>
      </c>
      <c r="AI29" s="120">
        <f t="shared" si="2"/>
        <v>4980</v>
      </c>
      <c r="AJ29" s="272">
        <v>169</v>
      </c>
      <c r="AK29" s="272">
        <v>43</v>
      </c>
      <c r="AL29" s="500">
        <v>0.00141203703703704</v>
      </c>
      <c r="AM29" s="501" t="s">
        <v>144</v>
      </c>
    </row>
    <row r="30" s="427" customFormat="1" ht="23.1" customHeight="1" spans="1:39">
      <c r="A30" s="156">
        <v>26</v>
      </c>
      <c r="B30" s="279"/>
      <c r="C30" s="445" t="s">
        <v>122</v>
      </c>
      <c r="D30" s="446"/>
      <c r="E30" s="447">
        <v>7</v>
      </c>
      <c r="F30" s="448" t="s">
        <v>244</v>
      </c>
      <c r="G30" s="448" t="s">
        <v>245</v>
      </c>
      <c r="H30" s="448" t="str">
        <f t="shared" si="0"/>
        <v>Winter Lemons (T)</v>
      </c>
      <c r="I30" s="461" t="s">
        <v>126</v>
      </c>
      <c r="J30" s="461" t="s">
        <v>126</v>
      </c>
      <c r="K30" s="461" t="s">
        <v>126</v>
      </c>
      <c r="L30" s="461" t="s">
        <v>126</v>
      </c>
      <c r="M30" s="461" t="s">
        <v>126</v>
      </c>
      <c r="N30" s="366" t="s">
        <v>246</v>
      </c>
      <c r="O30" s="462" t="s">
        <v>246</v>
      </c>
      <c r="P30" s="463" t="s">
        <v>247</v>
      </c>
      <c r="Q30" s="477" t="s">
        <v>247</v>
      </c>
      <c r="R30" s="245" t="str">
        <f>CONCATENATE(RemovePunctuation(G30),"_","i4K","_","CA_",C30,"_",AK30,"_",PROPER(AA30),IF(AB30="",PROPER(AA30),PROPER(AB30)),PROPER(AC30),PROPER(AD30),PROPER(AE30),IF(AE30&lt;&gt;"","SUB",""),PROPER(AF30),IF(AF30&lt;&gt;"","SUB",""),"_","Ed","_","M1",".mpg")</f>
        <v>WinterLemons_i4K_CA_0125_43_ItaItaEngSUBZhoSUB_Ed_M1.mpg</v>
      </c>
      <c r="S30" s="245" t="str">
        <f>CONCATENATE(RemovePunctuation(G30),"_","i5K","_","CA_",C30,"_",AJ30,"_",PROPER(AA30),IF(AB30="",PROPER(AA30),PROPER(AB30)),PROPER(AC30),PROPER(AD30),PROPER(AE30),IF(AE30&lt;&gt;"","SUB",""),PROPER(AF30),IF(AF30&lt;&gt;"","SUB",""),"_","Ed","_","M4",".mpg")</f>
        <v>WinterLemons_i5K_CA_0125_169_ItaItaEngSUBZhoSUB_Ed_M4.mpg</v>
      </c>
      <c r="T30" s="478" t="str">
        <f>CONCATENATE(RemovePunctuation(G30),"TR","_CA","_",C30,"_",AJ30,"_",PROPER(AA30),PROPER(AA30),"_","Ed","_","M2",".mpg")</f>
        <v>WinterLemonsTR_CA_0125_169_ItaIta_Ed_M2.mpg</v>
      </c>
      <c r="U30" s="479" t="s">
        <v>129</v>
      </c>
      <c r="V30" s="480"/>
      <c r="W30" s="481" t="s">
        <v>192</v>
      </c>
      <c r="X30" s="482">
        <v>2023</v>
      </c>
      <c r="Y30" s="492" t="s">
        <v>131</v>
      </c>
      <c r="Z30" s="492" t="s">
        <v>131</v>
      </c>
      <c r="AA30" s="492" t="s">
        <v>217</v>
      </c>
      <c r="AB30" s="492"/>
      <c r="AC30" s="492"/>
      <c r="AD30" s="492"/>
      <c r="AE30" s="492" t="s">
        <v>138</v>
      </c>
      <c r="AF30" s="492" t="s">
        <v>132</v>
      </c>
      <c r="AG30" s="118">
        <f t="shared" si="1"/>
        <v>109</v>
      </c>
      <c r="AH30" s="402">
        <v>0.0750231481481481</v>
      </c>
      <c r="AI30" s="120">
        <f t="shared" si="2"/>
        <v>6540</v>
      </c>
      <c r="AJ30" s="272">
        <v>169</v>
      </c>
      <c r="AK30" s="272">
        <v>43</v>
      </c>
      <c r="AL30" s="500">
        <v>0.000717592592592593</v>
      </c>
      <c r="AM30" s="501" t="s">
        <v>144</v>
      </c>
    </row>
    <row r="31" s="427" customFormat="1" ht="23.1" customHeight="1" spans="1:39">
      <c r="A31" s="156">
        <v>27</v>
      </c>
      <c r="B31" s="279"/>
      <c r="C31" s="445" t="s">
        <v>122</v>
      </c>
      <c r="D31" s="446"/>
      <c r="E31" s="447">
        <v>8</v>
      </c>
      <c r="F31" s="451" t="s">
        <v>248</v>
      </c>
      <c r="G31" s="452" t="s">
        <v>249</v>
      </c>
      <c r="H31" s="448" t="str">
        <f t="shared" si="0"/>
        <v>Dragon (T)</v>
      </c>
      <c r="I31" s="461" t="s">
        <v>126</v>
      </c>
      <c r="J31" s="461" t="s">
        <v>126</v>
      </c>
      <c r="K31" s="461" t="s">
        <v>126</v>
      </c>
      <c r="L31" s="461" t="s">
        <v>126</v>
      </c>
      <c r="M31" s="461" t="s">
        <v>126</v>
      </c>
      <c r="N31" s="366" t="s">
        <v>250</v>
      </c>
      <c r="O31" s="462" t="s">
        <v>250</v>
      </c>
      <c r="P31" s="463" t="s">
        <v>251</v>
      </c>
      <c r="Q31" s="477" t="s">
        <v>251</v>
      </c>
      <c r="R31" s="245" t="str">
        <f>CONCATENATE(RemovePunctuation(G31),"_","i4K","_","CA_",C31,"_",AK31,"_",PROPER(AA31),IF(AB31="",PROPER(AA31),PROPER(AB31)),PROPER(AC31),PROPER(AD31),PROPER(AE31),IF(AE31&lt;&gt;"","SUB",""),PROPER(AF31),IF(AF31&lt;&gt;"","SUB",""),"_","Ed","_","M1",".mpg")</f>
        <v>Dragon_i4K_CA_0125_43_RusRusEngSUBZhoSUB_Ed_M1.mpg</v>
      </c>
      <c r="S31" s="245" t="str">
        <f>CONCATENATE(RemovePunctuation(G31),"_","i5K","_","CA_",C31,"_",AJ31,"_",PROPER(AA31),IF(AB31="",PROPER(AA31),PROPER(AB31)),PROPER(AC31),PROPER(AD31),PROPER(AE31),IF(AE31&lt;&gt;"","SUB",""),PROPER(AF31),IF(AF31&lt;&gt;"","SUB",""),"_","Ed","_","M4",".mpg")</f>
        <v>Dragon_i5K_CA_0125_169_RusRusEngSUBZhoSUB_Ed_M4.mpg</v>
      </c>
      <c r="T31" s="478" t="str">
        <f>CONCATENATE(RemovePunctuation(G31),"TR","_CA","_",C31,"_",AJ31,"_",PROPER(AA31),PROPER(AA31),"_","Ed","_","M2",".mpg")</f>
        <v>DragonTR_CA_0125_169_RusRus_Ed_M2.mpg</v>
      </c>
      <c r="U31" s="479" t="s">
        <v>129</v>
      </c>
      <c r="V31" s="480"/>
      <c r="W31" s="481" t="s">
        <v>130</v>
      </c>
      <c r="X31" s="482">
        <v>2016</v>
      </c>
      <c r="Y31" s="492" t="s">
        <v>131</v>
      </c>
      <c r="Z31" s="492" t="s">
        <v>131</v>
      </c>
      <c r="AA31" s="492" t="s">
        <v>252</v>
      </c>
      <c r="AB31" s="492"/>
      <c r="AC31" s="492"/>
      <c r="AD31" s="492"/>
      <c r="AE31" s="492" t="s">
        <v>138</v>
      </c>
      <c r="AF31" s="492" t="s">
        <v>132</v>
      </c>
      <c r="AG31" s="118">
        <f t="shared" si="1"/>
        <v>108</v>
      </c>
      <c r="AH31" s="402">
        <v>0.0743518518518518</v>
      </c>
      <c r="AI31" s="120">
        <f t="shared" si="2"/>
        <v>6480</v>
      </c>
      <c r="AJ31" s="272">
        <v>169</v>
      </c>
      <c r="AK31" s="272">
        <v>43</v>
      </c>
      <c r="AL31" s="500">
        <v>0.000497685185185185</v>
      </c>
      <c r="AM31" s="501" t="s">
        <v>144</v>
      </c>
    </row>
    <row r="32" s="427" customFormat="1" ht="23.1" customHeight="1" spans="1:39">
      <c r="A32" s="156">
        <v>28</v>
      </c>
      <c r="B32" s="279"/>
      <c r="C32" s="445" t="s">
        <v>122</v>
      </c>
      <c r="D32" s="453" t="s">
        <v>253</v>
      </c>
      <c r="E32" s="447">
        <v>1</v>
      </c>
      <c r="F32" s="451" t="s">
        <v>254</v>
      </c>
      <c r="G32" s="448" t="s">
        <v>255</v>
      </c>
      <c r="H32" s="448" t="str">
        <f t="shared" si="0"/>
        <v>Successor (T)</v>
      </c>
      <c r="I32" s="461" t="s">
        <v>126</v>
      </c>
      <c r="J32" s="461" t="s">
        <v>126</v>
      </c>
      <c r="K32" s="461" t="s">
        <v>126</v>
      </c>
      <c r="L32" s="461" t="s">
        <v>126</v>
      </c>
      <c r="M32" s="461" t="s">
        <v>126</v>
      </c>
      <c r="N32" s="366" t="s">
        <v>256</v>
      </c>
      <c r="O32" s="462" t="s">
        <v>256</v>
      </c>
      <c r="P32" s="463" t="s">
        <v>257</v>
      </c>
      <c r="Q32" s="477" t="s">
        <v>257</v>
      </c>
      <c r="R32" s="245" t="str">
        <f>CONCATENATE(RemovePunctuation(G32),"_","i4K","_","CA_",C32,"_",AK32,"_",PROPER(AA32),IF(AB32="",PROPER(AA32),PROPER(AB32)),PROPER(AC32),PROPER(AD32),PROPER(AE32),IF(AE32&lt;&gt;"","SUB",""),PROPER(AF32),IF(AF32&lt;&gt;"","SUB",""),"_","Ed","_","M1",".mpg")</f>
        <v>Successor_i4K_CA_0125_43_ZhoZhoEngSUBZhoSUB_Ed_M1.mpg</v>
      </c>
      <c r="S32" s="245" t="str">
        <f>CONCATENATE(RemovePunctuation(G32),"_","i5K","_","CA_",C32,"_",AJ32,"_",PROPER(AA32),IF(AB32="",PROPER(AA32),PROPER(AB32)),PROPER(AC32),PROPER(AD32),PROPER(AE32),IF(AE32&lt;&gt;"","SUB",""),PROPER(AF32),IF(AF32&lt;&gt;"","SUB",""),"_","Ed","_","M4",".mpg")</f>
        <v>Successor_i5K_CA_0125_169_ZhoZhoEngSUBZhoSUB_Ed_M4.mpg</v>
      </c>
      <c r="T32" s="478" t="str">
        <f>CONCATENATE(RemovePunctuation(G32),"TR","_CA","_",C32,"_",AJ32,"_",PROPER(AA32),PROPER(AA32),"_","Ed","_","M2",".mpg")</f>
        <v>SuccessorTR_CA_0125_169_ZhoZho_Ed_M2.mpg</v>
      </c>
      <c r="U32" s="479" t="s">
        <v>129</v>
      </c>
      <c r="V32" s="480"/>
      <c r="W32" s="481" t="s">
        <v>130</v>
      </c>
      <c r="X32" s="482">
        <v>2024</v>
      </c>
      <c r="Y32" s="492" t="s">
        <v>131</v>
      </c>
      <c r="Z32" s="492" t="s">
        <v>131</v>
      </c>
      <c r="AA32" s="492" t="s">
        <v>132</v>
      </c>
      <c r="AB32" s="492"/>
      <c r="AC32" s="492"/>
      <c r="AD32" s="492"/>
      <c r="AE32" s="492" t="s">
        <v>138</v>
      </c>
      <c r="AF32" s="492" t="s">
        <v>132</v>
      </c>
      <c r="AG32" s="118">
        <f t="shared" si="1"/>
        <v>134</v>
      </c>
      <c r="AH32" s="402">
        <v>0.092650462962963</v>
      </c>
      <c r="AI32" s="120">
        <f t="shared" si="2"/>
        <v>8040</v>
      </c>
      <c r="AJ32" s="272">
        <v>169</v>
      </c>
      <c r="AK32" s="272">
        <v>43</v>
      </c>
      <c r="AL32" s="500">
        <v>0.000787037037037037</v>
      </c>
      <c r="AM32" s="501" t="s">
        <v>133</v>
      </c>
    </row>
    <row r="33" s="427" customFormat="1" ht="23.1" customHeight="1" spans="1:39">
      <c r="A33" s="156">
        <v>29</v>
      </c>
      <c r="B33" s="279"/>
      <c r="C33" s="445" t="s">
        <v>122</v>
      </c>
      <c r="D33" s="446"/>
      <c r="E33" s="447">
        <v>2</v>
      </c>
      <c r="F33" s="448" t="s">
        <v>258</v>
      </c>
      <c r="G33" s="448" t="s">
        <v>259</v>
      </c>
      <c r="H33" s="448" t="str">
        <f t="shared" si="0"/>
        <v>The Movie Emperor (T)</v>
      </c>
      <c r="I33" s="461" t="s">
        <v>126</v>
      </c>
      <c r="J33" s="461" t="s">
        <v>126</v>
      </c>
      <c r="K33" s="461" t="s">
        <v>126</v>
      </c>
      <c r="L33" s="461" t="s">
        <v>126</v>
      </c>
      <c r="M33" s="461" t="s">
        <v>126</v>
      </c>
      <c r="N33" s="366" t="s">
        <v>260</v>
      </c>
      <c r="O33" s="462" t="s">
        <v>260</v>
      </c>
      <c r="P33" s="463" t="s">
        <v>261</v>
      </c>
      <c r="Q33" s="477" t="s">
        <v>261</v>
      </c>
      <c r="R33" s="245" t="str">
        <f>CONCATENATE(RemovePunctuation(G33),"_","i4K","_","CA_",C33,"_",AK33,"_",PROPER(AA33),IF(AB33="",PROPER(AA33),PROPER(AB33)),PROPER(AC33),PROPER(AD33),PROPER(AE33),IF(AE33&lt;&gt;"","SUB",""),PROPER(AF33),IF(AF33&lt;&gt;"","SUB",""),"_","Ed","_","M1",".mpg")</f>
        <v>TheMovieEmperor_i4K_CA_0125_43_ZhoZhoEngSUBZhoSUB_Ed_M1.mpg</v>
      </c>
      <c r="S33" s="245" t="str">
        <f>CONCATENATE(RemovePunctuation(G33),"_","i5K","_","CA_",C33,"_",AJ33,"_",PROPER(AA33),IF(AB33="",PROPER(AA33),PROPER(AB33)),PROPER(AC33),PROPER(AD33),PROPER(AE33),IF(AE33&lt;&gt;"","SUB",""),PROPER(AF33),IF(AF33&lt;&gt;"","SUB",""),"_","Ed","_","M4",".mpg")</f>
        <v>TheMovieEmperor_i5K_CA_0125_169_ZhoZhoEngSUBZhoSUB_Ed_M4.mpg</v>
      </c>
      <c r="T33" s="478" t="str">
        <f>CONCATENATE(RemovePunctuation(G33),"TR","_CA","_",C33,"_",AJ33,"_",PROPER(AA33),PROPER(AA33),"_","Ed","_","M2",".mpg")</f>
        <v>TheMovieEmperorTR_CA_0125_169_ZhoZho_Ed_M2.mpg</v>
      </c>
      <c r="U33" s="479" t="s">
        <v>129</v>
      </c>
      <c r="V33" s="480"/>
      <c r="W33" s="481" t="s">
        <v>130</v>
      </c>
      <c r="X33" s="482">
        <v>2024</v>
      </c>
      <c r="Y33" s="492" t="s">
        <v>131</v>
      </c>
      <c r="Z33" s="492" t="s">
        <v>131</v>
      </c>
      <c r="AA33" s="492" t="s">
        <v>132</v>
      </c>
      <c r="AB33" s="492"/>
      <c r="AC33" s="492"/>
      <c r="AD33" s="492"/>
      <c r="AE33" s="492" t="s">
        <v>138</v>
      </c>
      <c r="AF33" s="492" t="s">
        <v>132</v>
      </c>
      <c r="AG33" s="118">
        <f t="shared" si="1"/>
        <v>127</v>
      </c>
      <c r="AH33" s="402">
        <v>0.0876851851851852</v>
      </c>
      <c r="AI33" s="120">
        <f t="shared" si="2"/>
        <v>7620</v>
      </c>
      <c r="AJ33" s="272">
        <v>169</v>
      </c>
      <c r="AK33" s="272">
        <v>43</v>
      </c>
      <c r="AL33" s="500">
        <v>0.00108796296296296</v>
      </c>
      <c r="AM33" s="501" t="s">
        <v>133</v>
      </c>
    </row>
    <row r="34" s="427" customFormat="1" ht="23.1" customHeight="1" spans="1:39">
      <c r="A34" s="156">
        <v>30</v>
      </c>
      <c r="B34" s="279"/>
      <c r="C34" s="445" t="s">
        <v>122</v>
      </c>
      <c r="D34" s="446"/>
      <c r="E34" s="447">
        <v>3</v>
      </c>
      <c r="F34" s="448" t="s">
        <v>262</v>
      </c>
      <c r="G34" s="448" t="s">
        <v>263</v>
      </c>
      <c r="H34" s="448" t="str">
        <f t="shared" si="0"/>
        <v>Sorry Baby (T)</v>
      </c>
      <c r="I34" s="461" t="s">
        <v>126</v>
      </c>
      <c r="J34" s="461"/>
      <c r="K34" s="461"/>
      <c r="L34" s="461" t="s">
        <v>126</v>
      </c>
      <c r="M34" s="461" t="s">
        <v>126</v>
      </c>
      <c r="N34" s="366" t="s">
        <v>264</v>
      </c>
      <c r="O34" s="462"/>
      <c r="P34" s="463" t="s">
        <v>265</v>
      </c>
      <c r="Q34" s="477"/>
      <c r="R34" s="245" t="str">
        <f>CONCATENATE(RemovePunctuation(G34),"_","i4K","_","CA_",C34,"_",AK34,"_",PROPER(AA34),IF(AB34="",PROPER(AA34),PROPER(AB34)),PROPER(AC34),PROPER(AD34),PROPER(AE34),IF(AE34&lt;&gt;"","SUB",""),PROPER(AF34),IF(AF34&lt;&gt;"","SUB",""),"_","Ed","_","M1",".mpg")</f>
        <v>SorryBaby_i4K_CA_0125_43_ZhoZhoEngSUBZhoSUB_Ed_M1.mpg</v>
      </c>
      <c r="S34" s="245" t="str">
        <f>CONCATENATE(RemovePunctuation(G34),"_","i5K","_","CA_",C34,"_",AJ34,"_",PROPER(AA34),IF(AB34="",PROPER(AA34),PROPER(AB34)),PROPER(AC34),PROPER(AD34),PROPER(AE34),IF(AE34&lt;&gt;"","SUB",""),PROPER(AF34),IF(AF34&lt;&gt;"","SUB",""),"_","Ed","_","M4",".mpg")</f>
        <v>SorryBaby_i5K_CA_0125_169_ZhoZhoEngSUBZhoSUB_Ed_M4.mpg</v>
      </c>
      <c r="T34" s="478" t="str">
        <f>CONCATENATE(RemovePunctuation(G34),"TR","_CA","_",C34,"_",AJ34,"_",PROPER(AA34),PROPER(AA34),"_","Ed","_","M2",".mpg")</f>
        <v>SorryBabyTR_CA_0125_169_ZhoZho_Ed_M2.mpg</v>
      </c>
      <c r="U34" s="479" t="s">
        <v>178</v>
      </c>
      <c r="V34" s="480"/>
      <c r="W34" s="481" t="s">
        <v>130</v>
      </c>
      <c r="X34" s="482">
        <v>1999</v>
      </c>
      <c r="Y34" s="492" t="s">
        <v>131</v>
      </c>
      <c r="Z34" s="492" t="s">
        <v>131</v>
      </c>
      <c r="AA34" s="492" t="s">
        <v>132</v>
      </c>
      <c r="AB34" s="492"/>
      <c r="AC34" s="492"/>
      <c r="AD34" s="492"/>
      <c r="AE34" s="492" t="s">
        <v>138</v>
      </c>
      <c r="AF34" s="492" t="s">
        <v>132</v>
      </c>
      <c r="AG34" s="118">
        <f t="shared" ref="AG34:AG50" si="3">ROUNDUP(HOUR(AH34)*60+MINUTE(AH34)+SECOND(AH34)/60,0)</f>
        <v>85</v>
      </c>
      <c r="AH34" s="402">
        <v>0.0588657407407407</v>
      </c>
      <c r="AI34" s="120">
        <f t="shared" ref="AI34:AI50" si="4">AG34*60</f>
        <v>5100</v>
      </c>
      <c r="AJ34" s="272">
        <v>169</v>
      </c>
      <c r="AK34" s="272">
        <v>43</v>
      </c>
      <c r="AL34" s="500">
        <v>0.0012962962962963</v>
      </c>
      <c r="AM34" s="501" t="s">
        <v>179</v>
      </c>
    </row>
    <row r="35" s="427" customFormat="1" ht="23.1" customHeight="1" spans="1:39">
      <c r="A35" s="156">
        <v>31</v>
      </c>
      <c r="B35" s="279"/>
      <c r="C35" s="445" t="s">
        <v>122</v>
      </c>
      <c r="D35" s="446"/>
      <c r="E35" s="447">
        <v>4</v>
      </c>
      <c r="F35" s="448" t="s">
        <v>266</v>
      </c>
      <c r="G35" s="448" t="s">
        <v>267</v>
      </c>
      <c r="H35" s="448" t="str">
        <f t="shared" si="0"/>
        <v>Be There or Be Square (T)</v>
      </c>
      <c r="I35" s="461" t="s">
        <v>126</v>
      </c>
      <c r="J35" s="461"/>
      <c r="K35" s="461"/>
      <c r="L35" s="461" t="s">
        <v>126</v>
      </c>
      <c r="M35" s="461" t="s">
        <v>126</v>
      </c>
      <c r="N35" s="366" t="s">
        <v>268</v>
      </c>
      <c r="O35" s="462"/>
      <c r="P35" s="463" t="s">
        <v>269</v>
      </c>
      <c r="Q35" s="477"/>
      <c r="R35" s="245" t="str">
        <f>CONCATENATE(RemovePunctuation(G35),"_","i4K","_","CA_",C35,"_",AK35,"_",PROPER(AA35),IF(AB35="",PROPER(AA35),PROPER(AB35)),PROPER(AC35),PROPER(AD35),PROPER(AE35),IF(AE35&lt;&gt;"","SUB",""),PROPER(AF35),IF(AF35&lt;&gt;"","SUB",""),"_","Ed","_","M1",".mpg")</f>
        <v>BeThereorBeSquare_i4K_CA_0125_43_ZhoZhoZhoSUB_Ed_M1.mpg</v>
      </c>
      <c r="S35" s="245" t="str">
        <f>CONCATENATE(RemovePunctuation(G35),"_","i5K","_","CA_",C35,"_",AJ35,"_",PROPER(AA35),IF(AB35="",PROPER(AA35),PROPER(AB35)),PROPER(AC35),PROPER(AD35),PROPER(AE35),IF(AE35&lt;&gt;"","SUB",""),PROPER(AF35),IF(AF35&lt;&gt;"","SUB",""),"_","Ed","_","M4",".mpg")</f>
        <v>BeThereorBeSquare_i5K_CA_0125_169_ZhoZhoZhoSUB_Ed_M4.mpg</v>
      </c>
      <c r="T35" s="478" t="str">
        <f>CONCATENATE(RemovePunctuation(G35),"TR","_CA","_",C35,"_",AJ35,"_",PROPER(AA35),PROPER(AA35),"_","Ed","_","M2",".mpg")</f>
        <v>BeThereorBeSquareTR_CA_0125_169_ZhoZho_Ed_M2.mpg</v>
      </c>
      <c r="U35" s="479" t="s">
        <v>178</v>
      </c>
      <c r="V35" s="480"/>
      <c r="W35" s="481" t="s">
        <v>130</v>
      </c>
      <c r="X35" s="482">
        <v>1998</v>
      </c>
      <c r="Y35" s="492" t="s">
        <v>131</v>
      </c>
      <c r="Z35" s="492" t="s">
        <v>131</v>
      </c>
      <c r="AA35" s="492" t="s">
        <v>132</v>
      </c>
      <c r="AB35" s="492"/>
      <c r="AC35" s="492"/>
      <c r="AD35" s="492"/>
      <c r="AE35" s="492" t="s">
        <v>132</v>
      </c>
      <c r="AF35" s="492"/>
      <c r="AG35" s="118">
        <f t="shared" si="3"/>
        <v>104</v>
      </c>
      <c r="AH35" s="402">
        <v>0.0716550925925926</v>
      </c>
      <c r="AI35" s="120">
        <f t="shared" si="4"/>
        <v>6240</v>
      </c>
      <c r="AJ35" s="272">
        <v>169</v>
      </c>
      <c r="AK35" s="272">
        <v>43</v>
      </c>
      <c r="AL35" s="500">
        <v>0.00103009259259259</v>
      </c>
      <c r="AM35" s="501" t="s">
        <v>179</v>
      </c>
    </row>
    <row r="36" s="427" customFormat="1" ht="23.1" customHeight="1" spans="1:39">
      <c r="A36" s="156">
        <v>32</v>
      </c>
      <c r="B36" s="279"/>
      <c r="C36" s="445" t="s">
        <v>122</v>
      </c>
      <c r="D36" s="446"/>
      <c r="E36" s="447">
        <v>5</v>
      </c>
      <c r="F36" s="448" t="s">
        <v>270</v>
      </c>
      <c r="G36" s="448" t="s">
        <v>271</v>
      </c>
      <c r="H36" s="448" t="str">
        <f t="shared" si="0"/>
        <v>A Tree in the House (T)</v>
      </c>
      <c r="I36" s="461" t="s">
        <v>126</v>
      </c>
      <c r="J36" s="461"/>
      <c r="K36" s="461"/>
      <c r="L36" s="461" t="s">
        <v>126</v>
      </c>
      <c r="M36" s="461" t="s">
        <v>126</v>
      </c>
      <c r="N36" s="366" t="s">
        <v>272</v>
      </c>
      <c r="O36" s="462"/>
      <c r="P36" s="463" t="s">
        <v>273</v>
      </c>
      <c r="Q36" s="477"/>
      <c r="R36" s="245" t="str">
        <f>CONCATENATE(RemovePunctuation(G36),"_","i4K","_","CA_",C36,"_",AK36,"_",PROPER(AA36),IF(AB36="",PROPER(AA36),PROPER(AB36)),PROPER(AC36),PROPER(AD36),PROPER(AE36),IF(AE36&lt;&gt;"","SUB",""),PROPER(AF36),IF(AF36&lt;&gt;"","SUB",""),"_","Ed","_","M1",".mpg")</f>
        <v>ATreeintheHouse_i4K_CA_0125_43_ZhoZhoZhoSUB_Ed_M1.mpg</v>
      </c>
      <c r="S36" s="245" t="str">
        <f>CONCATENATE(RemovePunctuation(G36),"_","i5K","_","CA_",C36,"_",AJ36,"_",PROPER(AA36),IF(AB36="",PROPER(AA36),PROPER(AB36)),PROPER(AC36),PROPER(AD36),PROPER(AE36),IF(AE36&lt;&gt;"","SUB",""),PROPER(AF36),IF(AF36&lt;&gt;"","SUB",""),"_","Ed","_","M4",".mpg")</f>
        <v>ATreeintheHouse_i5K_CA_0125_169_ZhoZhoZhoSUB_Ed_M4.mpg</v>
      </c>
      <c r="T36" s="478" t="str">
        <f>CONCATENATE(RemovePunctuation(G36),"TR","_CA","_",C36,"_",AJ36,"_",PROPER(AA36),PROPER(AA36),"_","Ed","_","M2",".mpg")</f>
        <v>ATreeintheHouseTR_CA_0125_169_ZhoZho_Ed_M2.mpg</v>
      </c>
      <c r="U36" s="479" t="s">
        <v>178</v>
      </c>
      <c r="V36" s="480"/>
      <c r="W36" s="481" t="s">
        <v>130</v>
      </c>
      <c r="X36" s="482">
        <v>1999</v>
      </c>
      <c r="Y36" s="492" t="s">
        <v>131</v>
      </c>
      <c r="Z36" s="492" t="s">
        <v>131</v>
      </c>
      <c r="AA36" s="492" t="s">
        <v>132</v>
      </c>
      <c r="AB36" s="492"/>
      <c r="AC36" s="492"/>
      <c r="AD36" s="492"/>
      <c r="AE36" s="492" t="s">
        <v>132</v>
      </c>
      <c r="AF36" s="492"/>
      <c r="AG36" s="118">
        <f t="shared" si="3"/>
        <v>106</v>
      </c>
      <c r="AH36" s="402">
        <v>0.0732060185185185</v>
      </c>
      <c r="AI36" s="120">
        <f t="shared" si="4"/>
        <v>6360</v>
      </c>
      <c r="AJ36" s="272">
        <v>169</v>
      </c>
      <c r="AK36" s="272">
        <v>43</v>
      </c>
      <c r="AL36" s="500">
        <v>0.00116898148148148</v>
      </c>
      <c r="AM36" s="501" t="s">
        <v>179</v>
      </c>
    </row>
    <row r="37" s="427" customFormat="1" ht="23.1" customHeight="1" spans="1:39">
      <c r="A37" s="156">
        <v>33</v>
      </c>
      <c r="B37" s="279"/>
      <c r="C37" s="445" t="s">
        <v>122</v>
      </c>
      <c r="D37" s="446"/>
      <c r="E37" s="447">
        <v>6</v>
      </c>
      <c r="F37" s="448" t="s">
        <v>274</v>
      </c>
      <c r="G37" s="448" t="s">
        <v>275</v>
      </c>
      <c r="H37" s="448" t="str">
        <f t="shared" ref="H37:H57" si="5">G37&amp;" (T)"</f>
        <v>Eat Hot Tofu Slowly (T)</v>
      </c>
      <c r="I37" s="461" t="s">
        <v>126</v>
      </c>
      <c r="J37" s="461"/>
      <c r="K37" s="461"/>
      <c r="L37" s="461" t="s">
        <v>126</v>
      </c>
      <c r="M37" s="461" t="s">
        <v>126</v>
      </c>
      <c r="N37" s="366" t="s">
        <v>276</v>
      </c>
      <c r="O37" s="462"/>
      <c r="P37" s="463" t="s">
        <v>277</v>
      </c>
      <c r="Q37" s="477"/>
      <c r="R37" s="245" t="str">
        <f>CONCATENATE(RemovePunctuation(G37),"_","i4K","_","CA_",C37,"_",AK37,"_",PROPER(AA37),IF(AB37="",PROPER(AA37),PROPER(AB37)),PROPER(AC37),PROPER(AD37),PROPER(AE37),IF(AE37&lt;&gt;"","SUB",""),PROPER(AF37),IF(AF37&lt;&gt;"","SUB",""),"_","Ed","_","M1",".mpg")</f>
        <v>EatHotTofuSlowly_i4K_CA_0125_43_ZhoZhoZhoSUB_Ed_M1.mpg</v>
      </c>
      <c r="S37" s="245" t="str">
        <f>CONCATENATE(RemovePunctuation(G37),"_","i5K","_","CA_",C37,"_",AJ37,"_",PROPER(AA37),IF(AB37="",PROPER(AA37),PROPER(AB37)),PROPER(AC37),PROPER(AD37),PROPER(AE37),IF(AE37&lt;&gt;"","SUB",""),PROPER(AF37),IF(AF37&lt;&gt;"","SUB",""),"_","Ed","_","M4",".mpg")</f>
        <v>EatHotTofuSlowly_i5K_CA_0125_169_ZhoZhoZhoSUB_Ed_M4.mpg</v>
      </c>
      <c r="T37" s="478" t="str">
        <f>CONCATENATE(RemovePunctuation(G37),"TR","_CA","_",C37,"_",AJ37,"_",PROPER(AA37),PROPER(AA37),"_","Ed","_","M2",".mpg")</f>
        <v>EatHotTofuSlowlyTR_CA_0125_169_ZhoZho_Ed_M2.mpg</v>
      </c>
      <c r="U37" s="479" t="s">
        <v>178</v>
      </c>
      <c r="V37" s="480"/>
      <c r="W37" s="481" t="s">
        <v>130</v>
      </c>
      <c r="X37" s="482">
        <v>2005</v>
      </c>
      <c r="Y37" s="492" t="s">
        <v>131</v>
      </c>
      <c r="Z37" s="492" t="s">
        <v>131</v>
      </c>
      <c r="AA37" s="492" t="s">
        <v>132</v>
      </c>
      <c r="AB37" s="492"/>
      <c r="AC37" s="492"/>
      <c r="AD37" s="492"/>
      <c r="AE37" s="492" t="s">
        <v>132</v>
      </c>
      <c r="AF37" s="492"/>
      <c r="AG37" s="118">
        <f t="shared" si="3"/>
        <v>94</v>
      </c>
      <c r="AH37" s="402">
        <v>0.0647337962962963</v>
      </c>
      <c r="AI37" s="120">
        <f t="shared" si="4"/>
        <v>5640</v>
      </c>
      <c r="AJ37" s="272">
        <v>169</v>
      </c>
      <c r="AK37" s="272">
        <v>43</v>
      </c>
      <c r="AL37" s="500">
        <v>0.000902777777777778</v>
      </c>
      <c r="AM37" s="501" t="s">
        <v>179</v>
      </c>
    </row>
    <row r="38" s="427" customFormat="1" ht="23.1" customHeight="1" spans="1:39">
      <c r="A38" s="156">
        <v>34</v>
      </c>
      <c r="B38" s="279"/>
      <c r="C38" s="445" t="s">
        <v>122</v>
      </c>
      <c r="D38" s="446"/>
      <c r="E38" s="447">
        <v>7</v>
      </c>
      <c r="F38" s="448" t="s">
        <v>278</v>
      </c>
      <c r="G38" s="448" t="s">
        <v>279</v>
      </c>
      <c r="H38" s="448" t="str">
        <f t="shared" si="5"/>
        <v>Mr. Donkey (T)</v>
      </c>
      <c r="I38" s="461" t="s">
        <v>126</v>
      </c>
      <c r="J38" s="461" t="s">
        <v>126</v>
      </c>
      <c r="K38" s="461" t="s">
        <v>126</v>
      </c>
      <c r="L38" s="461" t="s">
        <v>126</v>
      </c>
      <c r="M38" s="461" t="s">
        <v>126</v>
      </c>
      <c r="N38" s="366" t="s">
        <v>280</v>
      </c>
      <c r="O38" s="462" t="s">
        <v>280</v>
      </c>
      <c r="P38" s="463" t="s">
        <v>281</v>
      </c>
      <c r="Q38" s="477" t="s">
        <v>281</v>
      </c>
      <c r="R38" s="245" t="str">
        <f>CONCATENATE(RemovePunctuation(G38),"_","i4K","_","CA_",C38,"_",AK38,"_",PROPER(AA38),IF(AB38="",PROPER(AA38),PROPER(AB38)),PROPER(AC38),PROPER(AD38),PROPER(AE38),IF(AE38&lt;&gt;"","SUB",""),PROPER(AF38),IF(AF38&lt;&gt;"","SUB",""),"_","Ed","_","M1",".mpg")</f>
        <v>MrDonkey_i4K_CA_0125_43_ZhoZhoZhoSUB_Ed_M1.mpg</v>
      </c>
      <c r="S38" s="245" t="str">
        <f>CONCATENATE(RemovePunctuation(G38),"_","i5K","_","CA_",C38,"_",AJ38,"_",PROPER(AA38),IF(AB38="",PROPER(AA38),PROPER(AB38)),PROPER(AC38),PROPER(AD38),PROPER(AE38),IF(AE38&lt;&gt;"","SUB",""),PROPER(AF38),IF(AF38&lt;&gt;"","SUB",""),"_","Ed","_","M4",".mpg")</f>
        <v>MrDonkey_i5K_CA_0125_169_ZhoZhoZhoSUB_Ed_M4.mpg</v>
      </c>
      <c r="T38" s="478" t="str">
        <f>CONCATENATE(RemovePunctuation(G38),"TR","_CA","_",C38,"_",AJ38,"_",PROPER(AA38),PROPER(AA38),"_","Ed","_","M2",".mpg")</f>
        <v>MrDonkeyTR_CA_0125_169_ZhoZho_Ed_M2.mpg</v>
      </c>
      <c r="U38" s="479" t="s">
        <v>178</v>
      </c>
      <c r="V38" s="480"/>
      <c r="W38" s="481" t="s">
        <v>130</v>
      </c>
      <c r="X38" s="482">
        <v>2016</v>
      </c>
      <c r="Y38" s="492" t="s">
        <v>131</v>
      </c>
      <c r="Z38" s="492" t="s">
        <v>131</v>
      </c>
      <c r="AA38" s="492" t="s">
        <v>132</v>
      </c>
      <c r="AB38" s="492"/>
      <c r="AC38" s="492"/>
      <c r="AD38" s="492"/>
      <c r="AE38" s="492" t="s">
        <v>132</v>
      </c>
      <c r="AF38" s="492"/>
      <c r="AG38" s="118">
        <f t="shared" si="3"/>
        <v>112</v>
      </c>
      <c r="AH38" s="402">
        <v>0.0773032407407407</v>
      </c>
      <c r="AI38" s="120">
        <f t="shared" si="4"/>
        <v>6720</v>
      </c>
      <c r="AJ38" s="272">
        <v>169</v>
      </c>
      <c r="AK38" s="272">
        <v>43</v>
      </c>
      <c r="AL38" s="500">
        <v>0.00126157407407407</v>
      </c>
      <c r="AM38" s="501" t="s">
        <v>179</v>
      </c>
    </row>
    <row r="39" s="427" customFormat="1" ht="23.1" customHeight="1" spans="1:39">
      <c r="A39" s="156">
        <v>35</v>
      </c>
      <c r="B39" s="279"/>
      <c r="C39" s="445" t="s">
        <v>122</v>
      </c>
      <c r="D39" s="446"/>
      <c r="E39" s="447">
        <v>8</v>
      </c>
      <c r="F39" s="448" t="s">
        <v>282</v>
      </c>
      <c r="G39" s="448" t="s">
        <v>283</v>
      </c>
      <c r="H39" s="448" t="str">
        <f t="shared" si="5"/>
        <v>Detective Chinatown 3 (T)</v>
      </c>
      <c r="I39" s="461" t="s">
        <v>126</v>
      </c>
      <c r="J39" s="461" t="s">
        <v>126</v>
      </c>
      <c r="K39" s="461" t="s">
        <v>126</v>
      </c>
      <c r="L39" s="461" t="s">
        <v>126</v>
      </c>
      <c r="M39" s="461" t="s">
        <v>126</v>
      </c>
      <c r="N39" s="366" t="s">
        <v>284</v>
      </c>
      <c r="O39" s="462" t="s">
        <v>284</v>
      </c>
      <c r="P39" s="463" t="s">
        <v>285</v>
      </c>
      <c r="Q39" s="477" t="s">
        <v>285</v>
      </c>
      <c r="R39" s="245" t="str">
        <f>CONCATENATE(RemovePunctuation(G39),"_","i4K","_","CA_",C39,"_",AK39,"_",PROPER(AA39),IF(AB39="",PROPER(AA39),PROPER(AB39)),PROPER(AC39),PROPER(AD39),PROPER(AE39),IF(AE39&lt;&gt;"","SUB",""),PROPER(AF39),IF(AF39&lt;&gt;"","SUB",""),"_","Ed","_","M1",".mpg")</f>
        <v>DetectiveChinatown3_i4K_CA_0125_43_ZhoZhoEngSUBZhoSUB_Ed_M1.mpg</v>
      </c>
      <c r="S39" s="245" t="str">
        <f>CONCATENATE(RemovePunctuation(G39),"_","i5K","_","CA_",C39,"_",AJ39,"_",PROPER(AA39),IF(AB39="",PROPER(AA39),PROPER(AB39)),PROPER(AC39),PROPER(AD39),PROPER(AE39),IF(AE39&lt;&gt;"","SUB",""),PROPER(AF39),IF(AF39&lt;&gt;"","SUB",""),"_","Ed","_","M4",".mpg")</f>
        <v>DetectiveChinatown3_i5K_CA_0125_169_ZhoZhoEngSUBZhoSUB_Ed_M4.mpg</v>
      </c>
      <c r="T39" s="478" t="str">
        <f>CONCATENATE(RemovePunctuation(G39),"TR","_CA","_",C39,"_",AJ39,"_",PROPER(AA39),PROPER(AA39),"_","Ed","_","M2",".mpg")</f>
        <v>DetectiveChinatown3TR_CA_0125_169_ZhoZho_Ed_M2.mpg</v>
      </c>
      <c r="U39" s="479" t="s">
        <v>178</v>
      </c>
      <c r="V39" s="480"/>
      <c r="W39" s="481" t="s">
        <v>130</v>
      </c>
      <c r="X39" s="482">
        <v>2021</v>
      </c>
      <c r="Y39" s="492" t="s">
        <v>131</v>
      </c>
      <c r="Z39" s="492" t="s">
        <v>131</v>
      </c>
      <c r="AA39" s="492" t="s">
        <v>132</v>
      </c>
      <c r="AB39" s="492"/>
      <c r="AC39" s="492"/>
      <c r="AD39" s="492"/>
      <c r="AE39" s="492" t="s">
        <v>138</v>
      </c>
      <c r="AF39" s="492" t="s">
        <v>132</v>
      </c>
      <c r="AG39" s="118">
        <f t="shared" si="3"/>
        <v>136</v>
      </c>
      <c r="AH39" s="402">
        <v>0.0941666666666667</v>
      </c>
      <c r="AI39" s="120">
        <f t="shared" si="4"/>
        <v>8160</v>
      </c>
      <c r="AJ39" s="272">
        <v>169</v>
      </c>
      <c r="AK39" s="272">
        <v>43</v>
      </c>
      <c r="AL39" s="500">
        <v>0.000891203703703704</v>
      </c>
      <c r="AM39" s="501" t="s">
        <v>179</v>
      </c>
    </row>
    <row r="40" s="427" customFormat="1" ht="23.1" customHeight="1" spans="1:39">
      <c r="A40" s="156">
        <v>36</v>
      </c>
      <c r="B40" s="279"/>
      <c r="C40" s="445" t="s">
        <v>122</v>
      </c>
      <c r="D40" s="446"/>
      <c r="E40" s="447">
        <v>9</v>
      </c>
      <c r="F40" s="448" t="s">
        <v>286</v>
      </c>
      <c r="G40" s="448" t="s">
        <v>287</v>
      </c>
      <c r="H40" s="448" t="str">
        <f t="shared" si="5"/>
        <v>7 Days No More (T)</v>
      </c>
      <c r="I40" s="461" t="s">
        <v>126</v>
      </c>
      <c r="J40" s="461" t="s">
        <v>126</v>
      </c>
      <c r="K40" s="461" t="s">
        <v>126</v>
      </c>
      <c r="L40" s="461" t="s">
        <v>126</v>
      </c>
      <c r="M40" s="461" t="s">
        <v>126</v>
      </c>
      <c r="N40" s="366" t="s">
        <v>288</v>
      </c>
      <c r="O40" s="462" t="s">
        <v>288</v>
      </c>
      <c r="P40" s="463" t="s">
        <v>289</v>
      </c>
      <c r="Q40" s="477" t="s">
        <v>289</v>
      </c>
      <c r="R40" s="245" t="str">
        <f>CONCATENATE(RemovePunctuation(G40),"_","i4K","_","CA_",C40,"_",AK40,"_",PROPER(AA40),IF(AB40="",PROPER(AA40),PROPER(AB40)),PROPER(AC40),PROPER(AD40),PROPER(AE40),IF(AE40&lt;&gt;"","SUB",""),PROPER(AF40),IF(AF40&lt;&gt;"","SUB",""),"_","Ed","_","M1",".mpg")</f>
        <v>7DaysNoMore_i4K_CA_0125_43_FraFraEngSUBZhoSUB_Ed_M1.mpg</v>
      </c>
      <c r="S40" s="245" t="str">
        <f>CONCATENATE(RemovePunctuation(G40),"_","i5K","_","CA_",C40,"_",AJ40,"_",PROPER(AA40),IF(AB40="",PROPER(AA40),PROPER(AB40)),PROPER(AC40),PROPER(AD40),PROPER(AE40),IF(AE40&lt;&gt;"","SUB",""),PROPER(AF40),IF(AF40&lt;&gt;"","SUB",""),"_","Ed","_","M4",".mpg")</f>
        <v>7DaysNoMore_i5K_CA_0125_169_FraFraEngSUBZhoSUB_Ed_M4.mpg</v>
      </c>
      <c r="T40" s="478" t="str">
        <f>CONCATENATE(RemovePunctuation(G40),"TR","_CA","_",C40,"_",AJ40,"_",PROPER(AA40),PROPER(AA40),"_","Ed","_","M2",".mpg")</f>
        <v>7DaysNoMoreTR_CA_0125_169_FraFra_Ed_M2.mpg</v>
      </c>
      <c r="U40" s="479" t="s">
        <v>129</v>
      </c>
      <c r="V40" s="480"/>
      <c r="W40" s="481" t="s">
        <v>206</v>
      </c>
      <c r="X40" s="482">
        <v>2017</v>
      </c>
      <c r="Y40" s="492" t="s">
        <v>131</v>
      </c>
      <c r="Z40" s="492" t="s">
        <v>131</v>
      </c>
      <c r="AA40" s="492" t="s">
        <v>201</v>
      </c>
      <c r="AB40" s="492"/>
      <c r="AC40" s="492"/>
      <c r="AD40" s="492"/>
      <c r="AE40" s="492" t="s">
        <v>138</v>
      </c>
      <c r="AF40" s="492" t="s">
        <v>132</v>
      </c>
      <c r="AG40" s="118">
        <f t="shared" ref="AG40:AG59" si="6">ROUNDUP(HOUR(AH40)*60+MINUTE(AH40)+SECOND(AH40)/60,0)</f>
        <v>83</v>
      </c>
      <c r="AH40" s="402">
        <v>0.0573611111111111</v>
      </c>
      <c r="AI40" s="120">
        <f t="shared" ref="AI40:AI59" si="7">AG40*60</f>
        <v>4980</v>
      </c>
      <c r="AJ40" s="272">
        <v>169</v>
      </c>
      <c r="AK40" s="272">
        <v>43</v>
      </c>
      <c r="AL40" s="500">
        <v>0.00135416666666667</v>
      </c>
      <c r="AM40" s="501" t="s">
        <v>133</v>
      </c>
    </row>
    <row r="41" s="427" customFormat="1" ht="23.1" customHeight="1" spans="1:39">
      <c r="A41" s="156">
        <v>37</v>
      </c>
      <c r="B41" s="279"/>
      <c r="C41" s="445" t="s">
        <v>122</v>
      </c>
      <c r="D41" s="446"/>
      <c r="E41" s="447">
        <v>10</v>
      </c>
      <c r="F41" s="448" t="s">
        <v>290</v>
      </c>
      <c r="G41" s="448" t="s">
        <v>291</v>
      </c>
      <c r="H41" s="448" t="str">
        <f t="shared" si="5"/>
        <v>Daddy Cool (T)</v>
      </c>
      <c r="I41" s="461" t="s">
        <v>126</v>
      </c>
      <c r="J41" s="461" t="s">
        <v>126</v>
      </c>
      <c r="K41" s="461" t="s">
        <v>126</v>
      </c>
      <c r="L41" s="461" t="s">
        <v>126</v>
      </c>
      <c r="M41" s="461" t="s">
        <v>126</v>
      </c>
      <c r="N41" s="366" t="s">
        <v>292</v>
      </c>
      <c r="O41" s="462" t="s">
        <v>292</v>
      </c>
      <c r="P41" s="463" t="s">
        <v>293</v>
      </c>
      <c r="Q41" s="477" t="s">
        <v>293</v>
      </c>
      <c r="R41" s="245" t="str">
        <f>CONCATENATE(RemovePunctuation(G41),"_","i4K","_","CA_",C41,"_",AK41,"_",PROPER(AA41),IF(AB41="",PROPER(AA41),PROPER(AB41)),PROPER(AC41),PROPER(AD41),PROPER(AE41),IF(AE41&lt;&gt;"","SUB",""),PROPER(AF41),IF(AF41&lt;&gt;"","SUB",""),"_","Ed","_","M1",".mpg")</f>
        <v>DaddyCool_i4K_CA_0125_43_FraFraEngSUBZhoSUB_Ed_M1.mpg</v>
      </c>
      <c r="S41" s="245" t="str">
        <f>CONCATENATE(RemovePunctuation(G41),"_","i5K","_","CA_",C41,"_",AJ41,"_",PROPER(AA41),IF(AB41="",PROPER(AA41),PROPER(AB41)),PROPER(AC41),PROPER(AD41),PROPER(AE41),IF(AE41&lt;&gt;"","SUB",""),PROPER(AF41),IF(AF41&lt;&gt;"","SUB",""),"_","Ed","_","M4",".mpg")</f>
        <v>DaddyCool_i5K_CA_0125_169_FraFraEngSUBZhoSUB_Ed_M4.mpg</v>
      </c>
      <c r="T41" s="478" t="str">
        <f>CONCATENATE(RemovePunctuation(G41),"TR","_CA","_",C41,"_",AJ41,"_",PROPER(AA41),PROPER(AA41),"_","Ed","_","M2",".mpg")</f>
        <v>DaddyCoolTR_CA_0125_169_FraFra_Ed_M2.mpg</v>
      </c>
      <c r="U41" s="479" t="s">
        <v>129</v>
      </c>
      <c r="V41" s="480"/>
      <c r="W41" s="481" t="s">
        <v>239</v>
      </c>
      <c r="X41" s="482">
        <v>2017</v>
      </c>
      <c r="Y41" s="492" t="s">
        <v>131</v>
      </c>
      <c r="Z41" s="492" t="s">
        <v>131</v>
      </c>
      <c r="AA41" s="492" t="s">
        <v>201</v>
      </c>
      <c r="AB41" s="492"/>
      <c r="AC41" s="492"/>
      <c r="AD41" s="492"/>
      <c r="AE41" s="492" t="s">
        <v>138</v>
      </c>
      <c r="AF41" s="492" t="s">
        <v>132</v>
      </c>
      <c r="AG41" s="118">
        <f t="shared" si="6"/>
        <v>87</v>
      </c>
      <c r="AH41" s="402">
        <v>0.0597916666666667</v>
      </c>
      <c r="AI41" s="120">
        <f t="shared" si="7"/>
        <v>5220</v>
      </c>
      <c r="AJ41" s="272">
        <v>169</v>
      </c>
      <c r="AK41" s="272">
        <v>43</v>
      </c>
      <c r="AL41" s="500">
        <v>0.00128472222222222</v>
      </c>
      <c r="AM41" s="501" t="s">
        <v>144</v>
      </c>
    </row>
    <row r="42" s="427" customFormat="1" ht="23.1" customHeight="1" spans="1:39">
      <c r="A42" s="156">
        <v>38</v>
      </c>
      <c r="B42" s="279"/>
      <c r="C42" s="445" t="s">
        <v>122</v>
      </c>
      <c r="D42" s="446"/>
      <c r="E42" s="447">
        <v>11</v>
      </c>
      <c r="F42" s="448" t="s">
        <v>294</v>
      </c>
      <c r="G42" s="448" t="s">
        <v>295</v>
      </c>
      <c r="H42" s="448" t="str">
        <f t="shared" si="5"/>
        <v>Full of Grace (T)</v>
      </c>
      <c r="I42" s="461" t="s">
        <v>126</v>
      </c>
      <c r="J42" s="461" t="s">
        <v>126</v>
      </c>
      <c r="K42" s="461" t="s">
        <v>126</v>
      </c>
      <c r="L42" s="461" t="s">
        <v>126</v>
      </c>
      <c r="M42" s="461" t="s">
        <v>126</v>
      </c>
      <c r="N42" s="366" t="s">
        <v>296</v>
      </c>
      <c r="O42" s="462" t="s">
        <v>296</v>
      </c>
      <c r="P42" s="463" t="s">
        <v>297</v>
      </c>
      <c r="Q42" s="477" t="s">
        <v>297</v>
      </c>
      <c r="R42" s="245" t="str">
        <f>CONCATENATE(RemovePunctuation(G42),"_","i4K","_","CA_",C42,"_",AK42,"_",PROPER(AA42),IF(AB42="",PROPER(AA42),PROPER(AB42)),PROPER(AC42),PROPER(AD42),PROPER(AE42),IF(AE42&lt;&gt;"","SUB",""),PROPER(AF42),IF(AF42&lt;&gt;"","SUB",""),"_","Ed","_","M1",".mpg")</f>
        <v>FullofGrace_i4K_CA_0125_43_SpaSpaEngSUBZhoSUB_Ed_M1.mpg</v>
      </c>
      <c r="S42" s="245" t="str">
        <f>CONCATENATE(RemovePunctuation(G42),"_","i5K","_","CA_",C42,"_",AJ42,"_",PROPER(AA42),IF(AB42="",PROPER(AA42),PROPER(AB42)),PROPER(AC42),PROPER(AD42),PROPER(AE42),IF(AE42&lt;&gt;"","SUB",""),PROPER(AF42),IF(AF42&lt;&gt;"","SUB",""),"_","Ed","_","M4",".mpg")</f>
        <v>FullofGrace_i5K_CA_0125_169_SpaSpaEngSUBZhoSUB_Ed_M4.mpg</v>
      </c>
      <c r="T42" s="478" t="str">
        <f>CONCATENATE(RemovePunctuation(G42),"TR","_CA","_",C42,"_",AJ42,"_",PROPER(AA42),PROPER(AA42),"_","Ed","_","M2",".mpg")</f>
        <v>FullofGraceTR_CA_0125_169_SpaSpa_Ed_M2.mpg</v>
      </c>
      <c r="U42" s="479" t="s">
        <v>129</v>
      </c>
      <c r="V42" s="480"/>
      <c r="W42" s="481" t="s">
        <v>206</v>
      </c>
      <c r="X42" s="482">
        <v>2022</v>
      </c>
      <c r="Y42" s="492" t="s">
        <v>131</v>
      </c>
      <c r="Z42" s="492" t="s">
        <v>131</v>
      </c>
      <c r="AA42" s="492" t="s">
        <v>207</v>
      </c>
      <c r="AB42" s="492"/>
      <c r="AC42" s="492"/>
      <c r="AD42" s="492"/>
      <c r="AE42" s="492" t="s">
        <v>138</v>
      </c>
      <c r="AF42" s="492" t="s">
        <v>132</v>
      </c>
      <c r="AG42" s="118">
        <f t="shared" si="6"/>
        <v>107</v>
      </c>
      <c r="AH42" s="402">
        <v>0.0740972222222222</v>
      </c>
      <c r="AI42" s="120">
        <f t="shared" si="7"/>
        <v>6420</v>
      </c>
      <c r="AJ42" s="272">
        <v>169</v>
      </c>
      <c r="AK42" s="272">
        <v>43</v>
      </c>
      <c r="AL42" s="500">
        <v>0.000717592592592593</v>
      </c>
      <c r="AM42" s="501" t="s">
        <v>144</v>
      </c>
    </row>
    <row r="43" s="427" customFormat="1" ht="23.1" customHeight="1" spans="1:39">
      <c r="A43" s="156">
        <v>39</v>
      </c>
      <c r="B43" s="279"/>
      <c r="C43" s="445" t="s">
        <v>122</v>
      </c>
      <c r="D43" s="446"/>
      <c r="E43" s="447">
        <v>12</v>
      </c>
      <c r="F43" s="448" t="s">
        <v>298</v>
      </c>
      <c r="G43" s="448" t="s">
        <v>299</v>
      </c>
      <c r="H43" s="448" t="str">
        <f t="shared" si="5"/>
        <v>Rosa's Wedding (T)</v>
      </c>
      <c r="I43" s="461" t="s">
        <v>126</v>
      </c>
      <c r="J43" s="461" t="s">
        <v>126</v>
      </c>
      <c r="K43" s="461" t="s">
        <v>126</v>
      </c>
      <c r="L43" s="461" t="s">
        <v>126</v>
      </c>
      <c r="M43" s="461" t="s">
        <v>126</v>
      </c>
      <c r="N43" s="366" t="s">
        <v>300</v>
      </c>
      <c r="O43" s="462" t="s">
        <v>300</v>
      </c>
      <c r="P43" s="463" t="s">
        <v>301</v>
      </c>
      <c r="Q43" s="477" t="s">
        <v>301</v>
      </c>
      <c r="R43" s="245" t="str">
        <f>CONCATENATE(RemovePunctuation(G43),"_","i4K","_","CA_",C43,"_",AK43,"_",PROPER(AA43),IF(AB43="",PROPER(AA43),PROPER(AB43)),PROPER(AC43),PROPER(AD43),PROPER(AE43),IF(AE43&lt;&gt;"","SUB",""),PROPER(AF43),IF(AF43&lt;&gt;"","SUB",""),"_","Ed","_","M1",".mpg")</f>
        <v>RosasWedding_i4K_CA_0125_43_SpaSpaEngSUBZhoSUB_Ed_M1.mpg</v>
      </c>
      <c r="S43" s="245" t="str">
        <f>CONCATENATE(RemovePunctuation(G43),"_","i5K","_","CA_",C43,"_",AJ43,"_",PROPER(AA43),IF(AB43="",PROPER(AA43),PROPER(AB43)),PROPER(AC43),PROPER(AD43),PROPER(AE43),IF(AE43&lt;&gt;"","SUB",""),PROPER(AF43),IF(AF43&lt;&gt;"","SUB",""),"_","Ed","_","M4",".mpg")</f>
        <v>RosasWedding_i5K_CA_0125_169_SpaSpaEngSUBZhoSUB_Ed_M4.mpg</v>
      </c>
      <c r="T43" s="478" t="str">
        <f>CONCATENATE(RemovePunctuation(G43),"TR","_CA","_",C43,"_",AJ43,"_",PROPER(AA43),PROPER(AA43),"_","Ed","_","M2",".mpg")</f>
        <v>RosasWeddingTR_CA_0125_169_SpaSpa_Ed_M2.mpg</v>
      </c>
      <c r="U43" s="479" t="s">
        <v>129</v>
      </c>
      <c r="V43" s="480"/>
      <c r="W43" s="481" t="s">
        <v>239</v>
      </c>
      <c r="X43" s="482">
        <v>2020</v>
      </c>
      <c r="Y43" s="492" t="s">
        <v>131</v>
      </c>
      <c r="Z43" s="492" t="s">
        <v>131</v>
      </c>
      <c r="AA43" s="492" t="s">
        <v>207</v>
      </c>
      <c r="AB43" s="492"/>
      <c r="AC43" s="492"/>
      <c r="AD43" s="492"/>
      <c r="AE43" s="492" t="s">
        <v>138</v>
      </c>
      <c r="AF43" s="492" t="s">
        <v>132</v>
      </c>
      <c r="AG43" s="118">
        <f t="shared" si="6"/>
        <v>97</v>
      </c>
      <c r="AH43" s="402">
        <v>0.0670601851851852</v>
      </c>
      <c r="AI43" s="120">
        <f t="shared" si="7"/>
        <v>5820</v>
      </c>
      <c r="AJ43" s="272">
        <v>169</v>
      </c>
      <c r="AK43" s="272">
        <v>43</v>
      </c>
      <c r="AL43" s="500">
        <v>0.0012037037037037</v>
      </c>
      <c r="AM43" s="501" t="s">
        <v>144</v>
      </c>
    </row>
    <row r="44" s="427" customFormat="1" ht="23.1" customHeight="1" spans="1:39">
      <c r="A44" s="156">
        <v>40</v>
      </c>
      <c r="B44" s="279"/>
      <c r="C44" s="445" t="s">
        <v>122</v>
      </c>
      <c r="D44" s="446"/>
      <c r="E44" s="447">
        <v>13</v>
      </c>
      <c r="F44" s="448" t="s">
        <v>302</v>
      </c>
      <c r="G44" s="448" t="s">
        <v>303</v>
      </c>
      <c r="H44" s="448" t="str">
        <f t="shared" si="5"/>
        <v>Memory Lane (T)</v>
      </c>
      <c r="I44" s="461" t="s">
        <v>126</v>
      </c>
      <c r="J44" s="461" t="s">
        <v>126</v>
      </c>
      <c r="K44" s="461" t="s">
        <v>126</v>
      </c>
      <c r="L44" s="461" t="s">
        <v>126</v>
      </c>
      <c r="M44" s="461" t="s">
        <v>126</v>
      </c>
      <c r="N44" s="366" t="s">
        <v>304</v>
      </c>
      <c r="O44" s="462" t="s">
        <v>304</v>
      </c>
      <c r="P44" s="463" t="s">
        <v>305</v>
      </c>
      <c r="Q44" s="477" t="s">
        <v>305</v>
      </c>
      <c r="R44" s="245" t="str">
        <f>CONCATENATE(RemovePunctuation(G44),"_","i4K","_","CA_",C44,"_",AK44,"_",PROPER(AA44),IF(AB44="",PROPER(AA44),PROPER(AB44)),PROPER(AC44),PROPER(AD44),PROPER(AE44),IF(AE44&lt;&gt;"","SUB",""),PROPER(AF44),IF(AF44&lt;&gt;"","SUB",""),"_","Ed","_","M1",".mpg")</f>
        <v>MemoryLane_i4K_CA_0125_43_NldNldEngSUBZhoSUB_Ed_M1.mpg</v>
      </c>
      <c r="S44" s="245" t="str">
        <f>CONCATENATE(RemovePunctuation(G44),"_","i5K","_","CA_",C44,"_",AJ44,"_",PROPER(AA44),IF(AB44="",PROPER(AA44),PROPER(AB44)),PROPER(AC44),PROPER(AD44),PROPER(AE44),IF(AE44&lt;&gt;"","SUB",""),PROPER(AF44),IF(AF44&lt;&gt;"","SUB",""),"_","Ed","_","M4",".mpg")</f>
        <v>MemoryLane_i5K_CA_0125_169_NldNldEngSUBZhoSUB_Ed_M4.mpg</v>
      </c>
      <c r="T44" s="478" t="str">
        <f>CONCATENATE(RemovePunctuation(G44),"TR","_CA","_",C44,"_",AJ44,"_",PROPER(AA44),PROPER(AA44),"_","Ed","_","M2",".mpg")</f>
        <v>MemoryLaneTR_CA_0125_169_NldNld_Ed_M2.mpg</v>
      </c>
      <c r="U44" s="479" t="s">
        <v>129</v>
      </c>
      <c r="V44" s="480"/>
      <c r="W44" s="481" t="s">
        <v>192</v>
      </c>
      <c r="X44" s="482">
        <v>2024</v>
      </c>
      <c r="Y44" s="492" t="s">
        <v>131</v>
      </c>
      <c r="Z44" s="492" t="s">
        <v>131</v>
      </c>
      <c r="AA44" s="492" t="s">
        <v>306</v>
      </c>
      <c r="AB44" s="492"/>
      <c r="AC44" s="492"/>
      <c r="AD44" s="492"/>
      <c r="AE44" s="492" t="s">
        <v>138</v>
      </c>
      <c r="AF44" s="492" t="s">
        <v>132</v>
      </c>
      <c r="AG44" s="118">
        <f t="shared" si="6"/>
        <v>98</v>
      </c>
      <c r="AH44" s="402">
        <v>0.0675810185185185</v>
      </c>
      <c r="AI44" s="120">
        <f t="shared" si="7"/>
        <v>5880</v>
      </c>
      <c r="AJ44" s="272">
        <v>169</v>
      </c>
      <c r="AK44" s="272">
        <v>43</v>
      </c>
      <c r="AL44" s="500">
        <v>0.00168981481481481</v>
      </c>
      <c r="AM44" s="501" t="s">
        <v>133</v>
      </c>
    </row>
    <row r="45" s="427" customFormat="1" ht="23.1" customHeight="1" spans="1:39">
      <c r="A45" s="156">
        <v>41</v>
      </c>
      <c r="B45" s="279"/>
      <c r="C45" s="445" t="s">
        <v>122</v>
      </c>
      <c r="D45" s="446"/>
      <c r="E45" s="447">
        <v>14</v>
      </c>
      <c r="F45" s="451" t="s">
        <v>307</v>
      </c>
      <c r="G45" s="448" t="s">
        <v>308</v>
      </c>
      <c r="H45" s="448" t="str">
        <f t="shared" si="5"/>
        <v>River Rascals (T)</v>
      </c>
      <c r="I45" s="461" t="s">
        <v>126</v>
      </c>
      <c r="J45" s="461" t="s">
        <v>126</v>
      </c>
      <c r="K45" s="461" t="s">
        <v>126</v>
      </c>
      <c r="L45" s="461" t="s">
        <v>126</v>
      </c>
      <c r="M45" s="461" t="s">
        <v>126</v>
      </c>
      <c r="N45" s="366" t="s">
        <v>309</v>
      </c>
      <c r="O45" s="462" t="s">
        <v>309</v>
      </c>
      <c r="P45" s="463" t="s">
        <v>310</v>
      </c>
      <c r="Q45" s="477" t="s">
        <v>310</v>
      </c>
      <c r="R45" s="245" t="str">
        <f>CONCATENATE(RemovePunctuation(G45),"_","i4K","_","CA_",C45,"_",AK45,"_",PROPER(AA45),IF(AB45="",PROPER(AA45),PROPER(AB45)),PROPER(AC45),PROPER(AD45),PROPER(AE45),IF(AE45&lt;&gt;"","SUB",""),PROPER(AF45),IF(AF45&lt;&gt;"","SUB",""),"_","Ed","_","M1",".mpg")</f>
        <v>RiverRascals_i4K_CA_0125_43_CesCesEngSUBZhoSUB_Ed_M1.mpg</v>
      </c>
      <c r="S45" s="245" t="str">
        <f>CONCATENATE(RemovePunctuation(G45),"_","i5K","_","CA_",C45,"_",AJ45,"_",PROPER(AA45),IF(AB45="",PROPER(AA45),PROPER(AB45)),PROPER(AC45),PROPER(AD45),PROPER(AE45),IF(AE45&lt;&gt;"","SUB",""),PROPER(AF45),IF(AF45&lt;&gt;"","SUB",""),"_","Ed","_","M4",".mpg")</f>
        <v>RiverRascals_i5K_CA_0125_169_CesCesEngSUBZhoSUB_Ed_M4.mpg</v>
      </c>
      <c r="T45" s="478" t="str">
        <f>CONCATENATE(RemovePunctuation(G45),"TR","_CA","_",C45,"_",AJ45,"_",PROPER(AA45),PROPER(AA45),"_","Ed","_","M2",".mpg")</f>
        <v>RiverRascalsTR_CA_0125_169_CesCes_Ed_M2.mpg</v>
      </c>
      <c r="U45" s="479" t="s">
        <v>129</v>
      </c>
      <c r="V45" s="480"/>
      <c r="W45" s="481" t="s">
        <v>206</v>
      </c>
      <c r="X45" s="482">
        <v>2017</v>
      </c>
      <c r="Y45" s="492" t="s">
        <v>131</v>
      </c>
      <c r="Z45" s="492" t="s">
        <v>131</v>
      </c>
      <c r="AA45" s="492" t="s">
        <v>311</v>
      </c>
      <c r="AB45" s="492"/>
      <c r="AC45" s="492"/>
      <c r="AD45" s="492"/>
      <c r="AE45" s="492" t="s">
        <v>138</v>
      </c>
      <c r="AF45" s="492" t="s">
        <v>132</v>
      </c>
      <c r="AG45" s="118">
        <f t="shared" si="6"/>
        <v>81</v>
      </c>
      <c r="AH45" s="402">
        <v>0.0559259259259259</v>
      </c>
      <c r="AI45" s="120">
        <f t="shared" si="7"/>
        <v>4860</v>
      </c>
      <c r="AJ45" s="272">
        <v>169</v>
      </c>
      <c r="AK45" s="272">
        <v>43</v>
      </c>
      <c r="AL45" s="500">
        <v>0.00174768518518519</v>
      </c>
      <c r="AM45" s="501" t="s">
        <v>144</v>
      </c>
    </row>
    <row r="46" s="427" customFormat="1" ht="23.1" customHeight="1" spans="1:39">
      <c r="A46" s="156">
        <v>42</v>
      </c>
      <c r="B46" s="279"/>
      <c r="C46" s="445" t="s">
        <v>122</v>
      </c>
      <c r="D46" s="449" t="s">
        <v>312</v>
      </c>
      <c r="E46" s="447">
        <v>1</v>
      </c>
      <c r="F46" s="451" t="s">
        <v>313</v>
      </c>
      <c r="G46" s="448" t="s">
        <v>314</v>
      </c>
      <c r="H46" s="448" t="str">
        <f t="shared" si="5"/>
        <v>Pleasant Goat and Big Big Wolf: The World Guardians (T)</v>
      </c>
      <c r="I46" s="461" t="s">
        <v>126</v>
      </c>
      <c r="J46" s="461" t="s">
        <v>126</v>
      </c>
      <c r="K46" s="461" t="s">
        <v>126</v>
      </c>
      <c r="L46" s="461" t="s">
        <v>126</v>
      </c>
      <c r="M46" s="461" t="s">
        <v>126</v>
      </c>
      <c r="N46" s="366" t="s">
        <v>315</v>
      </c>
      <c r="O46" s="462" t="s">
        <v>315</v>
      </c>
      <c r="P46" s="463" t="s">
        <v>316</v>
      </c>
      <c r="Q46" s="477" t="s">
        <v>316</v>
      </c>
      <c r="R46" s="245" t="str">
        <f>CONCATENATE(RemovePunctuation(G46),"_","i4K","_","CA_",C46,"_",AK46,"_",PROPER(AA46),IF(AB46="",PROPER(AA46),PROPER(AB46)),PROPER(AC46),PROPER(AD46),PROPER(AE46),IF(AE46&lt;&gt;"","SUB",""),PROPER(AF46),IF(AF46&lt;&gt;"","SUB",""),"_","Ed","_","M1",".mpg")</f>
        <v>PleasantGoatandBigBigWolfTheWorldGuardians_i4K_CA_0125_43_ZhoZhoEngSUBZhoSUB_Ed_M1.mpg</v>
      </c>
      <c r="S46" s="245" t="str">
        <f>CONCATENATE(RemovePunctuation(G46),"_","i5K","_","CA_",C46,"_",AJ46,"_",PROPER(AA46),IF(AB46="",PROPER(AA46),PROPER(AB46)),PROPER(AC46),PROPER(AD46),PROPER(AE46),IF(AE46&lt;&gt;"","SUB",""),PROPER(AF46),IF(AF46&lt;&gt;"","SUB",""),"_","Ed","_","M4",".mpg")</f>
        <v>PleasantGoatandBigBigWolfTheWorldGuardians_i5K_CA_0125_169_ZhoZhoEngSUBZhoSUB_Ed_M4.mpg</v>
      </c>
      <c r="T46" s="478" t="str">
        <f>CONCATENATE(RemovePunctuation(G46),"TR","_CA","_",C46,"_",AJ46,"_",PROPER(AA46),PROPER(AA46),"_","Ed","_","M2",".mpg")</f>
        <v>PleasantGoatandBigBigWolfTheWorldGuardiansTR_CA_0125_169_ZhoZho_Ed_M2.mpg</v>
      </c>
      <c r="U46" s="479" t="s">
        <v>129</v>
      </c>
      <c r="V46" s="480"/>
      <c r="W46" s="481" t="s">
        <v>130</v>
      </c>
      <c r="X46" s="482">
        <v>2024</v>
      </c>
      <c r="Y46" s="492" t="s">
        <v>131</v>
      </c>
      <c r="Z46" s="492" t="s">
        <v>131</v>
      </c>
      <c r="AA46" s="492" t="s">
        <v>132</v>
      </c>
      <c r="AB46" s="492"/>
      <c r="AC46" s="492"/>
      <c r="AD46" s="492"/>
      <c r="AE46" s="492" t="s">
        <v>138</v>
      </c>
      <c r="AF46" s="492" t="s">
        <v>132</v>
      </c>
      <c r="AG46" s="118">
        <f t="shared" si="6"/>
        <v>96</v>
      </c>
      <c r="AH46" s="402">
        <v>0.0665162037037037</v>
      </c>
      <c r="AI46" s="120">
        <f t="shared" si="7"/>
        <v>5760</v>
      </c>
      <c r="AJ46" s="272">
        <v>169</v>
      </c>
      <c r="AK46" s="272">
        <v>43</v>
      </c>
      <c r="AL46" s="500">
        <v>0.000555555555555556</v>
      </c>
      <c r="AM46" s="501" t="s">
        <v>133</v>
      </c>
    </row>
    <row r="47" s="427" customFormat="1" ht="23.1" customHeight="1" spans="1:39">
      <c r="A47" s="156">
        <v>43</v>
      </c>
      <c r="B47" s="279"/>
      <c r="C47" s="445" t="s">
        <v>122</v>
      </c>
      <c r="D47" s="449"/>
      <c r="E47" s="447">
        <v>2</v>
      </c>
      <c r="F47" s="451" t="s">
        <v>317</v>
      </c>
      <c r="G47" s="448" t="s">
        <v>318</v>
      </c>
      <c r="H47" s="448" t="str">
        <f t="shared" si="5"/>
        <v>Pleasant Goat and Big Big Wolf: Dunk For Future (T)</v>
      </c>
      <c r="I47" s="461" t="s">
        <v>126</v>
      </c>
      <c r="J47" s="461" t="s">
        <v>126</v>
      </c>
      <c r="K47" s="461" t="s">
        <v>126</v>
      </c>
      <c r="L47" s="461" t="s">
        <v>126</v>
      </c>
      <c r="M47" s="461" t="s">
        <v>126</v>
      </c>
      <c r="N47" s="366" t="s">
        <v>319</v>
      </c>
      <c r="O47" s="462" t="s">
        <v>319</v>
      </c>
      <c r="P47" s="463" t="s">
        <v>320</v>
      </c>
      <c r="Q47" s="477" t="s">
        <v>320</v>
      </c>
      <c r="R47" s="245" t="str">
        <f>CONCATENATE(RemovePunctuation(G47),"_","i4K","_","CA_",C47,"_",AK47,"_",PROPER(AA47),IF(AB47="",PROPER(AA47),PROPER(AB47)),PROPER(AC47),PROPER(AD47),PROPER(AE47),IF(AE47&lt;&gt;"","SUB",""),PROPER(AF47),IF(AF47&lt;&gt;"","SUB",""),"_","Ed","_","M1",".mpg")</f>
        <v>PleasantGoatandBigBigWolfDunkForFuture_i4K_CA_0125_43_ZhoZhoEngSUBZhoSUB_Ed_M1.mpg</v>
      </c>
      <c r="S47" s="245" t="str">
        <f>CONCATENATE(RemovePunctuation(G47),"_","i5K","_","CA_",C47,"_",AJ47,"_",PROPER(AA47),IF(AB47="",PROPER(AA47),PROPER(AB47)),PROPER(AC47),PROPER(AD47),PROPER(AE47),IF(AE47&lt;&gt;"","SUB",""),PROPER(AF47),IF(AF47&lt;&gt;"","SUB",""),"_","Ed","_","M4",".mpg")</f>
        <v>PleasantGoatandBigBigWolfDunkForFuture_i5K_CA_0125_169_ZhoZhoEngSUBZhoSUB_Ed_M4.mpg</v>
      </c>
      <c r="T47" s="478" t="str">
        <f>CONCATENATE(RemovePunctuation(G47),"TR","_CA","_",C47,"_",AJ47,"_",PROPER(AA47),PROPER(AA47),"_","Ed","_","M2",".mpg")</f>
        <v>PleasantGoatandBigBigWolfDunkForFutureTR_CA_0125_169_ZhoZho_Ed_M2.mpg</v>
      </c>
      <c r="U47" s="479" t="s">
        <v>129</v>
      </c>
      <c r="V47" s="480"/>
      <c r="W47" s="481" t="s">
        <v>130</v>
      </c>
      <c r="X47" s="482">
        <v>2022</v>
      </c>
      <c r="Y47" s="492" t="s">
        <v>131</v>
      </c>
      <c r="Z47" s="492" t="s">
        <v>131</v>
      </c>
      <c r="AA47" s="492" t="s">
        <v>132</v>
      </c>
      <c r="AB47" s="492"/>
      <c r="AC47" s="492"/>
      <c r="AD47" s="492"/>
      <c r="AE47" s="492" t="s">
        <v>138</v>
      </c>
      <c r="AF47" s="492" t="s">
        <v>132</v>
      </c>
      <c r="AG47" s="118">
        <f t="shared" si="6"/>
        <v>95</v>
      </c>
      <c r="AH47" s="402">
        <v>0.065474537037037</v>
      </c>
      <c r="AI47" s="120">
        <f t="shared" si="7"/>
        <v>5700</v>
      </c>
      <c r="AJ47" s="272">
        <v>169</v>
      </c>
      <c r="AK47" s="272">
        <v>43</v>
      </c>
      <c r="AL47" s="500">
        <v>0.000844907407407407</v>
      </c>
      <c r="AM47" s="501" t="s">
        <v>321</v>
      </c>
    </row>
    <row r="48" s="427" customFormat="1" ht="23.1" customHeight="1" spans="1:39">
      <c r="A48" s="156">
        <v>44</v>
      </c>
      <c r="B48" s="279"/>
      <c r="C48" s="445" t="s">
        <v>122</v>
      </c>
      <c r="D48" s="449"/>
      <c r="E48" s="447">
        <v>3</v>
      </c>
      <c r="F48" s="451" t="s">
        <v>322</v>
      </c>
      <c r="G48" s="448" t="s">
        <v>323</v>
      </c>
      <c r="H48" s="448" t="str">
        <f t="shared" si="5"/>
        <v>Boonie Bears: Back to Earth (T)</v>
      </c>
      <c r="I48" s="461" t="s">
        <v>126</v>
      </c>
      <c r="J48" s="461" t="s">
        <v>126</v>
      </c>
      <c r="K48" s="461" t="s">
        <v>126</v>
      </c>
      <c r="L48" s="461" t="s">
        <v>126</v>
      </c>
      <c r="M48" s="461" t="s">
        <v>126</v>
      </c>
      <c r="N48" s="366" t="s">
        <v>324</v>
      </c>
      <c r="O48" s="462" t="s">
        <v>324</v>
      </c>
      <c r="P48" s="463" t="s">
        <v>325</v>
      </c>
      <c r="Q48" s="477" t="s">
        <v>325</v>
      </c>
      <c r="R48" s="245" t="str">
        <f>CONCATENATE(RemovePunctuation(G48),"_","i4K","_","CA_",C48,"_",AK48,"_",PROPER(AA48),IF(AB48="",PROPER(AA48),PROPER(AB48)),PROPER(AC48),PROPER(AD48),PROPER(AE48),IF(AE48&lt;&gt;"","SUB",""),PROPER(AF48),IF(AF48&lt;&gt;"","SUB",""),"_","Ed","_","M1",".mpg")</f>
        <v>BoonieBearsBacktoEarth_i4K_CA_0125_43_ZhoZhoEngSUBZhoSUB_Ed_M1.mpg</v>
      </c>
      <c r="S48" s="245" t="str">
        <f>CONCATENATE(RemovePunctuation(G48),"_","i5K","_","CA_",C48,"_",AJ48,"_",PROPER(AA48),IF(AB48="",PROPER(AA48),PROPER(AB48)),PROPER(AC48),PROPER(AD48),PROPER(AE48),IF(AE48&lt;&gt;"","SUB",""),PROPER(AF48),IF(AF48&lt;&gt;"","SUB",""),"_","Ed","_","M4",".mpg")</f>
        <v>BoonieBearsBacktoEarth_i5K_CA_0125_169_ZhoZhoEngSUBZhoSUB_Ed_M4.mpg</v>
      </c>
      <c r="T48" s="478" t="str">
        <f>CONCATENATE(RemovePunctuation(G48),"TR","_CA","_",C48,"_",AJ48,"_",PROPER(AA48),PROPER(AA48),"_","Ed","_","M2",".mpg")</f>
        <v>BoonieBearsBacktoEarthTR_CA_0125_169_ZhoZho_Ed_M2.mpg</v>
      </c>
      <c r="U48" s="479" t="s">
        <v>129</v>
      </c>
      <c r="V48" s="480"/>
      <c r="W48" s="481" t="s">
        <v>130</v>
      </c>
      <c r="X48" s="482">
        <v>2022</v>
      </c>
      <c r="Y48" s="492" t="s">
        <v>131</v>
      </c>
      <c r="Z48" s="492" t="s">
        <v>131</v>
      </c>
      <c r="AA48" s="492" t="s">
        <v>132</v>
      </c>
      <c r="AB48" s="492"/>
      <c r="AC48" s="492"/>
      <c r="AD48" s="492"/>
      <c r="AE48" s="492" t="s">
        <v>138</v>
      </c>
      <c r="AF48" s="492" t="s">
        <v>132</v>
      </c>
      <c r="AG48" s="118">
        <f t="shared" si="6"/>
        <v>100</v>
      </c>
      <c r="AH48" s="402">
        <v>0.0687615740740741</v>
      </c>
      <c r="AI48" s="120">
        <f t="shared" si="7"/>
        <v>6000</v>
      </c>
      <c r="AJ48" s="272">
        <v>169</v>
      </c>
      <c r="AK48" s="272">
        <v>43</v>
      </c>
      <c r="AL48" s="500">
        <v>0.00109953703703704</v>
      </c>
      <c r="AM48" s="501" t="s">
        <v>179</v>
      </c>
    </row>
    <row r="49" s="427" customFormat="1" ht="23.1" customHeight="1" spans="1:39">
      <c r="A49" s="156">
        <v>45</v>
      </c>
      <c r="B49" s="279"/>
      <c r="C49" s="445" t="s">
        <v>122</v>
      </c>
      <c r="D49" s="449"/>
      <c r="E49" s="447">
        <v>4</v>
      </c>
      <c r="F49" s="451" t="s">
        <v>326</v>
      </c>
      <c r="G49" s="448" t="s">
        <v>327</v>
      </c>
      <c r="H49" s="448" t="str">
        <f t="shared" si="5"/>
        <v>Bonnie Bears: Entangled Worlds (T)</v>
      </c>
      <c r="I49" s="461" t="s">
        <v>126</v>
      </c>
      <c r="J49" s="461" t="s">
        <v>126</v>
      </c>
      <c r="K49" s="461" t="s">
        <v>126</v>
      </c>
      <c r="L49" s="461" t="s">
        <v>126</v>
      </c>
      <c r="M49" s="461" t="s">
        <v>126</v>
      </c>
      <c r="N49" s="366" t="s">
        <v>328</v>
      </c>
      <c r="O49" s="462" t="s">
        <v>328</v>
      </c>
      <c r="P49" s="463" t="s">
        <v>329</v>
      </c>
      <c r="Q49" s="477" t="s">
        <v>329</v>
      </c>
      <c r="R49" s="245" t="str">
        <f>CONCATENATE(RemovePunctuation(G49),"_","i4K","_","CA_",C49,"_",AK49,"_",PROPER(AA49),IF(AB49="",PROPER(AA49),PROPER(AB49)),PROPER(AC49),PROPER(AD49),PROPER(AE49),IF(AE49&lt;&gt;"","SUB",""),PROPER(AF49),IF(AF49&lt;&gt;"","SUB",""),"_","Ed","_","M1",".mpg")</f>
        <v>BonnieBearsEntangledWorlds_i4K_CA_0125_43_ZhoZhoZhoSUB_Ed_M1.mpg</v>
      </c>
      <c r="S49" s="245" t="str">
        <f>CONCATENATE(RemovePunctuation(G49),"_","i5K","_","CA_",C49,"_",AJ49,"_",PROPER(AA49),IF(AB49="",PROPER(AA49),PROPER(AB49)),PROPER(AC49),PROPER(AD49),PROPER(AE49),IF(AE49&lt;&gt;"","SUB",""),PROPER(AF49),IF(AF49&lt;&gt;"","SUB",""),"_","Ed","_","M4",".mpg")</f>
        <v>BonnieBearsEntangledWorlds_i5K_CA_0125_169_ZhoZhoZhoSUB_Ed_M4.mpg</v>
      </c>
      <c r="T49" s="478" t="str">
        <f>CONCATENATE(RemovePunctuation(G49),"TR","_CA","_",C49,"_",AJ49,"_",PROPER(AA49),PROPER(AA49),"_","Ed","_","M2",".mpg")</f>
        <v>BonnieBearsEntangledWorldsTR_CA_0125_169_ZhoZho_Ed_M2.mpg</v>
      </c>
      <c r="U49" s="479" t="s">
        <v>129</v>
      </c>
      <c r="V49" s="480"/>
      <c r="W49" s="481" t="s">
        <v>130</v>
      </c>
      <c r="X49" s="482">
        <v>2017</v>
      </c>
      <c r="Y49" s="492" t="s">
        <v>131</v>
      </c>
      <c r="Z49" s="492" t="s">
        <v>131</v>
      </c>
      <c r="AA49" s="492" t="s">
        <v>132</v>
      </c>
      <c r="AB49" s="492"/>
      <c r="AC49" s="492"/>
      <c r="AD49" s="492"/>
      <c r="AE49" s="492" t="s">
        <v>132</v>
      </c>
      <c r="AF49" s="492"/>
      <c r="AG49" s="118">
        <f t="shared" si="6"/>
        <v>91</v>
      </c>
      <c r="AH49" s="402">
        <v>0.0626157407407407</v>
      </c>
      <c r="AI49" s="120">
        <f t="shared" si="7"/>
        <v>5460</v>
      </c>
      <c r="AJ49" s="272">
        <v>169</v>
      </c>
      <c r="AK49" s="272">
        <v>43</v>
      </c>
      <c r="AL49" s="500">
        <v>0.00185185185185185</v>
      </c>
      <c r="AM49" s="501" t="s">
        <v>179</v>
      </c>
    </row>
    <row r="50" s="427" customFormat="1" ht="23.1" customHeight="1" spans="1:39">
      <c r="A50" s="156">
        <v>46</v>
      </c>
      <c r="B50" s="279"/>
      <c r="C50" s="445" t="s">
        <v>122</v>
      </c>
      <c r="D50" s="449"/>
      <c r="E50" s="447">
        <v>5</v>
      </c>
      <c r="F50" s="451" t="s">
        <v>330</v>
      </c>
      <c r="G50" s="448" t="s">
        <v>331</v>
      </c>
      <c r="H50" s="448" t="str">
        <f t="shared" si="5"/>
        <v>Boonie Bears: The Big Top Secret (T)</v>
      </c>
      <c r="I50" s="461" t="s">
        <v>126</v>
      </c>
      <c r="J50" s="461" t="s">
        <v>126</v>
      </c>
      <c r="K50" s="461" t="s">
        <v>126</v>
      </c>
      <c r="L50" s="461" t="s">
        <v>126</v>
      </c>
      <c r="M50" s="461" t="s">
        <v>126</v>
      </c>
      <c r="N50" s="366" t="s">
        <v>332</v>
      </c>
      <c r="O50" s="462" t="s">
        <v>332</v>
      </c>
      <c r="P50" s="463" t="s">
        <v>333</v>
      </c>
      <c r="Q50" s="477" t="s">
        <v>333</v>
      </c>
      <c r="R50" s="245" t="str">
        <f>CONCATENATE(RemovePunctuation(G50),"_","i4K","_","CA_",C50,"_",AK50,"_",PROPER(AA50),IF(AB50="",PROPER(AA50),PROPER(AB50)),PROPER(AC50),PROPER(AD50),PROPER(AE50),IF(AE50&lt;&gt;"","SUB",""),PROPER(AF50),IF(AF50&lt;&gt;"","SUB",""),"_","Ed","_","M1",".mpg")</f>
        <v>BoonieBearsTheBigTopSecret_i4K_CA_0125_43_ZhoZhoZhoSUB_Ed_M1.mpg</v>
      </c>
      <c r="S50" s="245" t="str">
        <f>CONCATENATE(RemovePunctuation(G50),"_","i5K","_","CA_",C50,"_",AJ50,"_",PROPER(AA50),IF(AB50="",PROPER(AA50),PROPER(AB50)),PROPER(AC50),PROPER(AD50),PROPER(AE50),IF(AE50&lt;&gt;"","SUB",""),PROPER(AF50),IF(AF50&lt;&gt;"","SUB",""),"_","Ed","_","M4",".mpg")</f>
        <v>BoonieBearsTheBigTopSecret_i5K_CA_0125_169_ZhoZhoZhoSUB_Ed_M4.mpg</v>
      </c>
      <c r="T50" s="478" t="str">
        <f>CONCATENATE(RemovePunctuation(G50),"TR","_CA","_",C50,"_",AJ50,"_",PROPER(AA50),PROPER(AA50),"_","Ed","_","M2",".mpg")</f>
        <v>BoonieBearsTheBigTopSecretTR_CA_0125_169_ZhoZho_Ed_M2.mpg</v>
      </c>
      <c r="U50" s="479" t="s">
        <v>129</v>
      </c>
      <c r="V50" s="480"/>
      <c r="W50" s="481" t="s">
        <v>130</v>
      </c>
      <c r="X50" s="482">
        <v>2016</v>
      </c>
      <c r="Y50" s="492" t="s">
        <v>131</v>
      </c>
      <c r="Z50" s="492" t="s">
        <v>131</v>
      </c>
      <c r="AA50" s="492" t="s">
        <v>132</v>
      </c>
      <c r="AB50" s="492"/>
      <c r="AC50" s="492"/>
      <c r="AD50" s="492"/>
      <c r="AE50" s="492" t="s">
        <v>132</v>
      </c>
      <c r="AF50" s="492"/>
      <c r="AG50" s="118">
        <f t="shared" si="6"/>
        <v>100</v>
      </c>
      <c r="AH50" s="402">
        <v>0.0687962962962963</v>
      </c>
      <c r="AI50" s="120">
        <f t="shared" si="7"/>
        <v>6000</v>
      </c>
      <c r="AJ50" s="272">
        <v>169</v>
      </c>
      <c r="AK50" s="272">
        <v>43</v>
      </c>
      <c r="AL50" s="500">
        <v>0.00122685185185185</v>
      </c>
      <c r="AM50" s="501" t="s">
        <v>179</v>
      </c>
    </row>
    <row r="51" s="427" customFormat="1" ht="23.1" customHeight="1" spans="1:39">
      <c r="A51" s="156">
        <v>47</v>
      </c>
      <c r="B51" s="279"/>
      <c r="C51" s="445" t="s">
        <v>122</v>
      </c>
      <c r="D51" s="449"/>
      <c r="E51" s="447">
        <v>6</v>
      </c>
      <c r="F51" s="451" t="s">
        <v>334</v>
      </c>
      <c r="G51" s="448" t="s">
        <v>335</v>
      </c>
      <c r="H51" s="448" t="str">
        <f t="shared" si="5"/>
        <v>Boonie Bears: Mystical Winter (T)</v>
      </c>
      <c r="I51" s="461" t="s">
        <v>126</v>
      </c>
      <c r="J51" s="461" t="s">
        <v>126</v>
      </c>
      <c r="K51" s="461" t="s">
        <v>126</v>
      </c>
      <c r="L51" s="461" t="s">
        <v>126</v>
      </c>
      <c r="M51" s="461" t="s">
        <v>126</v>
      </c>
      <c r="N51" s="366" t="s">
        <v>336</v>
      </c>
      <c r="O51" s="462" t="s">
        <v>336</v>
      </c>
      <c r="P51" s="463" t="s">
        <v>337</v>
      </c>
      <c r="Q51" s="477" t="s">
        <v>337</v>
      </c>
      <c r="R51" s="245" t="str">
        <f>CONCATENATE(RemovePunctuation(G51),"_","i4K","_","CA_",C51,"_",AK51,"_",PROPER(AA51),IF(AB51="",PROPER(AA51),PROPER(AB51)),PROPER(AC51),PROPER(AD51),PROPER(AE51),IF(AE51&lt;&gt;"","SUB",""),PROPER(AF51),IF(AF51&lt;&gt;"","SUB",""),"_","Ed","_","M1",".mpg")</f>
        <v>BoonieBearsMysticalWinter_i4K_CA_0125_43_ZhoZhoZhoSUB_Ed_M1.mpg</v>
      </c>
      <c r="S51" s="245" t="str">
        <f>CONCATENATE(RemovePunctuation(G51),"_","i5K","_","CA_",C51,"_",AJ51,"_",PROPER(AA51),IF(AB51="",PROPER(AA51),PROPER(AB51)),PROPER(AC51),PROPER(AD51),PROPER(AE51),IF(AE51&lt;&gt;"","SUB",""),PROPER(AF51),IF(AF51&lt;&gt;"","SUB",""),"_","Ed","_","M4",".mpg")</f>
        <v>BoonieBearsMysticalWinter_i5K_CA_0125_169_ZhoZhoZhoSUB_Ed_M4.mpg</v>
      </c>
      <c r="T51" s="478" t="str">
        <f>CONCATENATE(RemovePunctuation(G51),"TR","_CA","_",C51,"_",AJ51,"_",PROPER(AA51),PROPER(AA51),"_","Ed","_","M2",".mpg")</f>
        <v>BoonieBearsMysticalWinterTR_CA_0125_169_ZhoZho_Ed_M2.mpg</v>
      </c>
      <c r="U51" s="479" t="s">
        <v>129</v>
      </c>
      <c r="V51" s="480"/>
      <c r="W51" s="481" t="s">
        <v>130</v>
      </c>
      <c r="X51" s="482">
        <v>2015</v>
      </c>
      <c r="Y51" s="492" t="s">
        <v>131</v>
      </c>
      <c r="Z51" s="492" t="s">
        <v>131</v>
      </c>
      <c r="AA51" s="492" t="s">
        <v>132</v>
      </c>
      <c r="AB51" s="492"/>
      <c r="AC51" s="492"/>
      <c r="AD51" s="492"/>
      <c r="AE51" s="492" t="s">
        <v>132</v>
      </c>
      <c r="AF51" s="492"/>
      <c r="AG51" s="118">
        <f t="shared" si="6"/>
        <v>96</v>
      </c>
      <c r="AH51" s="402">
        <v>0.0666435185185185</v>
      </c>
      <c r="AI51" s="120">
        <f t="shared" si="7"/>
        <v>5760</v>
      </c>
      <c r="AJ51" s="272">
        <v>169</v>
      </c>
      <c r="AK51" s="272">
        <v>43</v>
      </c>
      <c r="AL51" s="500">
        <v>0.000451388888888889</v>
      </c>
      <c r="AM51" s="501" t="s">
        <v>179</v>
      </c>
    </row>
    <row r="52" s="427" customFormat="1" ht="23.1" customHeight="1" spans="1:39">
      <c r="A52" s="156">
        <v>48</v>
      </c>
      <c r="B52" s="279"/>
      <c r="C52" s="445" t="s">
        <v>122</v>
      </c>
      <c r="D52" s="449"/>
      <c r="E52" s="447">
        <v>7</v>
      </c>
      <c r="F52" s="451" t="s">
        <v>338</v>
      </c>
      <c r="G52" s="448" t="s">
        <v>339</v>
      </c>
      <c r="H52" s="448" t="str">
        <f t="shared" si="5"/>
        <v>GG BOND: Super Racing (T)</v>
      </c>
      <c r="I52" s="461" t="s">
        <v>126</v>
      </c>
      <c r="J52" s="461" t="s">
        <v>126</v>
      </c>
      <c r="K52" s="461" t="s">
        <v>126</v>
      </c>
      <c r="L52" s="461" t="s">
        <v>126</v>
      </c>
      <c r="M52" s="461" t="s">
        <v>126</v>
      </c>
      <c r="N52" s="366" t="s">
        <v>340</v>
      </c>
      <c r="O52" s="462" t="s">
        <v>340</v>
      </c>
      <c r="P52" s="463" t="s">
        <v>341</v>
      </c>
      <c r="Q52" s="477" t="s">
        <v>341</v>
      </c>
      <c r="R52" s="245" t="str">
        <f>CONCATENATE(RemovePunctuation(G52),"_","i4K","_","CA_",C52,"_",AK52,"_",PROPER(AA52),IF(AB52="",PROPER(AA52),PROPER(AB52)),PROPER(AC52),PROPER(AD52),PROPER(AE52),IF(AE52&lt;&gt;"","SUB",""),PROPER(AF52),IF(AF52&lt;&gt;"","SUB",""),"_","Ed","_","M1",".mpg")</f>
        <v>GGBONDSuperRacing_i4K_CA_0125_43_ZhoZhoZhoSUB_Ed_M1.mpg</v>
      </c>
      <c r="S52" s="245" t="str">
        <f>CONCATENATE(RemovePunctuation(G52),"_","i5K","_","CA_",C52,"_",AJ52,"_",PROPER(AA52),IF(AB52="",PROPER(AA52),PROPER(AB52)),PROPER(AC52),PROPER(AD52),PROPER(AE52),IF(AE52&lt;&gt;"","SUB",""),PROPER(AF52),IF(AF52&lt;&gt;"","SUB",""),"_","Ed","_","M4",".mpg")</f>
        <v>GGBONDSuperRacing_i5K_CA_0125_169_ZhoZhoZhoSUB_Ed_M4.mpg</v>
      </c>
      <c r="T52" s="478" t="str">
        <f>CONCATENATE(RemovePunctuation(G52),"TR","_CA","_",C52,"_",AJ52,"_",PROPER(AA52),PROPER(AA52),"_","Ed","_","M2",".mpg")</f>
        <v>GGBONDSuperRacingTR_CA_0125_169_ZhoZho_Ed_M2.mpg</v>
      </c>
      <c r="U52" s="479" t="s">
        <v>129</v>
      </c>
      <c r="V52" s="480"/>
      <c r="W52" s="481" t="s">
        <v>130</v>
      </c>
      <c r="X52" s="482">
        <v>2023</v>
      </c>
      <c r="Y52" s="492" t="s">
        <v>131</v>
      </c>
      <c r="Z52" s="492" t="s">
        <v>131</v>
      </c>
      <c r="AA52" s="492" t="s">
        <v>132</v>
      </c>
      <c r="AB52" s="492"/>
      <c r="AC52" s="492"/>
      <c r="AD52" s="492"/>
      <c r="AE52" s="492" t="s">
        <v>132</v>
      </c>
      <c r="AF52" s="492"/>
      <c r="AG52" s="118">
        <f t="shared" si="6"/>
        <v>85</v>
      </c>
      <c r="AH52" s="402">
        <v>0.0590277777777778</v>
      </c>
      <c r="AI52" s="120">
        <f t="shared" si="7"/>
        <v>5100</v>
      </c>
      <c r="AJ52" s="272">
        <v>169</v>
      </c>
      <c r="AK52" s="272">
        <v>43</v>
      </c>
      <c r="AL52" s="500">
        <v>0.000844907407407407</v>
      </c>
      <c r="AM52" s="501" t="s">
        <v>179</v>
      </c>
    </row>
    <row r="53" s="427" customFormat="1" ht="23.1" customHeight="1" spans="1:39">
      <c r="A53" s="156">
        <v>49</v>
      </c>
      <c r="B53" s="279"/>
      <c r="C53" s="445" t="s">
        <v>122</v>
      </c>
      <c r="D53" s="449"/>
      <c r="E53" s="447">
        <v>8</v>
      </c>
      <c r="F53" s="451" t="s">
        <v>342</v>
      </c>
      <c r="G53" s="448" t="s">
        <v>343</v>
      </c>
      <c r="H53" s="448" t="str">
        <f t="shared" si="5"/>
        <v>Little Chicken Troops (T)</v>
      </c>
      <c r="I53" s="461" t="s">
        <v>126</v>
      </c>
      <c r="J53" s="461" t="s">
        <v>126</v>
      </c>
      <c r="K53" s="461" t="s">
        <v>126</v>
      </c>
      <c r="L53" s="461" t="s">
        <v>126</v>
      </c>
      <c r="M53" s="461" t="s">
        <v>126</v>
      </c>
      <c r="N53" s="366" t="s">
        <v>344</v>
      </c>
      <c r="O53" s="462" t="s">
        <v>344</v>
      </c>
      <c r="P53" s="463" t="s">
        <v>345</v>
      </c>
      <c r="Q53" s="477" t="s">
        <v>345</v>
      </c>
      <c r="R53" s="245" t="str">
        <f>CONCATENATE(RemovePunctuation(G53),"_","i4K","_","CA_",C53,"_",AK53,"_",PROPER(AA53),IF(AB53="",PROPER(AA53),PROPER(AB53)),PROPER(AC53),PROPER(AD53),PROPER(AE53),IF(AE53&lt;&gt;"","SUB",""),PROPER(AF53),IF(AF53&lt;&gt;"","SUB",""),"_","Ed","_","M1",".mpg")</f>
        <v>LittleChickenTroops_i4K_CA_0125_43_ZhoZhoZhoSUB_Ed_M1.mpg</v>
      </c>
      <c r="S53" s="245" t="str">
        <f>CONCATENATE(RemovePunctuation(G53),"_","i5K","_","CA_",C53,"_",AJ53,"_",PROPER(AA53),IF(AB53="",PROPER(AA53),PROPER(AB53)),PROPER(AC53),PROPER(AD53),PROPER(AE53),IF(AE53&lt;&gt;"","SUB",""),PROPER(AF53),IF(AF53&lt;&gt;"","SUB",""),"_","Ed","_","M4",".mpg")</f>
        <v>LittleChickenTroops_i5K_CA_0125_169_ZhoZhoZhoSUB_Ed_M4.mpg</v>
      </c>
      <c r="T53" s="478" t="str">
        <f>CONCATENATE(RemovePunctuation(G53),"TR","_CA","_",C53,"_",AJ53,"_",PROPER(AA53),PROPER(AA53),"_","Ed","_","M2",".mpg")</f>
        <v>LittleChickenTroopsTR_CA_0125_169_ZhoZho_Ed_M2.mpg</v>
      </c>
      <c r="U53" s="479" t="s">
        <v>129</v>
      </c>
      <c r="V53" s="480"/>
      <c r="W53" s="481" t="s">
        <v>130</v>
      </c>
      <c r="X53" s="482">
        <v>2022</v>
      </c>
      <c r="Y53" s="492" t="s">
        <v>131</v>
      </c>
      <c r="Z53" s="492" t="s">
        <v>131</v>
      </c>
      <c r="AA53" s="492" t="s">
        <v>132</v>
      </c>
      <c r="AB53" s="492"/>
      <c r="AC53" s="492"/>
      <c r="AD53" s="492"/>
      <c r="AE53" s="492" t="s">
        <v>132</v>
      </c>
      <c r="AF53" s="492"/>
      <c r="AG53" s="118">
        <f t="shared" si="6"/>
        <v>83</v>
      </c>
      <c r="AH53" s="402">
        <v>0.0570486111111111</v>
      </c>
      <c r="AI53" s="120">
        <f t="shared" si="7"/>
        <v>4980</v>
      </c>
      <c r="AJ53" s="272">
        <v>169</v>
      </c>
      <c r="AK53" s="272">
        <v>43</v>
      </c>
      <c r="AL53" s="500">
        <v>0.000949074074074074</v>
      </c>
      <c r="AM53" s="501" t="s">
        <v>321</v>
      </c>
    </row>
    <row r="54" s="427" customFormat="1" ht="23.1" customHeight="1" spans="1:39">
      <c r="A54" s="156">
        <v>50</v>
      </c>
      <c r="B54" s="279"/>
      <c r="C54" s="445" t="s">
        <v>122</v>
      </c>
      <c r="D54" s="449"/>
      <c r="E54" s="447">
        <v>9</v>
      </c>
      <c r="F54" s="451" t="s">
        <v>346</v>
      </c>
      <c r="G54" s="448" t="s">
        <v>347</v>
      </c>
      <c r="H54" s="448" t="str">
        <f t="shared" si="5"/>
        <v>Cosmicrew: Storm Force (T)</v>
      </c>
      <c r="I54" s="461" t="s">
        <v>126</v>
      </c>
      <c r="J54" s="461" t="s">
        <v>126</v>
      </c>
      <c r="K54" s="461" t="s">
        <v>126</v>
      </c>
      <c r="L54" s="461" t="s">
        <v>126</v>
      </c>
      <c r="M54" s="461" t="s">
        <v>126</v>
      </c>
      <c r="N54" s="366" t="s">
        <v>348</v>
      </c>
      <c r="O54" s="462" t="s">
        <v>348</v>
      </c>
      <c r="P54" s="463" t="s">
        <v>349</v>
      </c>
      <c r="Q54" s="477" t="s">
        <v>349</v>
      </c>
      <c r="R54" s="245" t="str">
        <f>CONCATENATE(RemovePunctuation(G54),"_","i4K","_","CA_",C54,"_",AK54,"_",PROPER(AA54),IF(AB54="",PROPER(AA54),PROPER(AB54)),PROPER(AC54),PROPER(AD54),PROPER(AE54),IF(AE54&lt;&gt;"","SUB",""),PROPER(AF54),IF(AF54&lt;&gt;"","SUB",""),"_","Ed","_","M1",".mpg")</f>
        <v>CosmicrewStormForce_i4K_CA_0125_43_ZhoZhoZhoSUB_Ed_M1.mpg</v>
      </c>
      <c r="S54" s="245" t="str">
        <f>CONCATENATE(RemovePunctuation(G54),"_","i5K","_","CA_",C54,"_",AJ54,"_",PROPER(AA54),IF(AB54="",PROPER(AA54),PROPER(AB54)),PROPER(AC54),PROPER(AD54),PROPER(AE54),IF(AE54&lt;&gt;"","SUB",""),PROPER(AF54),IF(AF54&lt;&gt;"","SUB",""),"_","Ed","_","M4",".mpg")</f>
        <v>CosmicrewStormForce_i5K_CA_0125_169_ZhoZhoZhoSUB_Ed_M4.mpg</v>
      </c>
      <c r="T54" s="478" t="str">
        <f>CONCATENATE(RemovePunctuation(G54),"TR","_CA","_",C54,"_",AJ54,"_",PROPER(AA54),PROPER(AA54),"_","Ed","_","M2",".mpg")</f>
        <v>CosmicrewStormForceTR_CA_0125_169_ZhoZho_Ed_M2.mpg</v>
      </c>
      <c r="U54" s="479" t="s">
        <v>129</v>
      </c>
      <c r="V54" s="480"/>
      <c r="W54" s="481" t="s">
        <v>130</v>
      </c>
      <c r="X54" s="482">
        <v>2023</v>
      </c>
      <c r="Y54" s="492" t="s">
        <v>131</v>
      </c>
      <c r="Z54" s="492" t="s">
        <v>131</v>
      </c>
      <c r="AA54" s="492" t="s">
        <v>132</v>
      </c>
      <c r="AB54" s="492"/>
      <c r="AC54" s="492"/>
      <c r="AD54" s="492"/>
      <c r="AE54" s="492" t="s">
        <v>132</v>
      </c>
      <c r="AF54" s="492"/>
      <c r="AG54" s="118">
        <f t="shared" si="6"/>
        <v>94</v>
      </c>
      <c r="AH54" s="402">
        <v>0.064849537037037</v>
      </c>
      <c r="AI54" s="120">
        <f t="shared" si="7"/>
        <v>5640</v>
      </c>
      <c r="AJ54" s="272">
        <v>169</v>
      </c>
      <c r="AK54" s="272">
        <v>43</v>
      </c>
      <c r="AL54" s="500">
        <v>0.00103009259259259</v>
      </c>
      <c r="AM54" s="501" t="s">
        <v>321</v>
      </c>
    </row>
    <row r="55" s="427" customFormat="1" ht="23.1" customHeight="1" spans="1:39">
      <c r="A55" s="156">
        <v>51</v>
      </c>
      <c r="B55" s="279"/>
      <c r="C55" s="445" t="s">
        <v>122</v>
      </c>
      <c r="D55" s="449"/>
      <c r="E55" s="447">
        <v>10</v>
      </c>
      <c r="F55" s="451" t="s">
        <v>350</v>
      </c>
      <c r="G55" s="448" t="s">
        <v>351</v>
      </c>
      <c r="H55" s="448" t="str">
        <f t="shared" si="5"/>
        <v>New Happy Dad and Son 5: My Alien Friend (T)</v>
      </c>
      <c r="I55" s="461" t="s">
        <v>126</v>
      </c>
      <c r="J55" s="461" t="s">
        <v>126</v>
      </c>
      <c r="K55" s="461" t="s">
        <v>126</v>
      </c>
      <c r="L55" s="461" t="s">
        <v>126</v>
      </c>
      <c r="M55" s="461" t="s">
        <v>126</v>
      </c>
      <c r="N55" s="366" t="s">
        <v>352</v>
      </c>
      <c r="O55" s="462" t="s">
        <v>352</v>
      </c>
      <c r="P55" s="463" t="s">
        <v>353</v>
      </c>
      <c r="Q55" s="477" t="s">
        <v>353</v>
      </c>
      <c r="R55" s="245" t="str">
        <f>CONCATENATE(RemovePunctuation(G55),"_","i4K","_","CA_",C55,"_",AK55,"_",PROPER(AA55),IF(AB55="",PROPER(AA55),PROPER(AB55)),PROPER(AC55),PROPER(AD55),PROPER(AE55),IF(AE55&lt;&gt;"","SUB",""),PROPER(AF55),IF(AF55&lt;&gt;"","SUB",""),"_","Ed","_","M1",".mpg")</f>
        <v>NewHappyDadandSon5MyAlienFriend_i4K_CA_0125_43_ZhoZhoZhoSUB_Ed_M1.mpg</v>
      </c>
      <c r="S55" s="245" t="str">
        <f>CONCATENATE(RemovePunctuation(G55),"_","i5K","_","CA_",C55,"_",AJ55,"_",PROPER(AA55),IF(AB55="",PROPER(AA55),PROPER(AB55)),PROPER(AC55),PROPER(AD55),PROPER(AE55),IF(AE55&lt;&gt;"","SUB",""),PROPER(AF55),IF(AF55&lt;&gt;"","SUB",""),"_","Ed","_","M4",".mpg")</f>
        <v>NewHappyDadandSon5MyAlienFriend_i5K_CA_0125_169_ZhoZhoZhoSUB_Ed_M4.mpg</v>
      </c>
      <c r="T55" s="478" t="str">
        <f>CONCATENATE(RemovePunctuation(G55),"TR","_CA","_",C55,"_",AJ55,"_",PROPER(AA55),PROPER(AA55),"_","Ed","_","M2",".mpg")</f>
        <v>NewHappyDadandSon5MyAlienFriendTR_CA_0125_169_ZhoZho_Ed_M2.mpg</v>
      </c>
      <c r="U55" s="479" t="s">
        <v>129</v>
      </c>
      <c r="V55" s="480"/>
      <c r="W55" s="481" t="s">
        <v>130</v>
      </c>
      <c r="X55" s="482">
        <v>2022</v>
      </c>
      <c r="Y55" s="492" t="s">
        <v>131</v>
      </c>
      <c r="Z55" s="492" t="s">
        <v>131</v>
      </c>
      <c r="AA55" s="492" t="s">
        <v>132</v>
      </c>
      <c r="AB55" s="492"/>
      <c r="AC55" s="492"/>
      <c r="AD55" s="492"/>
      <c r="AE55" s="492" t="s">
        <v>132</v>
      </c>
      <c r="AF55" s="492"/>
      <c r="AG55" s="118">
        <f t="shared" si="6"/>
        <v>82</v>
      </c>
      <c r="AH55" s="402">
        <v>0.0563888888888889</v>
      </c>
      <c r="AI55" s="120">
        <f t="shared" si="7"/>
        <v>4920</v>
      </c>
      <c r="AJ55" s="272">
        <v>169</v>
      </c>
      <c r="AK55" s="272">
        <v>43</v>
      </c>
      <c r="AL55" s="500">
        <v>0.000740740740740741</v>
      </c>
      <c r="AM55" s="501" t="s">
        <v>321</v>
      </c>
    </row>
    <row r="56" s="427" customFormat="1" ht="23.1" customHeight="1" spans="1:39">
      <c r="A56" s="156">
        <v>52</v>
      </c>
      <c r="B56" s="279"/>
      <c r="C56" s="445" t="s">
        <v>122</v>
      </c>
      <c r="D56" s="449"/>
      <c r="E56" s="447">
        <v>11</v>
      </c>
      <c r="F56" s="451" t="s">
        <v>354</v>
      </c>
      <c r="G56" s="448" t="s">
        <v>355</v>
      </c>
      <c r="H56" s="448" t="str">
        <f t="shared" si="5"/>
        <v>Autumn and the Black Jaguar (T)</v>
      </c>
      <c r="I56" s="461" t="s">
        <v>126</v>
      </c>
      <c r="J56" s="461" t="s">
        <v>126</v>
      </c>
      <c r="K56" s="461" t="s">
        <v>126</v>
      </c>
      <c r="L56" s="461" t="s">
        <v>126</v>
      </c>
      <c r="M56" s="461" t="s">
        <v>126</v>
      </c>
      <c r="N56" s="366" t="s">
        <v>356</v>
      </c>
      <c r="O56" s="462" t="s">
        <v>356</v>
      </c>
      <c r="P56" s="463" t="s">
        <v>357</v>
      </c>
      <c r="Q56" s="477" t="s">
        <v>357</v>
      </c>
      <c r="R56" s="245" t="str">
        <f>CONCATENATE(RemovePunctuation(G56),"_","i4K","_","CA_",C56,"_",AK56,"_",PROPER(AA56),IF(AB56="",PROPER(AA56),PROPER(AB56)),PROPER(AC56),PROPER(AD56),PROPER(AE56),IF(AE56&lt;&gt;"","SUB",""),PROPER(AF56),IF(AF56&lt;&gt;"","SUB",""),"_","Ed","_","M1",".mpg")</f>
        <v>AutumnandtheBlackJaguar_i4K_CA_0125_43_EngEngZhoSUB_Ed_M1.mpg</v>
      </c>
      <c r="S56" s="245" t="str">
        <f>CONCATENATE(RemovePunctuation(G56),"_","i5K","_","CA_",C56,"_",AJ56,"_",PROPER(AA56),IF(AB56="",PROPER(AA56),PROPER(AB56)),PROPER(AC56),PROPER(AD56),PROPER(AE56),IF(AE56&lt;&gt;"","SUB",""),PROPER(AF56),IF(AF56&lt;&gt;"","SUB",""),"_","Ed","_","M4",".mpg")</f>
        <v>AutumnandtheBlackJaguar_i5K_CA_0125_169_EngEngZhoSUB_Ed_M4.mpg</v>
      </c>
      <c r="T56" s="478" t="str">
        <f>CONCATENATE(RemovePunctuation(G56),"TR","_CA","_",C56,"_",AJ56,"_",PROPER(AA56),PROPER(AA56),"_","Ed","_","M2",".mpg")</f>
        <v>AutumnandtheBlackJaguarTR_CA_0125_169_EngEng_Ed_M2.mpg</v>
      </c>
      <c r="U56" s="479" t="s">
        <v>129</v>
      </c>
      <c r="V56" s="480"/>
      <c r="W56" s="481" t="s">
        <v>206</v>
      </c>
      <c r="X56" s="482">
        <v>2024</v>
      </c>
      <c r="Y56" s="492" t="s">
        <v>131</v>
      </c>
      <c r="Z56" s="492" t="s">
        <v>131</v>
      </c>
      <c r="AA56" s="492" t="s">
        <v>138</v>
      </c>
      <c r="AB56" s="492"/>
      <c r="AC56" s="492"/>
      <c r="AD56" s="492"/>
      <c r="AE56" s="492" t="s">
        <v>132</v>
      </c>
      <c r="AF56" s="492"/>
      <c r="AG56" s="118">
        <f t="shared" si="6"/>
        <v>97</v>
      </c>
      <c r="AH56" s="402">
        <v>0.0666898148148148</v>
      </c>
      <c r="AI56" s="120">
        <f t="shared" si="7"/>
        <v>5820</v>
      </c>
      <c r="AJ56" s="272">
        <v>169</v>
      </c>
      <c r="AK56" s="272">
        <v>43</v>
      </c>
      <c r="AL56" s="500">
        <v>0.00114583333333333</v>
      </c>
      <c r="AM56" s="501" t="s">
        <v>133</v>
      </c>
    </row>
    <row r="57" s="427" customFormat="1" ht="23.1" customHeight="1" spans="1:39">
      <c r="A57" s="156">
        <v>53</v>
      </c>
      <c r="B57" s="279"/>
      <c r="C57" s="445" t="s">
        <v>122</v>
      </c>
      <c r="D57" s="449"/>
      <c r="E57" s="447">
        <v>12</v>
      </c>
      <c r="F57" s="448" t="s">
        <v>358</v>
      </c>
      <c r="G57" s="448" t="s">
        <v>359</v>
      </c>
      <c r="H57" s="448" t="str">
        <f t="shared" si="5"/>
        <v>Sirocco and the Kingdom of the Winds (T)</v>
      </c>
      <c r="I57" s="461" t="s">
        <v>126</v>
      </c>
      <c r="J57" s="461" t="s">
        <v>126</v>
      </c>
      <c r="K57" s="461" t="s">
        <v>126</v>
      </c>
      <c r="L57" s="461" t="s">
        <v>126</v>
      </c>
      <c r="M57" s="461" t="s">
        <v>126</v>
      </c>
      <c r="N57" s="366" t="s">
        <v>360</v>
      </c>
      <c r="O57" s="462" t="s">
        <v>360</v>
      </c>
      <c r="P57" s="463" t="s">
        <v>361</v>
      </c>
      <c r="Q57" s="477" t="s">
        <v>361</v>
      </c>
      <c r="R57" s="245" t="str">
        <f>CONCATENATE(RemovePunctuation(G57),"_","i4K","_","CA_",C57,"_",AK57,"_",PROPER(AA57),IF(AB57="",PROPER(AA57),PROPER(AB57)),PROPER(AC57),PROPER(AD57),PROPER(AE57),IF(AE57&lt;&gt;"","SUB",""),PROPER(AF57),IF(AF57&lt;&gt;"","SUB",""),"_","Ed","_","M1",".mpg")</f>
        <v>SiroccoandtheKingdomoftheWinds_i4K_CA_0125_43_FraFraEngSUBZhoSUB_Ed_M1.mpg</v>
      </c>
      <c r="S57" s="245" t="str">
        <f>CONCATENATE(RemovePunctuation(G57),"_","i5K","_","CA_",C57,"_",AJ57,"_",PROPER(AA57),IF(AB57="",PROPER(AA57),PROPER(AB57)),PROPER(AC57),PROPER(AD57),PROPER(AE57),IF(AE57&lt;&gt;"","SUB",""),PROPER(AF57),IF(AF57&lt;&gt;"","SUB",""),"_","Ed","_","M4",".mpg")</f>
        <v>SiroccoandtheKingdomoftheWinds_i5K_CA_0125_169_FraFraEngSUBZhoSUB_Ed_M4.mpg</v>
      </c>
      <c r="T57" s="478" t="str">
        <f>CONCATENATE(RemovePunctuation(G57),"TR","_CA","_",C57,"_",AJ57,"_",PROPER(AA57),PROPER(AA57),"_","Ed","_","M2",".mpg")</f>
        <v>SiroccoandtheKingdomoftheWindsTR_CA_0125_169_FraFra_Ed_M2.mpg</v>
      </c>
      <c r="U57" s="479" t="s">
        <v>129</v>
      </c>
      <c r="V57" s="480"/>
      <c r="W57" s="481" t="s">
        <v>192</v>
      </c>
      <c r="X57" s="482">
        <v>2023</v>
      </c>
      <c r="Y57" s="492" t="s">
        <v>131</v>
      </c>
      <c r="Z57" s="492" t="s">
        <v>131</v>
      </c>
      <c r="AA57" s="492" t="s">
        <v>201</v>
      </c>
      <c r="AB57" s="492"/>
      <c r="AC57" s="492"/>
      <c r="AD57" s="492"/>
      <c r="AE57" s="492" t="s">
        <v>138</v>
      </c>
      <c r="AF57" s="492" t="s">
        <v>132</v>
      </c>
      <c r="AG57" s="118">
        <f t="shared" si="6"/>
        <v>81</v>
      </c>
      <c r="AH57" s="402">
        <v>0.0558449074074074</v>
      </c>
      <c r="AI57" s="120">
        <f t="shared" si="7"/>
        <v>4860</v>
      </c>
      <c r="AJ57" s="272">
        <v>169</v>
      </c>
      <c r="AK57" s="272">
        <v>43</v>
      </c>
      <c r="AL57" s="500">
        <v>0.000752314814814815</v>
      </c>
      <c r="AM57" s="501" t="s">
        <v>133</v>
      </c>
    </row>
    <row r="58" s="427" customFormat="1" ht="23" customHeight="1" spans="1:39">
      <c r="A58" s="156">
        <v>54</v>
      </c>
      <c r="B58" s="279"/>
      <c r="C58" s="445" t="s">
        <v>122</v>
      </c>
      <c r="D58" s="454" t="s">
        <v>362</v>
      </c>
      <c r="E58" s="247">
        <v>1</v>
      </c>
      <c r="F58" s="251" t="s">
        <v>363</v>
      </c>
      <c r="G58" s="247" t="s">
        <v>364</v>
      </c>
      <c r="H58" s="448" t="str">
        <f t="shared" ref="H58:H64" si="8">G58&amp;" (T)"</f>
        <v>New Onboard (T)</v>
      </c>
      <c r="I58" s="31" t="s">
        <v>126</v>
      </c>
      <c r="J58" s="31" t="s">
        <v>126</v>
      </c>
      <c r="K58" s="31" t="s">
        <v>126</v>
      </c>
      <c r="L58" s="31" t="s">
        <v>126</v>
      </c>
      <c r="M58" s="31" t="s">
        <v>126</v>
      </c>
      <c r="N58" s="366" t="s">
        <v>365</v>
      </c>
      <c r="O58" s="462" t="s">
        <v>365</v>
      </c>
      <c r="P58" s="463" t="s">
        <v>366</v>
      </c>
      <c r="Q58" s="483"/>
      <c r="R58" s="484" t="str">
        <f>CONCATENATE(RemovePunctuation(G58),,"_CA","_",C58,"_",AJ58,"_",PROPER(AA58),IF(AB58="",PROPER(AA58),PROPER(AB58)),PROPER(AC58),PROPER(AD58),PROPER(AE58),IF(AE58&lt;&gt;"","SUB",""),PROPER(AF58),IF(AF58&lt;&gt;"","SUB",""),"_","Ed","_","M2",".mpg")</f>
        <v>NewOnboard_CA_0125_169_EngEngEngSUBZhoSUB_Ed_M2.mpg</v>
      </c>
      <c r="S58" s="485"/>
      <c r="T58" s="486" t="s">
        <v>367</v>
      </c>
      <c r="U58" s="480"/>
      <c r="V58" s="480"/>
      <c r="W58" s="481" t="s">
        <v>130</v>
      </c>
      <c r="X58" s="480"/>
      <c r="Y58" s="492" t="s">
        <v>131</v>
      </c>
      <c r="Z58" s="492" t="s">
        <v>131</v>
      </c>
      <c r="AA58" s="423" t="s">
        <v>138</v>
      </c>
      <c r="AB58" s="424"/>
      <c r="AC58" s="424"/>
      <c r="AD58" s="424"/>
      <c r="AE58" s="425" t="s">
        <v>138</v>
      </c>
      <c r="AF58" s="425" t="s">
        <v>132</v>
      </c>
      <c r="AG58" s="118">
        <f t="shared" si="6"/>
        <v>1</v>
      </c>
      <c r="AH58" s="418">
        <v>0.000694444444444444</v>
      </c>
      <c r="AI58" s="120">
        <f t="shared" si="7"/>
        <v>60</v>
      </c>
      <c r="AJ58" s="272">
        <v>169</v>
      </c>
      <c r="AK58" s="272">
        <v>43</v>
      </c>
      <c r="AL58" s="500">
        <v>0.000694444444444444</v>
      </c>
      <c r="AM58" s="501"/>
    </row>
    <row r="59" s="427" customFormat="1" ht="23" customHeight="1" spans="1:39">
      <c r="A59" s="156">
        <v>55</v>
      </c>
      <c r="B59" s="279"/>
      <c r="C59" s="445" t="s">
        <v>122</v>
      </c>
      <c r="D59" s="455" t="s">
        <v>368</v>
      </c>
      <c r="E59" s="156">
        <v>1</v>
      </c>
      <c r="F59" s="153" t="s">
        <v>369</v>
      </c>
      <c r="G59" s="156" t="s">
        <v>370</v>
      </c>
      <c r="H59" s="456" t="s">
        <v>371</v>
      </c>
      <c r="I59" s="296" t="s">
        <v>126</v>
      </c>
      <c r="J59" s="296"/>
      <c r="K59" s="295"/>
      <c r="L59" s="296"/>
      <c r="M59" s="296"/>
      <c r="N59" s="366" t="s">
        <v>372</v>
      </c>
      <c r="O59" s="456" t="s">
        <v>371</v>
      </c>
      <c r="P59" s="464" t="s">
        <v>371</v>
      </c>
      <c r="Q59" s="464" t="s">
        <v>371</v>
      </c>
      <c r="R59" s="456" t="s">
        <v>371</v>
      </c>
      <c r="S59" s="456" t="s">
        <v>371</v>
      </c>
      <c r="T59" s="156" t="s">
        <v>373</v>
      </c>
      <c r="U59" s="480"/>
      <c r="V59" s="480"/>
      <c r="W59" s="481" t="s">
        <v>130</v>
      </c>
      <c r="X59" s="480"/>
      <c r="Y59" s="492" t="s">
        <v>131</v>
      </c>
      <c r="Z59" s="492" t="s">
        <v>131</v>
      </c>
      <c r="AA59" s="423" t="s">
        <v>138</v>
      </c>
      <c r="AB59" s="424"/>
      <c r="AC59" s="424"/>
      <c r="AD59" s="424"/>
      <c r="AE59" s="425" t="s">
        <v>138</v>
      </c>
      <c r="AF59" s="425" t="s">
        <v>132</v>
      </c>
      <c r="AG59" s="118">
        <f t="shared" si="6"/>
        <v>4</v>
      </c>
      <c r="AH59" s="229">
        <v>0.00271990740740741</v>
      </c>
      <c r="AI59" s="120">
        <f t="shared" si="7"/>
        <v>240</v>
      </c>
      <c r="AJ59" s="272">
        <v>169</v>
      </c>
      <c r="AK59" s="272">
        <v>43</v>
      </c>
      <c r="AL59" s="500">
        <v>0.00271990740740741</v>
      </c>
      <c r="AM59" s="501"/>
    </row>
  </sheetData>
  <autoFilter xmlns:etc="http://www.wps.cn/officeDocument/2017/etCustomData" ref="A4:AM59" etc:filterBottomFollowUsedRange="0">
    <extLst/>
  </autoFilter>
  <mergeCells count="57">
    <mergeCell ref="F1:G1"/>
    <mergeCell ref="I1:L1"/>
    <mergeCell ref="F2:H2"/>
    <mergeCell ref="I2:K2"/>
    <mergeCell ref="L2:M2"/>
    <mergeCell ref="N2:O2"/>
    <mergeCell ref="P2:Q2"/>
    <mergeCell ref="R2:S2"/>
    <mergeCell ref="U2:Z2"/>
    <mergeCell ref="AA2:AF2"/>
    <mergeCell ref="AH2:AI2"/>
    <mergeCell ref="AJ2:AK2"/>
    <mergeCell ref="R58:S58"/>
    <mergeCell ref="A3:A4"/>
    <mergeCell ref="B3:B4"/>
    <mergeCell ref="C3:C4"/>
    <mergeCell ref="D3:D4"/>
    <mergeCell ref="D5:D7"/>
    <mergeCell ref="D8:D23"/>
    <mergeCell ref="D24:D31"/>
    <mergeCell ref="D32:D45"/>
    <mergeCell ref="D46:D57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AK3:AK4"/>
    <mergeCell ref="AL2:AL4"/>
    <mergeCell ref="AM3:AM4"/>
  </mergeCells>
  <dataValidations count="1">
    <dataValidation type="list" allowBlank="1" showInputMessage="1" showErrorMessage="1" sqref="AC5:AD57">
      <formula1>"中文,英语,德语,法语,日语,西班牙语,意大利语,韩语,印地语,俄语,阿拉伯语,泰语,巴西语,希腊语,葡萄牙语,印尼语,荷兰语,克罗地亚语,土耳其语,马来西亚语,匈牙利语,保加利亚语,瑞典语,拉脱维亚语,挪威语,丹麦语,立陶宛语,波兰语,南非语,希伯来语,芬兰语,捷克语,格鲁吉亚语,波斯语,菲律宾语,罗马尼亚语,冰岛语,孟加拉语,阿尔巴尼亚语,蒙古语,马其顿语,泰米尔语,其它"</formula1>
    </dataValidation>
  </dataValidations>
  <pageMargins left="0.75" right="0.75" top="1" bottom="1" header="0.5" footer="0.5"/>
  <pageSetup paperSize="1" orientation="portrait"/>
  <headerFooter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AHB161"/>
  <sheetViews>
    <sheetView zoomScale="80" zoomScaleNormal="80" workbookViewId="0">
      <pane xSplit="8" ySplit="4" topLeftCell="O107" activePane="bottomRight" state="frozen"/>
      <selection/>
      <selection pane="topRight"/>
      <selection pane="bottomLeft"/>
      <selection pane="bottomRight" activeCell="Q126" sqref="Q126"/>
    </sheetView>
  </sheetViews>
  <sheetFormatPr defaultColWidth="8" defaultRowHeight="15.75"/>
  <cols>
    <col min="1" max="1" width="3.95" style="2" customWidth="1"/>
    <col min="2" max="2" width="7.75833333333333" style="2" customWidth="1"/>
    <col min="3" max="3" width="5.73333333333333" style="183" customWidth="1"/>
    <col min="4" max="5" width="4.38333333333333" style="3" customWidth="1"/>
    <col min="6" max="6" width="3.25833333333333" style="3" customWidth="1"/>
    <col min="7" max="7" width="27.65" style="4" customWidth="1"/>
    <col min="8" max="8" width="35.6166666666667" style="3" customWidth="1"/>
    <col min="9" max="13" width="4.88333333333333" style="339" customWidth="1"/>
    <col min="14" max="14" width="22.1833333333333" style="3" customWidth="1"/>
    <col min="15" max="15" width="23.125" style="3" customWidth="1"/>
    <col min="16" max="16" width="46.0916666666667" style="243" customWidth="1"/>
    <col min="17" max="17" width="48.2833333333333" style="243" customWidth="1"/>
    <col min="18" max="18" width="4.53333333333333" style="240" customWidth="1"/>
    <col min="19" max="19" width="4.35833333333333" style="340" customWidth="1"/>
    <col min="20" max="21" width="4.53333333333333" style="340" customWidth="1"/>
    <col min="22" max="23" width="4.53333333333333" style="240" customWidth="1"/>
    <col min="24" max="25" width="5.63333333333333" style="7" customWidth="1"/>
    <col min="26" max="26" width="8.75833333333333" style="7" customWidth="1"/>
    <col min="27" max="27" width="11.5083333333333" style="3" customWidth="1"/>
    <col min="28" max="28" width="11.3833333333333" style="3" customWidth="1"/>
    <col min="29" max="29" width="14.2166666666667" style="3" customWidth="1"/>
    <col min="30" max="30" width="7.34166666666667" style="3" customWidth="1"/>
    <col min="31" max="31" width="7.38333333333333" style="10" customWidth="1"/>
    <col min="32" max="32" width="7.35" style="341" customWidth="1"/>
    <col min="33" max="33" width="5.14166666666667" style="3" customWidth="1"/>
    <col min="34" max="34" width="5.14166666666667" style="74" customWidth="1"/>
    <col min="35" max="35" width="5.14166666666667" style="76" customWidth="1"/>
    <col min="36" max="37" width="5.14166666666667" style="74" customWidth="1"/>
    <col min="38" max="38" width="5.14166666666667" style="3" customWidth="1"/>
    <col min="39" max="41" width="4.14166666666667" style="5" hidden="1" customWidth="1"/>
    <col min="42" max="43" width="8" style="1"/>
    <col min="44" max="16384" width="8" style="2"/>
  </cols>
  <sheetData>
    <row r="1" spans="22:22">
      <c r="V1" s="340"/>
    </row>
    <row r="2" ht="18.95" customHeight="1" spans="1:41">
      <c r="A2" s="14" t="s">
        <v>374</v>
      </c>
      <c r="B2" s="13"/>
      <c r="C2" s="342"/>
      <c r="D2" s="13"/>
      <c r="E2" s="13"/>
      <c r="F2" s="13"/>
      <c r="G2" s="13"/>
      <c r="H2" s="273"/>
      <c r="I2" s="87" t="s">
        <v>75</v>
      </c>
      <c r="J2" s="88"/>
      <c r="K2" s="89"/>
      <c r="L2" s="87" t="s">
        <v>76</v>
      </c>
      <c r="M2" s="89"/>
      <c r="N2" s="324" t="s">
        <v>375</v>
      </c>
      <c r="O2" s="325"/>
      <c r="P2" s="363" t="s">
        <v>376</v>
      </c>
      <c r="Q2" s="373"/>
      <c r="R2" s="374" t="s">
        <v>82</v>
      </c>
      <c r="S2" s="375"/>
      <c r="T2" s="375"/>
      <c r="U2" s="375"/>
      <c r="V2" s="375"/>
      <c r="W2" s="375"/>
      <c r="X2" s="376" t="s">
        <v>377</v>
      </c>
      <c r="Y2" s="388"/>
      <c r="Z2" s="55"/>
      <c r="AA2" s="65" t="s">
        <v>83</v>
      </c>
      <c r="AB2" s="65"/>
      <c r="AC2" s="218"/>
      <c r="AD2" s="389" t="s">
        <v>84</v>
      </c>
      <c r="AE2" s="390"/>
      <c r="AF2" s="391" t="s">
        <v>86</v>
      </c>
      <c r="AG2" s="1"/>
      <c r="AH2" s="1"/>
      <c r="AI2" s="1"/>
      <c r="AJ2" s="1"/>
      <c r="AK2" s="1"/>
      <c r="AL2" s="1"/>
      <c r="AM2" s="1"/>
      <c r="AN2" s="1"/>
      <c r="AO2" s="1"/>
    </row>
    <row r="3" ht="18" customHeight="1" spans="1:41">
      <c r="A3" s="116" t="s">
        <v>87</v>
      </c>
      <c r="B3" s="274" t="s">
        <v>88</v>
      </c>
      <c r="C3" s="274" t="s">
        <v>89</v>
      </c>
      <c r="D3" s="78" t="s">
        <v>378</v>
      </c>
      <c r="E3" s="77" t="s">
        <v>379</v>
      </c>
      <c r="F3" s="78" t="s">
        <v>91</v>
      </c>
      <c r="G3" s="78" t="s">
        <v>92</v>
      </c>
      <c r="H3" s="116" t="s">
        <v>93</v>
      </c>
      <c r="I3" s="92" t="s">
        <v>95</v>
      </c>
      <c r="J3" s="92"/>
      <c r="K3" s="92"/>
      <c r="L3" s="94" t="s">
        <v>380</v>
      </c>
      <c r="M3" s="93"/>
      <c r="N3" s="43" t="s">
        <v>100</v>
      </c>
      <c r="O3" s="43" t="s">
        <v>381</v>
      </c>
      <c r="P3" s="364" t="s">
        <v>382</v>
      </c>
      <c r="Q3" s="364" t="s">
        <v>103</v>
      </c>
      <c r="R3" s="377" t="s">
        <v>111</v>
      </c>
      <c r="S3" s="377" t="s">
        <v>112</v>
      </c>
      <c r="T3" s="378" t="s">
        <v>113</v>
      </c>
      <c r="U3" s="378" t="s">
        <v>114</v>
      </c>
      <c r="V3" s="377" t="s">
        <v>115</v>
      </c>
      <c r="W3" s="377" t="s">
        <v>116</v>
      </c>
      <c r="X3" s="379" t="s">
        <v>109</v>
      </c>
      <c r="Y3" s="379" t="s">
        <v>110</v>
      </c>
      <c r="Z3" s="24" t="s">
        <v>117</v>
      </c>
      <c r="AA3" s="392" t="s">
        <v>383</v>
      </c>
      <c r="AB3" s="69" t="s">
        <v>119</v>
      </c>
      <c r="AC3" s="116" t="s">
        <v>118</v>
      </c>
      <c r="AD3" s="393" t="s">
        <v>384</v>
      </c>
      <c r="AE3" s="394" t="s">
        <v>385</v>
      </c>
      <c r="AF3" s="395" t="s">
        <v>86</v>
      </c>
      <c r="AG3" s="1"/>
      <c r="AH3" s="1"/>
      <c r="AI3" s="1"/>
      <c r="AJ3" s="1"/>
      <c r="AK3" s="1"/>
      <c r="AL3" s="1"/>
      <c r="AM3" s="1"/>
      <c r="AN3" s="1"/>
      <c r="AO3" s="1"/>
    </row>
    <row r="4" ht="65" customHeight="1" spans="1:32">
      <c r="A4" s="69"/>
      <c r="B4" s="114"/>
      <c r="C4" s="114"/>
      <c r="D4" s="24"/>
      <c r="E4" s="23"/>
      <c r="F4" s="24"/>
      <c r="G4" s="24"/>
      <c r="H4" s="69"/>
      <c r="I4" s="92"/>
      <c r="J4" s="92" t="s">
        <v>96</v>
      </c>
      <c r="K4" s="92" t="s">
        <v>381</v>
      </c>
      <c r="L4" s="94"/>
      <c r="M4" s="94" t="s">
        <v>386</v>
      </c>
      <c r="N4" s="43"/>
      <c r="O4" s="43"/>
      <c r="P4" s="364"/>
      <c r="Q4" s="364"/>
      <c r="R4" s="378"/>
      <c r="S4" s="378"/>
      <c r="T4" s="380"/>
      <c r="U4" s="380"/>
      <c r="V4" s="378"/>
      <c r="W4" s="378"/>
      <c r="X4" s="381"/>
      <c r="Y4" s="381"/>
      <c r="Z4" s="23"/>
      <c r="AA4" s="396"/>
      <c r="AB4" s="71"/>
      <c r="AC4" s="69"/>
      <c r="AD4" s="397"/>
      <c r="AE4" s="398"/>
      <c r="AF4" s="399"/>
    </row>
    <row r="5" s="338" customFormat="1" ht="26" customHeight="1" spans="1:886">
      <c r="A5" s="343">
        <v>1</v>
      </c>
      <c r="B5" s="344"/>
      <c r="C5" s="345" t="s">
        <v>122</v>
      </c>
      <c r="D5" s="346" t="s">
        <v>387</v>
      </c>
      <c r="E5" s="347"/>
      <c r="F5" s="343">
        <v>1</v>
      </c>
      <c r="G5" s="348" t="s">
        <v>388</v>
      </c>
      <c r="H5" s="349" t="s">
        <v>389</v>
      </c>
      <c r="I5" s="365" t="s">
        <v>126</v>
      </c>
      <c r="J5" s="365" t="s">
        <v>126</v>
      </c>
      <c r="K5" s="365"/>
      <c r="L5" s="365"/>
      <c r="M5" s="365"/>
      <c r="N5" s="366" t="s">
        <v>390</v>
      </c>
      <c r="O5" s="367"/>
      <c r="P5" s="368"/>
      <c r="Q5" s="368"/>
      <c r="R5" s="382" t="s">
        <v>132</v>
      </c>
      <c r="S5" s="383"/>
      <c r="T5" s="384"/>
      <c r="U5" s="384"/>
      <c r="V5" s="382" t="s">
        <v>132</v>
      </c>
      <c r="W5" s="385"/>
      <c r="X5" s="343" t="s">
        <v>131</v>
      </c>
      <c r="Y5" s="343" t="s">
        <v>131</v>
      </c>
      <c r="Z5" s="120">
        <f>ROUNDUP(HOUR(AA5)*60+MINUTE(AA5)+SECOND(AA5)/60,0)</f>
        <v>47</v>
      </c>
      <c r="AA5" s="305" t="str">
        <f>TEXT((HOUR(AC5)*60+MINUTE(AC5)+IF(SECOND(AC5)&lt;=29,0,1))*60/86400,"hh:mm:ss")</f>
        <v>00:47:00</v>
      </c>
      <c r="AB5" s="120">
        <f>Z5*60</f>
        <v>2820</v>
      </c>
      <c r="AC5" s="400">
        <v>0.0325347222222222</v>
      </c>
      <c r="AD5" s="401">
        <v>169</v>
      </c>
      <c r="AE5" s="401">
        <v>43</v>
      </c>
      <c r="AF5" s="343" t="s">
        <v>133</v>
      </c>
      <c r="AG5" s="3"/>
      <c r="AH5" s="74"/>
      <c r="AI5" s="76"/>
      <c r="AJ5" s="74"/>
      <c r="AK5" s="74"/>
      <c r="AL5" s="3"/>
      <c r="AM5" s="5"/>
      <c r="AN5" s="5"/>
      <c r="AO5" s="5"/>
      <c r="AP5" s="1"/>
      <c r="AQ5" s="1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  <c r="AAA5" s="3"/>
      <c r="AAB5" s="3"/>
      <c r="AAC5" s="3"/>
      <c r="AAD5" s="3"/>
      <c r="AAE5" s="3"/>
      <c r="AAF5" s="3"/>
      <c r="AAG5" s="3"/>
      <c r="AAH5" s="3"/>
      <c r="AAI5" s="3"/>
      <c r="AAJ5" s="3"/>
      <c r="AAK5" s="3"/>
      <c r="AAL5" s="3"/>
      <c r="AAM5" s="3"/>
      <c r="AAN5" s="3"/>
      <c r="AAO5" s="3"/>
      <c r="AAP5" s="3"/>
      <c r="AAQ5" s="3"/>
      <c r="AAR5" s="3"/>
      <c r="AAS5" s="3"/>
      <c r="AAT5" s="3"/>
      <c r="AAU5" s="3"/>
      <c r="AAV5" s="3"/>
      <c r="AAW5" s="3"/>
      <c r="AAX5" s="3"/>
      <c r="AAY5" s="3"/>
      <c r="AAZ5" s="3"/>
      <c r="ABA5" s="3"/>
      <c r="ABB5" s="3"/>
      <c r="ABC5" s="3"/>
      <c r="ABD5" s="3"/>
      <c r="ABE5" s="3"/>
      <c r="ABF5" s="3"/>
      <c r="ABG5" s="3"/>
      <c r="ABH5" s="3"/>
      <c r="ABI5" s="3"/>
      <c r="ABJ5" s="3"/>
      <c r="ABK5" s="3"/>
      <c r="ABL5" s="3"/>
      <c r="ABM5" s="3"/>
      <c r="ABN5" s="3"/>
      <c r="ABO5" s="3"/>
      <c r="ABP5" s="3"/>
      <c r="ABQ5" s="3"/>
      <c r="ABR5" s="3"/>
      <c r="ABS5" s="3"/>
      <c r="ABT5" s="3"/>
      <c r="ABU5" s="3"/>
      <c r="ABV5" s="3"/>
      <c r="ABW5" s="3"/>
      <c r="ABX5" s="3"/>
      <c r="ABY5" s="3"/>
      <c r="ABZ5" s="3"/>
      <c r="ACA5" s="3"/>
      <c r="ACB5" s="3"/>
      <c r="ACC5" s="3"/>
      <c r="ACD5" s="3"/>
      <c r="ACE5" s="3"/>
      <c r="ACF5" s="3"/>
      <c r="ACG5" s="3"/>
      <c r="ACH5" s="3"/>
      <c r="ACI5" s="3"/>
      <c r="ACJ5" s="3"/>
      <c r="ACK5" s="3"/>
      <c r="ACL5" s="3"/>
      <c r="ACM5" s="3"/>
      <c r="ACN5" s="3"/>
      <c r="ACO5" s="3"/>
      <c r="ACP5" s="3"/>
      <c r="ACQ5" s="3"/>
      <c r="ACR5" s="3"/>
      <c r="ACS5" s="3"/>
      <c r="ACT5" s="3"/>
      <c r="ACU5" s="3"/>
      <c r="ACV5" s="3"/>
      <c r="ACW5" s="3"/>
      <c r="ACX5" s="3"/>
      <c r="ACY5" s="3"/>
      <c r="ACZ5" s="3"/>
      <c r="ADA5" s="3"/>
      <c r="ADB5" s="3"/>
      <c r="ADC5" s="3"/>
      <c r="ADD5" s="3"/>
      <c r="ADE5" s="3"/>
      <c r="ADF5" s="3"/>
      <c r="ADG5" s="3"/>
      <c r="ADH5" s="3"/>
      <c r="ADI5" s="3"/>
      <c r="ADJ5" s="3"/>
      <c r="ADK5" s="3"/>
      <c r="ADL5" s="3"/>
      <c r="ADM5" s="3"/>
      <c r="ADN5" s="3"/>
      <c r="ADO5" s="3"/>
      <c r="ADP5" s="3"/>
      <c r="ADQ5" s="3"/>
      <c r="ADR5" s="3"/>
      <c r="ADS5" s="3"/>
      <c r="ADT5" s="3"/>
      <c r="ADU5" s="3"/>
      <c r="ADV5" s="3"/>
      <c r="ADW5" s="3"/>
      <c r="ADX5" s="3"/>
      <c r="ADY5" s="3"/>
      <c r="ADZ5" s="3"/>
      <c r="AEA5" s="3"/>
      <c r="AEB5" s="3"/>
      <c r="AEC5" s="3"/>
      <c r="AED5" s="3"/>
      <c r="AEE5" s="3"/>
      <c r="AEF5" s="3"/>
      <c r="AEG5" s="3"/>
      <c r="AEH5" s="3"/>
      <c r="AEI5" s="3"/>
      <c r="AEJ5" s="3"/>
      <c r="AEK5" s="3"/>
      <c r="AEL5" s="3"/>
      <c r="AEM5" s="3"/>
      <c r="AEN5" s="3"/>
      <c r="AEO5" s="3"/>
      <c r="AEP5" s="3"/>
      <c r="AEQ5" s="3"/>
      <c r="AER5" s="3"/>
      <c r="AES5" s="3"/>
      <c r="AET5" s="3"/>
      <c r="AEU5" s="3"/>
      <c r="AEV5" s="3"/>
      <c r="AEW5" s="3"/>
      <c r="AEX5" s="3"/>
      <c r="AEY5" s="3"/>
      <c r="AEZ5" s="3"/>
      <c r="AFA5" s="3"/>
      <c r="AFB5" s="3"/>
      <c r="AFC5" s="3"/>
      <c r="AFD5" s="3"/>
      <c r="AFE5" s="3"/>
      <c r="AFF5" s="3"/>
      <c r="AFG5" s="3"/>
      <c r="AFH5" s="3"/>
      <c r="AFI5" s="3"/>
      <c r="AFJ5" s="3"/>
      <c r="AFK5" s="3"/>
      <c r="AFL5" s="3"/>
      <c r="AFM5" s="3"/>
      <c r="AFN5" s="3"/>
      <c r="AFO5" s="3"/>
      <c r="AFP5" s="3"/>
      <c r="AFQ5" s="3"/>
      <c r="AFR5" s="3"/>
      <c r="AFS5" s="3"/>
      <c r="AFT5" s="3"/>
      <c r="AFU5" s="3"/>
      <c r="AFV5" s="3"/>
      <c r="AFW5" s="3"/>
      <c r="AFX5" s="3"/>
      <c r="AFY5" s="3"/>
      <c r="AFZ5" s="3"/>
      <c r="AGA5" s="3"/>
      <c r="AGB5" s="3"/>
      <c r="AGC5" s="3"/>
      <c r="AGD5" s="3"/>
      <c r="AGE5" s="3"/>
      <c r="AGF5" s="3"/>
      <c r="AGG5" s="3"/>
      <c r="AGH5" s="3"/>
      <c r="AGI5" s="3"/>
      <c r="AGJ5" s="3"/>
      <c r="AGK5" s="3"/>
      <c r="AGL5" s="3"/>
      <c r="AGM5" s="3"/>
      <c r="AGN5" s="3"/>
      <c r="AGO5" s="3"/>
      <c r="AGP5" s="3"/>
      <c r="AGQ5" s="3"/>
      <c r="AGR5" s="3"/>
      <c r="AGS5" s="3"/>
      <c r="AGT5" s="3"/>
      <c r="AGU5" s="3"/>
      <c r="AGV5" s="3"/>
      <c r="AGW5" s="3"/>
      <c r="AGX5" s="3"/>
      <c r="AGY5" s="3"/>
      <c r="AGZ5" s="3"/>
      <c r="AHA5" s="3"/>
      <c r="AHB5" s="3"/>
    </row>
    <row r="6" s="338" customFormat="1" ht="26" customHeight="1" spans="1:886">
      <c r="A6" s="343">
        <v>2</v>
      </c>
      <c r="B6" s="344"/>
      <c r="C6" s="345" t="s">
        <v>122</v>
      </c>
      <c r="D6" s="350"/>
      <c r="E6" s="351"/>
      <c r="F6" s="343">
        <v>2</v>
      </c>
      <c r="G6" s="348" t="s">
        <v>391</v>
      </c>
      <c r="H6" s="349" t="s">
        <v>392</v>
      </c>
      <c r="I6" s="365" t="s">
        <v>126</v>
      </c>
      <c r="J6" s="369" t="s">
        <v>126</v>
      </c>
      <c r="K6" s="365"/>
      <c r="L6" s="365"/>
      <c r="M6" s="365"/>
      <c r="N6" s="366" t="s">
        <v>393</v>
      </c>
      <c r="O6" s="367"/>
      <c r="P6" s="368"/>
      <c r="Q6" s="368"/>
      <c r="R6" s="382" t="s">
        <v>132</v>
      </c>
      <c r="S6" s="383"/>
      <c r="T6" s="384"/>
      <c r="U6" s="384"/>
      <c r="V6" s="382" t="s">
        <v>132</v>
      </c>
      <c r="W6" s="384"/>
      <c r="X6" s="343" t="s">
        <v>131</v>
      </c>
      <c r="Y6" s="343" t="s">
        <v>131</v>
      </c>
      <c r="Z6" s="120">
        <f>ROUNDUP(HOUR(AA6)*60+MINUTE(AA6)+SECOND(AA6)/60,0)</f>
        <v>52</v>
      </c>
      <c r="AA6" s="305" t="str">
        <f>TEXT((HOUR(AC6)*60+MINUTE(AC6)+IF(SECOND(AC6)&lt;=29,0,1))*60/86400,"hh:mm:ss")</f>
        <v>00:52:00</v>
      </c>
      <c r="AB6" s="120">
        <f>Z6*60</f>
        <v>3120</v>
      </c>
      <c r="AC6" s="402">
        <v>0.0359490740740741</v>
      </c>
      <c r="AD6" s="401">
        <v>169</v>
      </c>
      <c r="AE6" s="401">
        <v>43</v>
      </c>
      <c r="AF6" s="343" t="s">
        <v>133</v>
      </c>
      <c r="AG6" s="3"/>
      <c r="AH6" s="74"/>
      <c r="AI6" s="76"/>
      <c r="AJ6" s="74"/>
      <c r="AK6" s="74"/>
      <c r="AL6" s="3"/>
      <c r="AM6" s="5"/>
      <c r="AN6" s="5"/>
      <c r="AO6" s="5"/>
      <c r="AP6" s="1"/>
      <c r="AQ6" s="1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  <c r="AAA6" s="3"/>
      <c r="AAB6" s="3"/>
      <c r="AAC6" s="3"/>
      <c r="AAD6" s="3"/>
      <c r="AAE6" s="3"/>
      <c r="AAF6" s="3"/>
      <c r="AAG6" s="3"/>
      <c r="AAH6" s="3"/>
      <c r="AAI6" s="3"/>
      <c r="AAJ6" s="3"/>
      <c r="AAK6" s="3"/>
      <c r="AAL6" s="3"/>
      <c r="AAM6" s="3"/>
      <c r="AAN6" s="3"/>
      <c r="AAO6" s="3"/>
      <c r="AAP6" s="3"/>
      <c r="AAQ6" s="3"/>
      <c r="AAR6" s="3"/>
      <c r="AAS6" s="3"/>
      <c r="AAT6" s="3"/>
      <c r="AAU6" s="3"/>
      <c r="AAV6" s="3"/>
      <c r="AAW6" s="3"/>
      <c r="AAX6" s="3"/>
      <c r="AAY6" s="3"/>
      <c r="AAZ6" s="3"/>
      <c r="ABA6" s="3"/>
      <c r="ABB6" s="3"/>
      <c r="ABC6" s="3"/>
      <c r="ABD6" s="3"/>
      <c r="ABE6" s="3"/>
      <c r="ABF6" s="3"/>
      <c r="ABG6" s="3"/>
      <c r="ABH6" s="3"/>
      <c r="ABI6" s="3"/>
      <c r="ABJ6" s="3"/>
      <c r="ABK6" s="3"/>
      <c r="ABL6" s="3"/>
      <c r="ABM6" s="3"/>
      <c r="ABN6" s="3"/>
      <c r="ABO6" s="3"/>
      <c r="ABP6" s="3"/>
      <c r="ABQ6" s="3"/>
      <c r="ABR6" s="3"/>
      <c r="ABS6" s="3"/>
      <c r="ABT6" s="3"/>
      <c r="ABU6" s="3"/>
      <c r="ABV6" s="3"/>
      <c r="ABW6" s="3"/>
      <c r="ABX6" s="3"/>
      <c r="ABY6" s="3"/>
      <c r="ABZ6" s="3"/>
      <c r="ACA6" s="3"/>
      <c r="ACB6" s="3"/>
      <c r="ACC6" s="3"/>
      <c r="ACD6" s="3"/>
      <c r="ACE6" s="3"/>
      <c r="ACF6" s="3"/>
      <c r="ACG6" s="3"/>
      <c r="ACH6" s="3"/>
      <c r="ACI6" s="3"/>
      <c r="ACJ6" s="3"/>
      <c r="ACK6" s="3"/>
      <c r="ACL6" s="3"/>
      <c r="ACM6" s="3"/>
      <c r="ACN6" s="3"/>
      <c r="ACO6" s="3"/>
      <c r="ACP6" s="3"/>
      <c r="ACQ6" s="3"/>
      <c r="ACR6" s="3"/>
      <c r="ACS6" s="3"/>
      <c r="ACT6" s="3"/>
      <c r="ACU6" s="3"/>
      <c r="ACV6" s="3"/>
      <c r="ACW6" s="3"/>
      <c r="ACX6" s="3"/>
      <c r="ACY6" s="3"/>
      <c r="ACZ6" s="3"/>
      <c r="ADA6" s="3"/>
      <c r="ADB6" s="3"/>
      <c r="ADC6" s="3"/>
      <c r="ADD6" s="3"/>
      <c r="ADE6" s="3"/>
      <c r="ADF6" s="3"/>
      <c r="ADG6" s="3"/>
      <c r="ADH6" s="3"/>
      <c r="ADI6" s="3"/>
      <c r="ADJ6" s="3"/>
      <c r="ADK6" s="3"/>
      <c r="ADL6" s="3"/>
      <c r="ADM6" s="3"/>
      <c r="ADN6" s="3"/>
      <c r="ADO6" s="3"/>
      <c r="ADP6" s="3"/>
      <c r="ADQ6" s="3"/>
      <c r="ADR6" s="3"/>
      <c r="ADS6" s="3"/>
      <c r="ADT6" s="3"/>
      <c r="ADU6" s="3"/>
      <c r="ADV6" s="3"/>
      <c r="ADW6" s="3"/>
      <c r="ADX6" s="3"/>
      <c r="ADY6" s="3"/>
      <c r="ADZ6" s="3"/>
      <c r="AEA6" s="3"/>
      <c r="AEB6" s="3"/>
      <c r="AEC6" s="3"/>
      <c r="AED6" s="3"/>
      <c r="AEE6" s="3"/>
      <c r="AEF6" s="3"/>
      <c r="AEG6" s="3"/>
      <c r="AEH6" s="3"/>
      <c r="AEI6" s="3"/>
      <c r="AEJ6" s="3"/>
      <c r="AEK6" s="3"/>
      <c r="AEL6" s="3"/>
      <c r="AEM6" s="3"/>
      <c r="AEN6" s="3"/>
      <c r="AEO6" s="3"/>
      <c r="AEP6" s="3"/>
      <c r="AEQ6" s="3"/>
      <c r="AER6" s="3"/>
      <c r="AES6" s="3"/>
      <c r="AET6" s="3"/>
      <c r="AEU6" s="3"/>
      <c r="AEV6" s="3"/>
      <c r="AEW6" s="3"/>
      <c r="AEX6" s="3"/>
      <c r="AEY6" s="3"/>
      <c r="AEZ6" s="3"/>
      <c r="AFA6" s="3"/>
      <c r="AFB6" s="3"/>
      <c r="AFC6" s="3"/>
      <c r="AFD6" s="3"/>
      <c r="AFE6" s="3"/>
      <c r="AFF6" s="3"/>
      <c r="AFG6" s="3"/>
      <c r="AFH6" s="3"/>
      <c r="AFI6" s="3"/>
      <c r="AFJ6" s="3"/>
      <c r="AFK6" s="3"/>
      <c r="AFL6" s="3"/>
      <c r="AFM6" s="3"/>
      <c r="AFN6" s="3"/>
      <c r="AFO6" s="3"/>
      <c r="AFP6" s="3"/>
      <c r="AFQ6" s="3"/>
      <c r="AFR6" s="3"/>
      <c r="AFS6" s="3"/>
      <c r="AFT6" s="3"/>
      <c r="AFU6" s="3"/>
      <c r="AFV6" s="3"/>
      <c r="AFW6" s="3"/>
      <c r="AFX6" s="3"/>
      <c r="AFY6" s="3"/>
      <c r="AFZ6" s="3"/>
      <c r="AGA6" s="3"/>
      <c r="AGB6" s="3"/>
      <c r="AGC6" s="3"/>
      <c r="AGD6" s="3"/>
      <c r="AGE6" s="3"/>
      <c r="AGF6" s="3"/>
      <c r="AGG6" s="3"/>
      <c r="AGH6" s="3"/>
      <c r="AGI6" s="3"/>
      <c r="AGJ6" s="3"/>
      <c r="AGK6" s="3"/>
      <c r="AGL6" s="3"/>
      <c r="AGM6" s="3"/>
      <c r="AGN6" s="3"/>
      <c r="AGO6" s="3"/>
      <c r="AGP6" s="3"/>
      <c r="AGQ6" s="3"/>
      <c r="AGR6" s="3"/>
      <c r="AGS6" s="3"/>
      <c r="AGT6" s="3"/>
      <c r="AGU6" s="3"/>
      <c r="AGV6" s="3"/>
      <c r="AGW6" s="3"/>
      <c r="AGX6" s="3"/>
      <c r="AGY6" s="3"/>
      <c r="AGZ6" s="3"/>
      <c r="AHA6" s="3"/>
      <c r="AHB6" s="3"/>
    </row>
    <row r="7" s="338" customFormat="1" ht="26" customHeight="1" spans="1:886">
      <c r="A7" s="343">
        <v>3</v>
      </c>
      <c r="B7" s="344"/>
      <c r="C7" s="345" t="s">
        <v>122</v>
      </c>
      <c r="D7" s="350"/>
      <c r="E7" s="351"/>
      <c r="F7" s="343">
        <v>3</v>
      </c>
      <c r="G7" s="348" t="s">
        <v>394</v>
      </c>
      <c r="H7" s="349" t="s">
        <v>395</v>
      </c>
      <c r="I7" s="365" t="s">
        <v>126</v>
      </c>
      <c r="J7" s="365" t="s">
        <v>126</v>
      </c>
      <c r="K7" s="365"/>
      <c r="L7" s="365"/>
      <c r="M7" s="365"/>
      <c r="N7" s="366" t="s">
        <v>396</v>
      </c>
      <c r="O7" s="367"/>
      <c r="P7" s="368"/>
      <c r="Q7" s="368"/>
      <c r="R7" s="382" t="s">
        <v>132</v>
      </c>
      <c r="S7" s="383"/>
      <c r="T7" s="384"/>
      <c r="U7" s="384"/>
      <c r="V7" s="382" t="s">
        <v>132</v>
      </c>
      <c r="W7" s="384"/>
      <c r="X7" s="343" t="s">
        <v>131</v>
      </c>
      <c r="Y7" s="343" t="s">
        <v>131</v>
      </c>
      <c r="Z7" s="120">
        <f>ROUNDUP(HOUR(AA7)*60+MINUTE(AA7)+SECOND(AA7)/60,0)</f>
        <v>44</v>
      </c>
      <c r="AA7" s="305" t="str">
        <f>TEXT((HOUR(AC7)*60+MINUTE(AC7)+IF(SECOND(AC7)&lt;=29,0,1))*60/86400,"hh:mm:ss")</f>
        <v>00:44:00</v>
      </c>
      <c r="AB7" s="120">
        <f>Z7*60</f>
        <v>2640</v>
      </c>
      <c r="AC7" s="402">
        <v>0.0304282407407407</v>
      </c>
      <c r="AD7" s="401">
        <v>169</v>
      </c>
      <c r="AE7" s="401">
        <v>43</v>
      </c>
      <c r="AF7" s="343" t="s">
        <v>133</v>
      </c>
      <c r="AG7" s="3"/>
      <c r="AH7" s="74"/>
      <c r="AI7" s="76"/>
      <c r="AJ7" s="74"/>
      <c r="AK7" s="74"/>
      <c r="AL7" s="3"/>
      <c r="AM7" s="5"/>
      <c r="AN7" s="5"/>
      <c r="AO7" s="5"/>
      <c r="AP7" s="1"/>
      <c r="AQ7" s="1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  <c r="AAA7" s="3"/>
      <c r="AAB7" s="3"/>
      <c r="AAC7" s="3"/>
      <c r="AAD7" s="3"/>
      <c r="AAE7" s="3"/>
      <c r="AAF7" s="3"/>
      <c r="AAG7" s="3"/>
      <c r="AAH7" s="3"/>
      <c r="AAI7" s="3"/>
      <c r="AAJ7" s="3"/>
      <c r="AAK7" s="3"/>
      <c r="AAL7" s="3"/>
      <c r="AAM7" s="3"/>
      <c r="AAN7" s="3"/>
      <c r="AAO7" s="3"/>
      <c r="AAP7" s="3"/>
      <c r="AAQ7" s="3"/>
      <c r="AAR7" s="3"/>
      <c r="AAS7" s="3"/>
      <c r="AAT7" s="3"/>
      <c r="AAU7" s="3"/>
      <c r="AAV7" s="3"/>
      <c r="AAW7" s="3"/>
      <c r="AAX7" s="3"/>
      <c r="AAY7" s="3"/>
      <c r="AAZ7" s="3"/>
      <c r="ABA7" s="3"/>
      <c r="ABB7" s="3"/>
      <c r="ABC7" s="3"/>
      <c r="ABD7" s="3"/>
      <c r="ABE7" s="3"/>
      <c r="ABF7" s="3"/>
      <c r="ABG7" s="3"/>
      <c r="ABH7" s="3"/>
      <c r="ABI7" s="3"/>
      <c r="ABJ7" s="3"/>
      <c r="ABK7" s="3"/>
      <c r="ABL7" s="3"/>
      <c r="ABM7" s="3"/>
      <c r="ABN7" s="3"/>
      <c r="ABO7" s="3"/>
      <c r="ABP7" s="3"/>
      <c r="ABQ7" s="3"/>
      <c r="ABR7" s="3"/>
      <c r="ABS7" s="3"/>
      <c r="ABT7" s="3"/>
      <c r="ABU7" s="3"/>
      <c r="ABV7" s="3"/>
      <c r="ABW7" s="3"/>
      <c r="ABX7" s="3"/>
      <c r="ABY7" s="3"/>
      <c r="ABZ7" s="3"/>
      <c r="ACA7" s="3"/>
      <c r="ACB7" s="3"/>
      <c r="ACC7" s="3"/>
      <c r="ACD7" s="3"/>
      <c r="ACE7" s="3"/>
      <c r="ACF7" s="3"/>
      <c r="ACG7" s="3"/>
      <c r="ACH7" s="3"/>
      <c r="ACI7" s="3"/>
      <c r="ACJ7" s="3"/>
      <c r="ACK7" s="3"/>
      <c r="ACL7" s="3"/>
      <c r="ACM7" s="3"/>
      <c r="ACN7" s="3"/>
      <c r="ACO7" s="3"/>
      <c r="ACP7" s="3"/>
      <c r="ACQ7" s="3"/>
      <c r="ACR7" s="3"/>
      <c r="ACS7" s="3"/>
      <c r="ACT7" s="3"/>
      <c r="ACU7" s="3"/>
      <c r="ACV7" s="3"/>
      <c r="ACW7" s="3"/>
      <c r="ACX7" s="3"/>
      <c r="ACY7" s="3"/>
      <c r="ACZ7" s="3"/>
      <c r="ADA7" s="3"/>
      <c r="ADB7" s="3"/>
      <c r="ADC7" s="3"/>
      <c r="ADD7" s="3"/>
      <c r="ADE7" s="3"/>
      <c r="ADF7" s="3"/>
      <c r="ADG7" s="3"/>
      <c r="ADH7" s="3"/>
      <c r="ADI7" s="3"/>
      <c r="ADJ7" s="3"/>
      <c r="ADK7" s="3"/>
      <c r="ADL7" s="3"/>
      <c r="ADM7" s="3"/>
      <c r="ADN7" s="3"/>
      <c r="ADO7" s="3"/>
      <c r="ADP7" s="3"/>
      <c r="ADQ7" s="3"/>
      <c r="ADR7" s="3"/>
      <c r="ADS7" s="3"/>
      <c r="ADT7" s="3"/>
      <c r="ADU7" s="3"/>
      <c r="ADV7" s="3"/>
      <c r="ADW7" s="3"/>
      <c r="ADX7" s="3"/>
      <c r="ADY7" s="3"/>
      <c r="ADZ7" s="3"/>
      <c r="AEA7" s="3"/>
      <c r="AEB7" s="3"/>
      <c r="AEC7" s="3"/>
      <c r="AED7" s="3"/>
      <c r="AEE7" s="3"/>
      <c r="AEF7" s="3"/>
      <c r="AEG7" s="3"/>
      <c r="AEH7" s="3"/>
      <c r="AEI7" s="3"/>
      <c r="AEJ7" s="3"/>
      <c r="AEK7" s="3"/>
      <c r="AEL7" s="3"/>
      <c r="AEM7" s="3"/>
      <c r="AEN7" s="3"/>
      <c r="AEO7" s="3"/>
      <c r="AEP7" s="3"/>
      <c r="AEQ7" s="3"/>
      <c r="AER7" s="3"/>
      <c r="AES7" s="3"/>
      <c r="AET7" s="3"/>
      <c r="AEU7" s="3"/>
      <c r="AEV7" s="3"/>
      <c r="AEW7" s="3"/>
      <c r="AEX7" s="3"/>
      <c r="AEY7" s="3"/>
      <c r="AEZ7" s="3"/>
      <c r="AFA7" s="3"/>
      <c r="AFB7" s="3"/>
      <c r="AFC7" s="3"/>
      <c r="AFD7" s="3"/>
      <c r="AFE7" s="3"/>
      <c r="AFF7" s="3"/>
      <c r="AFG7" s="3"/>
      <c r="AFH7" s="3"/>
      <c r="AFI7" s="3"/>
      <c r="AFJ7" s="3"/>
      <c r="AFK7" s="3"/>
      <c r="AFL7" s="3"/>
      <c r="AFM7" s="3"/>
      <c r="AFN7" s="3"/>
      <c r="AFO7" s="3"/>
      <c r="AFP7" s="3"/>
      <c r="AFQ7" s="3"/>
      <c r="AFR7" s="3"/>
      <c r="AFS7" s="3"/>
      <c r="AFT7" s="3"/>
      <c r="AFU7" s="3"/>
      <c r="AFV7" s="3"/>
      <c r="AFW7" s="3"/>
      <c r="AFX7" s="3"/>
      <c r="AFY7" s="3"/>
      <c r="AFZ7" s="3"/>
      <c r="AGA7" s="3"/>
      <c r="AGB7" s="3"/>
      <c r="AGC7" s="3"/>
      <c r="AGD7" s="3"/>
      <c r="AGE7" s="3"/>
      <c r="AGF7" s="3"/>
      <c r="AGG7" s="3"/>
      <c r="AGH7" s="3"/>
      <c r="AGI7" s="3"/>
      <c r="AGJ7" s="3"/>
      <c r="AGK7" s="3"/>
      <c r="AGL7" s="3"/>
      <c r="AGM7" s="3"/>
      <c r="AGN7" s="3"/>
      <c r="AGO7" s="3"/>
      <c r="AGP7" s="3"/>
      <c r="AGQ7" s="3"/>
      <c r="AGR7" s="3"/>
      <c r="AGS7" s="3"/>
      <c r="AGT7" s="3"/>
      <c r="AGU7" s="3"/>
      <c r="AGV7" s="3"/>
      <c r="AGW7" s="3"/>
      <c r="AGX7" s="3"/>
      <c r="AGY7" s="3"/>
      <c r="AGZ7" s="3"/>
      <c r="AHA7" s="3"/>
      <c r="AHB7" s="3"/>
    </row>
    <row r="8" s="338" customFormat="1" ht="26" customHeight="1" spans="1:886">
      <c r="A8" s="343">
        <v>4</v>
      </c>
      <c r="B8" s="344"/>
      <c r="C8" s="345" t="s">
        <v>122</v>
      </c>
      <c r="D8" s="350"/>
      <c r="E8" s="351"/>
      <c r="F8" s="343">
        <v>4</v>
      </c>
      <c r="G8" s="348" t="s">
        <v>397</v>
      </c>
      <c r="H8" s="349" t="s">
        <v>398</v>
      </c>
      <c r="I8" s="365" t="s">
        <v>126</v>
      </c>
      <c r="J8" s="365" t="s">
        <v>126</v>
      </c>
      <c r="K8" s="365"/>
      <c r="L8" s="365"/>
      <c r="M8" s="365"/>
      <c r="N8" s="366" t="s">
        <v>399</v>
      </c>
      <c r="O8" s="367"/>
      <c r="P8" s="368"/>
      <c r="Q8" s="368"/>
      <c r="R8" s="382" t="s">
        <v>132</v>
      </c>
      <c r="S8" s="383"/>
      <c r="T8" s="384"/>
      <c r="U8" s="384"/>
      <c r="V8" s="382" t="s">
        <v>132</v>
      </c>
      <c r="W8" s="384"/>
      <c r="X8" s="343" t="s">
        <v>131</v>
      </c>
      <c r="Y8" s="343" t="s">
        <v>131</v>
      </c>
      <c r="Z8" s="120">
        <f>ROUNDUP(HOUR(AA8)*60+MINUTE(AA8)+SECOND(AA8)/60,0)</f>
        <v>59</v>
      </c>
      <c r="AA8" s="305" t="str">
        <f>TEXT((HOUR(AC8)*60+MINUTE(AC8)+IF(SECOND(AC8)&lt;=29,0,1))*60/86400,"hh:mm:ss")</f>
        <v>00:59:00</v>
      </c>
      <c r="AB8" s="120">
        <f>Z8*60</f>
        <v>3540</v>
      </c>
      <c r="AC8" s="402">
        <v>0.0411111111111111</v>
      </c>
      <c r="AD8" s="401">
        <v>169</v>
      </c>
      <c r="AE8" s="401">
        <v>43</v>
      </c>
      <c r="AF8" s="343" t="s">
        <v>133</v>
      </c>
      <c r="AG8" s="3"/>
      <c r="AH8" s="74"/>
      <c r="AI8" s="76"/>
      <c r="AJ8" s="74"/>
      <c r="AK8" s="74"/>
      <c r="AL8" s="3"/>
      <c r="AM8" s="5"/>
      <c r="AN8" s="5"/>
      <c r="AO8" s="5"/>
      <c r="AP8" s="1"/>
      <c r="AQ8" s="1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  <c r="AAA8" s="3"/>
      <c r="AAB8" s="3"/>
      <c r="AAC8" s="3"/>
      <c r="AAD8" s="3"/>
      <c r="AAE8" s="3"/>
      <c r="AAF8" s="3"/>
      <c r="AAG8" s="3"/>
      <c r="AAH8" s="3"/>
      <c r="AAI8" s="3"/>
      <c r="AAJ8" s="3"/>
      <c r="AAK8" s="3"/>
      <c r="AAL8" s="3"/>
      <c r="AAM8" s="3"/>
      <c r="AAN8" s="3"/>
      <c r="AAO8" s="3"/>
      <c r="AAP8" s="3"/>
      <c r="AAQ8" s="3"/>
      <c r="AAR8" s="3"/>
      <c r="AAS8" s="3"/>
      <c r="AAT8" s="3"/>
      <c r="AAU8" s="3"/>
      <c r="AAV8" s="3"/>
      <c r="AAW8" s="3"/>
      <c r="AAX8" s="3"/>
      <c r="AAY8" s="3"/>
      <c r="AAZ8" s="3"/>
      <c r="ABA8" s="3"/>
      <c r="ABB8" s="3"/>
      <c r="ABC8" s="3"/>
      <c r="ABD8" s="3"/>
      <c r="ABE8" s="3"/>
      <c r="ABF8" s="3"/>
      <c r="ABG8" s="3"/>
      <c r="ABH8" s="3"/>
      <c r="ABI8" s="3"/>
      <c r="ABJ8" s="3"/>
      <c r="ABK8" s="3"/>
      <c r="ABL8" s="3"/>
      <c r="ABM8" s="3"/>
      <c r="ABN8" s="3"/>
      <c r="ABO8" s="3"/>
      <c r="ABP8" s="3"/>
      <c r="ABQ8" s="3"/>
      <c r="ABR8" s="3"/>
      <c r="ABS8" s="3"/>
      <c r="ABT8" s="3"/>
      <c r="ABU8" s="3"/>
      <c r="ABV8" s="3"/>
      <c r="ABW8" s="3"/>
      <c r="ABX8" s="3"/>
      <c r="ABY8" s="3"/>
      <c r="ABZ8" s="3"/>
      <c r="ACA8" s="3"/>
      <c r="ACB8" s="3"/>
      <c r="ACC8" s="3"/>
      <c r="ACD8" s="3"/>
      <c r="ACE8" s="3"/>
      <c r="ACF8" s="3"/>
      <c r="ACG8" s="3"/>
      <c r="ACH8" s="3"/>
      <c r="ACI8" s="3"/>
      <c r="ACJ8" s="3"/>
      <c r="ACK8" s="3"/>
      <c r="ACL8" s="3"/>
      <c r="ACM8" s="3"/>
      <c r="ACN8" s="3"/>
      <c r="ACO8" s="3"/>
      <c r="ACP8" s="3"/>
      <c r="ACQ8" s="3"/>
      <c r="ACR8" s="3"/>
      <c r="ACS8" s="3"/>
      <c r="ACT8" s="3"/>
      <c r="ACU8" s="3"/>
      <c r="ACV8" s="3"/>
      <c r="ACW8" s="3"/>
      <c r="ACX8" s="3"/>
      <c r="ACY8" s="3"/>
      <c r="ACZ8" s="3"/>
      <c r="ADA8" s="3"/>
      <c r="ADB8" s="3"/>
      <c r="ADC8" s="3"/>
      <c r="ADD8" s="3"/>
      <c r="ADE8" s="3"/>
      <c r="ADF8" s="3"/>
      <c r="ADG8" s="3"/>
      <c r="ADH8" s="3"/>
      <c r="ADI8" s="3"/>
      <c r="ADJ8" s="3"/>
      <c r="ADK8" s="3"/>
      <c r="ADL8" s="3"/>
      <c r="ADM8" s="3"/>
      <c r="ADN8" s="3"/>
      <c r="ADO8" s="3"/>
      <c r="ADP8" s="3"/>
      <c r="ADQ8" s="3"/>
      <c r="ADR8" s="3"/>
      <c r="ADS8" s="3"/>
      <c r="ADT8" s="3"/>
      <c r="ADU8" s="3"/>
      <c r="ADV8" s="3"/>
      <c r="ADW8" s="3"/>
      <c r="ADX8" s="3"/>
      <c r="ADY8" s="3"/>
      <c r="ADZ8" s="3"/>
      <c r="AEA8" s="3"/>
      <c r="AEB8" s="3"/>
      <c r="AEC8" s="3"/>
      <c r="AED8" s="3"/>
      <c r="AEE8" s="3"/>
      <c r="AEF8" s="3"/>
      <c r="AEG8" s="3"/>
      <c r="AEH8" s="3"/>
      <c r="AEI8" s="3"/>
      <c r="AEJ8" s="3"/>
      <c r="AEK8" s="3"/>
      <c r="AEL8" s="3"/>
      <c r="AEM8" s="3"/>
      <c r="AEN8" s="3"/>
      <c r="AEO8" s="3"/>
      <c r="AEP8" s="3"/>
      <c r="AEQ8" s="3"/>
      <c r="AER8" s="3"/>
      <c r="AES8" s="3"/>
      <c r="AET8" s="3"/>
      <c r="AEU8" s="3"/>
      <c r="AEV8" s="3"/>
      <c r="AEW8" s="3"/>
      <c r="AEX8" s="3"/>
      <c r="AEY8" s="3"/>
      <c r="AEZ8" s="3"/>
      <c r="AFA8" s="3"/>
      <c r="AFB8" s="3"/>
      <c r="AFC8" s="3"/>
      <c r="AFD8" s="3"/>
      <c r="AFE8" s="3"/>
      <c r="AFF8" s="3"/>
      <c r="AFG8" s="3"/>
      <c r="AFH8" s="3"/>
      <c r="AFI8" s="3"/>
      <c r="AFJ8" s="3"/>
      <c r="AFK8" s="3"/>
      <c r="AFL8" s="3"/>
      <c r="AFM8" s="3"/>
      <c r="AFN8" s="3"/>
      <c r="AFO8" s="3"/>
      <c r="AFP8" s="3"/>
      <c r="AFQ8" s="3"/>
      <c r="AFR8" s="3"/>
      <c r="AFS8" s="3"/>
      <c r="AFT8" s="3"/>
      <c r="AFU8" s="3"/>
      <c r="AFV8" s="3"/>
      <c r="AFW8" s="3"/>
      <c r="AFX8" s="3"/>
      <c r="AFY8" s="3"/>
      <c r="AFZ8" s="3"/>
      <c r="AGA8" s="3"/>
      <c r="AGB8" s="3"/>
      <c r="AGC8" s="3"/>
      <c r="AGD8" s="3"/>
      <c r="AGE8" s="3"/>
      <c r="AGF8" s="3"/>
      <c r="AGG8" s="3"/>
      <c r="AGH8" s="3"/>
      <c r="AGI8" s="3"/>
      <c r="AGJ8" s="3"/>
      <c r="AGK8" s="3"/>
      <c r="AGL8" s="3"/>
      <c r="AGM8" s="3"/>
      <c r="AGN8" s="3"/>
      <c r="AGO8" s="3"/>
      <c r="AGP8" s="3"/>
      <c r="AGQ8" s="3"/>
      <c r="AGR8" s="3"/>
      <c r="AGS8" s="3"/>
      <c r="AGT8" s="3"/>
      <c r="AGU8" s="3"/>
      <c r="AGV8" s="3"/>
      <c r="AGW8" s="3"/>
      <c r="AGX8" s="3"/>
      <c r="AGY8" s="3"/>
      <c r="AGZ8" s="3"/>
      <c r="AHA8" s="3"/>
      <c r="AHB8" s="3"/>
    </row>
    <row r="9" s="338" customFormat="1" ht="26" customHeight="1" spans="1:886">
      <c r="A9" s="343">
        <v>5</v>
      </c>
      <c r="B9" s="344"/>
      <c r="C9" s="345" t="s">
        <v>122</v>
      </c>
      <c r="D9" s="350"/>
      <c r="E9" s="351"/>
      <c r="F9" s="343">
        <v>5</v>
      </c>
      <c r="G9" s="348" t="s">
        <v>400</v>
      </c>
      <c r="H9" s="349" t="s">
        <v>401</v>
      </c>
      <c r="I9" s="365" t="s">
        <v>126</v>
      </c>
      <c r="J9" s="365" t="s">
        <v>126</v>
      </c>
      <c r="K9" s="365"/>
      <c r="L9" s="365"/>
      <c r="M9" s="365"/>
      <c r="N9" s="366" t="s">
        <v>402</v>
      </c>
      <c r="O9" s="367"/>
      <c r="P9" s="368"/>
      <c r="Q9" s="368"/>
      <c r="R9" s="382" t="s">
        <v>132</v>
      </c>
      <c r="S9" s="383"/>
      <c r="T9" s="384"/>
      <c r="U9" s="384"/>
      <c r="V9" s="382" t="s">
        <v>132</v>
      </c>
      <c r="W9" s="384"/>
      <c r="X9" s="343" t="s">
        <v>131</v>
      </c>
      <c r="Y9" s="343" t="s">
        <v>131</v>
      </c>
      <c r="Z9" s="120">
        <f t="shared" ref="Z9:Z20" si="0">ROUNDUP(HOUR(AA9)*60+MINUTE(AA9)+SECOND(AA9)/60,0)</f>
        <v>8</v>
      </c>
      <c r="AA9" s="305" t="str">
        <f t="shared" ref="AA9:AA21" si="1">TEXT((HOUR(AC9)*60+MINUTE(AC9)+IF(SECOND(AC9)&lt;=29,0,1))*60/86400,"hh:mm:ss")</f>
        <v>00:08:00</v>
      </c>
      <c r="AB9" s="120">
        <f t="shared" ref="AB9:AB20" si="2">Z9*60</f>
        <v>480</v>
      </c>
      <c r="AC9" s="402">
        <v>0.00527777777777778</v>
      </c>
      <c r="AD9" s="401">
        <v>169</v>
      </c>
      <c r="AE9" s="401">
        <v>43</v>
      </c>
      <c r="AF9" s="343" t="s">
        <v>133</v>
      </c>
      <c r="AG9" s="3"/>
      <c r="AH9" s="74"/>
      <c r="AI9" s="76"/>
      <c r="AJ9" s="74"/>
      <c r="AK9" s="74"/>
      <c r="AL9" s="3"/>
      <c r="AM9" s="5"/>
      <c r="AN9" s="5"/>
      <c r="AO9" s="5"/>
      <c r="AP9" s="1"/>
      <c r="AQ9" s="1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  <c r="AAA9" s="3"/>
      <c r="AAB9" s="3"/>
      <c r="AAC9" s="3"/>
      <c r="AAD9" s="3"/>
      <c r="AAE9" s="3"/>
      <c r="AAF9" s="3"/>
      <c r="AAG9" s="3"/>
      <c r="AAH9" s="3"/>
      <c r="AAI9" s="3"/>
      <c r="AAJ9" s="3"/>
      <c r="AAK9" s="3"/>
      <c r="AAL9" s="3"/>
      <c r="AAM9" s="3"/>
      <c r="AAN9" s="3"/>
      <c r="AAO9" s="3"/>
      <c r="AAP9" s="3"/>
      <c r="AAQ9" s="3"/>
      <c r="AAR9" s="3"/>
      <c r="AAS9" s="3"/>
      <c r="AAT9" s="3"/>
      <c r="AAU9" s="3"/>
      <c r="AAV9" s="3"/>
      <c r="AAW9" s="3"/>
      <c r="AAX9" s="3"/>
      <c r="AAY9" s="3"/>
      <c r="AAZ9" s="3"/>
      <c r="ABA9" s="3"/>
      <c r="ABB9" s="3"/>
      <c r="ABC9" s="3"/>
      <c r="ABD9" s="3"/>
      <c r="ABE9" s="3"/>
      <c r="ABF9" s="3"/>
      <c r="ABG9" s="3"/>
      <c r="ABH9" s="3"/>
      <c r="ABI9" s="3"/>
      <c r="ABJ9" s="3"/>
      <c r="ABK9" s="3"/>
      <c r="ABL9" s="3"/>
      <c r="ABM9" s="3"/>
      <c r="ABN9" s="3"/>
      <c r="ABO9" s="3"/>
      <c r="ABP9" s="3"/>
      <c r="ABQ9" s="3"/>
      <c r="ABR9" s="3"/>
      <c r="ABS9" s="3"/>
      <c r="ABT9" s="3"/>
      <c r="ABU9" s="3"/>
      <c r="ABV9" s="3"/>
      <c r="ABW9" s="3"/>
      <c r="ABX9" s="3"/>
      <c r="ABY9" s="3"/>
      <c r="ABZ9" s="3"/>
      <c r="ACA9" s="3"/>
      <c r="ACB9" s="3"/>
      <c r="ACC9" s="3"/>
      <c r="ACD9" s="3"/>
      <c r="ACE9" s="3"/>
      <c r="ACF9" s="3"/>
      <c r="ACG9" s="3"/>
      <c r="ACH9" s="3"/>
      <c r="ACI9" s="3"/>
      <c r="ACJ9" s="3"/>
      <c r="ACK9" s="3"/>
      <c r="ACL9" s="3"/>
      <c r="ACM9" s="3"/>
      <c r="ACN9" s="3"/>
      <c r="ACO9" s="3"/>
      <c r="ACP9" s="3"/>
      <c r="ACQ9" s="3"/>
      <c r="ACR9" s="3"/>
      <c r="ACS9" s="3"/>
      <c r="ACT9" s="3"/>
      <c r="ACU9" s="3"/>
      <c r="ACV9" s="3"/>
      <c r="ACW9" s="3"/>
      <c r="ACX9" s="3"/>
      <c r="ACY9" s="3"/>
      <c r="ACZ9" s="3"/>
      <c r="ADA9" s="3"/>
      <c r="ADB9" s="3"/>
      <c r="ADC9" s="3"/>
      <c r="ADD9" s="3"/>
      <c r="ADE9" s="3"/>
      <c r="ADF9" s="3"/>
      <c r="ADG9" s="3"/>
      <c r="ADH9" s="3"/>
      <c r="ADI9" s="3"/>
      <c r="ADJ9" s="3"/>
      <c r="ADK9" s="3"/>
      <c r="ADL9" s="3"/>
      <c r="ADM9" s="3"/>
      <c r="ADN9" s="3"/>
      <c r="ADO9" s="3"/>
      <c r="ADP9" s="3"/>
      <c r="ADQ9" s="3"/>
      <c r="ADR9" s="3"/>
      <c r="ADS9" s="3"/>
      <c r="ADT9" s="3"/>
      <c r="ADU9" s="3"/>
      <c r="ADV9" s="3"/>
      <c r="ADW9" s="3"/>
      <c r="ADX9" s="3"/>
      <c r="ADY9" s="3"/>
      <c r="ADZ9" s="3"/>
      <c r="AEA9" s="3"/>
      <c r="AEB9" s="3"/>
      <c r="AEC9" s="3"/>
      <c r="AED9" s="3"/>
      <c r="AEE9" s="3"/>
      <c r="AEF9" s="3"/>
      <c r="AEG9" s="3"/>
      <c r="AEH9" s="3"/>
      <c r="AEI9" s="3"/>
      <c r="AEJ9" s="3"/>
      <c r="AEK9" s="3"/>
      <c r="AEL9" s="3"/>
      <c r="AEM9" s="3"/>
      <c r="AEN9" s="3"/>
      <c r="AEO9" s="3"/>
      <c r="AEP9" s="3"/>
      <c r="AEQ9" s="3"/>
      <c r="AER9" s="3"/>
      <c r="AES9" s="3"/>
      <c r="AET9" s="3"/>
      <c r="AEU9" s="3"/>
      <c r="AEV9" s="3"/>
      <c r="AEW9" s="3"/>
      <c r="AEX9" s="3"/>
      <c r="AEY9" s="3"/>
      <c r="AEZ9" s="3"/>
      <c r="AFA9" s="3"/>
      <c r="AFB9" s="3"/>
      <c r="AFC9" s="3"/>
      <c r="AFD9" s="3"/>
      <c r="AFE9" s="3"/>
      <c r="AFF9" s="3"/>
      <c r="AFG9" s="3"/>
      <c r="AFH9" s="3"/>
      <c r="AFI9" s="3"/>
      <c r="AFJ9" s="3"/>
      <c r="AFK9" s="3"/>
      <c r="AFL9" s="3"/>
      <c r="AFM9" s="3"/>
      <c r="AFN9" s="3"/>
      <c r="AFO9" s="3"/>
      <c r="AFP9" s="3"/>
      <c r="AFQ9" s="3"/>
      <c r="AFR9" s="3"/>
      <c r="AFS9" s="3"/>
      <c r="AFT9" s="3"/>
      <c r="AFU9" s="3"/>
      <c r="AFV9" s="3"/>
      <c r="AFW9" s="3"/>
      <c r="AFX9" s="3"/>
      <c r="AFY9" s="3"/>
      <c r="AFZ9" s="3"/>
      <c r="AGA9" s="3"/>
      <c r="AGB9" s="3"/>
      <c r="AGC9" s="3"/>
      <c r="AGD9" s="3"/>
      <c r="AGE9" s="3"/>
      <c r="AGF9" s="3"/>
      <c r="AGG9" s="3"/>
      <c r="AGH9" s="3"/>
      <c r="AGI9" s="3"/>
      <c r="AGJ9" s="3"/>
      <c r="AGK9" s="3"/>
      <c r="AGL9" s="3"/>
      <c r="AGM9" s="3"/>
      <c r="AGN9" s="3"/>
      <c r="AGO9" s="3"/>
      <c r="AGP9" s="3"/>
      <c r="AGQ9" s="3"/>
      <c r="AGR9" s="3"/>
      <c r="AGS9" s="3"/>
      <c r="AGT9" s="3"/>
      <c r="AGU9" s="3"/>
      <c r="AGV9" s="3"/>
      <c r="AGW9" s="3"/>
      <c r="AGX9" s="3"/>
      <c r="AGY9" s="3"/>
      <c r="AGZ9" s="3"/>
      <c r="AHA9" s="3"/>
      <c r="AHB9" s="3"/>
    </row>
    <row r="10" s="338" customFormat="1" ht="26" customHeight="1" spans="1:886">
      <c r="A10" s="343">
        <v>6</v>
      </c>
      <c r="B10" s="344"/>
      <c r="C10" s="345" t="s">
        <v>122</v>
      </c>
      <c r="D10" s="350"/>
      <c r="E10" s="351"/>
      <c r="F10" s="343">
        <v>6</v>
      </c>
      <c r="G10" s="348" t="s">
        <v>403</v>
      </c>
      <c r="H10" s="349" t="s">
        <v>404</v>
      </c>
      <c r="I10" s="365" t="s">
        <v>126</v>
      </c>
      <c r="J10" s="365"/>
      <c r="K10" s="365"/>
      <c r="L10" s="365"/>
      <c r="M10" s="365"/>
      <c r="N10" s="366" t="s">
        <v>405</v>
      </c>
      <c r="O10" s="367"/>
      <c r="P10" s="368"/>
      <c r="Q10" s="368"/>
      <c r="R10" s="382" t="s">
        <v>132</v>
      </c>
      <c r="S10" s="383"/>
      <c r="T10" s="384"/>
      <c r="U10" s="384"/>
      <c r="V10" s="382" t="s">
        <v>132</v>
      </c>
      <c r="W10" s="384"/>
      <c r="X10" s="343" t="s">
        <v>131</v>
      </c>
      <c r="Y10" s="343" t="s">
        <v>131</v>
      </c>
      <c r="Z10" s="120">
        <f t="shared" si="0"/>
        <v>19</v>
      </c>
      <c r="AA10" s="305" t="str">
        <f t="shared" si="1"/>
        <v>00:19:00</v>
      </c>
      <c r="AB10" s="120">
        <f t="shared" si="2"/>
        <v>1140</v>
      </c>
      <c r="AC10" s="402">
        <v>0.013275462962963</v>
      </c>
      <c r="AD10" s="401">
        <v>169</v>
      </c>
      <c r="AE10" s="401">
        <v>43</v>
      </c>
      <c r="AF10" s="343" t="s">
        <v>133</v>
      </c>
      <c r="AG10" s="3"/>
      <c r="AH10" s="74"/>
      <c r="AI10" s="76"/>
      <c r="AJ10" s="74"/>
      <c r="AK10" s="74"/>
      <c r="AL10" s="3"/>
      <c r="AM10" s="5"/>
      <c r="AN10" s="5"/>
      <c r="AO10" s="5"/>
      <c r="AP10" s="1"/>
      <c r="AQ10" s="1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  <c r="AAA10" s="3"/>
      <c r="AAB10" s="3"/>
      <c r="AAC10" s="3"/>
      <c r="AAD10" s="3"/>
      <c r="AAE10" s="3"/>
      <c r="AAF10" s="3"/>
      <c r="AAG10" s="3"/>
      <c r="AAH10" s="3"/>
      <c r="AAI10" s="3"/>
      <c r="AAJ10" s="3"/>
      <c r="AAK10" s="3"/>
      <c r="AAL10" s="3"/>
      <c r="AAM10" s="3"/>
      <c r="AAN10" s="3"/>
      <c r="AAO10" s="3"/>
      <c r="AAP10" s="3"/>
      <c r="AAQ10" s="3"/>
      <c r="AAR10" s="3"/>
      <c r="AAS10" s="3"/>
      <c r="AAT10" s="3"/>
      <c r="AAU10" s="3"/>
      <c r="AAV10" s="3"/>
      <c r="AAW10" s="3"/>
      <c r="AAX10" s="3"/>
      <c r="AAY10" s="3"/>
      <c r="AAZ10" s="3"/>
      <c r="ABA10" s="3"/>
      <c r="ABB10" s="3"/>
      <c r="ABC10" s="3"/>
      <c r="ABD10" s="3"/>
      <c r="ABE10" s="3"/>
      <c r="ABF10" s="3"/>
      <c r="ABG10" s="3"/>
      <c r="ABH10" s="3"/>
      <c r="ABI10" s="3"/>
      <c r="ABJ10" s="3"/>
      <c r="ABK10" s="3"/>
      <c r="ABL10" s="3"/>
      <c r="ABM10" s="3"/>
      <c r="ABN10" s="3"/>
      <c r="ABO10" s="3"/>
      <c r="ABP10" s="3"/>
      <c r="ABQ10" s="3"/>
      <c r="ABR10" s="3"/>
      <c r="ABS10" s="3"/>
      <c r="ABT10" s="3"/>
      <c r="ABU10" s="3"/>
      <c r="ABV10" s="3"/>
      <c r="ABW10" s="3"/>
      <c r="ABX10" s="3"/>
      <c r="ABY10" s="3"/>
      <c r="ABZ10" s="3"/>
      <c r="ACA10" s="3"/>
      <c r="ACB10" s="3"/>
      <c r="ACC10" s="3"/>
      <c r="ACD10" s="3"/>
      <c r="ACE10" s="3"/>
      <c r="ACF10" s="3"/>
      <c r="ACG10" s="3"/>
      <c r="ACH10" s="3"/>
      <c r="ACI10" s="3"/>
      <c r="ACJ10" s="3"/>
      <c r="ACK10" s="3"/>
      <c r="ACL10" s="3"/>
      <c r="ACM10" s="3"/>
      <c r="ACN10" s="3"/>
      <c r="ACO10" s="3"/>
      <c r="ACP10" s="3"/>
      <c r="ACQ10" s="3"/>
      <c r="ACR10" s="3"/>
      <c r="ACS10" s="3"/>
      <c r="ACT10" s="3"/>
      <c r="ACU10" s="3"/>
      <c r="ACV10" s="3"/>
      <c r="ACW10" s="3"/>
      <c r="ACX10" s="3"/>
      <c r="ACY10" s="3"/>
      <c r="ACZ10" s="3"/>
      <c r="ADA10" s="3"/>
      <c r="ADB10" s="3"/>
      <c r="ADC10" s="3"/>
      <c r="ADD10" s="3"/>
      <c r="ADE10" s="3"/>
      <c r="ADF10" s="3"/>
      <c r="ADG10" s="3"/>
      <c r="ADH10" s="3"/>
      <c r="ADI10" s="3"/>
      <c r="ADJ10" s="3"/>
      <c r="ADK10" s="3"/>
      <c r="ADL10" s="3"/>
      <c r="ADM10" s="3"/>
      <c r="ADN10" s="3"/>
      <c r="ADO10" s="3"/>
      <c r="ADP10" s="3"/>
      <c r="ADQ10" s="3"/>
      <c r="ADR10" s="3"/>
      <c r="ADS10" s="3"/>
      <c r="ADT10" s="3"/>
      <c r="ADU10" s="3"/>
      <c r="ADV10" s="3"/>
      <c r="ADW10" s="3"/>
      <c r="ADX10" s="3"/>
      <c r="ADY10" s="3"/>
      <c r="ADZ10" s="3"/>
      <c r="AEA10" s="3"/>
      <c r="AEB10" s="3"/>
      <c r="AEC10" s="3"/>
      <c r="AED10" s="3"/>
      <c r="AEE10" s="3"/>
      <c r="AEF10" s="3"/>
      <c r="AEG10" s="3"/>
      <c r="AEH10" s="3"/>
      <c r="AEI10" s="3"/>
      <c r="AEJ10" s="3"/>
      <c r="AEK10" s="3"/>
      <c r="AEL10" s="3"/>
      <c r="AEM10" s="3"/>
      <c r="AEN10" s="3"/>
      <c r="AEO10" s="3"/>
      <c r="AEP10" s="3"/>
      <c r="AEQ10" s="3"/>
      <c r="AER10" s="3"/>
      <c r="AES10" s="3"/>
      <c r="AET10" s="3"/>
      <c r="AEU10" s="3"/>
      <c r="AEV10" s="3"/>
      <c r="AEW10" s="3"/>
      <c r="AEX10" s="3"/>
      <c r="AEY10" s="3"/>
      <c r="AEZ10" s="3"/>
      <c r="AFA10" s="3"/>
      <c r="AFB10" s="3"/>
      <c r="AFC10" s="3"/>
      <c r="AFD10" s="3"/>
      <c r="AFE10" s="3"/>
      <c r="AFF10" s="3"/>
      <c r="AFG10" s="3"/>
      <c r="AFH10" s="3"/>
      <c r="AFI10" s="3"/>
      <c r="AFJ10" s="3"/>
      <c r="AFK10" s="3"/>
      <c r="AFL10" s="3"/>
      <c r="AFM10" s="3"/>
      <c r="AFN10" s="3"/>
      <c r="AFO10" s="3"/>
      <c r="AFP10" s="3"/>
      <c r="AFQ10" s="3"/>
      <c r="AFR10" s="3"/>
      <c r="AFS10" s="3"/>
      <c r="AFT10" s="3"/>
      <c r="AFU10" s="3"/>
      <c r="AFV10" s="3"/>
      <c r="AFW10" s="3"/>
      <c r="AFX10" s="3"/>
      <c r="AFY10" s="3"/>
      <c r="AFZ10" s="3"/>
      <c r="AGA10" s="3"/>
      <c r="AGB10" s="3"/>
      <c r="AGC10" s="3"/>
      <c r="AGD10" s="3"/>
      <c r="AGE10" s="3"/>
      <c r="AGF10" s="3"/>
      <c r="AGG10" s="3"/>
      <c r="AGH10" s="3"/>
      <c r="AGI10" s="3"/>
      <c r="AGJ10" s="3"/>
      <c r="AGK10" s="3"/>
      <c r="AGL10" s="3"/>
      <c r="AGM10" s="3"/>
      <c r="AGN10" s="3"/>
      <c r="AGO10" s="3"/>
      <c r="AGP10" s="3"/>
      <c r="AGQ10" s="3"/>
      <c r="AGR10" s="3"/>
      <c r="AGS10" s="3"/>
      <c r="AGT10" s="3"/>
      <c r="AGU10" s="3"/>
      <c r="AGV10" s="3"/>
      <c r="AGW10" s="3"/>
      <c r="AGX10" s="3"/>
      <c r="AGY10" s="3"/>
      <c r="AGZ10" s="3"/>
      <c r="AHA10" s="3"/>
      <c r="AHB10" s="3"/>
    </row>
    <row r="11" s="338" customFormat="1" ht="26" customHeight="1" spans="1:886">
      <c r="A11" s="343">
        <v>7</v>
      </c>
      <c r="B11" s="344"/>
      <c r="C11" s="345" t="s">
        <v>122</v>
      </c>
      <c r="D11" s="350"/>
      <c r="E11" s="351"/>
      <c r="F11" s="343">
        <v>7</v>
      </c>
      <c r="G11" s="348" t="s">
        <v>406</v>
      </c>
      <c r="H11" s="349" t="s">
        <v>407</v>
      </c>
      <c r="I11" s="365" t="s">
        <v>126</v>
      </c>
      <c r="J11" s="365" t="s">
        <v>126</v>
      </c>
      <c r="K11" s="365"/>
      <c r="L11" s="365"/>
      <c r="M11" s="365"/>
      <c r="N11" s="366" t="s">
        <v>408</v>
      </c>
      <c r="O11" s="367"/>
      <c r="P11" s="368"/>
      <c r="Q11" s="368"/>
      <c r="R11" s="382" t="s">
        <v>132</v>
      </c>
      <c r="S11" s="383"/>
      <c r="T11" s="384"/>
      <c r="U11" s="384"/>
      <c r="V11" s="382" t="s">
        <v>132</v>
      </c>
      <c r="W11" s="384"/>
      <c r="X11" s="343" t="s">
        <v>131</v>
      </c>
      <c r="Y11" s="343" t="s">
        <v>131</v>
      </c>
      <c r="Z11" s="120">
        <f t="shared" si="0"/>
        <v>18</v>
      </c>
      <c r="AA11" s="305" t="str">
        <f t="shared" si="1"/>
        <v>00:18:00</v>
      </c>
      <c r="AB11" s="120">
        <f t="shared" si="2"/>
        <v>1080</v>
      </c>
      <c r="AC11" s="402">
        <v>0.0124652777777778</v>
      </c>
      <c r="AD11" s="401">
        <v>169</v>
      </c>
      <c r="AE11" s="401">
        <v>43</v>
      </c>
      <c r="AF11" s="343" t="s">
        <v>133</v>
      </c>
      <c r="AG11" s="3"/>
      <c r="AH11" s="74"/>
      <c r="AI11" s="76"/>
      <c r="AJ11" s="74"/>
      <c r="AK11" s="74"/>
      <c r="AL11" s="3"/>
      <c r="AM11" s="5"/>
      <c r="AN11" s="5"/>
      <c r="AO11" s="5"/>
      <c r="AP11" s="1"/>
      <c r="AQ11" s="1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  <c r="AAA11" s="3"/>
      <c r="AAB11" s="3"/>
      <c r="AAC11" s="3"/>
      <c r="AAD11" s="3"/>
      <c r="AAE11" s="3"/>
      <c r="AAF11" s="3"/>
      <c r="AAG11" s="3"/>
      <c r="AAH11" s="3"/>
      <c r="AAI11" s="3"/>
      <c r="AAJ11" s="3"/>
      <c r="AAK11" s="3"/>
      <c r="AAL11" s="3"/>
      <c r="AAM11" s="3"/>
      <c r="AAN11" s="3"/>
      <c r="AAO11" s="3"/>
      <c r="AAP11" s="3"/>
      <c r="AAQ11" s="3"/>
      <c r="AAR11" s="3"/>
      <c r="AAS11" s="3"/>
      <c r="AAT11" s="3"/>
      <c r="AAU11" s="3"/>
      <c r="AAV11" s="3"/>
      <c r="AAW11" s="3"/>
      <c r="AAX11" s="3"/>
      <c r="AAY11" s="3"/>
      <c r="AAZ11" s="3"/>
      <c r="ABA11" s="3"/>
      <c r="ABB11" s="3"/>
      <c r="ABC11" s="3"/>
      <c r="ABD11" s="3"/>
      <c r="ABE11" s="3"/>
      <c r="ABF11" s="3"/>
      <c r="ABG11" s="3"/>
      <c r="ABH11" s="3"/>
      <c r="ABI11" s="3"/>
      <c r="ABJ11" s="3"/>
      <c r="ABK11" s="3"/>
      <c r="ABL11" s="3"/>
      <c r="ABM11" s="3"/>
      <c r="ABN11" s="3"/>
      <c r="ABO11" s="3"/>
      <c r="ABP11" s="3"/>
      <c r="ABQ11" s="3"/>
      <c r="ABR11" s="3"/>
      <c r="ABS11" s="3"/>
      <c r="ABT11" s="3"/>
      <c r="ABU11" s="3"/>
      <c r="ABV11" s="3"/>
      <c r="ABW11" s="3"/>
      <c r="ABX11" s="3"/>
      <c r="ABY11" s="3"/>
      <c r="ABZ11" s="3"/>
      <c r="ACA11" s="3"/>
      <c r="ACB11" s="3"/>
      <c r="ACC11" s="3"/>
      <c r="ACD11" s="3"/>
      <c r="ACE11" s="3"/>
      <c r="ACF11" s="3"/>
      <c r="ACG11" s="3"/>
      <c r="ACH11" s="3"/>
      <c r="ACI11" s="3"/>
      <c r="ACJ11" s="3"/>
      <c r="ACK11" s="3"/>
      <c r="ACL11" s="3"/>
      <c r="ACM11" s="3"/>
      <c r="ACN11" s="3"/>
      <c r="ACO11" s="3"/>
      <c r="ACP11" s="3"/>
      <c r="ACQ11" s="3"/>
      <c r="ACR11" s="3"/>
      <c r="ACS11" s="3"/>
      <c r="ACT11" s="3"/>
      <c r="ACU11" s="3"/>
      <c r="ACV11" s="3"/>
      <c r="ACW11" s="3"/>
      <c r="ACX11" s="3"/>
      <c r="ACY11" s="3"/>
      <c r="ACZ11" s="3"/>
      <c r="ADA11" s="3"/>
      <c r="ADB11" s="3"/>
      <c r="ADC11" s="3"/>
      <c r="ADD11" s="3"/>
      <c r="ADE11" s="3"/>
      <c r="ADF11" s="3"/>
      <c r="ADG11" s="3"/>
      <c r="ADH11" s="3"/>
      <c r="ADI11" s="3"/>
      <c r="ADJ11" s="3"/>
      <c r="ADK11" s="3"/>
      <c r="ADL11" s="3"/>
      <c r="ADM11" s="3"/>
      <c r="ADN11" s="3"/>
      <c r="ADO11" s="3"/>
      <c r="ADP11" s="3"/>
      <c r="ADQ11" s="3"/>
      <c r="ADR11" s="3"/>
      <c r="ADS11" s="3"/>
      <c r="ADT11" s="3"/>
      <c r="ADU11" s="3"/>
      <c r="ADV11" s="3"/>
      <c r="ADW11" s="3"/>
      <c r="ADX11" s="3"/>
      <c r="ADY11" s="3"/>
      <c r="ADZ11" s="3"/>
      <c r="AEA11" s="3"/>
      <c r="AEB11" s="3"/>
      <c r="AEC11" s="3"/>
      <c r="AED11" s="3"/>
      <c r="AEE11" s="3"/>
      <c r="AEF11" s="3"/>
      <c r="AEG11" s="3"/>
      <c r="AEH11" s="3"/>
      <c r="AEI11" s="3"/>
      <c r="AEJ11" s="3"/>
      <c r="AEK11" s="3"/>
      <c r="AEL11" s="3"/>
      <c r="AEM11" s="3"/>
      <c r="AEN11" s="3"/>
      <c r="AEO11" s="3"/>
      <c r="AEP11" s="3"/>
      <c r="AEQ11" s="3"/>
      <c r="AER11" s="3"/>
      <c r="AES11" s="3"/>
      <c r="AET11" s="3"/>
      <c r="AEU11" s="3"/>
      <c r="AEV11" s="3"/>
      <c r="AEW11" s="3"/>
      <c r="AEX11" s="3"/>
      <c r="AEY11" s="3"/>
      <c r="AEZ11" s="3"/>
      <c r="AFA11" s="3"/>
      <c r="AFB11" s="3"/>
      <c r="AFC11" s="3"/>
      <c r="AFD11" s="3"/>
      <c r="AFE11" s="3"/>
      <c r="AFF11" s="3"/>
      <c r="AFG11" s="3"/>
      <c r="AFH11" s="3"/>
      <c r="AFI11" s="3"/>
      <c r="AFJ11" s="3"/>
      <c r="AFK11" s="3"/>
      <c r="AFL11" s="3"/>
      <c r="AFM11" s="3"/>
      <c r="AFN11" s="3"/>
      <c r="AFO11" s="3"/>
      <c r="AFP11" s="3"/>
      <c r="AFQ11" s="3"/>
      <c r="AFR11" s="3"/>
      <c r="AFS11" s="3"/>
      <c r="AFT11" s="3"/>
      <c r="AFU11" s="3"/>
      <c r="AFV11" s="3"/>
      <c r="AFW11" s="3"/>
      <c r="AFX11" s="3"/>
      <c r="AFY11" s="3"/>
      <c r="AFZ11" s="3"/>
      <c r="AGA11" s="3"/>
      <c r="AGB11" s="3"/>
      <c r="AGC11" s="3"/>
      <c r="AGD11" s="3"/>
      <c r="AGE11" s="3"/>
      <c r="AGF11" s="3"/>
      <c r="AGG11" s="3"/>
      <c r="AGH11" s="3"/>
      <c r="AGI11" s="3"/>
      <c r="AGJ11" s="3"/>
      <c r="AGK11" s="3"/>
      <c r="AGL11" s="3"/>
      <c r="AGM11" s="3"/>
      <c r="AGN11" s="3"/>
      <c r="AGO11" s="3"/>
      <c r="AGP11" s="3"/>
      <c r="AGQ11" s="3"/>
      <c r="AGR11" s="3"/>
      <c r="AGS11" s="3"/>
      <c r="AGT11" s="3"/>
      <c r="AGU11" s="3"/>
      <c r="AGV11" s="3"/>
      <c r="AGW11" s="3"/>
      <c r="AGX11" s="3"/>
      <c r="AGY11" s="3"/>
      <c r="AGZ11" s="3"/>
      <c r="AHA11" s="3"/>
      <c r="AHB11" s="3"/>
    </row>
    <row r="12" s="338" customFormat="1" ht="26" customHeight="1" spans="1:886">
      <c r="A12" s="343">
        <v>8</v>
      </c>
      <c r="B12" s="344"/>
      <c r="C12" s="345" t="s">
        <v>122</v>
      </c>
      <c r="D12" s="350"/>
      <c r="E12" s="351"/>
      <c r="F12" s="343">
        <v>8</v>
      </c>
      <c r="G12" s="348" t="s">
        <v>409</v>
      </c>
      <c r="H12" s="349" t="s">
        <v>410</v>
      </c>
      <c r="I12" s="365" t="s">
        <v>126</v>
      </c>
      <c r="J12" s="365"/>
      <c r="K12" s="365"/>
      <c r="L12" s="365"/>
      <c r="M12" s="365"/>
      <c r="N12" s="366" t="s">
        <v>411</v>
      </c>
      <c r="O12" s="367"/>
      <c r="P12" s="368"/>
      <c r="Q12" s="368"/>
      <c r="R12" s="382" t="s">
        <v>132</v>
      </c>
      <c r="S12" s="383"/>
      <c r="T12" s="384"/>
      <c r="U12" s="384"/>
      <c r="V12" s="382" t="s">
        <v>132</v>
      </c>
      <c r="W12" s="384"/>
      <c r="X12" s="343" t="s">
        <v>131</v>
      </c>
      <c r="Y12" s="343" t="s">
        <v>131</v>
      </c>
      <c r="Z12" s="120">
        <f t="shared" si="0"/>
        <v>21</v>
      </c>
      <c r="AA12" s="305" t="str">
        <f t="shared" si="1"/>
        <v>00:21:00</v>
      </c>
      <c r="AB12" s="120">
        <f t="shared" si="2"/>
        <v>1260</v>
      </c>
      <c r="AC12" s="402">
        <v>0.0143634259259259</v>
      </c>
      <c r="AD12" s="401">
        <v>169</v>
      </c>
      <c r="AE12" s="401">
        <v>43</v>
      </c>
      <c r="AF12" s="343" t="s">
        <v>133</v>
      </c>
      <c r="AG12" s="3"/>
      <c r="AH12" s="74"/>
      <c r="AI12" s="76"/>
      <c r="AJ12" s="74"/>
      <c r="AK12" s="74"/>
      <c r="AL12" s="3"/>
      <c r="AM12" s="5"/>
      <c r="AN12" s="5"/>
      <c r="AO12" s="5"/>
      <c r="AP12" s="1"/>
      <c r="AQ12" s="1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  <c r="AAA12" s="3"/>
      <c r="AAB12" s="3"/>
      <c r="AAC12" s="3"/>
      <c r="AAD12" s="3"/>
      <c r="AAE12" s="3"/>
      <c r="AAF12" s="3"/>
      <c r="AAG12" s="3"/>
      <c r="AAH12" s="3"/>
      <c r="AAI12" s="3"/>
      <c r="AAJ12" s="3"/>
      <c r="AAK12" s="3"/>
      <c r="AAL12" s="3"/>
      <c r="AAM12" s="3"/>
      <c r="AAN12" s="3"/>
      <c r="AAO12" s="3"/>
      <c r="AAP12" s="3"/>
      <c r="AAQ12" s="3"/>
      <c r="AAR12" s="3"/>
      <c r="AAS12" s="3"/>
      <c r="AAT12" s="3"/>
      <c r="AAU12" s="3"/>
      <c r="AAV12" s="3"/>
      <c r="AAW12" s="3"/>
      <c r="AAX12" s="3"/>
      <c r="AAY12" s="3"/>
      <c r="AAZ12" s="3"/>
      <c r="ABA12" s="3"/>
      <c r="ABB12" s="3"/>
      <c r="ABC12" s="3"/>
      <c r="ABD12" s="3"/>
      <c r="ABE12" s="3"/>
      <c r="ABF12" s="3"/>
      <c r="ABG12" s="3"/>
      <c r="ABH12" s="3"/>
      <c r="ABI12" s="3"/>
      <c r="ABJ12" s="3"/>
      <c r="ABK12" s="3"/>
      <c r="ABL12" s="3"/>
      <c r="ABM12" s="3"/>
      <c r="ABN12" s="3"/>
      <c r="ABO12" s="3"/>
      <c r="ABP12" s="3"/>
      <c r="ABQ12" s="3"/>
      <c r="ABR12" s="3"/>
      <c r="ABS12" s="3"/>
      <c r="ABT12" s="3"/>
      <c r="ABU12" s="3"/>
      <c r="ABV12" s="3"/>
      <c r="ABW12" s="3"/>
      <c r="ABX12" s="3"/>
      <c r="ABY12" s="3"/>
      <c r="ABZ12" s="3"/>
      <c r="ACA12" s="3"/>
      <c r="ACB12" s="3"/>
      <c r="ACC12" s="3"/>
      <c r="ACD12" s="3"/>
      <c r="ACE12" s="3"/>
      <c r="ACF12" s="3"/>
      <c r="ACG12" s="3"/>
      <c r="ACH12" s="3"/>
      <c r="ACI12" s="3"/>
      <c r="ACJ12" s="3"/>
      <c r="ACK12" s="3"/>
      <c r="ACL12" s="3"/>
      <c r="ACM12" s="3"/>
      <c r="ACN12" s="3"/>
      <c r="ACO12" s="3"/>
      <c r="ACP12" s="3"/>
      <c r="ACQ12" s="3"/>
      <c r="ACR12" s="3"/>
      <c r="ACS12" s="3"/>
      <c r="ACT12" s="3"/>
      <c r="ACU12" s="3"/>
      <c r="ACV12" s="3"/>
      <c r="ACW12" s="3"/>
      <c r="ACX12" s="3"/>
      <c r="ACY12" s="3"/>
      <c r="ACZ12" s="3"/>
      <c r="ADA12" s="3"/>
      <c r="ADB12" s="3"/>
      <c r="ADC12" s="3"/>
      <c r="ADD12" s="3"/>
      <c r="ADE12" s="3"/>
      <c r="ADF12" s="3"/>
      <c r="ADG12" s="3"/>
      <c r="ADH12" s="3"/>
      <c r="ADI12" s="3"/>
      <c r="ADJ12" s="3"/>
      <c r="ADK12" s="3"/>
      <c r="ADL12" s="3"/>
      <c r="ADM12" s="3"/>
      <c r="ADN12" s="3"/>
      <c r="ADO12" s="3"/>
      <c r="ADP12" s="3"/>
      <c r="ADQ12" s="3"/>
      <c r="ADR12" s="3"/>
      <c r="ADS12" s="3"/>
      <c r="ADT12" s="3"/>
      <c r="ADU12" s="3"/>
      <c r="ADV12" s="3"/>
      <c r="ADW12" s="3"/>
      <c r="ADX12" s="3"/>
      <c r="ADY12" s="3"/>
      <c r="ADZ12" s="3"/>
      <c r="AEA12" s="3"/>
      <c r="AEB12" s="3"/>
      <c r="AEC12" s="3"/>
      <c r="AED12" s="3"/>
      <c r="AEE12" s="3"/>
      <c r="AEF12" s="3"/>
      <c r="AEG12" s="3"/>
      <c r="AEH12" s="3"/>
      <c r="AEI12" s="3"/>
      <c r="AEJ12" s="3"/>
      <c r="AEK12" s="3"/>
      <c r="AEL12" s="3"/>
      <c r="AEM12" s="3"/>
      <c r="AEN12" s="3"/>
      <c r="AEO12" s="3"/>
      <c r="AEP12" s="3"/>
      <c r="AEQ12" s="3"/>
      <c r="AER12" s="3"/>
      <c r="AES12" s="3"/>
      <c r="AET12" s="3"/>
      <c r="AEU12" s="3"/>
      <c r="AEV12" s="3"/>
      <c r="AEW12" s="3"/>
      <c r="AEX12" s="3"/>
      <c r="AEY12" s="3"/>
      <c r="AEZ12" s="3"/>
      <c r="AFA12" s="3"/>
      <c r="AFB12" s="3"/>
      <c r="AFC12" s="3"/>
      <c r="AFD12" s="3"/>
      <c r="AFE12" s="3"/>
      <c r="AFF12" s="3"/>
      <c r="AFG12" s="3"/>
      <c r="AFH12" s="3"/>
      <c r="AFI12" s="3"/>
      <c r="AFJ12" s="3"/>
      <c r="AFK12" s="3"/>
      <c r="AFL12" s="3"/>
      <c r="AFM12" s="3"/>
      <c r="AFN12" s="3"/>
      <c r="AFO12" s="3"/>
      <c r="AFP12" s="3"/>
      <c r="AFQ12" s="3"/>
      <c r="AFR12" s="3"/>
      <c r="AFS12" s="3"/>
      <c r="AFT12" s="3"/>
      <c r="AFU12" s="3"/>
      <c r="AFV12" s="3"/>
      <c r="AFW12" s="3"/>
      <c r="AFX12" s="3"/>
      <c r="AFY12" s="3"/>
      <c r="AFZ12" s="3"/>
      <c r="AGA12" s="3"/>
      <c r="AGB12" s="3"/>
      <c r="AGC12" s="3"/>
      <c r="AGD12" s="3"/>
      <c r="AGE12" s="3"/>
      <c r="AGF12" s="3"/>
      <c r="AGG12" s="3"/>
      <c r="AGH12" s="3"/>
      <c r="AGI12" s="3"/>
      <c r="AGJ12" s="3"/>
      <c r="AGK12" s="3"/>
      <c r="AGL12" s="3"/>
      <c r="AGM12" s="3"/>
      <c r="AGN12" s="3"/>
      <c r="AGO12" s="3"/>
      <c r="AGP12" s="3"/>
      <c r="AGQ12" s="3"/>
      <c r="AGR12" s="3"/>
      <c r="AGS12" s="3"/>
      <c r="AGT12" s="3"/>
      <c r="AGU12" s="3"/>
      <c r="AGV12" s="3"/>
      <c r="AGW12" s="3"/>
      <c r="AGX12" s="3"/>
      <c r="AGY12" s="3"/>
      <c r="AGZ12" s="3"/>
      <c r="AHA12" s="3"/>
      <c r="AHB12" s="3"/>
    </row>
    <row r="13" s="338" customFormat="1" ht="26" customHeight="1" spans="1:886">
      <c r="A13" s="343">
        <v>9</v>
      </c>
      <c r="B13" s="344"/>
      <c r="C13" s="345" t="s">
        <v>122</v>
      </c>
      <c r="D13" s="350"/>
      <c r="E13" s="351"/>
      <c r="F13" s="343">
        <v>9</v>
      </c>
      <c r="G13" s="348" t="s">
        <v>412</v>
      </c>
      <c r="H13" s="349" t="s">
        <v>413</v>
      </c>
      <c r="I13" s="365" t="s">
        <v>126</v>
      </c>
      <c r="J13" s="365" t="s">
        <v>126</v>
      </c>
      <c r="K13" s="365"/>
      <c r="L13" s="365"/>
      <c r="M13" s="365"/>
      <c r="N13" s="366" t="s">
        <v>414</v>
      </c>
      <c r="O13" s="367"/>
      <c r="P13" s="368"/>
      <c r="Q13" s="368"/>
      <c r="R13" s="382" t="s">
        <v>132</v>
      </c>
      <c r="S13" s="383"/>
      <c r="T13" s="384"/>
      <c r="U13" s="384"/>
      <c r="V13" s="382" t="s">
        <v>132</v>
      </c>
      <c r="W13" s="384"/>
      <c r="X13" s="343" t="s">
        <v>131</v>
      </c>
      <c r="Y13" s="343" t="s">
        <v>131</v>
      </c>
      <c r="Z13" s="120">
        <f t="shared" si="0"/>
        <v>46</v>
      </c>
      <c r="AA13" s="305" t="str">
        <f t="shared" si="1"/>
        <v>00:46:00</v>
      </c>
      <c r="AB13" s="120">
        <f t="shared" si="2"/>
        <v>2760</v>
      </c>
      <c r="AC13" s="402">
        <v>0.0317592592592593</v>
      </c>
      <c r="AD13" s="401">
        <v>169</v>
      </c>
      <c r="AE13" s="401">
        <v>43</v>
      </c>
      <c r="AF13" s="343" t="s">
        <v>133</v>
      </c>
      <c r="AG13" s="3"/>
      <c r="AH13" s="74"/>
      <c r="AI13" s="76"/>
      <c r="AJ13" s="74"/>
      <c r="AK13" s="74"/>
      <c r="AL13" s="3"/>
      <c r="AM13" s="5"/>
      <c r="AN13" s="5"/>
      <c r="AO13" s="5"/>
      <c r="AP13" s="1"/>
      <c r="AQ13" s="1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  <c r="AAA13" s="3"/>
      <c r="AAB13" s="3"/>
      <c r="AAC13" s="3"/>
      <c r="AAD13" s="3"/>
      <c r="AAE13" s="3"/>
      <c r="AAF13" s="3"/>
      <c r="AAG13" s="3"/>
      <c r="AAH13" s="3"/>
      <c r="AAI13" s="3"/>
      <c r="AAJ13" s="3"/>
      <c r="AAK13" s="3"/>
      <c r="AAL13" s="3"/>
      <c r="AAM13" s="3"/>
      <c r="AAN13" s="3"/>
      <c r="AAO13" s="3"/>
      <c r="AAP13" s="3"/>
      <c r="AAQ13" s="3"/>
      <c r="AAR13" s="3"/>
      <c r="AAS13" s="3"/>
      <c r="AAT13" s="3"/>
      <c r="AAU13" s="3"/>
      <c r="AAV13" s="3"/>
      <c r="AAW13" s="3"/>
      <c r="AAX13" s="3"/>
      <c r="AAY13" s="3"/>
      <c r="AAZ13" s="3"/>
      <c r="ABA13" s="3"/>
      <c r="ABB13" s="3"/>
      <c r="ABC13" s="3"/>
      <c r="ABD13" s="3"/>
      <c r="ABE13" s="3"/>
      <c r="ABF13" s="3"/>
      <c r="ABG13" s="3"/>
      <c r="ABH13" s="3"/>
      <c r="ABI13" s="3"/>
      <c r="ABJ13" s="3"/>
      <c r="ABK13" s="3"/>
      <c r="ABL13" s="3"/>
      <c r="ABM13" s="3"/>
      <c r="ABN13" s="3"/>
      <c r="ABO13" s="3"/>
      <c r="ABP13" s="3"/>
      <c r="ABQ13" s="3"/>
      <c r="ABR13" s="3"/>
      <c r="ABS13" s="3"/>
      <c r="ABT13" s="3"/>
      <c r="ABU13" s="3"/>
      <c r="ABV13" s="3"/>
      <c r="ABW13" s="3"/>
      <c r="ABX13" s="3"/>
      <c r="ABY13" s="3"/>
      <c r="ABZ13" s="3"/>
      <c r="ACA13" s="3"/>
      <c r="ACB13" s="3"/>
      <c r="ACC13" s="3"/>
      <c r="ACD13" s="3"/>
      <c r="ACE13" s="3"/>
      <c r="ACF13" s="3"/>
      <c r="ACG13" s="3"/>
      <c r="ACH13" s="3"/>
      <c r="ACI13" s="3"/>
      <c r="ACJ13" s="3"/>
      <c r="ACK13" s="3"/>
      <c r="ACL13" s="3"/>
      <c r="ACM13" s="3"/>
      <c r="ACN13" s="3"/>
      <c r="ACO13" s="3"/>
      <c r="ACP13" s="3"/>
      <c r="ACQ13" s="3"/>
      <c r="ACR13" s="3"/>
      <c r="ACS13" s="3"/>
      <c r="ACT13" s="3"/>
      <c r="ACU13" s="3"/>
      <c r="ACV13" s="3"/>
      <c r="ACW13" s="3"/>
      <c r="ACX13" s="3"/>
      <c r="ACY13" s="3"/>
      <c r="ACZ13" s="3"/>
      <c r="ADA13" s="3"/>
      <c r="ADB13" s="3"/>
      <c r="ADC13" s="3"/>
      <c r="ADD13" s="3"/>
      <c r="ADE13" s="3"/>
      <c r="ADF13" s="3"/>
      <c r="ADG13" s="3"/>
      <c r="ADH13" s="3"/>
      <c r="ADI13" s="3"/>
      <c r="ADJ13" s="3"/>
      <c r="ADK13" s="3"/>
      <c r="ADL13" s="3"/>
      <c r="ADM13" s="3"/>
      <c r="ADN13" s="3"/>
      <c r="ADO13" s="3"/>
      <c r="ADP13" s="3"/>
      <c r="ADQ13" s="3"/>
      <c r="ADR13" s="3"/>
      <c r="ADS13" s="3"/>
      <c r="ADT13" s="3"/>
      <c r="ADU13" s="3"/>
      <c r="ADV13" s="3"/>
      <c r="ADW13" s="3"/>
      <c r="ADX13" s="3"/>
      <c r="ADY13" s="3"/>
      <c r="ADZ13" s="3"/>
      <c r="AEA13" s="3"/>
      <c r="AEB13" s="3"/>
      <c r="AEC13" s="3"/>
      <c r="AED13" s="3"/>
      <c r="AEE13" s="3"/>
      <c r="AEF13" s="3"/>
      <c r="AEG13" s="3"/>
      <c r="AEH13" s="3"/>
      <c r="AEI13" s="3"/>
      <c r="AEJ13" s="3"/>
      <c r="AEK13" s="3"/>
      <c r="AEL13" s="3"/>
      <c r="AEM13" s="3"/>
      <c r="AEN13" s="3"/>
      <c r="AEO13" s="3"/>
      <c r="AEP13" s="3"/>
      <c r="AEQ13" s="3"/>
      <c r="AER13" s="3"/>
      <c r="AES13" s="3"/>
      <c r="AET13" s="3"/>
      <c r="AEU13" s="3"/>
      <c r="AEV13" s="3"/>
      <c r="AEW13" s="3"/>
      <c r="AEX13" s="3"/>
      <c r="AEY13" s="3"/>
      <c r="AEZ13" s="3"/>
      <c r="AFA13" s="3"/>
      <c r="AFB13" s="3"/>
      <c r="AFC13" s="3"/>
      <c r="AFD13" s="3"/>
      <c r="AFE13" s="3"/>
      <c r="AFF13" s="3"/>
      <c r="AFG13" s="3"/>
      <c r="AFH13" s="3"/>
      <c r="AFI13" s="3"/>
      <c r="AFJ13" s="3"/>
      <c r="AFK13" s="3"/>
      <c r="AFL13" s="3"/>
      <c r="AFM13" s="3"/>
      <c r="AFN13" s="3"/>
      <c r="AFO13" s="3"/>
      <c r="AFP13" s="3"/>
      <c r="AFQ13" s="3"/>
      <c r="AFR13" s="3"/>
      <c r="AFS13" s="3"/>
      <c r="AFT13" s="3"/>
      <c r="AFU13" s="3"/>
      <c r="AFV13" s="3"/>
      <c r="AFW13" s="3"/>
      <c r="AFX13" s="3"/>
      <c r="AFY13" s="3"/>
      <c r="AFZ13" s="3"/>
      <c r="AGA13" s="3"/>
      <c r="AGB13" s="3"/>
      <c r="AGC13" s="3"/>
      <c r="AGD13" s="3"/>
      <c r="AGE13" s="3"/>
      <c r="AGF13" s="3"/>
      <c r="AGG13" s="3"/>
      <c r="AGH13" s="3"/>
      <c r="AGI13" s="3"/>
      <c r="AGJ13" s="3"/>
      <c r="AGK13" s="3"/>
      <c r="AGL13" s="3"/>
      <c r="AGM13" s="3"/>
      <c r="AGN13" s="3"/>
      <c r="AGO13" s="3"/>
      <c r="AGP13" s="3"/>
      <c r="AGQ13" s="3"/>
      <c r="AGR13" s="3"/>
      <c r="AGS13" s="3"/>
      <c r="AGT13" s="3"/>
      <c r="AGU13" s="3"/>
      <c r="AGV13" s="3"/>
      <c r="AGW13" s="3"/>
      <c r="AGX13" s="3"/>
      <c r="AGY13" s="3"/>
      <c r="AGZ13" s="3"/>
      <c r="AHA13" s="3"/>
      <c r="AHB13" s="3"/>
    </row>
    <row r="14" s="338" customFormat="1" ht="26" customHeight="1" spans="1:886">
      <c r="A14" s="343">
        <v>10</v>
      </c>
      <c r="B14" s="344"/>
      <c r="C14" s="345" t="s">
        <v>122</v>
      </c>
      <c r="D14" s="350"/>
      <c r="E14" s="351"/>
      <c r="F14" s="343">
        <v>10</v>
      </c>
      <c r="G14" s="348" t="s">
        <v>415</v>
      </c>
      <c r="H14" s="349" t="s">
        <v>416</v>
      </c>
      <c r="I14" s="365" t="s">
        <v>126</v>
      </c>
      <c r="J14" s="365" t="s">
        <v>126</v>
      </c>
      <c r="K14" s="365"/>
      <c r="L14" s="365"/>
      <c r="M14" s="365"/>
      <c r="N14" s="366" t="s">
        <v>417</v>
      </c>
      <c r="O14" s="367"/>
      <c r="P14" s="368"/>
      <c r="Q14" s="368"/>
      <c r="R14" s="382" t="s">
        <v>132</v>
      </c>
      <c r="S14" s="383"/>
      <c r="T14" s="384"/>
      <c r="U14" s="384"/>
      <c r="V14" s="382" t="s">
        <v>132</v>
      </c>
      <c r="W14" s="384"/>
      <c r="X14" s="343" t="s">
        <v>131</v>
      </c>
      <c r="Y14" s="343" t="s">
        <v>131</v>
      </c>
      <c r="Z14" s="120">
        <f t="shared" si="0"/>
        <v>47</v>
      </c>
      <c r="AA14" s="305" t="str">
        <f t="shared" si="1"/>
        <v>00:47:00</v>
      </c>
      <c r="AB14" s="120">
        <f t="shared" si="2"/>
        <v>2820</v>
      </c>
      <c r="AC14" s="402">
        <v>0.0327546296296296</v>
      </c>
      <c r="AD14" s="401">
        <v>169</v>
      </c>
      <c r="AE14" s="401">
        <v>43</v>
      </c>
      <c r="AF14" s="343" t="s">
        <v>133</v>
      </c>
      <c r="AG14" s="3"/>
      <c r="AH14" s="74"/>
      <c r="AI14" s="76"/>
      <c r="AJ14" s="74"/>
      <c r="AK14" s="74"/>
      <c r="AL14" s="3"/>
      <c r="AM14" s="5"/>
      <c r="AN14" s="5"/>
      <c r="AO14" s="5"/>
      <c r="AP14" s="1"/>
      <c r="AQ14" s="1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  <c r="AAA14" s="3"/>
      <c r="AAB14" s="3"/>
      <c r="AAC14" s="3"/>
      <c r="AAD14" s="3"/>
      <c r="AAE14" s="3"/>
      <c r="AAF14" s="3"/>
      <c r="AAG14" s="3"/>
      <c r="AAH14" s="3"/>
      <c r="AAI14" s="3"/>
      <c r="AAJ14" s="3"/>
      <c r="AAK14" s="3"/>
      <c r="AAL14" s="3"/>
      <c r="AAM14" s="3"/>
      <c r="AAN14" s="3"/>
      <c r="AAO14" s="3"/>
      <c r="AAP14" s="3"/>
      <c r="AAQ14" s="3"/>
      <c r="AAR14" s="3"/>
      <c r="AAS14" s="3"/>
      <c r="AAT14" s="3"/>
      <c r="AAU14" s="3"/>
      <c r="AAV14" s="3"/>
      <c r="AAW14" s="3"/>
      <c r="AAX14" s="3"/>
      <c r="AAY14" s="3"/>
      <c r="AAZ14" s="3"/>
      <c r="ABA14" s="3"/>
      <c r="ABB14" s="3"/>
      <c r="ABC14" s="3"/>
      <c r="ABD14" s="3"/>
      <c r="ABE14" s="3"/>
      <c r="ABF14" s="3"/>
      <c r="ABG14" s="3"/>
      <c r="ABH14" s="3"/>
      <c r="ABI14" s="3"/>
      <c r="ABJ14" s="3"/>
      <c r="ABK14" s="3"/>
      <c r="ABL14" s="3"/>
      <c r="ABM14" s="3"/>
      <c r="ABN14" s="3"/>
      <c r="ABO14" s="3"/>
      <c r="ABP14" s="3"/>
      <c r="ABQ14" s="3"/>
      <c r="ABR14" s="3"/>
      <c r="ABS14" s="3"/>
      <c r="ABT14" s="3"/>
      <c r="ABU14" s="3"/>
      <c r="ABV14" s="3"/>
      <c r="ABW14" s="3"/>
      <c r="ABX14" s="3"/>
      <c r="ABY14" s="3"/>
      <c r="ABZ14" s="3"/>
      <c r="ACA14" s="3"/>
      <c r="ACB14" s="3"/>
      <c r="ACC14" s="3"/>
      <c r="ACD14" s="3"/>
      <c r="ACE14" s="3"/>
      <c r="ACF14" s="3"/>
      <c r="ACG14" s="3"/>
      <c r="ACH14" s="3"/>
      <c r="ACI14" s="3"/>
      <c r="ACJ14" s="3"/>
      <c r="ACK14" s="3"/>
      <c r="ACL14" s="3"/>
      <c r="ACM14" s="3"/>
      <c r="ACN14" s="3"/>
      <c r="ACO14" s="3"/>
      <c r="ACP14" s="3"/>
      <c r="ACQ14" s="3"/>
      <c r="ACR14" s="3"/>
      <c r="ACS14" s="3"/>
      <c r="ACT14" s="3"/>
      <c r="ACU14" s="3"/>
      <c r="ACV14" s="3"/>
      <c r="ACW14" s="3"/>
      <c r="ACX14" s="3"/>
      <c r="ACY14" s="3"/>
      <c r="ACZ14" s="3"/>
      <c r="ADA14" s="3"/>
      <c r="ADB14" s="3"/>
      <c r="ADC14" s="3"/>
      <c r="ADD14" s="3"/>
      <c r="ADE14" s="3"/>
      <c r="ADF14" s="3"/>
      <c r="ADG14" s="3"/>
      <c r="ADH14" s="3"/>
      <c r="ADI14" s="3"/>
      <c r="ADJ14" s="3"/>
      <c r="ADK14" s="3"/>
      <c r="ADL14" s="3"/>
      <c r="ADM14" s="3"/>
      <c r="ADN14" s="3"/>
      <c r="ADO14" s="3"/>
      <c r="ADP14" s="3"/>
      <c r="ADQ14" s="3"/>
      <c r="ADR14" s="3"/>
      <c r="ADS14" s="3"/>
      <c r="ADT14" s="3"/>
      <c r="ADU14" s="3"/>
      <c r="ADV14" s="3"/>
      <c r="ADW14" s="3"/>
      <c r="ADX14" s="3"/>
      <c r="ADY14" s="3"/>
      <c r="ADZ14" s="3"/>
      <c r="AEA14" s="3"/>
      <c r="AEB14" s="3"/>
      <c r="AEC14" s="3"/>
      <c r="AED14" s="3"/>
      <c r="AEE14" s="3"/>
      <c r="AEF14" s="3"/>
      <c r="AEG14" s="3"/>
      <c r="AEH14" s="3"/>
      <c r="AEI14" s="3"/>
      <c r="AEJ14" s="3"/>
      <c r="AEK14" s="3"/>
      <c r="AEL14" s="3"/>
      <c r="AEM14" s="3"/>
      <c r="AEN14" s="3"/>
      <c r="AEO14" s="3"/>
      <c r="AEP14" s="3"/>
      <c r="AEQ14" s="3"/>
      <c r="AER14" s="3"/>
      <c r="AES14" s="3"/>
      <c r="AET14" s="3"/>
      <c r="AEU14" s="3"/>
      <c r="AEV14" s="3"/>
      <c r="AEW14" s="3"/>
      <c r="AEX14" s="3"/>
      <c r="AEY14" s="3"/>
      <c r="AEZ14" s="3"/>
      <c r="AFA14" s="3"/>
      <c r="AFB14" s="3"/>
      <c r="AFC14" s="3"/>
      <c r="AFD14" s="3"/>
      <c r="AFE14" s="3"/>
      <c r="AFF14" s="3"/>
      <c r="AFG14" s="3"/>
      <c r="AFH14" s="3"/>
      <c r="AFI14" s="3"/>
      <c r="AFJ14" s="3"/>
      <c r="AFK14" s="3"/>
      <c r="AFL14" s="3"/>
      <c r="AFM14" s="3"/>
      <c r="AFN14" s="3"/>
      <c r="AFO14" s="3"/>
      <c r="AFP14" s="3"/>
      <c r="AFQ14" s="3"/>
      <c r="AFR14" s="3"/>
      <c r="AFS14" s="3"/>
      <c r="AFT14" s="3"/>
      <c r="AFU14" s="3"/>
      <c r="AFV14" s="3"/>
      <c r="AFW14" s="3"/>
      <c r="AFX14" s="3"/>
      <c r="AFY14" s="3"/>
      <c r="AFZ14" s="3"/>
      <c r="AGA14" s="3"/>
      <c r="AGB14" s="3"/>
      <c r="AGC14" s="3"/>
      <c r="AGD14" s="3"/>
      <c r="AGE14" s="3"/>
      <c r="AGF14" s="3"/>
      <c r="AGG14" s="3"/>
      <c r="AGH14" s="3"/>
      <c r="AGI14" s="3"/>
      <c r="AGJ14" s="3"/>
      <c r="AGK14" s="3"/>
      <c r="AGL14" s="3"/>
      <c r="AGM14" s="3"/>
      <c r="AGN14" s="3"/>
      <c r="AGO14" s="3"/>
      <c r="AGP14" s="3"/>
      <c r="AGQ14" s="3"/>
      <c r="AGR14" s="3"/>
      <c r="AGS14" s="3"/>
      <c r="AGT14" s="3"/>
      <c r="AGU14" s="3"/>
      <c r="AGV14" s="3"/>
      <c r="AGW14" s="3"/>
      <c r="AGX14" s="3"/>
      <c r="AGY14" s="3"/>
      <c r="AGZ14" s="3"/>
      <c r="AHA14" s="3"/>
      <c r="AHB14" s="3"/>
    </row>
    <row r="15" s="338" customFormat="1" ht="26" customHeight="1" spans="1:886">
      <c r="A15" s="343">
        <v>11</v>
      </c>
      <c r="B15" s="344"/>
      <c r="C15" s="345" t="s">
        <v>122</v>
      </c>
      <c r="D15" s="350"/>
      <c r="E15" s="351"/>
      <c r="F15" s="343">
        <v>11</v>
      </c>
      <c r="G15" s="348" t="s">
        <v>418</v>
      </c>
      <c r="H15" s="349" t="s">
        <v>419</v>
      </c>
      <c r="I15" s="365" t="s">
        <v>126</v>
      </c>
      <c r="J15" s="365" t="s">
        <v>126</v>
      </c>
      <c r="K15" s="365"/>
      <c r="L15" s="365"/>
      <c r="M15" s="365"/>
      <c r="N15" s="366" t="s">
        <v>420</v>
      </c>
      <c r="O15" s="367"/>
      <c r="P15" s="368"/>
      <c r="Q15" s="368"/>
      <c r="R15" s="382" t="s">
        <v>132</v>
      </c>
      <c r="S15" s="383"/>
      <c r="T15" s="384"/>
      <c r="U15" s="384"/>
      <c r="V15" s="382" t="s">
        <v>132</v>
      </c>
      <c r="W15" s="384"/>
      <c r="X15" s="343" t="s">
        <v>131</v>
      </c>
      <c r="Y15" s="343" t="s">
        <v>131</v>
      </c>
      <c r="Z15" s="120">
        <f t="shared" si="0"/>
        <v>14</v>
      </c>
      <c r="AA15" s="305" t="str">
        <f t="shared" si="1"/>
        <v>00:14:00</v>
      </c>
      <c r="AB15" s="120">
        <f t="shared" si="2"/>
        <v>840</v>
      </c>
      <c r="AC15" s="402">
        <v>0.00952546296296296</v>
      </c>
      <c r="AD15" s="401">
        <v>169</v>
      </c>
      <c r="AE15" s="401">
        <v>43</v>
      </c>
      <c r="AF15" s="343" t="s">
        <v>133</v>
      </c>
      <c r="AG15" s="3"/>
      <c r="AH15" s="74"/>
      <c r="AI15" s="76"/>
      <c r="AJ15" s="74"/>
      <c r="AK15" s="74"/>
      <c r="AL15" s="3"/>
      <c r="AM15" s="5"/>
      <c r="AN15" s="5"/>
      <c r="AO15" s="5"/>
      <c r="AP15" s="1"/>
      <c r="AQ15" s="1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  <c r="AAA15" s="3"/>
      <c r="AAB15" s="3"/>
      <c r="AAC15" s="3"/>
      <c r="AAD15" s="3"/>
      <c r="AAE15" s="3"/>
      <c r="AAF15" s="3"/>
      <c r="AAG15" s="3"/>
      <c r="AAH15" s="3"/>
      <c r="AAI15" s="3"/>
      <c r="AAJ15" s="3"/>
      <c r="AAK15" s="3"/>
      <c r="AAL15" s="3"/>
      <c r="AAM15" s="3"/>
      <c r="AAN15" s="3"/>
      <c r="AAO15" s="3"/>
      <c r="AAP15" s="3"/>
      <c r="AAQ15" s="3"/>
      <c r="AAR15" s="3"/>
      <c r="AAS15" s="3"/>
      <c r="AAT15" s="3"/>
      <c r="AAU15" s="3"/>
      <c r="AAV15" s="3"/>
      <c r="AAW15" s="3"/>
      <c r="AAX15" s="3"/>
      <c r="AAY15" s="3"/>
      <c r="AAZ15" s="3"/>
      <c r="ABA15" s="3"/>
      <c r="ABB15" s="3"/>
      <c r="ABC15" s="3"/>
      <c r="ABD15" s="3"/>
      <c r="ABE15" s="3"/>
      <c r="ABF15" s="3"/>
      <c r="ABG15" s="3"/>
      <c r="ABH15" s="3"/>
      <c r="ABI15" s="3"/>
      <c r="ABJ15" s="3"/>
      <c r="ABK15" s="3"/>
      <c r="ABL15" s="3"/>
      <c r="ABM15" s="3"/>
      <c r="ABN15" s="3"/>
      <c r="ABO15" s="3"/>
      <c r="ABP15" s="3"/>
      <c r="ABQ15" s="3"/>
      <c r="ABR15" s="3"/>
      <c r="ABS15" s="3"/>
      <c r="ABT15" s="3"/>
      <c r="ABU15" s="3"/>
      <c r="ABV15" s="3"/>
      <c r="ABW15" s="3"/>
      <c r="ABX15" s="3"/>
      <c r="ABY15" s="3"/>
      <c r="ABZ15" s="3"/>
      <c r="ACA15" s="3"/>
      <c r="ACB15" s="3"/>
      <c r="ACC15" s="3"/>
      <c r="ACD15" s="3"/>
      <c r="ACE15" s="3"/>
      <c r="ACF15" s="3"/>
      <c r="ACG15" s="3"/>
      <c r="ACH15" s="3"/>
      <c r="ACI15" s="3"/>
      <c r="ACJ15" s="3"/>
      <c r="ACK15" s="3"/>
      <c r="ACL15" s="3"/>
      <c r="ACM15" s="3"/>
      <c r="ACN15" s="3"/>
      <c r="ACO15" s="3"/>
      <c r="ACP15" s="3"/>
      <c r="ACQ15" s="3"/>
      <c r="ACR15" s="3"/>
      <c r="ACS15" s="3"/>
      <c r="ACT15" s="3"/>
      <c r="ACU15" s="3"/>
      <c r="ACV15" s="3"/>
      <c r="ACW15" s="3"/>
      <c r="ACX15" s="3"/>
      <c r="ACY15" s="3"/>
      <c r="ACZ15" s="3"/>
      <c r="ADA15" s="3"/>
      <c r="ADB15" s="3"/>
      <c r="ADC15" s="3"/>
      <c r="ADD15" s="3"/>
      <c r="ADE15" s="3"/>
      <c r="ADF15" s="3"/>
      <c r="ADG15" s="3"/>
      <c r="ADH15" s="3"/>
      <c r="ADI15" s="3"/>
      <c r="ADJ15" s="3"/>
      <c r="ADK15" s="3"/>
      <c r="ADL15" s="3"/>
      <c r="ADM15" s="3"/>
      <c r="ADN15" s="3"/>
      <c r="ADO15" s="3"/>
      <c r="ADP15" s="3"/>
      <c r="ADQ15" s="3"/>
      <c r="ADR15" s="3"/>
      <c r="ADS15" s="3"/>
      <c r="ADT15" s="3"/>
      <c r="ADU15" s="3"/>
      <c r="ADV15" s="3"/>
      <c r="ADW15" s="3"/>
      <c r="ADX15" s="3"/>
      <c r="ADY15" s="3"/>
      <c r="ADZ15" s="3"/>
      <c r="AEA15" s="3"/>
      <c r="AEB15" s="3"/>
      <c r="AEC15" s="3"/>
      <c r="AED15" s="3"/>
      <c r="AEE15" s="3"/>
      <c r="AEF15" s="3"/>
      <c r="AEG15" s="3"/>
      <c r="AEH15" s="3"/>
      <c r="AEI15" s="3"/>
      <c r="AEJ15" s="3"/>
      <c r="AEK15" s="3"/>
      <c r="AEL15" s="3"/>
      <c r="AEM15" s="3"/>
      <c r="AEN15" s="3"/>
      <c r="AEO15" s="3"/>
      <c r="AEP15" s="3"/>
      <c r="AEQ15" s="3"/>
      <c r="AER15" s="3"/>
      <c r="AES15" s="3"/>
      <c r="AET15" s="3"/>
      <c r="AEU15" s="3"/>
      <c r="AEV15" s="3"/>
      <c r="AEW15" s="3"/>
      <c r="AEX15" s="3"/>
      <c r="AEY15" s="3"/>
      <c r="AEZ15" s="3"/>
      <c r="AFA15" s="3"/>
      <c r="AFB15" s="3"/>
      <c r="AFC15" s="3"/>
      <c r="AFD15" s="3"/>
      <c r="AFE15" s="3"/>
      <c r="AFF15" s="3"/>
      <c r="AFG15" s="3"/>
      <c r="AFH15" s="3"/>
      <c r="AFI15" s="3"/>
      <c r="AFJ15" s="3"/>
      <c r="AFK15" s="3"/>
      <c r="AFL15" s="3"/>
      <c r="AFM15" s="3"/>
      <c r="AFN15" s="3"/>
      <c r="AFO15" s="3"/>
      <c r="AFP15" s="3"/>
      <c r="AFQ15" s="3"/>
      <c r="AFR15" s="3"/>
      <c r="AFS15" s="3"/>
      <c r="AFT15" s="3"/>
      <c r="AFU15" s="3"/>
      <c r="AFV15" s="3"/>
      <c r="AFW15" s="3"/>
      <c r="AFX15" s="3"/>
      <c r="AFY15" s="3"/>
      <c r="AFZ15" s="3"/>
      <c r="AGA15" s="3"/>
      <c r="AGB15" s="3"/>
      <c r="AGC15" s="3"/>
      <c r="AGD15" s="3"/>
      <c r="AGE15" s="3"/>
      <c r="AGF15" s="3"/>
      <c r="AGG15" s="3"/>
      <c r="AGH15" s="3"/>
      <c r="AGI15" s="3"/>
      <c r="AGJ15" s="3"/>
      <c r="AGK15" s="3"/>
      <c r="AGL15" s="3"/>
      <c r="AGM15" s="3"/>
      <c r="AGN15" s="3"/>
      <c r="AGO15" s="3"/>
      <c r="AGP15" s="3"/>
      <c r="AGQ15" s="3"/>
      <c r="AGR15" s="3"/>
      <c r="AGS15" s="3"/>
      <c r="AGT15" s="3"/>
      <c r="AGU15" s="3"/>
      <c r="AGV15" s="3"/>
      <c r="AGW15" s="3"/>
      <c r="AGX15" s="3"/>
      <c r="AGY15" s="3"/>
      <c r="AGZ15" s="3"/>
      <c r="AHA15" s="3"/>
      <c r="AHB15" s="3"/>
    </row>
    <row r="16" s="338" customFormat="1" ht="26" customHeight="1" spans="1:886">
      <c r="A16" s="343">
        <v>12</v>
      </c>
      <c r="B16" s="344"/>
      <c r="C16" s="345" t="s">
        <v>122</v>
      </c>
      <c r="D16" s="350"/>
      <c r="E16" s="351"/>
      <c r="F16" s="343">
        <v>12</v>
      </c>
      <c r="G16" s="348" t="s">
        <v>421</v>
      </c>
      <c r="H16" s="349" t="s">
        <v>422</v>
      </c>
      <c r="I16" s="365" t="s">
        <v>126</v>
      </c>
      <c r="J16" s="365" t="s">
        <v>126</v>
      </c>
      <c r="K16" s="365"/>
      <c r="L16" s="365"/>
      <c r="M16" s="365"/>
      <c r="N16" s="366" t="s">
        <v>423</v>
      </c>
      <c r="O16" s="367"/>
      <c r="P16" s="368"/>
      <c r="Q16" s="368"/>
      <c r="R16" s="382" t="s">
        <v>132</v>
      </c>
      <c r="S16" s="383"/>
      <c r="T16" s="384"/>
      <c r="U16" s="384"/>
      <c r="V16" s="382" t="s">
        <v>132</v>
      </c>
      <c r="W16" s="384"/>
      <c r="X16" s="343" t="s">
        <v>131</v>
      </c>
      <c r="Y16" s="343" t="s">
        <v>131</v>
      </c>
      <c r="Z16" s="120">
        <f t="shared" si="0"/>
        <v>21</v>
      </c>
      <c r="AA16" s="305" t="str">
        <f t="shared" si="1"/>
        <v>00:21:00</v>
      </c>
      <c r="AB16" s="120">
        <f t="shared" si="2"/>
        <v>1260</v>
      </c>
      <c r="AC16" s="402">
        <v>0.0143171296296296</v>
      </c>
      <c r="AD16" s="401">
        <v>169</v>
      </c>
      <c r="AE16" s="401">
        <v>43</v>
      </c>
      <c r="AF16" s="343" t="s">
        <v>133</v>
      </c>
      <c r="AG16" s="3"/>
      <c r="AH16" s="74"/>
      <c r="AI16" s="76"/>
      <c r="AJ16" s="74"/>
      <c r="AK16" s="74"/>
      <c r="AL16" s="3"/>
      <c r="AM16" s="5"/>
      <c r="AN16" s="5"/>
      <c r="AO16" s="5"/>
      <c r="AP16" s="1"/>
      <c r="AQ16" s="1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  <c r="AAA16" s="3"/>
      <c r="AAB16" s="3"/>
      <c r="AAC16" s="3"/>
      <c r="AAD16" s="3"/>
      <c r="AAE16" s="3"/>
      <c r="AAF16" s="3"/>
      <c r="AAG16" s="3"/>
      <c r="AAH16" s="3"/>
      <c r="AAI16" s="3"/>
      <c r="AAJ16" s="3"/>
      <c r="AAK16" s="3"/>
      <c r="AAL16" s="3"/>
      <c r="AAM16" s="3"/>
      <c r="AAN16" s="3"/>
      <c r="AAO16" s="3"/>
      <c r="AAP16" s="3"/>
      <c r="AAQ16" s="3"/>
      <c r="AAR16" s="3"/>
      <c r="AAS16" s="3"/>
      <c r="AAT16" s="3"/>
      <c r="AAU16" s="3"/>
      <c r="AAV16" s="3"/>
      <c r="AAW16" s="3"/>
      <c r="AAX16" s="3"/>
      <c r="AAY16" s="3"/>
      <c r="AAZ16" s="3"/>
      <c r="ABA16" s="3"/>
      <c r="ABB16" s="3"/>
      <c r="ABC16" s="3"/>
      <c r="ABD16" s="3"/>
      <c r="ABE16" s="3"/>
      <c r="ABF16" s="3"/>
      <c r="ABG16" s="3"/>
      <c r="ABH16" s="3"/>
      <c r="ABI16" s="3"/>
      <c r="ABJ16" s="3"/>
      <c r="ABK16" s="3"/>
      <c r="ABL16" s="3"/>
      <c r="ABM16" s="3"/>
      <c r="ABN16" s="3"/>
      <c r="ABO16" s="3"/>
      <c r="ABP16" s="3"/>
      <c r="ABQ16" s="3"/>
      <c r="ABR16" s="3"/>
      <c r="ABS16" s="3"/>
      <c r="ABT16" s="3"/>
      <c r="ABU16" s="3"/>
      <c r="ABV16" s="3"/>
      <c r="ABW16" s="3"/>
      <c r="ABX16" s="3"/>
      <c r="ABY16" s="3"/>
      <c r="ABZ16" s="3"/>
      <c r="ACA16" s="3"/>
      <c r="ACB16" s="3"/>
      <c r="ACC16" s="3"/>
      <c r="ACD16" s="3"/>
      <c r="ACE16" s="3"/>
      <c r="ACF16" s="3"/>
      <c r="ACG16" s="3"/>
      <c r="ACH16" s="3"/>
      <c r="ACI16" s="3"/>
      <c r="ACJ16" s="3"/>
      <c r="ACK16" s="3"/>
      <c r="ACL16" s="3"/>
      <c r="ACM16" s="3"/>
      <c r="ACN16" s="3"/>
      <c r="ACO16" s="3"/>
      <c r="ACP16" s="3"/>
      <c r="ACQ16" s="3"/>
      <c r="ACR16" s="3"/>
      <c r="ACS16" s="3"/>
      <c r="ACT16" s="3"/>
      <c r="ACU16" s="3"/>
      <c r="ACV16" s="3"/>
      <c r="ACW16" s="3"/>
      <c r="ACX16" s="3"/>
      <c r="ACY16" s="3"/>
      <c r="ACZ16" s="3"/>
      <c r="ADA16" s="3"/>
      <c r="ADB16" s="3"/>
      <c r="ADC16" s="3"/>
      <c r="ADD16" s="3"/>
      <c r="ADE16" s="3"/>
      <c r="ADF16" s="3"/>
      <c r="ADG16" s="3"/>
      <c r="ADH16" s="3"/>
      <c r="ADI16" s="3"/>
      <c r="ADJ16" s="3"/>
      <c r="ADK16" s="3"/>
      <c r="ADL16" s="3"/>
      <c r="ADM16" s="3"/>
      <c r="ADN16" s="3"/>
      <c r="ADO16" s="3"/>
      <c r="ADP16" s="3"/>
      <c r="ADQ16" s="3"/>
      <c r="ADR16" s="3"/>
      <c r="ADS16" s="3"/>
      <c r="ADT16" s="3"/>
      <c r="ADU16" s="3"/>
      <c r="ADV16" s="3"/>
      <c r="ADW16" s="3"/>
      <c r="ADX16" s="3"/>
      <c r="ADY16" s="3"/>
      <c r="ADZ16" s="3"/>
      <c r="AEA16" s="3"/>
      <c r="AEB16" s="3"/>
      <c r="AEC16" s="3"/>
      <c r="AED16" s="3"/>
      <c r="AEE16" s="3"/>
      <c r="AEF16" s="3"/>
      <c r="AEG16" s="3"/>
      <c r="AEH16" s="3"/>
      <c r="AEI16" s="3"/>
      <c r="AEJ16" s="3"/>
      <c r="AEK16" s="3"/>
      <c r="AEL16" s="3"/>
      <c r="AEM16" s="3"/>
      <c r="AEN16" s="3"/>
      <c r="AEO16" s="3"/>
      <c r="AEP16" s="3"/>
      <c r="AEQ16" s="3"/>
      <c r="AER16" s="3"/>
      <c r="AES16" s="3"/>
      <c r="AET16" s="3"/>
      <c r="AEU16" s="3"/>
      <c r="AEV16" s="3"/>
      <c r="AEW16" s="3"/>
      <c r="AEX16" s="3"/>
      <c r="AEY16" s="3"/>
      <c r="AEZ16" s="3"/>
      <c r="AFA16" s="3"/>
      <c r="AFB16" s="3"/>
      <c r="AFC16" s="3"/>
      <c r="AFD16" s="3"/>
      <c r="AFE16" s="3"/>
      <c r="AFF16" s="3"/>
      <c r="AFG16" s="3"/>
      <c r="AFH16" s="3"/>
      <c r="AFI16" s="3"/>
      <c r="AFJ16" s="3"/>
      <c r="AFK16" s="3"/>
      <c r="AFL16" s="3"/>
      <c r="AFM16" s="3"/>
      <c r="AFN16" s="3"/>
      <c r="AFO16" s="3"/>
      <c r="AFP16" s="3"/>
      <c r="AFQ16" s="3"/>
      <c r="AFR16" s="3"/>
      <c r="AFS16" s="3"/>
      <c r="AFT16" s="3"/>
      <c r="AFU16" s="3"/>
      <c r="AFV16" s="3"/>
      <c r="AFW16" s="3"/>
      <c r="AFX16" s="3"/>
      <c r="AFY16" s="3"/>
      <c r="AFZ16" s="3"/>
      <c r="AGA16" s="3"/>
      <c r="AGB16" s="3"/>
      <c r="AGC16" s="3"/>
      <c r="AGD16" s="3"/>
      <c r="AGE16" s="3"/>
      <c r="AGF16" s="3"/>
      <c r="AGG16" s="3"/>
      <c r="AGH16" s="3"/>
      <c r="AGI16" s="3"/>
      <c r="AGJ16" s="3"/>
      <c r="AGK16" s="3"/>
      <c r="AGL16" s="3"/>
      <c r="AGM16" s="3"/>
      <c r="AGN16" s="3"/>
      <c r="AGO16" s="3"/>
      <c r="AGP16" s="3"/>
      <c r="AGQ16" s="3"/>
      <c r="AGR16" s="3"/>
      <c r="AGS16" s="3"/>
      <c r="AGT16" s="3"/>
      <c r="AGU16" s="3"/>
      <c r="AGV16" s="3"/>
      <c r="AGW16" s="3"/>
      <c r="AGX16" s="3"/>
      <c r="AGY16" s="3"/>
      <c r="AGZ16" s="3"/>
      <c r="AHA16" s="3"/>
      <c r="AHB16" s="3"/>
    </row>
    <row r="17" s="2" customFormat="1" ht="24" customHeight="1" spans="1:886">
      <c r="A17" s="343">
        <v>13</v>
      </c>
      <c r="B17" s="279"/>
      <c r="C17" s="345" t="s">
        <v>122</v>
      </c>
      <c r="D17" s="352" t="s">
        <v>424</v>
      </c>
      <c r="E17" s="344"/>
      <c r="F17" s="81">
        <v>1</v>
      </c>
      <c r="G17" s="353" t="s">
        <v>425</v>
      </c>
      <c r="H17" s="354" t="s">
        <v>426</v>
      </c>
      <c r="I17" s="365" t="s">
        <v>126</v>
      </c>
      <c r="J17" s="365" t="s">
        <v>126</v>
      </c>
      <c r="K17" s="365"/>
      <c r="L17" s="365" t="s">
        <v>126</v>
      </c>
      <c r="M17" s="365" t="s">
        <v>126</v>
      </c>
      <c r="N17" s="366" t="s">
        <v>427</v>
      </c>
      <c r="O17" s="367"/>
      <c r="P17" s="370" t="str">
        <f>CONCATENATE(RemovePunctuation(H17),"_CA","_","i4K","_",C17,"_",AE17,"_",PROPER(R17),IF(S17="",PROPER(R17),PROPER(S17)),PROPER(T17),PROPER(U17),PROPER(V17),IF(V17&lt;&gt;"","SUB",""),PROPER(W17),IF(W17&lt;&gt;"","SUB",""),"_","Ed","_","M1",".mpg")</f>
        <v>HantangCulture_CA_i4K_0125_43_ZhoZhoEngSUBZhoSUB_Ed_M1.mpg</v>
      </c>
      <c r="Q17" s="386" t="str">
        <f>CONCATENATE(RemovePunctuation(H17),"_CA","_","i5K","_",C17,"_",AD17,"_",PROPER(R17),IF(S17="",PROPER(R17),PROPER(S17)),PROPER(T17),PROPER(U17),PROPER(V17),IF(V17&lt;&gt;"","SUB",""),PROPER(W17),IF(W17&lt;&gt;"","SUB",""),"_","Ed","_","M4",".mpg")</f>
        <v>HantangCulture_CA_i5K_0125_169_ZhoZhoEngSUBZhoSUB_Ed_M4.mpg</v>
      </c>
      <c r="R17" s="382" t="s">
        <v>132</v>
      </c>
      <c r="S17" s="383"/>
      <c r="T17" s="384"/>
      <c r="U17" s="384"/>
      <c r="V17" s="382" t="s">
        <v>138</v>
      </c>
      <c r="W17" s="382" t="s">
        <v>132</v>
      </c>
      <c r="X17" s="343" t="s">
        <v>131</v>
      </c>
      <c r="Y17" s="343" t="s">
        <v>131</v>
      </c>
      <c r="Z17" s="120">
        <f t="shared" si="0"/>
        <v>30</v>
      </c>
      <c r="AA17" s="305" t="str">
        <f t="shared" si="1"/>
        <v>00:30:00</v>
      </c>
      <c r="AB17" s="120">
        <f t="shared" si="2"/>
        <v>1800</v>
      </c>
      <c r="AC17" s="402">
        <v>0.0208217592592593</v>
      </c>
      <c r="AD17" s="401">
        <v>169</v>
      </c>
      <c r="AE17" s="401">
        <v>43</v>
      </c>
      <c r="AF17" s="343" t="s">
        <v>133</v>
      </c>
      <c r="AG17" s="3"/>
      <c r="AH17" s="74"/>
      <c r="AI17" s="76"/>
      <c r="AJ17" s="74"/>
      <c r="AK17" s="74"/>
      <c r="AL17" s="3"/>
      <c r="AM17" s="5"/>
      <c r="AN17" s="5"/>
      <c r="AO17" s="5"/>
      <c r="AP17" s="1"/>
      <c r="AQ17" s="1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  <c r="AAA17" s="3"/>
      <c r="AAB17" s="3"/>
      <c r="AAC17" s="3"/>
      <c r="AAD17" s="3"/>
      <c r="AAE17" s="3"/>
      <c r="AAF17" s="3"/>
      <c r="AAG17" s="3"/>
      <c r="AAH17" s="3"/>
      <c r="AAI17" s="3"/>
      <c r="AAJ17" s="3"/>
      <c r="AAK17" s="3"/>
      <c r="AAL17" s="3"/>
      <c r="AAM17" s="3"/>
      <c r="AAN17" s="3"/>
      <c r="AAO17" s="3"/>
      <c r="AAP17" s="3"/>
      <c r="AAQ17" s="3"/>
      <c r="AAR17" s="3"/>
      <c r="AAS17" s="3"/>
      <c r="AAT17" s="3"/>
      <c r="AAU17" s="3"/>
      <c r="AAV17" s="3"/>
      <c r="AAW17" s="3"/>
      <c r="AAX17" s="3"/>
      <c r="AAY17" s="3"/>
      <c r="AAZ17" s="3"/>
      <c r="ABA17" s="3"/>
      <c r="ABB17" s="3"/>
      <c r="ABC17" s="3"/>
      <c r="ABD17" s="3"/>
      <c r="ABE17" s="3"/>
      <c r="ABF17" s="3"/>
      <c r="ABG17" s="3"/>
      <c r="ABH17" s="3"/>
      <c r="ABI17" s="3"/>
      <c r="ABJ17" s="3"/>
      <c r="ABK17" s="3"/>
      <c r="ABL17" s="3"/>
      <c r="ABM17" s="3"/>
      <c r="ABN17" s="3"/>
      <c r="ABO17" s="3"/>
      <c r="ABP17" s="3"/>
      <c r="ABQ17" s="3"/>
      <c r="ABR17" s="3"/>
      <c r="ABS17" s="3"/>
      <c r="ABT17" s="3"/>
      <c r="ABU17" s="3"/>
      <c r="ABV17" s="3"/>
      <c r="ABW17" s="3"/>
      <c r="ABX17" s="3"/>
      <c r="ABY17" s="3"/>
      <c r="ABZ17" s="3"/>
      <c r="ACA17" s="3"/>
      <c r="ACB17" s="3"/>
      <c r="ACC17" s="3"/>
      <c r="ACD17" s="3"/>
      <c r="ACE17" s="3"/>
      <c r="ACF17" s="3"/>
      <c r="ACG17" s="3"/>
      <c r="ACH17" s="3"/>
      <c r="ACI17" s="3"/>
      <c r="ACJ17" s="3"/>
      <c r="ACK17" s="3"/>
      <c r="ACL17" s="3"/>
      <c r="ACM17" s="3"/>
      <c r="ACN17" s="3"/>
      <c r="ACO17" s="3"/>
      <c r="ACP17" s="3"/>
      <c r="ACQ17" s="3"/>
      <c r="ACR17" s="3"/>
      <c r="ACS17" s="3"/>
      <c r="ACT17" s="3"/>
      <c r="ACU17" s="3"/>
      <c r="ACV17" s="3"/>
      <c r="ACW17" s="3"/>
      <c r="ACX17" s="3"/>
      <c r="ACY17" s="3"/>
      <c r="ACZ17" s="3"/>
      <c r="ADA17" s="3"/>
      <c r="ADB17" s="3"/>
      <c r="ADC17" s="3"/>
      <c r="ADD17" s="3"/>
      <c r="ADE17" s="3"/>
      <c r="ADF17" s="3"/>
      <c r="ADG17" s="3"/>
      <c r="ADH17" s="3"/>
      <c r="ADI17" s="3"/>
      <c r="ADJ17" s="3"/>
      <c r="ADK17" s="3"/>
      <c r="ADL17" s="3"/>
      <c r="ADM17" s="3"/>
      <c r="ADN17" s="3"/>
      <c r="ADO17" s="3"/>
      <c r="ADP17" s="3"/>
      <c r="ADQ17" s="3"/>
      <c r="ADR17" s="3"/>
      <c r="ADS17" s="3"/>
      <c r="ADT17" s="3"/>
      <c r="ADU17" s="3"/>
      <c r="ADV17" s="3"/>
      <c r="ADW17" s="3"/>
      <c r="ADX17" s="3"/>
      <c r="ADY17" s="3"/>
      <c r="ADZ17" s="3"/>
      <c r="AEA17" s="3"/>
      <c r="AEB17" s="3"/>
      <c r="AEC17" s="3"/>
      <c r="AED17" s="3"/>
      <c r="AEE17" s="3"/>
      <c r="AEF17" s="3"/>
      <c r="AEG17" s="3"/>
      <c r="AEH17" s="3"/>
      <c r="AEI17" s="3"/>
      <c r="AEJ17" s="3"/>
      <c r="AEK17" s="3"/>
      <c r="AEL17" s="3"/>
      <c r="AEM17" s="3"/>
      <c r="AEN17" s="3"/>
      <c r="AEO17" s="3"/>
      <c r="AEP17" s="3"/>
      <c r="AEQ17" s="3"/>
      <c r="AER17" s="3"/>
      <c r="AES17" s="3"/>
      <c r="AET17" s="3"/>
      <c r="AEU17" s="3"/>
      <c r="AEV17" s="3"/>
      <c r="AEW17" s="3"/>
      <c r="AEX17" s="3"/>
      <c r="AEY17" s="3"/>
      <c r="AEZ17" s="3"/>
      <c r="AFA17" s="3"/>
      <c r="AFB17" s="3"/>
      <c r="AFC17" s="3"/>
      <c r="AFD17" s="3"/>
      <c r="AFE17" s="3"/>
      <c r="AFF17" s="3"/>
      <c r="AFG17" s="3"/>
      <c r="AFH17" s="3"/>
      <c r="AFI17" s="3"/>
      <c r="AFJ17" s="3"/>
      <c r="AFK17" s="3"/>
      <c r="AFL17" s="3"/>
      <c r="AFM17" s="3"/>
      <c r="AFN17" s="3"/>
      <c r="AFO17" s="3"/>
      <c r="AFP17" s="3"/>
      <c r="AFQ17" s="3"/>
      <c r="AFR17" s="3"/>
      <c r="AFS17" s="3"/>
      <c r="AFT17" s="3"/>
      <c r="AFU17" s="3"/>
      <c r="AFV17" s="3"/>
      <c r="AFW17" s="3"/>
      <c r="AFX17" s="3"/>
      <c r="AFY17" s="3"/>
      <c r="AFZ17" s="3"/>
      <c r="AGA17" s="3"/>
      <c r="AGB17" s="3"/>
      <c r="AGC17" s="3"/>
      <c r="AGD17" s="3"/>
      <c r="AGE17" s="3"/>
      <c r="AGF17" s="3"/>
      <c r="AGG17" s="3"/>
      <c r="AGH17" s="3"/>
      <c r="AGI17" s="3"/>
      <c r="AGJ17" s="3"/>
      <c r="AGK17" s="3"/>
      <c r="AGL17" s="3"/>
      <c r="AGM17" s="3"/>
      <c r="AGN17" s="3"/>
      <c r="AGO17" s="3"/>
      <c r="AGP17" s="3"/>
      <c r="AGQ17" s="3"/>
      <c r="AGR17" s="3"/>
      <c r="AGS17" s="3"/>
      <c r="AGT17" s="3"/>
      <c r="AGU17" s="3"/>
      <c r="AGV17" s="3"/>
      <c r="AGW17" s="3"/>
      <c r="AGX17" s="3"/>
      <c r="AGY17" s="3"/>
      <c r="AGZ17" s="3"/>
      <c r="AHA17" s="3"/>
      <c r="AHB17" s="3"/>
    </row>
    <row r="18" s="2" customFormat="1" ht="24" customHeight="1" spans="1:886">
      <c r="A18" s="343">
        <v>14</v>
      </c>
      <c r="B18" s="279"/>
      <c r="C18" s="345" t="s">
        <v>122</v>
      </c>
      <c r="D18" s="352"/>
      <c r="E18" s="344"/>
      <c r="F18" s="81">
        <v>2</v>
      </c>
      <c r="G18" s="353" t="s">
        <v>428</v>
      </c>
      <c r="H18" s="354" t="s">
        <v>429</v>
      </c>
      <c r="I18" s="365" t="s">
        <v>126</v>
      </c>
      <c r="J18" s="365" t="s">
        <v>126</v>
      </c>
      <c r="K18" s="365" t="s">
        <v>126</v>
      </c>
      <c r="L18" s="365" t="s">
        <v>126</v>
      </c>
      <c r="M18" s="365" t="s">
        <v>126</v>
      </c>
      <c r="N18" s="366" t="s">
        <v>430</v>
      </c>
      <c r="O18" s="367" t="s">
        <v>430</v>
      </c>
      <c r="P18" s="370" t="str">
        <f>CONCATENATE(RemovePunctuation(H18),"_CA","_","i4K","_",C18,"_",AE18,"_",PROPER(R18),IF(S18="",PROPER(R18),PROPER(S18)),PROPER(T18),PROPER(U18),PROPER(V18),IF(V18&lt;&gt;"","SUB",""),PROPER(W18),IF(W18&lt;&gt;"","SUB",""),"_","Ed","_","M1",".mpg")</f>
        <v>ChinaS01E01_CA_i4K_0125_43_ZhoZhoZhoSUB_Ed_M1.mpg</v>
      </c>
      <c r="Q18" s="386" t="str">
        <f>CONCATENATE(RemovePunctuation(H18),"_CA","_","i5K","_",C18,"_",AD18,"_",PROPER(R18),IF(S18="",PROPER(R18),PROPER(S18)),PROPER(T18),PROPER(U18),PROPER(V18),IF(V18&lt;&gt;"","SUB",""),PROPER(W18),IF(W18&lt;&gt;"","SUB",""),"_","Ed","_","M4",".mpg")</f>
        <v>ChinaS01E01_CA_i5K_0125_169_ZhoZhoZhoSUB_Ed_M4.mpg</v>
      </c>
      <c r="R18" s="382" t="s">
        <v>132</v>
      </c>
      <c r="S18" s="383"/>
      <c r="T18" s="384"/>
      <c r="U18" s="384"/>
      <c r="V18" s="382" t="s">
        <v>132</v>
      </c>
      <c r="W18" s="384"/>
      <c r="X18" s="343" t="s">
        <v>131</v>
      </c>
      <c r="Y18" s="343" t="s">
        <v>131</v>
      </c>
      <c r="Z18" s="120">
        <f t="shared" si="0"/>
        <v>52</v>
      </c>
      <c r="AA18" s="305" t="str">
        <f t="shared" si="1"/>
        <v>00:52:00</v>
      </c>
      <c r="AB18" s="120">
        <f t="shared" si="2"/>
        <v>3120</v>
      </c>
      <c r="AC18" s="402">
        <v>0.0363657407407407</v>
      </c>
      <c r="AD18" s="401">
        <v>169</v>
      </c>
      <c r="AE18" s="401">
        <v>43</v>
      </c>
      <c r="AF18" s="343" t="s">
        <v>133</v>
      </c>
      <c r="AG18" s="3"/>
      <c r="AH18" s="74"/>
      <c r="AI18" s="76"/>
      <c r="AJ18" s="74"/>
      <c r="AK18" s="74"/>
      <c r="AL18" s="3"/>
      <c r="AM18" s="5"/>
      <c r="AN18" s="5"/>
      <c r="AO18" s="5"/>
      <c r="AP18" s="1"/>
      <c r="AQ18" s="1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  <c r="AAA18" s="3"/>
      <c r="AAB18" s="3"/>
      <c r="AAC18" s="3"/>
      <c r="AAD18" s="3"/>
      <c r="AAE18" s="3"/>
      <c r="AAF18" s="3"/>
      <c r="AAG18" s="3"/>
      <c r="AAH18" s="3"/>
      <c r="AAI18" s="3"/>
      <c r="AAJ18" s="3"/>
      <c r="AAK18" s="3"/>
      <c r="AAL18" s="3"/>
      <c r="AAM18" s="3"/>
      <c r="AAN18" s="3"/>
      <c r="AAO18" s="3"/>
      <c r="AAP18" s="3"/>
      <c r="AAQ18" s="3"/>
      <c r="AAR18" s="3"/>
      <c r="AAS18" s="3"/>
      <c r="AAT18" s="3"/>
      <c r="AAU18" s="3"/>
      <c r="AAV18" s="3"/>
      <c r="AAW18" s="3"/>
      <c r="AAX18" s="3"/>
      <c r="AAY18" s="3"/>
      <c r="AAZ18" s="3"/>
      <c r="ABA18" s="3"/>
      <c r="ABB18" s="3"/>
      <c r="ABC18" s="3"/>
      <c r="ABD18" s="3"/>
      <c r="ABE18" s="3"/>
      <c r="ABF18" s="3"/>
      <c r="ABG18" s="3"/>
      <c r="ABH18" s="3"/>
      <c r="ABI18" s="3"/>
      <c r="ABJ18" s="3"/>
      <c r="ABK18" s="3"/>
      <c r="ABL18" s="3"/>
      <c r="ABM18" s="3"/>
      <c r="ABN18" s="3"/>
      <c r="ABO18" s="3"/>
      <c r="ABP18" s="3"/>
      <c r="ABQ18" s="3"/>
      <c r="ABR18" s="3"/>
      <c r="ABS18" s="3"/>
      <c r="ABT18" s="3"/>
      <c r="ABU18" s="3"/>
      <c r="ABV18" s="3"/>
      <c r="ABW18" s="3"/>
      <c r="ABX18" s="3"/>
      <c r="ABY18" s="3"/>
      <c r="ABZ18" s="3"/>
      <c r="ACA18" s="3"/>
      <c r="ACB18" s="3"/>
      <c r="ACC18" s="3"/>
      <c r="ACD18" s="3"/>
      <c r="ACE18" s="3"/>
      <c r="ACF18" s="3"/>
      <c r="ACG18" s="3"/>
      <c r="ACH18" s="3"/>
      <c r="ACI18" s="3"/>
      <c r="ACJ18" s="3"/>
      <c r="ACK18" s="3"/>
      <c r="ACL18" s="3"/>
      <c r="ACM18" s="3"/>
      <c r="ACN18" s="3"/>
      <c r="ACO18" s="3"/>
      <c r="ACP18" s="3"/>
      <c r="ACQ18" s="3"/>
      <c r="ACR18" s="3"/>
      <c r="ACS18" s="3"/>
      <c r="ACT18" s="3"/>
      <c r="ACU18" s="3"/>
      <c r="ACV18" s="3"/>
      <c r="ACW18" s="3"/>
      <c r="ACX18" s="3"/>
      <c r="ACY18" s="3"/>
      <c r="ACZ18" s="3"/>
      <c r="ADA18" s="3"/>
      <c r="ADB18" s="3"/>
      <c r="ADC18" s="3"/>
      <c r="ADD18" s="3"/>
      <c r="ADE18" s="3"/>
      <c r="ADF18" s="3"/>
      <c r="ADG18" s="3"/>
      <c r="ADH18" s="3"/>
      <c r="ADI18" s="3"/>
      <c r="ADJ18" s="3"/>
      <c r="ADK18" s="3"/>
      <c r="ADL18" s="3"/>
      <c r="ADM18" s="3"/>
      <c r="ADN18" s="3"/>
      <c r="ADO18" s="3"/>
      <c r="ADP18" s="3"/>
      <c r="ADQ18" s="3"/>
      <c r="ADR18" s="3"/>
      <c r="ADS18" s="3"/>
      <c r="ADT18" s="3"/>
      <c r="ADU18" s="3"/>
      <c r="ADV18" s="3"/>
      <c r="ADW18" s="3"/>
      <c r="ADX18" s="3"/>
      <c r="ADY18" s="3"/>
      <c r="ADZ18" s="3"/>
      <c r="AEA18" s="3"/>
      <c r="AEB18" s="3"/>
      <c r="AEC18" s="3"/>
      <c r="AED18" s="3"/>
      <c r="AEE18" s="3"/>
      <c r="AEF18" s="3"/>
      <c r="AEG18" s="3"/>
      <c r="AEH18" s="3"/>
      <c r="AEI18" s="3"/>
      <c r="AEJ18" s="3"/>
      <c r="AEK18" s="3"/>
      <c r="AEL18" s="3"/>
      <c r="AEM18" s="3"/>
      <c r="AEN18" s="3"/>
      <c r="AEO18" s="3"/>
      <c r="AEP18" s="3"/>
      <c r="AEQ18" s="3"/>
      <c r="AER18" s="3"/>
      <c r="AES18" s="3"/>
      <c r="AET18" s="3"/>
      <c r="AEU18" s="3"/>
      <c r="AEV18" s="3"/>
      <c r="AEW18" s="3"/>
      <c r="AEX18" s="3"/>
      <c r="AEY18" s="3"/>
      <c r="AEZ18" s="3"/>
      <c r="AFA18" s="3"/>
      <c r="AFB18" s="3"/>
      <c r="AFC18" s="3"/>
      <c r="AFD18" s="3"/>
      <c r="AFE18" s="3"/>
      <c r="AFF18" s="3"/>
      <c r="AFG18" s="3"/>
      <c r="AFH18" s="3"/>
      <c r="AFI18" s="3"/>
      <c r="AFJ18" s="3"/>
      <c r="AFK18" s="3"/>
      <c r="AFL18" s="3"/>
      <c r="AFM18" s="3"/>
      <c r="AFN18" s="3"/>
      <c r="AFO18" s="3"/>
      <c r="AFP18" s="3"/>
      <c r="AFQ18" s="3"/>
      <c r="AFR18" s="3"/>
      <c r="AFS18" s="3"/>
      <c r="AFT18" s="3"/>
      <c r="AFU18" s="3"/>
      <c r="AFV18" s="3"/>
      <c r="AFW18" s="3"/>
      <c r="AFX18" s="3"/>
      <c r="AFY18" s="3"/>
      <c r="AFZ18" s="3"/>
      <c r="AGA18" s="3"/>
      <c r="AGB18" s="3"/>
      <c r="AGC18" s="3"/>
      <c r="AGD18" s="3"/>
      <c r="AGE18" s="3"/>
      <c r="AGF18" s="3"/>
      <c r="AGG18" s="3"/>
      <c r="AGH18" s="3"/>
      <c r="AGI18" s="3"/>
      <c r="AGJ18" s="3"/>
      <c r="AGK18" s="3"/>
      <c r="AGL18" s="3"/>
      <c r="AGM18" s="3"/>
      <c r="AGN18" s="3"/>
      <c r="AGO18" s="3"/>
      <c r="AGP18" s="3"/>
      <c r="AGQ18" s="3"/>
      <c r="AGR18" s="3"/>
      <c r="AGS18" s="3"/>
      <c r="AGT18" s="3"/>
      <c r="AGU18" s="3"/>
      <c r="AGV18" s="3"/>
      <c r="AGW18" s="3"/>
      <c r="AGX18" s="3"/>
      <c r="AGY18" s="3"/>
      <c r="AGZ18" s="3"/>
      <c r="AHA18" s="3"/>
      <c r="AHB18" s="3"/>
    </row>
    <row r="19" s="2" customFormat="1" ht="24" customHeight="1" spans="1:886">
      <c r="A19" s="343">
        <v>15</v>
      </c>
      <c r="B19" s="279"/>
      <c r="C19" s="345" t="s">
        <v>122</v>
      </c>
      <c r="D19" s="352"/>
      <c r="E19" s="344"/>
      <c r="F19" s="81">
        <v>3</v>
      </c>
      <c r="G19" s="355" t="s">
        <v>431</v>
      </c>
      <c r="H19" s="356" t="s">
        <v>432</v>
      </c>
      <c r="I19" s="365" t="s">
        <v>126</v>
      </c>
      <c r="J19" s="365" t="s">
        <v>126</v>
      </c>
      <c r="K19" s="365" t="s">
        <v>126</v>
      </c>
      <c r="L19" s="365" t="s">
        <v>126</v>
      </c>
      <c r="M19" s="365" t="s">
        <v>126</v>
      </c>
      <c r="N19" s="366" t="s">
        <v>433</v>
      </c>
      <c r="O19" s="367" t="s">
        <v>433</v>
      </c>
      <c r="P19" s="370" t="str">
        <f>CONCATENATE(RemovePunctuation(H19),"_CA","_","i4K","_",C19,"_",AE19,"_",PROPER(R19),IF(S19="",PROPER(R19),PROPER(S19)),PROPER(T19),PROPER(U19),PROPER(V19),IF(V19&lt;&gt;"","SUB",""),PROPER(W19),IF(W19&lt;&gt;"","SUB",""),"_","Ed","_","M1",".mpg")</f>
        <v>TheGiftsfromthePalaceMuseum3_CA_i4K_0125_43_ZhoZhoZhoSUB_Ed_M1.mpg</v>
      </c>
      <c r="Q19" s="386" t="str">
        <f>CONCATENATE(RemovePunctuation(H19),"_CA","_","i5K","_",C19,"_",AD19,"_",PROPER(R19),IF(S19="",PROPER(R19),PROPER(S19)),PROPER(T19),PROPER(U19),PROPER(V19),IF(V19&lt;&gt;"","SUB",""),PROPER(W19),IF(W19&lt;&gt;"","SUB",""),"_","Ed","_","M4",".mpg")</f>
        <v>TheGiftsfromthePalaceMuseum3_CA_i5K_0125_169_ZhoZhoZhoSUB_Ed_M4.mpg</v>
      </c>
      <c r="R19" s="382" t="s">
        <v>132</v>
      </c>
      <c r="S19" s="383"/>
      <c r="T19" s="384"/>
      <c r="U19" s="384"/>
      <c r="V19" s="382" t="s">
        <v>132</v>
      </c>
      <c r="W19" s="384"/>
      <c r="X19" s="343" t="s">
        <v>131</v>
      </c>
      <c r="Y19" s="343" t="s">
        <v>131</v>
      </c>
      <c r="Z19" s="120">
        <f t="shared" si="0"/>
        <v>25</v>
      </c>
      <c r="AA19" s="305" t="str">
        <f t="shared" si="1"/>
        <v>00:25:00</v>
      </c>
      <c r="AB19" s="120">
        <f t="shared" si="2"/>
        <v>1500</v>
      </c>
      <c r="AC19" s="402">
        <v>0.0170949074074074</v>
      </c>
      <c r="AD19" s="401">
        <v>169</v>
      </c>
      <c r="AE19" s="401">
        <v>43</v>
      </c>
      <c r="AF19" s="343" t="s">
        <v>133</v>
      </c>
      <c r="AG19" s="3"/>
      <c r="AH19" s="74"/>
      <c r="AI19" s="76"/>
      <c r="AJ19" s="74"/>
      <c r="AK19" s="74"/>
      <c r="AL19" s="3"/>
      <c r="AM19" s="5"/>
      <c r="AN19" s="5"/>
      <c r="AO19" s="5"/>
      <c r="AP19" s="1"/>
      <c r="AQ19" s="1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  <c r="AAA19" s="3"/>
      <c r="AAB19" s="3"/>
      <c r="AAC19" s="3"/>
      <c r="AAD19" s="3"/>
      <c r="AAE19" s="3"/>
      <c r="AAF19" s="3"/>
      <c r="AAG19" s="3"/>
      <c r="AAH19" s="3"/>
      <c r="AAI19" s="3"/>
      <c r="AAJ19" s="3"/>
      <c r="AAK19" s="3"/>
      <c r="AAL19" s="3"/>
      <c r="AAM19" s="3"/>
      <c r="AAN19" s="3"/>
      <c r="AAO19" s="3"/>
      <c r="AAP19" s="3"/>
      <c r="AAQ19" s="3"/>
      <c r="AAR19" s="3"/>
      <c r="AAS19" s="3"/>
      <c r="AAT19" s="3"/>
      <c r="AAU19" s="3"/>
      <c r="AAV19" s="3"/>
      <c r="AAW19" s="3"/>
      <c r="AAX19" s="3"/>
      <c r="AAY19" s="3"/>
      <c r="AAZ19" s="3"/>
      <c r="ABA19" s="3"/>
      <c r="ABB19" s="3"/>
      <c r="ABC19" s="3"/>
      <c r="ABD19" s="3"/>
      <c r="ABE19" s="3"/>
      <c r="ABF19" s="3"/>
      <c r="ABG19" s="3"/>
      <c r="ABH19" s="3"/>
      <c r="ABI19" s="3"/>
      <c r="ABJ19" s="3"/>
      <c r="ABK19" s="3"/>
      <c r="ABL19" s="3"/>
      <c r="ABM19" s="3"/>
      <c r="ABN19" s="3"/>
      <c r="ABO19" s="3"/>
      <c r="ABP19" s="3"/>
      <c r="ABQ19" s="3"/>
      <c r="ABR19" s="3"/>
      <c r="ABS19" s="3"/>
      <c r="ABT19" s="3"/>
      <c r="ABU19" s="3"/>
      <c r="ABV19" s="3"/>
      <c r="ABW19" s="3"/>
      <c r="ABX19" s="3"/>
      <c r="ABY19" s="3"/>
      <c r="ABZ19" s="3"/>
      <c r="ACA19" s="3"/>
      <c r="ACB19" s="3"/>
      <c r="ACC19" s="3"/>
      <c r="ACD19" s="3"/>
      <c r="ACE19" s="3"/>
      <c r="ACF19" s="3"/>
      <c r="ACG19" s="3"/>
      <c r="ACH19" s="3"/>
      <c r="ACI19" s="3"/>
      <c r="ACJ19" s="3"/>
      <c r="ACK19" s="3"/>
      <c r="ACL19" s="3"/>
      <c r="ACM19" s="3"/>
      <c r="ACN19" s="3"/>
      <c r="ACO19" s="3"/>
      <c r="ACP19" s="3"/>
      <c r="ACQ19" s="3"/>
      <c r="ACR19" s="3"/>
      <c r="ACS19" s="3"/>
      <c r="ACT19" s="3"/>
      <c r="ACU19" s="3"/>
      <c r="ACV19" s="3"/>
      <c r="ACW19" s="3"/>
      <c r="ACX19" s="3"/>
      <c r="ACY19" s="3"/>
      <c r="ACZ19" s="3"/>
      <c r="ADA19" s="3"/>
      <c r="ADB19" s="3"/>
      <c r="ADC19" s="3"/>
      <c r="ADD19" s="3"/>
      <c r="ADE19" s="3"/>
      <c r="ADF19" s="3"/>
      <c r="ADG19" s="3"/>
      <c r="ADH19" s="3"/>
      <c r="ADI19" s="3"/>
      <c r="ADJ19" s="3"/>
      <c r="ADK19" s="3"/>
      <c r="ADL19" s="3"/>
      <c r="ADM19" s="3"/>
      <c r="ADN19" s="3"/>
      <c r="ADO19" s="3"/>
      <c r="ADP19" s="3"/>
      <c r="ADQ19" s="3"/>
      <c r="ADR19" s="3"/>
      <c r="ADS19" s="3"/>
      <c r="ADT19" s="3"/>
      <c r="ADU19" s="3"/>
      <c r="ADV19" s="3"/>
      <c r="ADW19" s="3"/>
      <c r="ADX19" s="3"/>
      <c r="ADY19" s="3"/>
      <c r="ADZ19" s="3"/>
      <c r="AEA19" s="3"/>
      <c r="AEB19" s="3"/>
      <c r="AEC19" s="3"/>
      <c r="AED19" s="3"/>
      <c r="AEE19" s="3"/>
      <c r="AEF19" s="3"/>
      <c r="AEG19" s="3"/>
      <c r="AEH19" s="3"/>
      <c r="AEI19" s="3"/>
      <c r="AEJ19" s="3"/>
      <c r="AEK19" s="3"/>
      <c r="AEL19" s="3"/>
      <c r="AEM19" s="3"/>
      <c r="AEN19" s="3"/>
      <c r="AEO19" s="3"/>
      <c r="AEP19" s="3"/>
      <c r="AEQ19" s="3"/>
      <c r="AER19" s="3"/>
      <c r="AES19" s="3"/>
      <c r="AET19" s="3"/>
      <c r="AEU19" s="3"/>
      <c r="AEV19" s="3"/>
      <c r="AEW19" s="3"/>
      <c r="AEX19" s="3"/>
      <c r="AEY19" s="3"/>
      <c r="AEZ19" s="3"/>
      <c r="AFA19" s="3"/>
      <c r="AFB19" s="3"/>
      <c r="AFC19" s="3"/>
      <c r="AFD19" s="3"/>
      <c r="AFE19" s="3"/>
      <c r="AFF19" s="3"/>
      <c r="AFG19" s="3"/>
      <c r="AFH19" s="3"/>
      <c r="AFI19" s="3"/>
      <c r="AFJ19" s="3"/>
      <c r="AFK19" s="3"/>
      <c r="AFL19" s="3"/>
      <c r="AFM19" s="3"/>
      <c r="AFN19" s="3"/>
      <c r="AFO19" s="3"/>
      <c r="AFP19" s="3"/>
      <c r="AFQ19" s="3"/>
      <c r="AFR19" s="3"/>
      <c r="AFS19" s="3"/>
      <c r="AFT19" s="3"/>
      <c r="AFU19" s="3"/>
      <c r="AFV19" s="3"/>
      <c r="AFW19" s="3"/>
      <c r="AFX19" s="3"/>
      <c r="AFY19" s="3"/>
      <c r="AFZ19" s="3"/>
      <c r="AGA19" s="3"/>
      <c r="AGB19" s="3"/>
      <c r="AGC19" s="3"/>
      <c r="AGD19" s="3"/>
      <c r="AGE19" s="3"/>
      <c r="AGF19" s="3"/>
      <c r="AGG19" s="3"/>
      <c r="AGH19" s="3"/>
      <c r="AGI19" s="3"/>
      <c r="AGJ19" s="3"/>
      <c r="AGK19" s="3"/>
      <c r="AGL19" s="3"/>
      <c r="AGM19" s="3"/>
      <c r="AGN19" s="3"/>
      <c r="AGO19" s="3"/>
      <c r="AGP19" s="3"/>
      <c r="AGQ19" s="3"/>
      <c r="AGR19" s="3"/>
      <c r="AGS19" s="3"/>
      <c r="AGT19" s="3"/>
      <c r="AGU19" s="3"/>
      <c r="AGV19" s="3"/>
      <c r="AGW19" s="3"/>
      <c r="AGX19" s="3"/>
      <c r="AGY19" s="3"/>
      <c r="AGZ19" s="3"/>
      <c r="AHA19" s="3"/>
      <c r="AHB19" s="3"/>
    </row>
    <row r="20" ht="24" customHeight="1" spans="1:886">
      <c r="A20" s="343">
        <v>16</v>
      </c>
      <c r="B20" s="279"/>
      <c r="C20" s="345" t="s">
        <v>122</v>
      </c>
      <c r="D20" s="352"/>
      <c r="E20" s="344"/>
      <c r="F20" s="81">
        <v>4</v>
      </c>
      <c r="G20" s="357" t="s">
        <v>434</v>
      </c>
      <c r="H20" s="358" t="s">
        <v>435</v>
      </c>
      <c r="I20" s="365" t="s">
        <v>126</v>
      </c>
      <c r="J20" s="365" t="s">
        <v>126</v>
      </c>
      <c r="K20" s="365" t="s">
        <v>126</v>
      </c>
      <c r="L20" s="365" t="s">
        <v>126</v>
      </c>
      <c r="M20" s="365" t="s">
        <v>126</v>
      </c>
      <c r="N20" s="366" t="s">
        <v>436</v>
      </c>
      <c r="O20" s="367" t="s">
        <v>436</v>
      </c>
      <c r="P20" s="370" t="str">
        <f>CONCATENATE(RemovePunctuation(H20),"_CA","_","i4K","_",C20,"_",AE20,"_",PROPER(R20),IF(S20="",PROPER(R20),PROPER(S20)),PROPER(T20),PROPER(U20),PROPER(V20),IF(V20&lt;&gt;"","SUB",""),PROPER(W20),IF(W20&lt;&gt;"","SUB",""),"_","Ed","_","M1",".mpg")</f>
        <v>NewThreeGorges3Mountain_CA_i4K_0125_43_ZhoZhoZhoSUB_Ed_M1.mpg</v>
      </c>
      <c r="Q20" s="386" t="str">
        <f>CONCATENATE(RemovePunctuation(H20),"_CA","_","i5K","_",C20,"_",AD20,"_",PROPER(R20),IF(S20="",PROPER(R20),PROPER(S20)),PROPER(T20),PROPER(U20),PROPER(V20),IF(V20&lt;&gt;"","SUB",""),PROPER(W20),IF(W20&lt;&gt;"","SUB",""),"_","Ed","_","M4",".mpg")</f>
        <v>NewThreeGorges3Mountain_CA_i5K_0125_169_ZhoZhoZhoSUB_Ed_M4.mpg</v>
      </c>
      <c r="R20" s="382" t="s">
        <v>132</v>
      </c>
      <c r="S20" s="383"/>
      <c r="T20" s="384"/>
      <c r="U20" s="384"/>
      <c r="V20" s="382" t="s">
        <v>132</v>
      </c>
      <c r="W20" s="382"/>
      <c r="X20" s="343" t="s">
        <v>131</v>
      </c>
      <c r="Y20" s="343" t="s">
        <v>131</v>
      </c>
      <c r="Z20" s="120">
        <f t="shared" ref="Z19:Z32" si="3">ROUNDUP(HOUR(AA20)*60+MINUTE(AA20)+SECOND(AA20)/60,0)</f>
        <v>30</v>
      </c>
      <c r="AA20" s="305" t="str">
        <f t="shared" si="1"/>
        <v>00:30:00</v>
      </c>
      <c r="AB20" s="120">
        <f t="shared" ref="AB19:AB32" si="4">Z20*60</f>
        <v>1800</v>
      </c>
      <c r="AC20" s="402">
        <v>0.0208333333333333</v>
      </c>
      <c r="AD20" s="401">
        <v>169</v>
      </c>
      <c r="AE20" s="401">
        <v>43</v>
      </c>
      <c r="AF20" s="343" t="s">
        <v>133</v>
      </c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  <c r="AAA20" s="3"/>
      <c r="AAB20" s="3"/>
      <c r="AAC20" s="3"/>
      <c r="AAD20" s="3"/>
      <c r="AAE20" s="3"/>
      <c r="AAF20" s="3"/>
      <c r="AAG20" s="3"/>
      <c r="AAH20" s="3"/>
      <c r="AAI20" s="3"/>
      <c r="AAJ20" s="3"/>
      <c r="AAK20" s="3"/>
      <c r="AAL20" s="3"/>
      <c r="AAM20" s="3"/>
      <c r="AAN20" s="3"/>
      <c r="AAO20" s="3"/>
      <c r="AAP20" s="3"/>
      <c r="AAQ20" s="3"/>
      <c r="AAR20" s="3"/>
      <c r="AAS20" s="3"/>
      <c r="AAT20" s="3"/>
      <c r="AAU20" s="3"/>
      <c r="AAV20" s="3"/>
      <c r="AAW20" s="3"/>
      <c r="AAX20" s="3"/>
      <c r="AAY20" s="3"/>
      <c r="AAZ20" s="3"/>
      <c r="ABA20" s="3"/>
      <c r="ABB20" s="3"/>
      <c r="ABC20" s="3"/>
      <c r="ABD20" s="3"/>
      <c r="ABE20" s="3"/>
      <c r="ABF20" s="3"/>
      <c r="ABG20" s="3"/>
      <c r="ABH20" s="3"/>
      <c r="ABI20" s="3"/>
      <c r="ABJ20" s="3"/>
      <c r="ABK20" s="3"/>
      <c r="ABL20" s="3"/>
      <c r="ABM20" s="3"/>
      <c r="ABN20" s="3"/>
      <c r="ABO20" s="3"/>
      <c r="ABP20" s="3"/>
      <c r="ABQ20" s="3"/>
      <c r="ABR20" s="3"/>
      <c r="ABS20" s="3"/>
      <c r="ABT20" s="3"/>
      <c r="ABU20" s="3"/>
      <c r="ABV20" s="3"/>
      <c r="ABW20" s="3"/>
      <c r="ABX20" s="3"/>
      <c r="ABY20" s="3"/>
      <c r="ABZ20" s="3"/>
      <c r="ACA20" s="3"/>
      <c r="ACB20" s="3"/>
      <c r="ACC20" s="3"/>
      <c r="ACD20" s="3"/>
      <c r="ACE20" s="3"/>
      <c r="ACF20" s="3"/>
      <c r="ACG20" s="3"/>
      <c r="ACH20" s="3"/>
      <c r="ACI20" s="3"/>
      <c r="ACJ20" s="3"/>
      <c r="ACK20" s="3"/>
      <c r="ACL20" s="3"/>
      <c r="ACM20" s="3"/>
      <c r="ACN20" s="3"/>
      <c r="ACO20" s="3"/>
      <c r="ACP20" s="3"/>
      <c r="ACQ20" s="3"/>
      <c r="ACR20" s="3"/>
      <c r="ACS20" s="3"/>
      <c r="ACT20" s="3"/>
      <c r="ACU20" s="3"/>
      <c r="ACV20" s="3"/>
      <c r="ACW20" s="3"/>
      <c r="ACX20" s="3"/>
      <c r="ACY20" s="3"/>
      <c r="ACZ20" s="3"/>
      <c r="ADA20" s="3"/>
      <c r="ADB20" s="3"/>
      <c r="ADC20" s="3"/>
      <c r="ADD20" s="3"/>
      <c r="ADE20" s="3"/>
      <c r="ADF20" s="3"/>
      <c r="ADG20" s="3"/>
      <c r="ADH20" s="3"/>
      <c r="ADI20" s="3"/>
      <c r="ADJ20" s="3"/>
      <c r="ADK20" s="3"/>
      <c r="ADL20" s="3"/>
      <c r="ADM20" s="3"/>
      <c r="ADN20" s="3"/>
      <c r="ADO20" s="3"/>
      <c r="ADP20" s="3"/>
      <c r="ADQ20" s="3"/>
      <c r="ADR20" s="3"/>
      <c r="ADS20" s="3"/>
      <c r="ADT20" s="3"/>
      <c r="ADU20" s="3"/>
      <c r="ADV20" s="3"/>
      <c r="ADW20" s="3"/>
      <c r="ADX20" s="3"/>
      <c r="ADY20" s="3"/>
      <c r="ADZ20" s="3"/>
      <c r="AEA20" s="3"/>
      <c r="AEB20" s="3"/>
      <c r="AEC20" s="3"/>
      <c r="AED20" s="3"/>
      <c r="AEE20" s="3"/>
      <c r="AEF20" s="3"/>
      <c r="AEG20" s="3"/>
      <c r="AEH20" s="3"/>
      <c r="AEI20" s="3"/>
      <c r="AEJ20" s="3"/>
      <c r="AEK20" s="3"/>
      <c r="AEL20" s="3"/>
      <c r="AEM20" s="3"/>
      <c r="AEN20" s="3"/>
      <c r="AEO20" s="3"/>
      <c r="AEP20" s="3"/>
      <c r="AEQ20" s="3"/>
      <c r="AER20" s="3"/>
      <c r="AES20" s="3"/>
      <c r="AET20" s="3"/>
      <c r="AEU20" s="3"/>
      <c r="AEV20" s="3"/>
      <c r="AEW20" s="3"/>
      <c r="AEX20" s="3"/>
      <c r="AEY20" s="3"/>
      <c r="AEZ20" s="3"/>
      <c r="AFA20" s="3"/>
      <c r="AFB20" s="3"/>
      <c r="AFC20" s="3"/>
      <c r="AFD20" s="3"/>
      <c r="AFE20" s="3"/>
      <c r="AFF20" s="3"/>
      <c r="AFG20" s="3"/>
      <c r="AFH20" s="3"/>
      <c r="AFI20" s="3"/>
      <c r="AFJ20" s="3"/>
      <c r="AFK20" s="3"/>
      <c r="AFL20" s="3"/>
      <c r="AFM20" s="3"/>
      <c r="AFN20" s="3"/>
      <c r="AFO20" s="3"/>
      <c r="AFP20" s="3"/>
      <c r="AFQ20" s="3"/>
      <c r="AFR20" s="3"/>
      <c r="AFS20" s="3"/>
      <c r="AFT20" s="3"/>
      <c r="AFU20" s="3"/>
      <c r="AFV20" s="3"/>
      <c r="AFW20" s="3"/>
      <c r="AFX20" s="3"/>
      <c r="AFY20" s="3"/>
      <c r="AFZ20" s="3"/>
      <c r="AGA20" s="3"/>
      <c r="AGB20" s="3"/>
      <c r="AGC20" s="3"/>
      <c r="AGD20" s="3"/>
      <c r="AGE20" s="3"/>
      <c r="AGF20" s="3"/>
      <c r="AGG20" s="3"/>
      <c r="AGH20" s="3"/>
      <c r="AGI20" s="3"/>
      <c r="AGJ20" s="3"/>
      <c r="AGK20" s="3"/>
      <c r="AGL20" s="3"/>
      <c r="AGM20" s="3"/>
      <c r="AGN20" s="3"/>
      <c r="AGO20" s="3"/>
      <c r="AGP20" s="3"/>
      <c r="AGQ20" s="3"/>
      <c r="AGR20" s="3"/>
      <c r="AGS20" s="3"/>
      <c r="AGT20" s="3"/>
      <c r="AGU20" s="3"/>
      <c r="AGV20" s="3"/>
      <c r="AGW20" s="3"/>
      <c r="AGX20" s="3"/>
      <c r="AGY20" s="3"/>
      <c r="AGZ20" s="3"/>
      <c r="AHA20" s="3"/>
      <c r="AHB20" s="3"/>
    </row>
    <row r="21" ht="24" customHeight="1" spans="1:886">
      <c r="A21" s="343">
        <v>17</v>
      </c>
      <c r="B21" s="279"/>
      <c r="C21" s="345" t="s">
        <v>122</v>
      </c>
      <c r="D21" s="352"/>
      <c r="E21" s="344"/>
      <c r="F21" s="81">
        <v>5</v>
      </c>
      <c r="G21" s="355" t="s">
        <v>437</v>
      </c>
      <c r="H21" s="356" t="s">
        <v>438</v>
      </c>
      <c r="I21" s="365" t="s">
        <v>126</v>
      </c>
      <c r="J21" s="365" t="s">
        <v>126</v>
      </c>
      <c r="K21" s="365" t="s">
        <v>126</v>
      </c>
      <c r="L21" s="365" t="s">
        <v>126</v>
      </c>
      <c r="M21" s="365" t="s">
        <v>126</v>
      </c>
      <c r="N21" s="366" t="s">
        <v>439</v>
      </c>
      <c r="O21" s="367" t="s">
        <v>439</v>
      </c>
      <c r="P21" s="370" t="str">
        <f>CONCATENATE(RemovePunctuation(H21),"_CA","_","i4K","_",C21,"_",AE21,"_",PROPER(R21),IF(S21="",PROPER(R21),PROPER(S21)),PROPER(T21),PROPER(U21),PROPER(V21),IF(V21&lt;&gt;"","SUB",""),PROPER(W21),IF(W21&lt;&gt;"","SUB",""),"_","Ed","_","M1",".mpg")</f>
        <v>MountTai1BirthplaceofMountTai_CA_i4K_0125_43_ZhoZhoZhoSUB_Ed_M1.mpg</v>
      </c>
      <c r="Q21" s="386" t="str">
        <f>CONCATENATE(RemovePunctuation(H21),"_CA","_","i5K","_",C21,"_",AD21,"_",PROPER(R21),IF(S21="",PROPER(R21),PROPER(S21)),PROPER(T21),PROPER(U21),PROPER(V21),IF(V21&lt;&gt;"","SUB",""),PROPER(W21),IF(W21&lt;&gt;"","SUB",""),"_","Ed","_","M4",".mpg")</f>
        <v>MountTai1BirthplaceofMountTai_CA_i5K_0125_169_ZhoZhoZhoSUB_Ed_M4.mpg</v>
      </c>
      <c r="R21" s="382" t="s">
        <v>132</v>
      </c>
      <c r="S21" s="383"/>
      <c r="T21" s="384"/>
      <c r="U21" s="384"/>
      <c r="V21" s="382" t="s">
        <v>132</v>
      </c>
      <c r="W21" s="384"/>
      <c r="X21" s="343" t="s">
        <v>131</v>
      </c>
      <c r="Y21" s="343" t="s">
        <v>131</v>
      </c>
      <c r="Z21" s="120">
        <f t="shared" si="3"/>
        <v>33</v>
      </c>
      <c r="AA21" s="305" t="str">
        <f t="shared" ref="AA19:AA32" si="5">TEXT((HOUR(AC21)*60+MINUTE(AC21)+IF(SECOND(AC21)&lt;=29,0,1))*60/86400,"hh:mm:ss")</f>
        <v>00:33:00</v>
      </c>
      <c r="AB21" s="120">
        <f t="shared" si="4"/>
        <v>1980</v>
      </c>
      <c r="AC21" s="402">
        <v>0.0228587962962963</v>
      </c>
      <c r="AD21" s="401">
        <v>169</v>
      </c>
      <c r="AE21" s="401">
        <v>43</v>
      </c>
      <c r="AF21" s="343" t="s">
        <v>133</v>
      </c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  <c r="AAA21" s="3"/>
      <c r="AAB21" s="3"/>
      <c r="AAC21" s="3"/>
      <c r="AAD21" s="3"/>
      <c r="AAE21" s="3"/>
      <c r="AAF21" s="3"/>
      <c r="AAG21" s="3"/>
      <c r="AAH21" s="3"/>
      <c r="AAI21" s="3"/>
      <c r="AAJ21" s="3"/>
      <c r="AAK21" s="3"/>
      <c r="AAL21" s="3"/>
      <c r="AAM21" s="3"/>
      <c r="AAN21" s="3"/>
      <c r="AAO21" s="3"/>
      <c r="AAP21" s="3"/>
      <c r="AAQ21" s="3"/>
      <c r="AAR21" s="3"/>
      <c r="AAS21" s="3"/>
      <c r="AAT21" s="3"/>
      <c r="AAU21" s="3"/>
      <c r="AAV21" s="3"/>
      <c r="AAW21" s="3"/>
      <c r="AAX21" s="3"/>
      <c r="AAY21" s="3"/>
      <c r="AAZ21" s="3"/>
      <c r="ABA21" s="3"/>
      <c r="ABB21" s="3"/>
      <c r="ABC21" s="3"/>
      <c r="ABD21" s="3"/>
      <c r="ABE21" s="3"/>
      <c r="ABF21" s="3"/>
      <c r="ABG21" s="3"/>
      <c r="ABH21" s="3"/>
      <c r="ABI21" s="3"/>
      <c r="ABJ21" s="3"/>
      <c r="ABK21" s="3"/>
      <c r="ABL21" s="3"/>
      <c r="ABM21" s="3"/>
      <c r="ABN21" s="3"/>
      <c r="ABO21" s="3"/>
      <c r="ABP21" s="3"/>
      <c r="ABQ21" s="3"/>
      <c r="ABR21" s="3"/>
      <c r="ABS21" s="3"/>
      <c r="ABT21" s="3"/>
      <c r="ABU21" s="3"/>
      <c r="ABV21" s="3"/>
      <c r="ABW21" s="3"/>
      <c r="ABX21" s="3"/>
      <c r="ABY21" s="3"/>
      <c r="ABZ21" s="3"/>
      <c r="ACA21" s="3"/>
      <c r="ACB21" s="3"/>
      <c r="ACC21" s="3"/>
      <c r="ACD21" s="3"/>
      <c r="ACE21" s="3"/>
      <c r="ACF21" s="3"/>
      <c r="ACG21" s="3"/>
      <c r="ACH21" s="3"/>
      <c r="ACI21" s="3"/>
      <c r="ACJ21" s="3"/>
      <c r="ACK21" s="3"/>
      <c r="ACL21" s="3"/>
      <c r="ACM21" s="3"/>
      <c r="ACN21" s="3"/>
      <c r="ACO21" s="3"/>
      <c r="ACP21" s="3"/>
      <c r="ACQ21" s="3"/>
      <c r="ACR21" s="3"/>
      <c r="ACS21" s="3"/>
      <c r="ACT21" s="3"/>
      <c r="ACU21" s="3"/>
      <c r="ACV21" s="3"/>
      <c r="ACW21" s="3"/>
      <c r="ACX21" s="3"/>
      <c r="ACY21" s="3"/>
      <c r="ACZ21" s="3"/>
      <c r="ADA21" s="3"/>
      <c r="ADB21" s="3"/>
      <c r="ADC21" s="3"/>
      <c r="ADD21" s="3"/>
      <c r="ADE21" s="3"/>
      <c r="ADF21" s="3"/>
      <c r="ADG21" s="3"/>
      <c r="ADH21" s="3"/>
      <c r="ADI21" s="3"/>
      <c r="ADJ21" s="3"/>
      <c r="ADK21" s="3"/>
      <c r="ADL21" s="3"/>
      <c r="ADM21" s="3"/>
      <c r="ADN21" s="3"/>
      <c r="ADO21" s="3"/>
      <c r="ADP21" s="3"/>
      <c r="ADQ21" s="3"/>
      <c r="ADR21" s="3"/>
      <c r="ADS21" s="3"/>
      <c r="ADT21" s="3"/>
      <c r="ADU21" s="3"/>
      <c r="ADV21" s="3"/>
      <c r="ADW21" s="3"/>
      <c r="ADX21" s="3"/>
      <c r="ADY21" s="3"/>
      <c r="ADZ21" s="3"/>
      <c r="AEA21" s="3"/>
      <c r="AEB21" s="3"/>
      <c r="AEC21" s="3"/>
      <c r="AED21" s="3"/>
      <c r="AEE21" s="3"/>
      <c r="AEF21" s="3"/>
      <c r="AEG21" s="3"/>
      <c r="AEH21" s="3"/>
      <c r="AEI21" s="3"/>
      <c r="AEJ21" s="3"/>
      <c r="AEK21" s="3"/>
      <c r="AEL21" s="3"/>
      <c r="AEM21" s="3"/>
      <c r="AEN21" s="3"/>
      <c r="AEO21" s="3"/>
      <c r="AEP21" s="3"/>
      <c r="AEQ21" s="3"/>
      <c r="AER21" s="3"/>
      <c r="AES21" s="3"/>
      <c r="AET21" s="3"/>
      <c r="AEU21" s="3"/>
      <c r="AEV21" s="3"/>
      <c r="AEW21" s="3"/>
      <c r="AEX21" s="3"/>
      <c r="AEY21" s="3"/>
      <c r="AEZ21" s="3"/>
      <c r="AFA21" s="3"/>
      <c r="AFB21" s="3"/>
      <c r="AFC21" s="3"/>
      <c r="AFD21" s="3"/>
      <c r="AFE21" s="3"/>
      <c r="AFF21" s="3"/>
      <c r="AFG21" s="3"/>
      <c r="AFH21" s="3"/>
      <c r="AFI21" s="3"/>
      <c r="AFJ21" s="3"/>
      <c r="AFK21" s="3"/>
      <c r="AFL21" s="3"/>
      <c r="AFM21" s="3"/>
      <c r="AFN21" s="3"/>
      <c r="AFO21" s="3"/>
      <c r="AFP21" s="3"/>
      <c r="AFQ21" s="3"/>
      <c r="AFR21" s="3"/>
      <c r="AFS21" s="3"/>
      <c r="AFT21" s="3"/>
      <c r="AFU21" s="3"/>
      <c r="AFV21" s="3"/>
      <c r="AFW21" s="3"/>
      <c r="AFX21" s="3"/>
      <c r="AFY21" s="3"/>
      <c r="AFZ21" s="3"/>
      <c r="AGA21" s="3"/>
      <c r="AGB21" s="3"/>
      <c r="AGC21" s="3"/>
      <c r="AGD21" s="3"/>
      <c r="AGE21" s="3"/>
      <c r="AGF21" s="3"/>
      <c r="AGG21" s="3"/>
      <c r="AGH21" s="3"/>
      <c r="AGI21" s="3"/>
      <c r="AGJ21" s="3"/>
      <c r="AGK21" s="3"/>
      <c r="AGL21" s="3"/>
      <c r="AGM21" s="3"/>
      <c r="AGN21" s="3"/>
      <c r="AGO21" s="3"/>
      <c r="AGP21" s="3"/>
      <c r="AGQ21" s="3"/>
      <c r="AGR21" s="3"/>
      <c r="AGS21" s="3"/>
      <c r="AGT21" s="3"/>
      <c r="AGU21" s="3"/>
      <c r="AGV21" s="3"/>
      <c r="AGW21" s="3"/>
      <c r="AGX21" s="3"/>
      <c r="AGY21" s="3"/>
      <c r="AGZ21" s="3"/>
      <c r="AHA21" s="3"/>
      <c r="AHB21" s="3"/>
    </row>
    <row r="22" ht="24" customHeight="1" spans="1:886">
      <c r="A22" s="343">
        <v>18</v>
      </c>
      <c r="B22" s="279"/>
      <c r="C22" s="345" t="s">
        <v>122</v>
      </c>
      <c r="D22" s="352"/>
      <c r="E22" s="344"/>
      <c r="F22" s="81">
        <v>6</v>
      </c>
      <c r="G22" s="355" t="s">
        <v>440</v>
      </c>
      <c r="H22" s="356" t="s">
        <v>441</v>
      </c>
      <c r="I22" s="365" t="s">
        <v>126</v>
      </c>
      <c r="J22" s="365" t="s">
        <v>126</v>
      </c>
      <c r="K22" s="365" t="s">
        <v>126</v>
      </c>
      <c r="L22" s="365" t="s">
        <v>126</v>
      </c>
      <c r="M22" s="365" t="s">
        <v>126</v>
      </c>
      <c r="N22" s="366" t="s">
        <v>442</v>
      </c>
      <c r="O22" s="367" t="s">
        <v>442</v>
      </c>
      <c r="P22" s="370" t="str">
        <f>CONCATENATE(RemovePunctuation(H22),"_CA","_","i4K","_",C22,"_",AE22,"_",PROPER(R22),IF(S22="",PROPER(R22),PROPER(S22)),PROPER(T22),PROPER(U22),PROPER(V22),IF(V22&lt;&gt;"","SUB",""),PROPER(W22),IF(W22&lt;&gt;"","SUB",""),"_","Ed","_","M1",".mpg")</f>
        <v>ChineseJuncao1MyNameIsJuncao_CA_i4K_0125_43_ZhoZhoZhoSUB_Ed_M1.mpg</v>
      </c>
      <c r="Q22" s="386" t="str">
        <f>CONCATENATE(RemovePunctuation(H22),"_CA","_","i5K","_",C22,"_",AD22,"_",PROPER(R22),IF(S22="",PROPER(R22),PROPER(S22)),PROPER(T22),PROPER(U22),PROPER(V22),IF(V22&lt;&gt;"","SUB",""),PROPER(W22),IF(W22&lt;&gt;"","SUB",""),"_","Ed","_","M4",".mpg")</f>
        <v>ChineseJuncao1MyNameIsJuncao_CA_i5K_0125_169_ZhoZhoZhoSUB_Ed_M4.mpg</v>
      </c>
      <c r="R22" s="382" t="s">
        <v>132</v>
      </c>
      <c r="S22" s="383"/>
      <c r="T22" s="384"/>
      <c r="U22" s="384"/>
      <c r="V22" s="382" t="s">
        <v>132</v>
      </c>
      <c r="W22" s="384"/>
      <c r="X22" s="343" t="s">
        <v>131</v>
      </c>
      <c r="Y22" s="343" t="s">
        <v>131</v>
      </c>
      <c r="Z22" s="120">
        <f t="shared" si="3"/>
        <v>28</v>
      </c>
      <c r="AA22" s="305" t="str">
        <f t="shared" si="5"/>
        <v>00:28:00</v>
      </c>
      <c r="AB22" s="120">
        <f t="shared" si="4"/>
        <v>1680</v>
      </c>
      <c r="AC22" s="402">
        <v>0.0196527777777778</v>
      </c>
      <c r="AD22" s="401">
        <v>169</v>
      </c>
      <c r="AE22" s="401">
        <v>43</v>
      </c>
      <c r="AF22" s="343" t="s">
        <v>133</v>
      </c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  <c r="AAA22" s="3"/>
      <c r="AAB22" s="3"/>
      <c r="AAC22" s="3"/>
      <c r="AAD22" s="3"/>
      <c r="AAE22" s="3"/>
      <c r="AAF22" s="3"/>
      <c r="AAG22" s="3"/>
      <c r="AAH22" s="3"/>
      <c r="AAI22" s="3"/>
      <c r="AAJ22" s="3"/>
      <c r="AAK22" s="3"/>
      <c r="AAL22" s="3"/>
      <c r="AAM22" s="3"/>
      <c r="AAN22" s="3"/>
      <c r="AAO22" s="3"/>
      <c r="AAP22" s="3"/>
      <c r="AAQ22" s="3"/>
      <c r="AAR22" s="3"/>
      <c r="AAS22" s="3"/>
      <c r="AAT22" s="3"/>
      <c r="AAU22" s="3"/>
      <c r="AAV22" s="3"/>
      <c r="AAW22" s="3"/>
      <c r="AAX22" s="3"/>
      <c r="AAY22" s="3"/>
      <c r="AAZ22" s="3"/>
      <c r="ABA22" s="3"/>
      <c r="ABB22" s="3"/>
      <c r="ABC22" s="3"/>
      <c r="ABD22" s="3"/>
      <c r="ABE22" s="3"/>
      <c r="ABF22" s="3"/>
      <c r="ABG22" s="3"/>
      <c r="ABH22" s="3"/>
      <c r="ABI22" s="3"/>
      <c r="ABJ22" s="3"/>
      <c r="ABK22" s="3"/>
      <c r="ABL22" s="3"/>
      <c r="ABM22" s="3"/>
      <c r="ABN22" s="3"/>
      <c r="ABO22" s="3"/>
      <c r="ABP22" s="3"/>
      <c r="ABQ22" s="3"/>
      <c r="ABR22" s="3"/>
      <c r="ABS22" s="3"/>
      <c r="ABT22" s="3"/>
      <c r="ABU22" s="3"/>
      <c r="ABV22" s="3"/>
      <c r="ABW22" s="3"/>
      <c r="ABX22" s="3"/>
      <c r="ABY22" s="3"/>
      <c r="ABZ22" s="3"/>
      <c r="ACA22" s="3"/>
      <c r="ACB22" s="3"/>
      <c r="ACC22" s="3"/>
      <c r="ACD22" s="3"/>
      <c r="ACE22" s="3"/>
      <c r="ACF22" s="3"/>
      <c r="ACG22" s="3"/>
      <c r="ACH22" s="3"/>
      <c r="ACI22" s="3"/>
      <c r="ACJ22" s="3"/>
      <c r="ACK22" s="3"/>
      <c r="ACL22" s="3"/>
      <c r="ACM22" s="3"/>
      <c r="ACN22" s="3"/>
      <c r="ACO22" s="3"/>
      <c r="ACP22" s="3"/>
      <c r="ACQ22" s="3"/>
      <c r="ACR22" s="3"/>
      <c r="ACS22" s="3"/>
      <c r="ACT22" s="3"/>
      <c r="ACU22" s="3"/>
      <c r="ACV22" s="3"/>
      <c r="ACW22" s="3"/>
      <c r="ACX22" s="3"/>
      <c r="ACY22" s="3"/>
      <c r="ACZ22" s="3"/>
      <c r="ADA22" s="3"/>
      <c r="ADB22" s="3"/>
      <c r="ADC22" s="3"/>
      <c r="ADD22" s="3"/>
      <c r="ADE22" s="3"/>
      <c r="ADF22" s="3"/>
      <c r="ADG22" s="3"/>
      <c r="ADH22" s="3"/>
      <c r="ADI22" s="3"/>
      <c r="ADJ22" s="3"/>
      <c r="ADK22" s="3"/>
      <c r="ADL22" s="3"/>
      <c r="ADM22" s="3"/>
      <c r="ADN22" s="3"/>
      <c r="ADO22" s="3"/>
      <c r="ADP22" s="3"/>
      <c r="ADQ22" s="3"/>
      <c r="ADR22" s="3"/>
      <c r="ADS22" s="3"/>
      <c r="ADT22" s="3"/>
      <c r="ADU22" s="3"/>
      <c r="ADV22" s="3"/>
      <c r="ADW22" s="3"/>
      <c r="ADX22" s="3"/>
      <c r="ADY22" s="3"/>
      <c r="ADZ22" s="3"/>
      <c r="AEA22" s="3"/>
      <c r="AEB22" s="3"/>
      <c r="AEC22" s="3"/>
      <c r="AED22" s="3"/>
      <c r="AEE22" s="3"/>
      <c r="AEF22" s="3"/>
      <c r="AEG22" s="3"/>
      <c r="AEH22" s="3"/>
      <c r="AEI22" s="3"/>
      <c r="AEJ22" s="3"/>
      <c r="AEK22" s="3"/>
      <c r="AEL22" s="3"/>
      <c r="AEM22" s="3"/>
      <c r="AEN22" s="3"/>
      <c r="AEO22" s="3"/>
      <c r="AEP22" s="3"/>
      <c r="AEQ22" s="3"/>
      <c r="AER22" s="3"/>
      <c r="AES22" s="3"/>
      <c r="AET22" s="3"/>
      <c r="AEU22" s="3"/>
      <c r="AEV22" s="3"/>
      <c r="AEW22" s="3"/>
      <c r="AEX22" s="3"/>
      <c r="AEY22" s="3"/>
      <c r="AEZ22" s="3"/>
      <c r="AFA22" s="3"/>
      <c r="AFB22" s="3"/>
      <c r="AFC22" s="3"/>
      <c r="AFD22" s="3"/>
      <c r="AFE22" s="3"/>
      <c r="AFF22" s="3"/>
      <c r="AFG22" s="3"/>
      <c r="AFH22" s="3"/>
      <c r="AFI22" s="3"/>
      <c r="AFJ22" s="3"/>
      <c r="AFK22" s="3"/>
      <c r="AFL22" s="3"/>
      <c r="AFM22" s="3"/>
      <c r="AFN22" s="3"/>
      <c r="AFO22" s="3"/>
      <c r="AFP22" s="3"/>
      <c r="AFQ22" s="3"/>
      <c r="AFR22" s="3"/>
      <c r="AFS22" s="3"/>
      <c r="AFT22" s="3"/>
      <c r="AFU22" s="3"/>
      <c r="AFV22" s="3"/>
      <c r="AFW22" s="3"/>
      <c r="AFX22" s="3"/>
      <c r="AFY22" s="3"/>
      <c r="AFZ22" s="3"/>
      <c r="AGA22" s="3"/>
      <c r="AGB22" s="3"/>
      <c r="AGC22" s="3"/>
      <c r="AGD22" s="3"/>
      <c r="AGE22" s="3"/>
      <c r="AGF22" s="3"/>
      <c r="AGG22" s="3"/>
      <c r="AGH22" s="3"/>
      <c r="AGI22" s="3"/>
      <c r="AGJ22" s="3"/>
      <c r="AGK22" s="3"/>
      <c r="AGL22" s="3"/>
      <c r="AGM22" s="3"/>
      <c r="AGN22" s="3"/>
      <c r="AGO22" s="3"/>
      <c r="AGP22" s="3"/>
      <c r="AGQ22" s="3"/>
      <c r="AGR22" s="3"/>
      <c r="AGS22" s="3"/>
      <c r="AGT22" s="3"/>
      <c r="AGU22" s="3"/>
      <c r="AGV22" s="3"/>
      <c r="AGW22" s="3"/>
      <c r="AGX22" s="3"/>
      <c r="AGY22" s="3"/>
      <c r="AGZ22" s="3"/>
      <c r="AHA22" s="3"/>
      <c r="AHB22" s="3"/>
    </row>
    <row r="23" ht="24" customHeight="1" spans="1:886">
      <c r="A23" s="343">
        <v>19</v>
      </c>
      <c r="B23" s="279"/>
      <c r="C23" s="345" t="s">
        <v>122</v>
      </c>
      <c r="D23" s="352"/>
      <c r="E23" s="344"/>
      <c r="F23" s="81">
        <v>7</v>
      </c>
      <c r="G23" s="355" t="s">
        <v>443</v>
      </c>
      <c r="H23" s="356" t="s">
        <v>444</v>
      </c>
      <c r="I23" s="365" t="s">
        <v>126</v>
      </c>
      <c r="J23" s="365" t="s">
        <v>126</v>
      </c>
      <c r="K23" s="365" t="s">
        <v>126</v>
      </c>
      <c r="L23" s="365" t="s">
        <v>126</v>
      </c>
      <c r="M23" s="365" t="s">
        <v>126</v>
      </c>
      <c r="N23" s="366" t="s">
        <v>445</v>
      </c>
      <c r="O23" s="367" t="s">
        <v>445</v>
      </c>
      <c r="P23" s="370" t="str">
        <f>CONCATENATE(RemovePunctuation(H23),"_CA","_","i4K","_",C23,"_",AE23,"_",PROPER(R23),IF(S23="",PROPER(R23),PROPER(S23)),PROPER(T23),PROPER(U23),PROPER(V23),IF(V23&lt;&gt;"","SUB",""),PROPER(W23),IF(W23&lt;&gt;"","SUB",""),"_","Ed","_","M1",".mpg")</f>
        <v>PompeiiTheNewDigEp02_CA_i4K_0125_43_EngEngZhoSUB_Ed_M1.mpg</v>
      </c>
      <c r="Q23" s="386" t="str">
        <f>CONCATENATE(RemovePunctuation(H23),"_CA","_","i5K","_",C23,"_",AD23,"_",PROPER(R23),IF(S23="",PROPER(R23),PROPER(S23)),PROPER(T23),PROPER(U23),PROPER(V23),IF(V23&lt;&gt;"","SUB",""),PROPER(W23),IF(W23&lt;&gt;"","SUB",""),"_","Ed","_","M4",".mpg")</f>
        <v>PompeiiTheNewDigEp02_CA_i5K_0125_169_EngEngZhoSUB_Ed_M4.mpg</v>
      </c>
      <c r="R23" s="382" t="s">
        <v>138</v>
      </c>
      <c r="S23" s="382"/>
      <c r="T23" s="384"/>
      <c r="U23" s="384"/>
      <c r="V23" s="382" t="s">
        <v>132</v>
      </c>
      <c r="W23" s="382"/>
      <c r="X23" s="343" t="s">
        <v>131</v>
      </c>
      <c r="Y23" s="343" t="s">
        <v>131</v>
      </c>
      <c r="Z23" s="120">
        <f t="shared" si="3"/>
        <v>59</v>
      </c>
      <c r="AA23" s="305" t="str">
        <f t="shared" si="5"/>
        <v>00:59:00</v>
      </c>
      <c r="AB23" s="120">
        <f t="shared" si="4"/>
        <v>3540</v>
      </c>
      <c r="AC23" s="402">
        <v>0.0406481481481481</v>
      </c>
      <c r="AD23" s="401">
        <v>169</v>
      </c>
      <c r="AE23" s="401">
        <v>43</v>
      </c>
      <c r="AF23" s="343" t="s">
        <v>133</v>
      </c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  <c r="AAA23" s="3"/>
      <c r="AAB23" s="3"/>
      <c r="AAC23" s="3"/>
      <c r="AAD23" s="3"/>
      <c r="AAE23" s="3"/>
      <c r="AAF23" s="3"/>
      <c r="AAG23" s="3"/>
      <c r="AAH23" s="3"/>
      <c r="AAI23" s="3"/>
      <c r="AAJ23" s="3"/>
      <c r="AAK23" s="3"/>
      <c r="AAL23" s="3"/>
      <c r="AAM23" s="3"/>
      <c r="AAN23" s="3"/>
      <c r="AAO23" s="3"/>
      <c r="AAP23" s="3"/>
      <c r="AAQ23" s="3"/>
      <c r="AAR23" s="3"/>
      <c r="AAS23" s="3"/>
      <c r="AAT23" s="3"/>
      <c r="AAU23" s="3"/>
      <c r="AAV23" s="3"/>
      <c r="AAW23" s="3"/>
      <c r="AAX23" s="3"/>
      <c r="AAY23" s="3"/>
      <c r="AAZ23" s="3"/>
      <c r="ABA23" s="3"/>
      <c r="ABB23" s="3"/>
      <c r="ABC23" s="3"/>
      <c r="ABD23" s="3"/>
      <c r="ABE23" s="3"/>
      <c r="ABF23" s="3"/>
      <c r="ABG23" s="3"/>
      <c r="ABH23" s="3"/>
      <c r="ABI23" s="3"/>
      <c r="ABJ23" s="3"/>
      <c r="ABK23" s="3"/>
      <c r="ABL23" s="3"/>
      <c r="ABM23" s="3"/>
      <c r="ABN23" s="3"/>
      <c r="ABO23" s="3"/>
      <c r="ABP23" s="3"/>
      <c r="ABQ23" s="3"/>
      <c r="ABR23" s="3"/>
      <c r="ABS23" s="3"/>
      <c r="ABT23" s="3"/>
      <c r="ABU23" s="3"/>
      <c r="ABV23" s="3"/>
      <c r="ABW23" s="3"/>
      <c r="ABX23" s="3"/>
      <c r="ABY23" s="3"/>
      <c r="ABZ23" s="3"/>
      <c r="ACA23" s="3"/>
      <c r="ACB23" s="3"/>
      <c r="ACC23" s="3"/>
      <c r="ACD23" s="3"/>
      <c r="ACE23" s="3"/>
      <c r="ACF23" s="3"/>
      <c r="ACG23" s="3"/>
      <c r="ACH23" s="3"/>
      <c r="ACI23" s="3"/>
      <c r="ACJ23" s="3"/>
      <c r="ACK23" s="3"/>
      <c r="ACL23" s="3"/>
      <c r="ACM23" s="3"/>
      <c r="ACN23" s="3"/>
      <c r="ACO23" s="3"/>
      <c r="ACP23" s="3"/>
      <c r="ACQ23" s="3"/>
      <c r="ACR23" s="3"/>
      <c r="ACS23" s="3"/>
      <c r="ACT23" s="3"/>
      <c r="ACU23" s="3"/>
      <c r="ACV23" s="3"/>
      <c r="ACW23" s="3"/>
      <c r="ACX23" s="3"/>
      <c r="ACY23" s="3"/>
      <c r="ACZ23" s="3"/>
      <c r="ADA23" s="3"/>
      <c r="ADB23" s="3"/>
      <c r="ADC23" s="3"/>
      <c r="ADD23" s="3"/>
      <c r="ADE23" s="3"/>
      <c r="ADF23" s="3"/>
      <c r="ADG23" s="3"/>
      <c r="ADH23" s="3"/>
      <c r="ADI23" s="3"/>
      <c r="ADJ23" s="3"/>
      <c r="ADK23" s="3"/>
      <c r="ADL23" s="3"/>
      <c r="ADM23" s="3"/>
      <c r="ADN23" s="3"/>
      <c r="ADO23" s="3"/>
      <c r="ADP23" s="3"/>
      <c r="ADQ23" s="3"/>
      <c r="ADR23" s="3"/>
      <c r="ADS23" s="3"/>
      <c r="ADT23" s="3"/>
      <c r="ADU23" s="3"/>
      <c r="ADV23" s="3"/>
      <c r="ADW23" s="3"/>
      <c r="ADX23" s="3"/>
      <c r="ADY23" s="3"/>
      <c r="ADZ23" s="3"/>
      <c r="AEA23" s="3"/>
      <c r="AEB23" s="3"/>
      <c r="AEC23" s="3"/>
      <c r="AED23" s="3"/>
      <c r="AEE23" s="3"/>
      <c r="AEF23" s="3"/>
      <c r="AEG23" s="3"/>
      <c r="AEH23" s="3"/>
      <c r="AEI23" s="3"/>
      <c r="AEJ23" s="3"/>
      <c r="AEK23" s="3"/>
      <c r="AEL23" s="3"/>
      <c r="AEM23" s="3"/>
      <c r="AEN23" s="3"/>
      <c r="AEO23" s="3"/>
      <c r="AEP23" s="3"/>
      <c r="AEQ23" s="3"/>
      <c r="AER23" s="3"/>
      <c r="AES23" s="3"/>
      <c r="AET23" s="3"/>
      <c r="AEU23" s="3"/>
      <c r="AEV23" s="3"/>
      <c r="AEW23" s="3"/>
      <c r="AEX23" s="3"/>
      <c r="AEY23" s="3"/>
      <c r="AEZ23" s="3"/>
      <c r="AFA23" s="3"/>
      <c r="AFB23" s="3"/>
      <c r="AFC23" s="3"/>
      <c r="AFD23" s="3"/>
      <c r="AFE23" s="3"/>
      <c r="AFF23" s="3"/>
      <c r="AFG23" s="3"/>
      <c r="AFH23" s="3"/>
      <c r="AFI23" s="3"/>
      <c r="AFJ23" s="3"/>
      <c r="AFK23" s="3"/>
      <c r="AFL23" s="3"/>
      <c r="AFM23" s="3"/>
      <c r="AFN23" s="3"/>
      <c r="AFO23" s="3"/>
      <c r="AFP23" s="3"/>
      <c r="AFQ23" s="3"/>
      <c r="AFR23" s="3"/>
      <c r="AFS23" s="3"/>
      <c r="AFT23" s="3"/>
      <c r="AFU23" s="3"/>
      <c r="AFV23" s="3"/>
      <c r="AFW23" s="3"/>
      <c r="AFX23" s="3"/>
      <c r="AFY23" s="3"/>
      <c r="AFZ23" s="3"/>
      <c r="AGA23" s="3"/>
      <c r="AGB23" s="3"/>
      <c r="AGC23" s="3"/>
      <c r="AGD23" s="3"/>
      <c r="AGE23" s="3"/>
      <c r="AGF23" s="3"/>
      <c r="AGG23" s="3"/>
      <c r="AGH23" s="3"/>
      <c r="AGI23" s="3"/>
      <c r="AGJ23" s="3"/>
      <c r="AGK23" s="3"/>
      <c r="AGL23" s="3"/>
      <c r="AGM23" s="3"/>
      <c r="AGN23" s="3"/>
      <c r="AGO23" s="3"/>
      <c r="AGP23" s="3"/>
      <c r="AGQ23" s="3"/>
      <c r="AGR23" s="3"/>
      <c r="AGS23" s="3"/>
      <c r="AGT23" s="3"/>
      <c r="AGU23" s="3"/>
      <c r="AGV23" s="3"/>
      <c r="AGW23" s="3"/>
      <c r="AGX23" s="3"/>
      <c r="AGY23" s="3"/>
      <c r="AGZ23" s="3"/>
      <c r="AHA23" s="3"/>
      <c r="AHB23" s="3"/>
    </row>
    <row r="24" ht="24" customHeight="1" spans="1:886">
      <c r="A24" s="343">
        <v>20</v>
      </c>
      <c r="B24" s="279"/>
      <c r="C24" s="345" t="s">
        <v>122</v>
      </c>
      <c r="D24" s="352"/>
      <c r="E24" s="344"/>
      <c r="F24" s="81">
        <v>8</v>
      </c>
      <c r="G24" s="355" t="s">
        <v>446</v>
      </c>
      <c r="H24" s="356" t="s">
        <v>447</v>
      </c>
      <c r="I24" s="365" t="s">
        <v>126</v>
      </c>
      <c r="J24" s="365" t="s">
        <v>126</v>
      </c>
      <c r="K24" s="365" t="s">
        <v>126</v>
      </c>
      <c r="L24" s="365" t="s">
        <v>126</v>
      </c>
      <c r="M24" s="365" t="s">
        <v>126</v>
      </c>
      <c r="N24" s="366" t="s">
        <v>448</v>
      </c>
      <c r="O24" s="367" t="s">
        <v>448</v>
      </c>
      <c r="P24" s="370" t="str">
        <f>CONCATENATE(RemovePunctuation(H24),"_CA","_","i4K","_",C24,"_",AE24,"_",PROPER(R24),IF(S24="",PROPER(R24),PROPER(S24)),PROPER(T24),PROPER(U24),PROPER(V24),IF(V24&lt;&gt;"","SUB",""),PROPER(W24),IF(W24&lt;&gt;"","SUB",""),"_","Ed","_","M1",".mpg")</f>
        <v>FoodMarketsEp07_CA_i4K_0125_43_EngEngEngSUBZhoSUB_Ed_M1.mpg</v>
      </c>
      <c r="Q24" s="386" t="str">
        <f>CONCATENATE(RemovePunctuation(H24),"_CA","_","i5K","_",C24,"_",AD24,"_",PROPER(R24),IF(S24="",PROPER(R24),PROPER(S24)),PROPER(T24),PROPER(U24),PROPER(V24),IF(V24&lt;&gt;"","SUB",""),PROPER(W24),IF(W24&lt;&gt;"","SUB",""),"_","Ed","_","M4",".mpg")</f>
        <v>FoodMarketsEp07_CA_i5K_0125_169_EngEngEngSUBZhoSUB_Ed_M4.mpg</v>
      </c>
      <c r="R24" s="382" t="s">
        <v>138</v>
      </c>
      <c r="S24" s="383"/>
      <c r="T24" s="384"/>
      <c r="U24" s="384"/>
      <c r="V24" s="382" t="s">
        <v>138</v>
      </c>
      <c r="W24" s="382" t="s">
        <v>132</v>
      </c>
      <c r="X24" s="343" t="s">
        <v>131</v>
      </c>
      <c r="Y24" s="343" t="s">
        <v>131</v>
      </c>
      <c r="Z24" s="120">
        <f t="shared" si="3"/>
        <v>47</v>
      </c>
      <c r="AA24" s="305" t="str">
        <f t="shared" si="5"/>
        <v>00:47:00</v>
      </c>
      <c r="AB24" s="120">
        <f t="shared" si="4"/>
        <v>2820</v>
      </c>
      <c r="AC24" s="402">
        <v>0.0328819444444444</v>
      </c>
      <c r="AD24" s="401">
        <v>169</v>
      </c>
      <c r="AE24" s="401">
        <v>43</v>
      </c>
      <c r="AF24" s="343" t="s">
        <v>133</v>
      </c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  <c r="AAA24" s="3"/>
      <c r="AAB24" s="3"/>
      <c r="AAC24" s="3"/>
      <c r="AAD24" s="3"/>
      <c r="AAE24" s="3"/>
      <c r="AAF24" s="3"/>
      <c r="AAG24" s="3"/>
      <c r="AAH24" s="3"/>
      <c r="AAI24" s="3"/>
      <c r="AAJ24" s="3"/>
      <c r="AAK24" s="3"/>
      <c r="AAL24" s="3"/>
      <c r="AAM24" s="3"/>
      <c r="AAN24" s="3"/>
      <c r="AAO24" s="3"/>
      <c r="AAP24" s="3"/>
      <c r="AAQ24" s="3"/>
      <c r="AAR24" s="3"/>
      <c r="AAS24" s="3"/>
      <c r="AAT24" s="3"/>
      <c r="AAU24" s="3"/>
      <c r="AAV24" s="3"/>
      <c r="AAW24" s="3"/>
      <c r="AAX24" s="3"/>
      <c r="AAY24" s="3"/>
      <c r="AAZ24" s="3"/>
      <c r="ABA24" s="3"/>
      <c r="ABB24" s="3"/>
      <c r="ABC24" s="3"/>
      <c r="ABD24" s="3"/>
      <c r="ABE24" s="3"/>
      <c r="ABF24" s="3"/>
      <c r="ABG24" s="3"/>
      <c r="ABH24" s="3"/>
      <c r="ABI24" s="3"/>
      <c r="ABJ24" s="3"/>
      <c r="ABK24" s="3"/>
      <c r="ABL24" s="3"/>
      <c r="ABM24" s="3"/>
      <c r="ABN24" s="3"/>
      <c r="ABO24" s="3"/>
      <c r="ABP24" s="3"/>
      <c r="ABQ24" s="3"/>
      <c r="ABR24" s="3"/>
      <c r="ABS24" s="3"/>
      <c r="ABT24" s="3"/>
      <c r="ABU24" s="3"/>
      <c r="ABV24" s="3"/>
      <c r="ABW24" s="3"/>
      <c r="ABX24" s="3"/>
      <c r="ABY24" s="3"/>
      <c r="ABZ24" s="3"/>
      <c r="ACA24" s="3"/>
      <c r="ACB24" s="3"/>
      <c r="ACC24" s="3"/>
      <c r="ACD24" s="3"/>
      <c r="ACE24" s="3"/>
      <c r="ACF24" s="3"/>
      <c r="ACG24" s="3"/>
      <c r="ACH24" s="3"/>
      <c r="ACI24" s="3"/>
      <c r="ACJ24" s="3"/>
      <c r="ACK24" s="3"/>
      <c r="ACL24" s="3"/>
      <c r="ACM24" s="3"/>
      <c r="ACN24" s="3"/>
      <c r="ACO24" s="3"/>
      <c r="ACP24" s="3"/>
      <c r="ACQ24" s="3"/>
      <c r="ACR24" s="3"/>
      <c r="ACS24" s="3"/>
      <c r="ACT24" s="3"/>
      <c r="ACU24" s="3"/>
      <c r="ACV24" s="3"/>
      <c r="ACW24" s="3"/>
      <c r="ACX24" s="3"/>
      <c r="ACY24" s="3"/>
      <c r="ACZ24" s="3"/>
      <c r="ADA24" s="3"/>
      <c r="ADB24" s="3"/>
      <c r="ADC24" s="3"/>
      <c r="ADD24" s="3"/>
      <c r="ADE24" s="3"/>
      <c r="ADF24" s="3"/>
      <c r="ADG24" s="3"/>
      <c r="ADH24" s="3"/>
      <c r="ADI24" s="3"/>
      <c r="ADJ24" s="3"/>
      <c r="ADK24" s="3"/>
      <c r="ADL24" s="3"/>
      <c r="ADM24" s="3"/>
      <c r="ADN24" s="3"/>
      <c r="ADO24" s="3"/>
      <c r="ADP24" s="3"/>
      <c r="ADQ24" s="3"/>
      <c r="ADR24" s="3"/>
      <c r="ADS24" s="3"/>
      <c r="ADT24" s="3"/>
      <c r="ADU24" s="3"/>
      <c r="ADV24" s="3"/>
      <c r="ADW24" s="3"/>
      <c r="ADX24" s="3"/>
      <c r="ADY24" s="3"/>
      <c r="ADZ24" s="3"/>
      <c r="AEA24" s="3"/>
      <c r="AEB24" s="3"/>
      <c r="AEC24" s="3"/>
      <c r="AED24" s="3"/>
      <c r="AEE24" s="3"/>
      <c r="AEF24" s="3"/>
      <c r="AEG24" s="3"/>
      <c r="AEH24" s="3"/>
      <c r="AEI24" s="3"/>
      <c r="AEJ24" s="3"/>
      <c r="AEK24" s="3"/>
      <c r="AEL24" s="3"/>
      <c r="AEM24" s="3"/>
      <c r="AEN24" s="3"/>
      <c r="AEO24" s="3"/>
      <c r="AEP24" s="3"/>
      <c r="AEQ24" s="3"/>
      <c r="AER24" s="3"/>
      <c r="AES24" s="3"/>
      <c r="AET24" s="3"/>
      <c r="AEU24" s="3"/>
      <c r="AEV24" s="3"/>
      <c r="AEW24" s="3"/>
      <c r="AEX24" s="3"/>
      <c r="AEY24" s="3"/>
      <c r="AEZ24" s="3"/>
      <c r="AFA24" s="3"/>
      <c r="AFB24" s="3"/>
      <c r="AFC24" s="3"/>
      <c r="AFD24" s="3"/>
      <c r="AFE24" s="3"/>
      <c r="AFF24" s="3"/>
      <c r="AFG24" s="3"/>
      <c r="AFH24" s="3"/>
      <c r="AFI24" s="3"/>
      <c r="AFJ24" s="3"/>
      <c r="AFK24" s="3"/>
      <c r="AFL24" s="3"/>
      <c r="AFM24" s="3"/>
      <c r="AFN24" s="3"/>
      <c r="AFO24" s="3"/>
      <c r="AFP24" s="3"/>
      <c r="AFQ24" s="3"/>
      <c r="AFR24" s="3"/>
      <c r="AFS24" s="3"/>
      <c r="AFT24" s="3"/>
      <c r="AFU24" s="3"/>
      <c r="AFV24" s="3"/>
      <c r="AFW24" s="3"/>
      <c r="AFX24" s="3"/>
      <c r="AFY24" s="3"/>
      <c r="AFZ24" s="3"/>
      <c r="AGA24" s="3"/>
      <c r="AGB24" s="3"/>
      <c r="AGC24" s="3"/>
      <c r="AGD24" s="3"/>
      <c r="AGE24" s="3"/>
      <c r="AGF24" s="3"/>
      <c r="AGG24" s="3"/>
      <c r="AGH24" s="3"/>
      <c r="AGI24" s="3"/>
      <c r="AGJ24" s="3"/>
      <c r="AGK24" s="3"/>
      <c r="AGL24" s="3"/>
      <c r="AGM24" s="3"/>
      <c r="AGN24" s="3"/>
      <c r="AGO24" s="3"/>
      <c r="AGP24" s="3"/>
      <c r="AGQ24" s="3"/>
      <c r="AGR24" s="3"/>
      <c r="AGS24" s="3"/>
      <c r="AGT24" s="3"/>
      <c r="AGU24" s="3"/>
      <c r="AGV24" s="3"/>
      <c r="AGW24" s="3"/>
      <c r="AGX24" s="3"/>
      <c r="AGY24" s="3"/>
      <c r="AGZ24" s="3"/>
      <c r="AHA24" s="3"/>
      <c r="AHB24" s="3"/>
    </row>
    <row r="25" ht="24" customHeight="1" spans="1:886">
      <c r="A25" s="343">
        <v>21</v>
      </c>
      <c r="B25" s="279"/>
      <c r="C25" s="345" t="s">
        <v>122</v>
      </c>
      <c r="D25" s="352" t="s">
        <v>449</v>
      </c>
      <c r="E25" s="352"/>
      <c r="F25" s="81">
        <v>1</v>
      </c>
      <c r="G25" s="355" t="s">
        <v>450</v>
      </c>
      <c r="H25" s="356" t="s">
        <v>451</v>
      </c>
      <c r="I25" s="365" t="s">
        <v>126</v>
      </c>
      <c r="J25" s="365" t="s">
        <v>126</v>
      </c>
      <c r="K25" s="365" t="s">
        <v>126</v>
      </c>
      <c r="L25" s="365" t="s">
        <v>126</v>
      </c>
      <c r="M25" s="365" t="s">
        <v>126</v>
      </c>
      <c r="N25" s="371" t="s">
        <v>452</v>
      </c>
      <c r="O25" s="367" t="s">
        <v>452</v>
      </c>
      <c r="P25" s="370" t="str">
        <f>CONCATENATE(RemovePunctuation(H25),"_CA","_","i4K","_",C25,"_",AE25,"_",PROPER(R25),IF(S25="",PROPER(R25),PROPER(S25)),PROPER(T25),PROPER(U25),PROPER(V25),IF(V25&lt;&gt;"","SUB",""),PROPER(W25),IF(W25&lt;&gt;"","SUB",""),"_","Ed","_","M1",".mpg")</f>
        <v>HongKongNatureStories4TheMountainForestPart2_CA_i4K_0125_43_ZhoZhoZhoSUB_Ed_M1.mpg</v>
      </c>
      <c r="Q25" s="386" t="str">
        <f>CONCATENATE(RemovePunctuation(H25),"_CA","_","i5K","_",C25,"_",AD25,"_",PROPER(R25),IF(S25="",PROPER(R25),PROPER(S25)),PROPER(T25),PROPER(U25),PROPER(V25),IF(V25&lt;&gt;"","SUB",""),PROPER(W25),IF(W25&lt;&gt;"","SUB",""),"_","Ed","_","M4",".mpg")</f>
        <v>HongKongNatureStories4TheMountainForestPart2_CA_i5K_0125_169_ZhoZhoZhoSUB_Ed_M4.mpg</v>
      </c>
      <c r="R25" s="382" t="s">
        <v>132</v>
      </c>
      <c r="S25" s="383"/>
      <c r="T25" s="384"/>
      <c r="U25" s="384"/>
      <c r="V25" s="382" t="s">
        <v>132</v>
      </c>
      <c r="W25" s="382"/>
      <c r="X25" s="343" t="s">
        <v>131</v>
      </c>
      <c r="Y25" s="343" t="s">
        <v>131</v>
      </c>
      <c r="Z25" s="120">
        <f t="shared" si="3"/>
        <v>27</v>
      </c>
      <c r="AA25" s="305" t="str">
        <f t="shared" si="5"/>
        <v>00:27:00</v>
      </c>
      <c r="AB25" s="120">
        <f t="shared" si="4"/>
        <v>1620</v>
      </c>
      <c r="AC25" s="402">
        <v>0.0184490740740741</v>
      </c>
      <c r="AD25" s="401">
        <v>169</v>
      </c>
      <c r="AE25" s="401">
        <v>43</v>
      </c>
      <c r="AF25" s="343" t="s">
        <v>133</v>
      </c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  <c r="AAA25" s="3"/>
      <c r="AAB25" s="3"/>
      <c r="AAC25" s="3"/>
      <c r="AAD25" s="3"/>
      <c r="AAE25" s="3"/>
      <c r="AAF25" s="3"/>
      <c r="AAG25" s="3"/>
      <c r="AAH25" s="3"/>
      <c r="AAI25" s="3"/>
      <c r="AAJ25" s="3"/>
      <c r="AAK25" s="3"/>
      <c r="AAL25" s="3"/>
      <c r="AAM25" s="3"/>
      <c r="AAN25" s="3"/>
      <c r="AAO25" s="3"/>
      <c r="AAP25" s="3"/>
      <c r="AAQ25" s="3"/>
      <c r="AAR25" s="3"/>
      <c r="AAS25" s="3"/>
      <c r="AAT25" s="3"/>
      <c r="AAU25" s="3"/>
      <c r="AAV25" s="3"/>
      <c r="AAW25" s="3"/>
      <c r="AAX25" s="3"/>
      <c r="AAY25" s="3"/>
      <c r="AAZ25" s="3"/>
      <c r="ABA25" s="3"/>
      <c r="ABB25" s="3"/>
      <c r="ABC25" s="3"/>
      <c r="ABD25" s="3"/>
      <c r="ABE25" s="3"/>
      <c r="ABF25" s="3"/>
      <c r="ABG25" s="3"/>
      <c r="ABH25" s="3"/>
      <c r="ABI25" s="3"/>
      <c r="ABJ25" s="3"/>
      <c r="ABK25" s="3"/>
      <c r="ABL25" s="3"/>
      <c r="ABM25" s="3"/>
      <c r="ABN25" s="3"/>
      <c r="ABO25" s="3"/>
      <c r="ABP25" s="3"/>
      <c r="ABQ25" s="3"/>
      <c r="ABR25" s="3"/>
      <c r="ABS25" s="3"/>
      <c r="ABT25" s="3"/>
      <c r="ABU25" s="3"/>
      <c r="ABV25" s="3"/>
      <c r="ABW25" s="3"/>
      <c r="ABX25" s="3"/>
      <c r="ABY25" s="3"/>
      <c r="ABZ25" s="3"/>
      <c r="ACA25" s="3"/>
      <c r="ACB25" s="3"/>
      <c r="ACC25" s="3"/>
      <c r="ACD25" s="3"/>
      <c r="ACE25" s="3"/>
      <c r="ACF25" s="3"/>
      <c r="ACG25" s="3"/>
      <c r="ACH25" s="3"/>
      <c r="ACI25" s="3"/>
      <c r="ACJ25" s="3"/>
      <c r="ACK25" s="3"/>
      <c r="ACL25" s="3"/>
      <c r="ACM25" s="3"/>
      <c r="ACN25" s="3"/>
      <c r="ACO25" s="3"/>
      <c r="ACP25" s="3"/>
      <c r="ACQ25" s="3"/>
      <c r="ACR25" s="3"/>
      <c r="ACS25" s="3"/>
      <c r="ACT25" s="3"/>
      <c r="ACU25" s="3"/>
      <c r="ACV25" s="3"/>
      <c r="ACW25" s="3"/>
      <c r="ACX25" s="3"/>
      <c r="ACY25" s="3"/>
      <c r="ACZ25" s="3"/>
      <c r="ADA25" s="3"/>
      <c r="ADB25" s="3"/>
      <c r="ADC25" s="3"/>
      <c r="ADD25" s="3"/>
      <c r="ADE25" s="3"/>
      <c r="ADF25" s="3"/>
      <c r="ADG25" s="3"/>
      <c r="ADH25" s="3"/>
      <c r="ADI25" s="3"/>
      <c r="ADJ25" s="3"/>
      <c r="ADK25" s="3"/>
      <c r="ADL25" s="3"/>
      <c r="ADM25" s="3"/>
      <c r="ADN25" s="3"/>
      <c r="ADO25" s="3"/>
      <c r="ADP25" s="3"/>
      <c r="ADQ25" s="3"/>
      <c r="ADR25" s="3"/>
      <c r="ADS25" s="3"/>
      <c r="ADT25" s="3"/>
      <c r="ADU25" s="3"/>
      <c r="ADV25" s="3"/>
      <c r="ADW25" s="3"/>
      <c r="ADX25" s="3"/>
      <c r="ADY25" s="3"/>
      <c r="ADZ25" s="3"/>
      <c r="AEA25" s="3"/>
      <c r="AEB25" s="3"/>
      <c r="AEC25" s="3"/>
      <c r="AED25" s="3"/>
      <c r="AEE25" s="3"/>
      <c r="AEF25" s="3"/>
      <c r="AEG25" s="3"/>
      <c r="AEH25" s="3"/>
      <c r="AEI25" s="3"/>
      <c r="AEJ25" s="3"/>
      <c r="AEK25" s="3"/>
      <c r="AEL25" s="3"/>
      <c r="AEM25" s="3"/>
      <c r="AEN25" s="3"/>
      <c r="AEO25" s="3"/>
      <c r="AEP25" s="3"/>
      <c r="AEQ25" s="3"/>
      <c r="AER25" s="3"/>
      <c r="AES25" s="3"/>
      <c r="AET25" s="3"/>
      <c r="AEU25" s="3"/>
      <c r="AEV25" s="3"/>
      <c r="AEW25" s="3"/>
      <c r="AEX25" s="3"/>
      <c r="AEY25" s="3"/>
      <c r="AEZ25" s="3"/>
      <c r="AFA25" s="3"/>
      <c r="AFB25" s="3"/>
      <c r="AFC25" s="3"/>
      <c r="AFD25" s="3"/>
      <c r="AFE25" s="3"/>
      <c r="AFF25" s="3"/>
      <c r="AFG25" s="3"/>
      <c r="AFH25" s="3"/>
      <c r="AFI25" s="3"/>
      <c r="AFJ25" s="3"/>
      <c r="AFK25" s="3"/>
      <c r="AFL25" s="3"/>
      <c r="AFM25" s="3"/>
      <c r="AFN25" s="3"/>
      <c r="AFO25" s="3"/>
      <c r="AFP25" s="3"/>
      <c r="AFQ25" s="3"/>
      <c r="AFR25" s="3"/>
      <c r="AFS25" s="3"/>
      <c r="AFT25" s="3"/>
      <c r="AFU25" s="3"/>
      <c r="AFV25" s="3"/>
      <c r="AFW25" s="3"/>
      <c r="AFX25" s="3"/>
      <c r="AFY25" s="3"/>
      <c r="AFZ25" s="3"/>
      <c r="AGA25" s="3"/>
      <c r="AGB25" s="3"/>
      <c r="AGC25" s="3"/>
      <c r="AGD25" s="3"/>
      <c r="AGE25" s="3"/>
      <c r="AGF25" s="3"/>
      <c r="AGG25" s="3"/>
      <c r="AGH25" s="3"/>
      <c r="AGI25" s="3"/>
      <c r="AGJ25" s="3"/>
      <c r="AGK25" s="3"/>
      <c r="AGL25" s="3"/>
      <c r="AGM25" s="3"/>
      <c r="AGN25" s="3"/>
      <c r="AGO25" s="3"/>
      <c r="AGP25" s="3"/>
      <c r="AGQ25" s="3"/>
      <c r="AGR25" s="3"/>
      <c r="AGS25" s="3"/>
      <c r="AGT25" s="3"/>
      <c r="AGU25" s="3"/>
      <c r="AGV25" s="3"/>
      <c r="AGW25" s="3"/>
      <c r="AGX25" s="3"/>
      <c r="AGY25" s="3"/>
      <c r="AGZ25" s="3"/>
      <c r="AHA25" s="3"/>
      <c r="AHB25" s="3"/>
    </row>
    <row r="26" ht="24" customHeight="1" spans="1:886">
      <c r="A26" s="343">
        <v>22</v>
      </c>
      <c r="B26" s="279"/>
      <c r="C26" s="345" t="s">
        <v>122</v>
      </c>
      <c r="D26" s="352"/>
      <c r="E26" s="352"/>
      <c r="F26" s="81">
        <v>2</v>
      </c>
      <c r="G26" s="355" t="s">
        <v>453</v>
      </c>
      <c r="H26" s="356" t="s">
        <v>454</v>
      </c>
      <c r="I26" s="365" t="s">
        <v>126</v>
      </c>
      <c r="J26" s="365" t="s">
        <v>126</v>
      </c>
      <c r="K26" s="365" t="s">
        <v>126</v>
      </c>
      <c r="L26" s="365" t="s">
        <v>126</v>
      </c>
      <c r="M26" s="365" t="s">
        <v>126</v>
      </c>
      <c r="N26" s="371" t="s">
        <v>455</v>
      </c>
      <c r="O26" s="367" t="s">
        <v>455</v>
      </c>
      <c r="P26" s="370" t="str">
        <f>CONCATENATE(RemovePunctuation(H26),"_CA","_","i4K","_",C26,"_",AE26,"_",PROPER(R26),IF(S26="",PROPER(R26),PROPER(S26)),PROPER(T26),PROPER(U26),PROPER(V26),IF(V26&lt;&gt;"","SUB",""),PROPER(W26),IF(W26&lt;&gt;"","SUB",""),"_","Ed","_","M1",".mpg")</f>
        <v>HongKongNatureStories3TheMountainForestPart1_CA_i4K_0125_43_ZhoZhoZhoSUB_Ed_M1.mpg</v>
      </c>
      <c r="Q26" s="386" t="str">
        <f>CONCATENATE(RemovePunctuation(H26),"_CA","_","i5K","_",C26,"_",AD26,"_",PROPER(R26),IF(S26="",PROPER(R26),PROPER(S26)),PROPER(T26),PROPER(U26),PROPER(V26),IF(V26&lt;&gt;"","SUB",""),PROPER(W26),IF(W26&lt;&gt;"","SUB",""),"_","Ed","_","M4",".mpg")</f>
        <v>HongKongNatureStories3TheMountainForestPart1_CA_i5K_0125_169_ZhoZhoZhoSUB_Ed_M4.mpg</v>
      </c>
      <c r="R26" s="382" t="s">
        <v>132</v>
      </c>
      <c r="S26" s="383"/>
      <c r="T26" s="384"/>
      <c r="U26" s="384"/>
      <c r="V26" s="382" t="s">
        <v>132</v>
      </c>
      <c r="W26" s="384"/>
      <c r="X26" s="343" t="s">
        <v>131</v>
      </c>
      <c r="Y26" s="343" t="s">
        <v>131</v>
      </c>
      <c r="Z26" s="120">
        <f t="shared" si="3"/>
        <v>27</v>
      </c>
      <c r="AA26" s="305" t="str">
        <f t="shared" si="5"/>
        <v>00:27:00</v>
      </c>
      <c r="AB26" s="120">
        <f t="shared" si="4"/>
        <v>1620</v>
      </c>
      <c r="AC26" s="402">
        <v>0.0184490740740741</v>
      </c>
      <c r="AD26" s="401">
        <v>169</v>
      </c>
      <c r="AE26" s="401">
        <v>43</v>
      </c>
      <c r="AF26" s="343" t="s">
        <v>133</v>
      </c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  <c r="AAA26" s="3"/>
      <c r="AAB26" s="3"/>
      <c r="AAC26" s="3"/>
      <c r="AAD26" s="3"/>
      <c r="AAE26" s="3"/>
      <c r="AAF26" s="3"/>
      <c r="AAG26" s="3"/>
      <c r="AAH26" s="3"/>
      <c r="AAI26" s="3"/>
      <c r="AAJ26" s="3"/>
      <c r="AAK26" s="3"/>
      <c r="AAL26" s="3"/>
      <c r="AAM26" s="3"/>
      <c r="AAN26" s="3"/>
      <c r="AAO26" s="3"/>
      <c r="AAP26" s="3"/>
      <c r="AAQ26" s="3"/>
      <c r="AAR26" s="3"/>
      <c r="AAS26" s="3"/>
      <c r="AAT26" s="3"/>
      <c r="AAU26" s="3"/>
      <c r="AAV26" s="3"/>
      <c r="AAW26" s="3"/>
      <c r="AAX26" s="3"/>
      <c r="AAY26" s="3"/>
      <c r="AAZ26" s="3"/>
      <c r="ABA26" s="3"/>
      <c r="ABB26" s="3"/>
      <c r="ABC26" s="3"/>
      <c r="ABD26" s="3"/>
      <c r="ABE26" s="3"/>
      <c r="ABF26" s="3"/>
      <c r="ABG26" s="3"/>
      <c r="ABH26" s="3"/>
      <c r="ABI26" s="3"/>
      <c r="ABJ26" s="3"/>
      <c r="ABK26" s="3"/>
      <c r="ABL26" s="3"/>
      <c r="ABM26" s="3"/>
      <c r="ABN26" s="3"/>
      <c r="ABO26" s="3"/>
      <c r="ABP26" s="3"/>
      <c r="ABQ26" s="3"/>
      <c r="ABR26" s="3"/>
      <c r="ABS26" s="3"/>
      <c r="ABT26" s="3"/>
      <c r="ABU26" s="3"/>
      <c r="ABV26" s="3"/>
      <c r="ABW26" s="3"/>
      <c r="ABX26" s="3"/>
      <c r="ABY26" s="3"/>
      <c r="ABZ26" s="3"/>
      <c r="ACA26" s="3"/>
      <c r="ACB26" s="3"/>
      <c r="ACC26" s="3"/>
      <c r="ACD26" s="3"/>
      <c r="ACE26" s="3"/>
      <c r="ACF26" s="3"/>
      <c r="ACG26" s="3"/>
      <c r="ACH26" s="3"/>
      <c r="ACI26" s="3"/>
      <c r="ACJ26" s="3"/>
      <c r="ACK26" s="3"/>
      <c r="ACL26" s="3"/>
      <c r="ACM26" s="3"/>
      <c r="ACN26" s="3"/>
      <c r="ACO26" s="3"/>
      <c r="ACP26" s="3"/>
      <c r="ACQ26" s="3"/>
      <c r="ACR26" s="3"/>
      <c r="ACS26" s="3"/>
      <c r="ACT26" s="3"/>
      <c r="ACU26" s="3"/>
      <c r="ACV26" s="3"/>
      <c r="ACW26" s="3"/>
      <c r="ACX26" s="3"/>
      <c r="ACY26" s="3"/>
      <c r="ACZ26" s="3"/>
      <c r="ADA26" s="3"/>
      <c r="ADB26" s="3"/>
      <c r="ADC26" s="3"/>
      <c r="ADD26" s="3"/>
      <c r="ADE26" s="3"/>
      <c r="ADF26" s="3"/>
      <c r="ADG26" s="3"/>
      <c r="ADH26" s="3"/>
      <c r="ADI26" s="3"/>
      <c r="ADJ26" s="3"/>
      <c r="ADK26" s="3"/>
      <c r="ADL26" s="3"/>
      <c r="ADM26" s="3"/>
      <c r="ADN26" s="3"/>
      <c r="ADO26" s="3"/>
      <c r="ADP26" s="3"/>
      <c r="ADQ26" s="3"/>
      <c r="ADR26" s="3"/>
      <c r="ADS26" s="3"/>
      <c r="ADT26" s="3"/>
      <c r="ADU26" s="3"/>
      <c r="ADV26" s="3"/>
      <c r="ADW26" s="3"/>
      <c r="ADX26" s="3"/>
      <c r="ADY26" s="3"/>
      <c r="ADZ26" s="3"/>
      <c r="AEA26" s="3"/>
      <c r="AEB26" s="3"/>
      <c r="AEC26" s="3"/>
      <c r="AED26" s="3"/>
      <c r="AEE26" s="3"/>
      <c r="AEF26" s="3"/>
      <c r="AEG26" s="3"/>
      <c r="AEH26" s="3"/>
      <c r="AEI26" s="3"/>
      <c r="AEJ26" s="3"/>
      <c r="AEK26" s="3"/>
      <c r="AEL26" s="3"/>
      <c r="AEM26" s="3"/>
      <c r="AEN26" s="3"/>
      <c r="AEO26" s="3"/>
      <c r="AEP26" s="3"/>
      <c r="AEQ26" s="3"/>
      <c r="AER26" s="3"/>
      <c r="AES26" s="3"/>
      <c r="AET26" s="3"/>
      <c r="AEU26" s="3"/>
      <c r="AEV26" s="3"/>
      <c r="AEW26" s="3"/>
      <c r="AEX26" s="3"/>
      <c r="AEY26" s="3"/>
      <c r="AEZ26" s="3"/>
      <c r="AFA26" s="3"/>
      <c r="AFB26" s="3"/>
      <c r="AFC26" s="3"/>
      <c r="AFD26" s="3"/>
      <c r="AFE26" s="3"/>
      <c r="AFF26" s="3"/>
      <c r="AFG26" s="3"/>
      <c r="AFH26" s="3"/>
      <c r="AFI26" s="3"/>
      <c r="AFJ26" s="3"/>
      <c r="AFK26" s="3"/>
      <c r="AFL26" s="3"/>
      <c r="AFM26" s="3"/>
      <c r="AFN26" s="3"/>
      <c r="AFO26" s="3"/>
      <c r="AFP26" s="3"/>
      <c r="AFQ26" s="3"/>
      <c r="AFR26" s="3"/>
      <c r="AFS26" s="3"/>
      <c r="AFT26" s="3"/>
      <c r="AFU26" s="3"/>
      <c r="AFV26" s="3"/>
      <c r="AFW26" s="3"/>
      <c r="AFX26" s="3"/>
      <c r="AFY26" s="3"/>
      <c r="AFZ26" s="3"/>
      <c r="AGA26" s="3"/>
      <c r="AGB26" s="3"/>
      <c r="AGC26" s="3"/>
      <c r="AGD26" s="3"/>
      <c r="AGE26" s="3"/>
      <c r="AGF26" s="3"/>
      <c r="AGG26" s="3"/>
      <c r="AGH26" s="3"/>
      <c r="AGI26" s="3"/>
      <c r="AGJ26" s="3"/>
      <c r="AGK26" s="3"/>
      <c r="AGL26" s="3"/>
      <c r="AGM26" s="3"/>
      <c r="AGN26" s="3"/>
      <c r="AGO26" s="3"/>
      <c r="AGP26" s="3"/>
      <c r="AGQ26" s="3"/>
      <c r="AGR26" s="3"/>
      <c r="AGS26" s="3"/>
      <c r="AGT26" s="3"/>
      <c r="AGU26" s="3"/>
      <c r="AGV26" s="3"/>
      <c r="AGW26" s="3"/>
      <c r="AGX26" s="3"/>
      <c r="AGY26" s="3"/>
      <c r="AGZ26" s="3"/>
      <c r="AHA26" s="3"/>
      <c r="AHB26" s="3"/>
    </row>
    <row r="27" ht="24" customHeight="1" spans="1:886">
      <c r="A27" s="343">
        <v>23</v>
      </c>
      <c r="B27" s="279"/>
      <c r="C27" s="345" t="s">
        <v>122</v>
      </c>
      <c r="D27" s="352"/>
      <c r="E27" s="352"/>
      <c r="F27" s="81">
        <v>3</v>
      </c>
      <c r="G27" s="355" t="s">
        <v>456</v>
      </c>
      <c r="H27" s="356" t="s">
        <v>457</v>
      </c>
      <c r="I27" s="365" t="s">
        <v>126</v>
      </c>
      <c r="J27" s="365" t="s">
        <v>126</v>
      </c>
      <c r="K27" s="365" t="s">
        <v>126</v>
      </c>
      <c r="L27" s="365" t="s">
        <v>126</v>
      </c>
      <c r="M27" s="365" t="s">
        <v>126</v>
      </c>
      <c r="N27" s="371" t="s">
        <v>458</v>
      </c>
      <c r="O27" s="367" t="s">
        <v>458</v>
      </c>
      <c r="P27" s="370" t="str">
        <f>CONCATENATE(RemovePunctuation(H27),"_CA","_","i4K","_",C27,"_",AE27,"_",PROPER(R27),IF(S27="",PROPER(R27),PROPER(S27)),PROPER(T27),PROPER(U27),PROPER(V27),IF(V27&lt;&gt;"","SUB",""),PROPER(W27),IF(W27&lt;&gt;"","SUB",""),"_","Ed","_","M1",".mpg")</f>
        <v>NaturalLegendWildWorld_CA_i4K_0125_43_ZhoZhoZhoSUB_Ed_M1.mpg</v>
      </c>
      <c r="Q27" s="386" t="str">
        <f>CONCATENATE(RemovePunctuation(H27),"_CA","_","i5K","_",C27,"_",AD27,"_",PROPER(R27),IF(S27="",PROPER(R27),PROPER(S27)),PROPER(T27),PROPER(U27),PROPER(V27),IF(V27&lt;&gt;"","SUB",""),PROPER(W27),IF(W27&lt;&gt;"","SUB",""),"_","Ed","_","M4",".mpg")</f>
        <v>NaturalLegendWildWorld_CA_i5K_0125_169_ZhoZhoZhoSUB_Ed_M4.mpg</v>
      </c>
      <c r="R27" s="382" t="s">
        <v>132</v>
      </c>
      <c r="S27" s="383"/>
      <c r="T27" s="384"/>
      <c r="U27" s="384"/>
      <c r="V27" s="382" t="s">
        <v>132</v>
      </c>
      <c r="W27" s="387"/>
      <c r="X27" s="343" t="s">
        <v>131</v>
      </c>
      <c r="Y27" s="343" t="s">
        <v>131</v>
      </c>
      <c r="Z27" s="120">
        <f t="shared" si="3"/>
        <v>20</v>
      </c>
      <c r="AA27" s="305" t="str">
        <f t="shared" si="5"/>
        <v>00:20:00</v>
      </c>
      <c r="AB27" s="120">
        <f t="shared" si="4"/>
        <v>1200</v>
      </c>
      <c r="AC27" s="402">
        <v>0.0138773148148148</v>
      </c>
      <c r="AD27" s="401">
        <v>169</v>
      </c>
      <c r="AE27" s="401">
        <v>43</v>
      </c>
      <c r="AF27" s="343" t="s">
        <v>133</v>
      </c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  <c r="AAA27" s="3"/>
      <c r="AAB27" s="3"/>
      <c r="AAC27" s="3"/>
      <c r="AAD27" s="3"/>
      <c r="AAE27" s="3"/>
      <c r="AAF27" s="3"/>
      <c r="AAG27" s="3"/>
      <c r="AAH27" s="3"/>
      <c r="AAI27" s="3"/>
      <c r="AAJ27" s="3"/>
      <c r="AAK27" s="3"/>
      <c r="AAL27" s="3"/>
      <c r="AAM27" s="3"/>
      <c r="AAN27" s="3"/>
      <c r="AAO27" s="3"/>
      <c r="AAP27" s="3"/>
      <c r="AAQ27" s="3"/>
      <c r="AAR27" s="3"/>
      <c r="AAS27" s="3"/>
      <c r="AAT27" s="3"/>
      <c r="AAU27" s="3"/>
      <c r="AAV27" s="3"/>
      <c r="AAW27" s="3"/>
      <c r="AAX27" s="3"/>
      <c r="AAY27" s="3"/>
      <c r="AAZ27" s="3"/>
      <c r="ABA27" s="3"/>
      <c r="ABB27" s="3"/>
      <c r="ABC27" s="3"/>
      <c r="ABD27" s="3"/>
      <c r="ABE27" s="3"/>
      <c r="ABF27" s="3"/>
      <c r="ABG27" s="3"/>
      <c r="ABH27" s="3"/>
      <c r="ABI27" s="3"/>
      <c r="ABJ27" s="3"/>
      <c r="ABK27" s="3"/>
      <c r="ABL27" s="3"/>
      <c r="ABM27" s="3"/>
      <c r="ABN27" s="3"/>
      <c r="ABO27" s="3"/>
      <c r="ABP27" s="3"/>
      <c r="ABQ27" s="3"/>
      <c r="ABR27" s="3"/>
      <c r="ABS27" s="3"/>
      <c r="ABT27" s="3"/>
      <c r="ABU27" s="3"/>
      <c r="ABV27" s="3"/>
      <c r="ABW27" s="3"/>
      <c r="ABX27" s="3"/>
      <c r="ABY27" s="3"/>
      <c r="ABZ27" s="3"/>
      <c r="ACA27" s="3"/>
      <c r="ACB27" s="3"/>
      <c r="ACC27" s="3"/>
      <c r="ACD27" s="3"/>
      <c r="ACE27" s="3"/>
      <c r="ACF27" s="3"/>
      <c r="ACG27" s="3"/>
      <c r="ACH27" s="3"/>
      <c r="ACI27" s="3"/>
      <c r="ACJ27" s="3"/>
      <c r="ACK27" s="3"/>
      <c r="ACL27" s="3"/>
      <c r="ACM27" s="3"/>
      <c r="ACN27" s="3"/>
      <c r="ACO27" s="3"/>
      <c r="ACP27" s="3"/>
      <c r="ACQ27" s="3"/>
      <c r="ACR27" s="3"/>
      <c r="ACS27" s="3"/>
      <c r="ACT27" s="3"/>
      <c r="ACU27" s="3"/>
      <c r="ACV27" s="3"/>
      <c r="ACW27" s="3"/>
      <c r="ACX27" s="3"/>
      <c r="ACY27" s="3"/>
      <c r="ACZ27" s="3"/>
      <c r="ADA27" s="3"/>
      <c r="ADB27" s="3"/>
      <c r="ADC27" s="3"/>
      <c r="ADD27" s="3"/>
      <c r="ADE27" s="3"/>
      <c r="ADF27" s="3"/>
      <c r="ADG27" s="3"/>
      <c r="ADH27" s="3"/>
      <c r="ADI27" s="3"/>
      <c r="ADJ27" s="3"/>
      <c r="ADK27" s="3"/>
      <c r="ADL27" s="3"/>
      <c r="ADM27" s="3"/>
      <c r="ADN27" s="3"/>
      <c r="ADO27" s="3"/>
      <c r="ADP27" s="3"/>
      <c r="ADQ27" s="3"/>
      <c r="ADR27" s="3"/>
      <c r="ADS27" s="3"/>
      <c r="ADT27" s="3"/>
      <c r="ADU27" s="3"/>
      <c r="ADV27" s="3"/>
      <c r="ADW27" s="3"/>
      <c r="ADX27" s="3"/>
      <c r="ADY27" s="3"/>
      <c r="ADZ27" s="3"/>
      <c r="AEA27" s="3"/>
      <c r="AEB27" s="3"/>
      <c r="AEC27" s="3"/>
      <c r="AED27" s="3"/>
      <c r="AEE27" s="3"/>
      <c r="AEF27" s="3"/>
      <c r="AEG27" s="3"/>
      <c r="AEH27" s="3"/>
      <c r="AEI27" s="3"/>
      <c r="AEJ27" s="3"/>
      <c r="AEK27" s="3"/>
      <c r="AEL27" s="3"/>
      <c r="AEM27" s="3"/>
      <c r="AEN27" s="3"/>
      <c r="AEO27" s="3"/>
      <c r="AEP27" s="3"/>
      <c r="AEQ27" s="3"/>
      <c r="AER27" s="3"/>
      <c r="AES27" s="3"/>
      <c r="AET27" s="3"/>
      <c r="AEU27" s="3"/>
      <c r="AEV27" s="3"/>
      <c r="AEW27" s="3"/>
      <c r="AEX27" s="3"/>
      <c r="AEY27" s="3"/>
      <c r="AEZ27" s="3"/>
      <c r="AFA27" s="3"/>
      <c r="AFB27" s="3"/>
      <c r="AFC27" s="3"/>
      <c r="AFD27" s="3"/>
      <c r="AFE27" s="3"/>
      <c r="AFF27" s="3"/>
      <c r="AFG27" s="3"/>
      <c r="AFH27" s="3"/>
      <c r="AFI27" s="3"/>
      <c r="AFJ27" s="3"/>
      <c r="AFK27" s="3"/>
      <c r="AFL27" s="3"/>
      <c r="AFM27" s="3"/>
      <c r="AFN27" s="3"/>
      <c r="AFO27" s="3"/>
      <c r="AFP27" s="3"/>
      <c r="AFQ27" s="3"/>
      <c r="AFR27" s="3"/>
      <c r="AFS27" s="3"/>
      <c r="AFT27" s="3"/>
      <c r="AFU27" s="3"/>
      <c r="AFV27" s="3"/>
      <c r="AFW27" s="3"/>
      <c r="AFX27" s="3"/>
      <c r="AFY27" s="3"/>
      <c r="AFZ27" s="3"/>
      <c r="AGA27" s="3"/>
      <c r="AGB27" s="3"/>
      <c r="AGC27" s="3"/>
      <c r="AGD27" s="3"/>
      <c r="AGE27" s="3"/>
      <c r="AGF27" s="3"/>
      <c r="AGG27" s="3"/>
      <c r="AGH27" s="3"/>
      <c r="AGI27" s="3"/>
      <c r="AGJ27" s="3"/>
      <c r="AGK27" s="3"/>
      <c r="AGL27" s="3"/>
      <c r="AGM27" s="3"/>
      <c r="AGN27" s="3"/>
      <c r="AGO27" s="3"/>
      <c r="AGP27" s="3"/>
      <c r="AGQ27" s="3"/>
      <c r="AGR27" s="3"/>
      <c r="AGS27" s="3"/>
      <c r="AGT27" s="3"/>
      <c r="AGU27" s="3"/>
      <c r="AGV27" s="3"/>
      <c r="AGW27" s="3"/>
      <c r="AGX27" s="3"/>
      <c r="AGY27" s="3"/>
      <c r="AGZ27" s="3"/>
      <c r="AHA27" s="3"/>
      <c r="AHB27" s="3"/>
    </row>
    <row r="28" ht="24" customHeight="1" spans="1:886">
      <c r="A28" s="343">
        <v>24</v>
      </c>
      <c r="B28" s="279"/>
      <c r="C28" s="345" t="s">
        <v>122</v>
      </c>
      <c r="D28" s="352"/>
      <c r="E28" s="352"/>
      <c r="F28" s="81">
        <v>4</v>
      </c>
      <c r="G28" s="355" t="s">
        <v>459</v>
      </c>
      <c r="H28" s="356" t="s">
        <v>460</v>
      </c>
      <c r="I28" s="365" t="s">
        <v>126</v>
      </c>
      <c r="J28" s="365" t="s">
        <v>126</v>
      </c>
      <c r="K28" s="365" t="s">
        <v>126</v>
      </c>
      <c r="L28" s="365" t="s">
        <v>126</v>
      </c>
      <c r="M28" s="365" t="s">
        <v>126</v>
      </c>
      <c r="N28" s="371" t="s">
        <v>461</v>
      </c>
      <c r="O28" s="367" t="s">
        <v>461</v>
      </c>
      <c r="P28" s="370" t="str">
        <f>CONCATENATE(RemovePunctuation(H28),"_CA","_","i4K","_",C28,"_",AE28,"_",PROPER(R28),IF(S28="",PROPER(R28),PROPER(S28)),PROPER(T28),PROPER(U28),PROPER(V28),IF(V28&lt;&gt;"","SUB",""),PROPER(W28),IF(W28&lt;&gt;"","SUB",""),"_","Ed","_","M1",".mpg")</f>
        <v>OurGreatNationalParksEP17_CA_i4K_0125_43_EngEngEngSUBZhoSUB_Ed_M1.mpg</v>
      </c>
      <c r="Q28" s="386" t="str">
        <f>CONCATENATE(RemovePunctuation(H28),"_CA","_","i5K","_",C28,"_",AD28,"_",PROPER(R28),IF(S28="",PROPER(R28),PROPER(S28)),PROPER(T28),PROPER(U28),PROPER(V28),IF(V28&lt;&gt;"","SUB",""),PROPER(W28),IF(W28&lt;&gt;"","SUB",""),"_","Ed","_","M4",".mpg")</f>
        <v>OurGreatNationalParksEP17_CA_i5K_0125_169_EngEngEngSUBZhoSUB_Ed_M4.mpg</v>
      </c>
      <c r="R28" s="382" t="s">
        <v>138</v>
      </c>
      <c r="S28" s="383"/>
      <c r="T28" s="384"/>
      <c r="U28" s="384"/>
      <c r="V28" s="382" t="s">
        <v>138</v>
      </c>
      <c r="W28" s="382" t="s">
        <v>132</v>
      </c>
      <c r="X28" s="343" t="s">
        <v>131</v>
      </c>
      <c r="Y28" s="343" t="s">
        <v>131</v>
      </c>
      <c r="Z28" s="120">
        <f t="shared" si="3"/>
        <v>27</v>
      </c>
      <c r="AA28" s="305" t="str">
        <f t="shared" si="5"/>
        <v>00:27:00</v>
      </c>
      <c r="AB28" s="120">
        <f t="shared" si="4"/>
        <v>1620</v>
      </c>
      <c r="AC28" s="402">
        <v>0.0185300925925926</v>
      </c>
      <c r="AD28" s="401">
        <v>169</v>
      </c>
      <c r="AE28" s="401">
        <v>43</v>
      </c>
      <c r="AF28" s="343" t="s">
        <v>133</v>
      </c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  <c r="AAA28" s="3"/>
      <c r="AAB28" s="3"/>
      <c r="AAC28" s="3"/>
      <c r="AAD28" s="3"/>
      <c r="AAE28" s="3"/>
      <c r="AAF28" s="3"/>
      <c r="AAG28" s="3"/>
      <c r="AAH28" s="3"/>
      <c r="AAI28" s="3"/>
      <c r="AAJ28" s="3"/>
      <c r="AAK28" s="3"/>
      <c r="AAL28" s="3"/>
      <c r="AAM28" s="3"/>
      <c r="AAN28" s="3"/>
      <c r="AAO28" s="3"/>
      <c r="AAP28" s="3"/>
      <c r="AAQ28" s="3"/>
      <c r="AAR28" s="3"/>
      <c r="AAS28" s="3"/>
      <c r="AAT28" s="3"/>
      <c r="AAU28" s="3"/>
      <c r="AAV28" s="3"/>
      <c r="AAW28" s="3"/>
      <c r="AAX28" s="3"/>
      <c r="AAY28" s="3"/>
      <c r="AAZ28" s="3"/>
      <c r="ABA28" s="3"/>
      <c r="ABB28" s="3"/>
      <c r="ABC28" s="3"/>
      <c r="ABD28" s="3"/>
      <c r="ABE28" s="3"/>
      <c r="ABF28" s="3"/>
      <c r="ABG28" s="3"/>
      <c r="ABH28" s="3"/>
      <c r="ABI28" s="3"/>
      <c r="ABJ28" s="3"/>
      <c r="ABK28" s="3"/>
      <c r="ABL28" s="3"/>
      <c r="ABM28" s="3"/>
      <c r="ABN28" s="3"/>
      <c r="ABO28" s="3"/>
      <c r="ABP28" s="3"/>
      <c r="ABQ28" s="3"/>
      <c r="ABR28" s="3"/>
      <c r="ABS28" s="3"/>
      <c r="ABT28" s="3"/>
      <c r="ABU28" s="3"/>
      <c r="ABV28" s="3"/>
      <c r="ABW28" s="3"/>
      <c r="ABX28" s="3"/>
      <c r="ABY28" s="3"/>
      <c r="ABZ28" s="3"/>
      <c r="ACA28" s="3"/>
      <c r="ACB28" s="3"/>
      <c r="ACC28" s="3"/>
      <c r="ACD28" s="3"/>
      <c r="ACE28" s="3"/>
      <c r="ACF28" s="3"/>
      <c r="ACG28" s="3"/>
      <c r="ACH28" s="3"/>
      <c r="ACI28" s="3"/>
      <c r="ACJ28" s="3"/>
      <c r="ACK28" s="3"/>
      <c r="ACL28" s="3"/>
      <c r="ACM28" s="3"/>
      <c r="ACN28" s="3"/>
      <c r="ACO28" s="3"/>
      <c r="ACP28" s="3"/>
      <c r="ACQ28" s="3"/>
      <c r="ACR28" s="3"/>
      <c r="ACS28" s="3"/>
      <c r="ACT28" s="3"/>
      <c r="ACU28" s="3"/>
      <c r="ACV28" s="3"/>
      <c r="ACW28" s="3"/>
      <c r="ACX28" s="3"/>
      <c r="ACY28" s="3"/>
      <c r="ACZ28" s="3"/>
      <c r="ADA28" s="3"/>
      <c r="ADB28" s="3"/>
      <c r="ADC28" s="3"/>
      <c r="ADD28" s="3"/>
      <c r="ADE28" s="3"/>
      <c r="ADF28" s="3"/>
      <c r="ADG28" s="3"/>
      <c r="ADH28" s="3"/>
      <c r="ADI28" s="3"/>
      <c r="ADJ28" s="3"/>
      <c r="ADK28" s="3"/>
      <c r="ADL28" s="3"/>
      <c r="ADM28" s="3"/>
      <c r="ADN28" s="3"/>
      <c r="ADO28" s="3"/>
      <c r="ADP28" s="3"/>
      <c r="ADQ28" s="3"/>
      <c r="ADR28" s="3"/>
      <c r="ADS28" s="3"/>
      <c r="ADT28" s="3"/>
      <c r="ADU28" s="3"/>
      <c r="ADV28" s="3"/>
      <c r="ADW28" s="3"/>
      <c r="ADX28" s="3"/>
      <c r="ADY28" s="3"/>
      <c r="ADZ28" s="3"/>
      <c r="AEA28" s="3"/>
      <c r="AEB28" s="3"/>
      <c r="AEC28" s="3"/>
      <c r="AED28" s="3"/>
      <c r="AEE28" s="3"/>
      <c r="AEF28" s="3"/>
      <c r="AEG28" s="3"/>
      <c r="AEH28" s="3"/>
      <c r="AEI28" s="3"/>
      <c r="AEJ28" s="3"/>
      <c r="AEK28" s="3"/>
      <c r="AEL28" s="3"/>
      <c r="AEM28" s="3"/>
      <c r="AEN28" s="3"/>
      <c r="AEO28" s="3"/>
      <c r="AEP28" s="3"/>
      <c r="AEQ28" s="3"/>
      <c r="AER28" s="3"/>
      <c r="AES28" s="3"/>
      <c r="AET28" s="3"/>
      <c r="AEU28" s="3"/>
      <c r="AEV28" s="3"/>
      <c r="AEW28" s="3"/>
      <c r="AEX28" s="3"/>
      <c r="AEY28" s="3"/>
      <c r="AEZ28" s="3"/>
      <c r="AFA28" s="3"/>
      <c r="AFB28" s="3"/>
      <c r="AFC28" s="3"/>
      <c r="AFD28" s="3"/>
      <c r="AFE28" s="3"/>
      <c r="AFF28" s="3"/>
      <c r="AFG28" s="3"/>
      <c r="AFH28" s="3"/>
      <c r="AFI28" s="3"/>
      <c r="AFJ28" s="3"/>
      <c r="AFK28" s="3"/>
      <c r="AFL28" s="3"/>
      <c r="AFM28" s="3"/>
      <c r="AFN28" s="3"/>
      <c r="AFO28" s="3"/>
      <c r="AFP28" s="3"/>
      <c r="AFQ28" s="3"/>
      <c r="AFR28" s="3"/>
      <c r="AFS28" s="3"/>
      <c r="AFT28" s="3"/>
      <c r="AFU28" s="3"/>
      <c r="AFV28" s="3"/>
      <c r="AFW28" s="3"/>
      <c r="AFX28" s="3"/>
      <c r="AFY28" s="3"/>
      <c r="AFZ28" s="3"/>
      <c r="AGA28" s="3"/>
      <c r="AGB28" s="3"/>
      <c r="AGC28" s="3"/>
      <c r="AGD28" s="3"/>
      <c r="AGE28" s="3"/>
      <c r="AGF28" s="3"/>
      <c r="AGG28" s="3"/>
      <c r="AGH28" s="3"/>
      <c r="AGI28" s="3"/>
      <c r="AGJ28" s="3"/>
      <c r="AGK28" s="3"/>
      <c r="AGL28" s="3"/>
      <c r="AGM28" s="3"/>
      <c r="AGN28" s="3"/>
      <c r="AGO28" s="3"/>
      <c r="AGP28" s="3"/>
      <c r="AGQ28" s="3"/>
      <c r="AGR28" s="3"/>
      <c r="AGS28" s="3"/>
      <c r="AGT28" s="3"/>
      <c r="AGU28" s="3"/>
      <c r="AGV28" s="3"/>
      <c r="AGW28" s="3"/>
      <c r="AGX28" s="3"/>
      <c r="AGY28" s="3"/>
      <c r="AGZ28" s="3"/>
      <c r="AHA28" s="3"/>
      <c r="AHB28" s="3"/>
    </row>
    <row r="29" ht="24" customHeight="1" spans="1:886">
      <c r="A29" s="343">
        <v>25</v>
      </c>
      <c r="B29" s="279"/>
      <c r="C29" s="345" t="s">
        <v>122</v>
      </c>
      <c r="D29" s="352"/>
      <c r="E29" s="352"/>
      <c r="F29" s="81">
        <v>5</v>
      </c>
      <c r="G29" s="355" t="s">
        <v>462</v>
      </c>
      <c r="H29" s="356" t="s">
        <v>463</v>
      </c>
      <c r="I29" s="365" t="s">
        <v>126</v>
      </c>
      <c r="J29" s="365" t="s">
        <v>126</v>
      </c>
      <c r="K29" s="365" t="s">
        <v>126</v>
      </c>
      <c r="L29" s="365" t="s">
        <v>126</v>
      </c>
      <c r="M29" s="365" t="s">
        <v>126</v>
      </c>
      <c r="N29" s="371" t="s">
        <v>464</v>
      </c>
      <c r="O29" s="367" t="s">
        <v>464</v>
      </c>
      <c r="P29" s="370" t="str">
        <f>CONCATENATE(RemovePunctuation(H29),"_CA","_","i4K","_",C29,"_",AE29,"_",PROPER(R29),IF(S29="",PROPER(R29),PROPER(S29)),PROPER(T29),PROPER(U29),PROPER(V29),IF(V29&lt;&gt;"","SUB",""),PROPER(W29),IF(W29&lt;&gt;"","SUB",""),"_","Ed","_","M1",".mpg")</f>
        <v>IfThereWasNoLandonEarthEp07_CA_i4K_0125_43_EngEngEngSUBZhoSUB_Ed_M1.mpg</v>
      </c>
      <c r="Q29" s="386" t="str">
        <f>CONCATENATE(RemovePunctuation(H29),"_CA","_","i5K","_",C29,"_",AD29,"_",PROPER(R29),IF(S29="",PROPER(R29),PROPER(S29)),PROPER(T29),PROPER(U29),PROPER(V29),IF(V29&lt;&gt;"","SUB",""),PROPER(W29),IF(W29&lt;&gt;"","SUB",""),"_","Ed","_","M4",".mpg")</f>
        <v>IfThereWasNoLandonEarthEp07_CA_i5K_0125_169_EngEngEngSUBZhoSUB_Ed_M4.mpg</v>
      </c>
      <c r="R29" s="382" t="s">
        <v>138</v>
      </c>
      <c r="S29" s="383"/>
      <c r="T29" s="384"/>
      <c r="U29" s="384"/>
      <c r="V29" s="382" t="s">
        <v>138</v>
      </c>
      <c r="W29" s="382" t="s">
        <v>132</v>
      </c>
      <c r="X29" s="343" t="s">
        <v>131</v>
      </c>
      <c r="Y29" s="343" t="s">
        <v>131</v>
      </c>
      <c r="Z29" s="120">
        <f t="shared" si="3"/>
        <v>43</v>
      </c>
      <c r="AA29" s="305" t="str">
        <f t="shared" si="5"/>
        <v>00:43:00</v>
      </c>
      <c r="AB29" s="120">
        <f t="shared" si="4"/>
        <v>2580</v>
      </c>
      <c r="AC29" s="402">
        <v>0.0296412037037037</v>
      </c>
      <c r="AD29" s="401">
        <v>169</v>
      </c>
      <c r="AE29" s="401">
        <v>43</v>
      </c>
      <c r="AF29" s="343" t="s">
        <v>133</v>
      </c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  <c r="AAA29" s="3"/>
      <c r="AAB29" s="3"/>
      <c r="AAC29" s="3"/>
      <c r="AAD29" s="3"/>
      <c r="AAE29" s="3"/>
      <c r="AAF29" s="3"/>
      <c r="AAG29" s="3"/>
      <c r="AAH29" s="3"/>
      <c r="AAI29" s="3"/>
      <c r="AAJ29" s="3"/>
      <c r="AAK29" s="3"/>
      <c r="AAL29" s="3"/>
      <c r="AAM29" s="3"/>
      <c r="AAN29" s="3"/>
      <c r="AAO29" s="3"/>
      <c r="AAP29" s="3"/>
      <c r="AAQ29" s="3"/>
      <c r="AAR29" s="3"/>
      <c r="AAS29" s="3"/>
      <c r="AAT29" s="3"/>
      <c r="AAU29" s="3"/>
      <c r="AAV29" s="3"/>
      <c r="AAW29" s="3"/>
      <c r="AAX29" s="3"/>
      <c r="AAY29" s="3"/>
      <c r="AAZ29" s="3"/>
      <c r="ABA29" s="3"/>
      <c r="ABB29" s="3"/>
      <c r="ABC29" s="3"/>
      <c r="ABD29" s="3"/>
      <c r="ABE29" s="3"/>
      <c r="ABF29" s="3"/>
      <c r="ABG29" s="3"/>
      <c r="ABH29" s="3"/>
      <c r="ABI29" s="3"/>
      <c r="ABJ29" s="3"/>
      <c r="ABK29" s="3"/>
      <c r="ABL29" s="3"/>
      <c r="ABM29" s="3"/>
      <c r="ABN29" s="3"/>
      <c r="ABO29" s="3"/>
      <c r="ABP29" s="3"/>
      <c r="ABQ29" s="3"/>
      <c r="ABR29" s="3"/>
      <c r="ABS29" s="3"/>
      <c r="ABT29" s="3"/>
      <c r="ABU29" s="3"/>
      <c r="ABV29" s="3"/>
      <c r="ABW29" s="3"/>
      <c r="ABX29" s="3"/>
      <c r="ABY29" s="3"/>
      <c r="ABZ29" s="3"/>
      <c r="ACA29" s="3"/>
      <c r="ACB29" s="3"/>
      <c r="ACC29" s="3"/>
      <c r="ACD29" s="3"/>
      <c r="ACE29" s="3"/>
      <c r="ACF29" s="3"/>
      <c r="ACG29" s="3"/>
      <c r="ACH29" s="3"/>
      <c r="ACI29" s="3"/>
      <c r="ACJ29" s="3"/>
      <c r="ACK29" s="3"/>
      <c r="ACL29" s="3"/>
      <c r="ACM29" s="3"/>
      <c r="ACN29" s="3"/>
      <c r="ACO29" s="3"/>
      <c r="ACP29" s="3"/>
      <c r="ACQ29" s="3"/>
      <c r="ACR29" s="3"/>
      <c r="ACS29" s="3"/>
      <c r="ACT29" s="3"/>
      <c r="ACU29" s="3"/>
      <c r="ACV29" s="3"/>
      <c r="ACW29" s="3"/>
      <c r="ACX29" s="3"/>
      <c r="ACY29" s="3"/>
      <c r="ACZ29" s="3"/>
      <c r="ADA29" s="3"/>
      <c r="ADB29" s="3"/>
      <c r="ADC29" s="3"/>
      <c r="ADD29" s="3"/>
      <c r="ADE29" s="3"/>
      <c r="ADF29" s="3"/>
      <c r="ADG29" s="3"/>
      <c r="ADH29" s="3"/>
      <c r="ADI29" s="3"/>
      <c r="ADJ29" s="3"/>
      <c r="ADK29" s="3"/>
      <c r="ADL29" s="3"/>
      <c r="ADM29" s="3"/>
      <c r="ADN29" s="3"/>
      <c r="ADO29" s="3"/>
      <c r="ADP29" s="3"/>
      <c r="ADQ29" s="3"/>
      <c r="ADR29" s="3"/>
      <c r="ADS29" s="3"/>
      <c r="ADT29" s="3"/>
      <c r="ADU29" s="3"/>
      <c r="ADV29" s="3"/>
      <c r="ADW29" s="3"/>
      <c r="ADX29" s="3"/>
      <c r="ADY29" s="3"/>
      <c r="ADZ29" s="3"/>
      <c r="AEA29" s="3"/>
      <c r="AEB29" s="3"/>
      <c r="AEC29" s="3"/>
      <c r="AED29" s="3"/>
      <c r="AEE29" s="3"/>
      <c r="AEF29" s="3"/>
      <c r="AEG29" s="3"/>
      <c r="AEH29" s="3"/>
      <c r="AEI29" s="3"/>
      <c r="AEJ29" s="3"/>
      <c r="AEK29" s="3"/>
      <c r="AEL29" s="3"/>
      <c r="AEM29" s="3"/>
      <c r="AEN29" s="3"/>
      <c r="AEO29" s="3"/>
      <c r="AEP29" s="3"/>
      <c r="AEQ29" s="3"/>
      <c r="AER29" s="3"/>
      <c r="AES29" s="3"/>
      <c r="AET29" s="3"/>
      <c r="AEU29" s="3"/>
      <c r="AEV29" s="3"/>
      <c r="AEW29" s="3"/>
      <c r="AEX29" s="3"/>
      <c r="AEY29" s="3"/>
      <c r="AEZ29" s="3"/>
      <c r="AFA29" s="3"/>
      <c r="AFB29" s="3"/>
      <c r="AFC29" s="3"/>
      <c r="AFD29" s="3"/>
      <c r="AFE29" s="3"/>
      <c r="AFF29" s="3"/>
      <c r="AFG29" s="3"/>
      <c r="AFH29" s="3"/>
      <c r="AFI29" s="3"/>
      <c r="AFJ29" s="3"/>
      <c r="AFK29" s="3"/>
      <c r="AFL29" s="3"/>
      <c r="AFM29" s="3"/>
      <c r="AFN29" s="3"/>
      <c r="AFO29" s="3"/>
      <c r="AFP29" s="3"/>
      <c r="AFQ29" s="3"/>
      <c r="AFR29" s="3"/>
      <c r="AFS29" s="3"/>
      <c r="AFT29" s="3"/>
      <c r="AFU29" s="3"/>
      <c r="AFV29" s="3"/>
      <c r="AFW29" s="3"/>
      <c r="AFX29" s="3"/>
      <c r="AFY29" s="3"/>
      <c r="AFZ29" s="3"/>
      <c r="AGA29" s="3"/>
      <c r="AGB29" s="3"/>
      <c r="AGC29" s="3"/>
      <c r="AGD29" s="3"/>
      <c r="AGE29" s="3"/>
      <c r="AGF29" s="3"/>
      <c r="AGG29" s="3"/>
      <c r="AGH29" s="3"/>
      <c r="AGI29" s="3"/>
      <c r="AGJ29" s="3"/>
      <c r="AGK29" s="3"/>
      <c r="AGL29" s="3"/>
      <c r="AGM29" s="3"/>
      <c r="AGN29" s="3"/>
      <c r="AGO29" s="3"/>
      <c r="AGP29" s="3"/>
      <c r="AGQ29" s="3"/>
      <c r="AGR29" s="3"/>
      <c r="AGS29" s="3"/>
      <c r="AGT29" s="3"/>
      <c r="AGU29" s="3"/>
      <c r="AGV29" s="3"/>
      <c r="AGW29" s="3"/>
      <c r="AGX29" s="3"/>
      <c r="AGY29" s="3"/>
      <c r="AGZ29" s="3"/>
      <c r="AHA29" s="3"/>
      <c r="AHB29" s="3"/>
    </row>
    <row r="30" ht="24" customHeight="1" spans="1:886">
      <c r="A30" s="343">
        <v>26</v>
      </c>
      <c r="B30" s="279"/>
      <c r="C30" s="345" t="s">
        <v>122</v>
      </c>
      <c r="D30" s="350" t="s">
        <v>465</v>
      </c>
      <c r="E30" s="350"/>
      <c r="F30" s="81">
        <v>1</v>
      </c>
      <c r="G30" s="355" t="s">
        <v>466</v>
      </c>
      <c r="H30" s="359" t="s">
        <v>467</v>
      </c>
      <c r="I30" s="365"/>
      <c r="J30" s="365"/>
      <c r="K30" s="369" t="s">
        <v>126</v>
      </c>
      <c r="L30" s="365"/>
      <c r="M30" s="365"/>
      <c r="N30" s="371"/>
      <c r="O30" s="372" t="s">
        <v>468</v>
      </c>
      <c r="P30" s="370"/>
      <c r="Q30" s="386"/>
      <c r="R30" s="382" t="s">
        <v>132</v>
      </c>
      <c r="S30" s="383"/>
      <c r="T30" s="384"/>
      <c r="U30" s="384"/>
      <c r="V30" s="382" t="s">
        <v>132</v>
      </c>
      <c r="W30" s="382"/>
      <c r="X30" s="343" t="s">
        <v>131</v>
      </c>
      <c r="Y30" s="343" t="s">
        <v>131</v>
      </c>
      <c r="Z30" s="120">
        <f t="shared" ref="Z30:Z35" si="6">ROUNDUP(HOUR(AA30)*60+MINUTE(AA30)+SECOND(AA30)/60,0)</f>
        <v>45</v>
      </c>
      <c r="AA30" s="305" t="str">
        <f t="shared" ref="AA30:AA35" si="7">TEXT((HOUR(AC30)*60+MINUTE(AC30)+IF(SECOND(AC30)&lt;=29,0,1))*60/86400,"hh:mm:ss")</f>
        <v>00:45:00</v>
      </c>
      <c r="AB30" s="120">
        <f t="shared" ref="AB30:AB35" si="8">Z30*60</f>
        <v>2700</v>
      </c>
      <c r="AC30" s="402">
        <v>0.0310763888888889</v>
      </c>
      <c r="AD30" s="401">
        <v>169</v>
      </c>
      <c r="AE30" s="401">
        <v>43</v>
      </c>
      <c r="AF30" s="34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  <c r="AAA30" s="3"/>
      <c r="AAB30" s="3"/>
      <c r="AAC30" s="3"/>
      <c r="AAD30" s="3"/>
      <c r="AAE30" s="3"/>
      <c r="AAF30" s="3"/>
      <c r="AAG30" s="3"/>
      <c r="AAH30" s="3"/>
      <c r="AAI30" s="3"/>
      <c r="AAJ30" s="3"/>
      <c r="AAK30" s="3"/>
      <c r="AAL30" s="3"/>
      <c r="AAM30" s="3"/>
      <c r="AAN30" s="3"/>
      <c r="AAO30" s="3"/>
      <c r="AAP30" s="3"/>
      <c r="AAQ30" s="3"/>
      <c r="AAR30" s="3"/>
      <c r="AAS30" s="3"/>
      <c r="AAT30" s="3"/>
      <c r="AAU30" s="3"/>
      <c r="AAV30" s="3"/>
      <c r="AAW30" s="3"/>
      <c r="AAX30" s="3"/>
      <c r="AAY30" s="3"/>
      <c r="AAZ30" s="3"/>
      <c r="ABA30" s="3"/>
      <c r="ABB30" s="3"/>
      <c r="ABC30" s="3"/>
      <c r="ABD30" s="3"/>
      <c r="ABE30" s="3"/>
      <c r="ABF30" s="3"/>
      <c r="ABG30" s="3"/>
      <c r="ABH30" s="3"/>
      <c r="ABI30" s="3"/>
      <c r="ABJ30" s="3"/>
      <c r="ABK30" s="3"/>
      <c r="ABL30" s="3"/>
      <c r="ABM30" s="3"/>
      <c r="ABN30" s="3"/>
      <c r="ABO30" s="3"/>
      <c r="ABP30" s="3"/>
      <c r="ABQ30" s="3"/>
      <c r="ABR30" s="3"/>
      <c r="ABS30" s="3"/>
      <c r="ABT30" s="3"/>
      <c r="ABU30" s="3"/>
      <c r="ABV30" s="3"/>
      <c r="ABW30" s="3"/>
      <c r="ABX30" s="3"/>
      <c r="ABY30" s="3"/>
      <c r="ABZ30" s="3"/>
      <c r="ACA30" s="3"/>
      <c r="ACB30" s="3"/>
      <c r="ACC30" s="3"/>
      <c r="ACD30" s="3"/>
      <c r="ACE30" s="3"/>
      <c r="ACF30" s="3"/>
      <c r="ACG30" s="3"/>
      <c r="ACH30" s="3"/>
      <c r="ACI30" s="3"/>
      <c r="ACJ30" s="3"/>
      <c r="ACK30" s="3"/>
      <c r="ACL30" s="3"/>
      <c r="ACM30" s="3"/>
      <c r="ACN30" s="3"/>
      <c r="ACO30" s="3"/>
      <c r="ACP30" s="3"/>
      <c r="ACQ30" s="3"/>
      <c r="ACR30" s="3"/>
      <c r="ACS30" s="3"/>
      <c r="ACT30" s="3"/>
      <c r="ACU30" s="3"/>
      <c r="ACV30" s="3"/>
      <c r="ACW30" s="3"/>
      <c r="ACX30" s="3"/>
      <c r="ACY30" s="3"/>
      <c r="ACZ30" s="3"/>
      <c r="ADA30" s="3"/>
      <c r="ADB30" s="3"/>
      <c r="ADC30" s="3"/>
      <c r="ADD30" s="3"/>
      <c r="ADE30" s="3"/>
      <c r="ADF30" s="3"/>
      <c r="ADG30" s="3"/>
      <c r="ADH30" s="3"/>
      <c r="ADI30" s="3"/>
      <c r="ADJ30" s="3"/>
      <c r="ADK30" s="3"/>
      <c r="ADL30" s="3"/>
      <c r="ADM30" s="3"/>
      <c r="ADN30" s="3"/>
      <c r="ADO30" s="3"/>
      <c r="ADP30" s="3"/>
      <c r="ADQ30" s="3"/>
      <c r="ADR30" s="3"/>
      <c r="ADS30" s="3"/>
      <c r="ADT30" s="3"/>
      <c r="ADU30" s="3"/>
      <c r="ADV30" s="3"/>
      <c r="ADW30" s="3"/>
      <c r="ADX30" s="3"/>
      <c r="ADY30" s="3"/>
      <c r="ADZ30" s="3"/>
      <c r="AEA30" s="3"/>
      <c r="AEB30" s="3"/>
      <c r="AEC30" s="3"/>
      <c r="AED30" s="3"/>
      <c r="AEE30" s="3"/>
      <c r="AEF30" s="3"/>
      <c r="AEG30" s="3"/>
      <c r="AEH30" s="3"/>
      <c r="AEI30" s="3"/>
      <c r="AEJ30" s="3"/>
      <c r="AEK30" s="3"/>
      <c r="AEL30" s="3"/>
      <c r="AEM30" s="3"/>
      <c r="AEN30" s="3"/>
      <c r="AEO30" s="3"/>
      <c r="AEP30" s="3"/>
      <c r="AEQ30" s="3"/>
      <c r="AER30" s="3"/>
      <c r="AES30" s="3"/>
      <c r="AET30" s="3"/>
      <c r="AEU30" s="3"/>
      <c r="AEV30" s="3"/>
      <c r="AEW30" s="3"/>
      <c r="AEX30" s="3"/>
      <c r="AEY30" s="3"/>
      <c r="AEZ30" s="3"/>
      <c r="AFA30" s="3"/>
      <c r="AFB30" s="3"/>
      <c r="AFC30" s="3"/>
      <c r="AFD30" s="3"/>
      <c r="AFE30" s="3"/>
      <c r="AFF30" s="3"/>
      <c r="AFG30" s="3"/>
      <c r="AFH30" s="3"/>
      <c r="AFI30" s="3"/>
      <c r="AFJ30" s="3"/>
      <c r="AFK30" s="3"/>
      <c r="AFL30" s="3"/>
      <c r="AFM30" s="3"/>
      <c r="AFN30" s="3"/>
      <c r="AFO30" s="3"/>
      <c r="AFP30" s="3"/>
      <c r="AFQ30" s="3"/>
      <c r="AFR30" s="3"/>
      <c r="AFS30" s="3"/>
      <c r="AFT30" s="3"/>
      <c r="AFU30" s="3"/>
      <c r="AFV30" s="3"/>
      <c r="AFW30" s="3"/>
      <c r="AFX30" s="3"/>
      <c r="AFY30" s="3"/>
      <c r="AFZ30" s="3"/>
      <c r="AGA30" s="3"/>
      <c r="AGB30" s="3"/>
      <c r="AGC30" s="3"/>
      <c r="AGD30" s="3"/>
      <c r="AGE30" s="3"/>
      <c r="AGF30" s="3"/>
      <c r="AGG30" s="3"/>
      <c r="AGH30" s="3"/>
      <c r="AGI30" s="3"/>
      <c r="AGJ30" s="3"/>
      <c r="AGK30" s="3"/>
      <c r="AGL30" s="3"/>
      <c r="AGM30" s="3"/>
      <c r="AGN30" s="3"/>
      <c r="AGO30" s="3"/>
      <c r="AGP30" s="3"/>
      <c r="AGQ30" s="3"/>
      <c r="AGR30" s="3"/>
      <c r="AGS30" s="3"/>
      <c r="AGT30" s="3"/>
      <c r="AGU30" s="3"/>
      <c r="AGV30" s="3"/>
      <c r="AGW30" s="3"/>
      <c r="AGX30" s="3"/>
      <c r="AGY30" s="3"/>
      <c r="AGZ30" s="3"/>
      <c r="AHA30" s="3"/>
      <c r="AHB30" s="3"/>
    </row>
    <row r="31" ht="24" customHeight="1" spans="1:886">
      <c r="A31" s="343">
        <v>27</v>
      </c>
      <c r="B31" s="279"/>
      <c r="C31" s="345" t="s">
        <v>122</v>
      </c>
      <c r="D31" s="350"/>
      <c r="E31" s="350"/>
      <c r="F31" s="81">
        <v>2</v>
      </c>
      <c r="G31" s="355" t="s">
        <v>469</v>
      </c>
      <c r="H31" s="359" t="s">
        <v>470</v>
      </c>
      <c r="I31" s="365"/>
      <c r="J31" s="365"/>
      <c r="K31" s="369" t="s">
        <v>126</v>
      </c>
      <c r="L31" s="365"/>
      <c r="M31" s="365"/>
      <c r="N31" s="371"/>
      <c r="O31" s="372" t="s">
        <v>471</v>
      </c>
      <c r="P31" s="370"/>
      <c r="Q31" s="386"/>
      <c r="R31" s="382" t="s">
        <v>132</v>
      </c>
      <c r="S31" s="383"/>
      <c r="T31" s="384"/>
      <c r="U31" s="384"/>
      <c r="V31" s="382" t="s">
        <v>132</v>
      </c>
      <c r="W31" s="382"/>
      <c r="X31" s="343" t="s">
        <v>131</v>
      </c>
      <c r="Y31" s="343" t="s">
        <v>131</v>
      </c>
      <c r="Z31" s="120">
        <f t="shared" si="6"/>
        <v>46</v>
      </c>
      <c r="AA31" s="305" t="str">
        <f t="shared" si="7"/>
        <v>00:46:00</v>
      </c>
      <c r="AB31" s="120">
        <f t="shared" si="8"/>
        <v>2760</v>
      </c>
      <c r="AC31" s="402">
        <v>0.0317361111111111</v>
      </c>
      <c r="AD31" s="401">
        <v>169</v>
      </c>
      <c r="AE31" s="401">
        <v>43</v>
      </c>
      <c r="AF31" s="34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  <c r="AAA31" s="3"/>
      <c r="AAB31" s="3"/>
      <c r="AAC31" s="3"/>
      <c r="AAD31" s="3"/>
      <c r="AAE31" s="3"/>
      <c r="AAF31" s="3"/>
      <c r="AAG31" s="3"/>
      <c r="AAH31" s="3"/>
      <c r="AAI31" s="3"/>
      <c r="AAJ31" s="3"/>
      <c r="AAK31" s="3"/>
      <c r="AAL31" s="3"/>
      <c r="AAM31" s="3"/>
      <c r="AAN31" s="3"/>
      <c r="AAO31" s="3"/>
      <c r="AAP31" s="3"/>
      <c r="AAQ31" s="3"/>
      <c r="AAR31" s="3"/>
      <c r="AAS31" s="3"/>
      <c r="AAT31" s="3"/>
      <c r="AAU31" s="3"/>
      <c r="AAV31" s="3"/>
      <c r="AAW31" s="3"/>
      <c r="AAX31" s="3"/>
      <c r="AAY31" s="3"/>
      <c r="AAZ31" s="3"/>
      <c r="ABA31" s="3"/>
      <c r="ABB31" s="3"/>
      <c r="ABC31" s="3"/>
      <c r="ABD31" s="3"/>
      <c r="ABE31" s="3"/>
      <c r="ABF31" s="3"/>
      <c r="ABG31" s="3"/>
      <c r="ABH31" s="3"/>
      <c r="ABI31" s="3"/>
      <c r="ABJ31" s="3"/>
      <c r="ABK31" s="3"/>
      <c r="ABL31" s="3"/>
      <c r="ABM31" s="3"/>
      <c r="ABN31" s="3"/>
      <c r="ABO31" s="3"/>
      <c r="ABP31" s="3"/>
      <c r="ABQ31" s="3"/>
      <c r="ABR31" s="3"/>
      <c r="ABS31" s="3"/>
      <c r="ABT31" s="3"/>
      <c r="ABU31" s="3"/>
      <c r="ABV31" s="3"/>
      <c r="ABW31" s="3"/>
      <c r="ABX31" s="3"/>
      <c r="ABY31" s="3"/>
      <c r="ABZ31" s="3"/>
      <c r="ACA31" s="3"/>
      <c r="ACB31" s="3"/>
      <c r="ACC31" s="3"/>
      <c r="ACD31" s="3"/>
      <c r="ACE31" s="3"/>
      <c r="ACF31" s="3"/>
      <c r="ACG31" s="3"/>
      <c r="ACH31" s="3"/>
      <c r="ACI31" s="3"/>
      <c r="ACJ31" s="3"/>
      <c r="ACK31" s="3"/>
      <c r="ACL31" s="3"/>
      <c r="ACM31" s="3"/>
      <c r="ACN31" s="3"/>
      <c r="ACO31" s="3"/>
      <c r="ACP31" s="3"/>
      <c r="ACQ31" s="3"/>
      <c r="ACR31" s="3"/>
      <c r="ACS31" s="3"/>
      <c r="ACT31" s="3"/>
      <c r="ACU31" s="3"/>
      <c r="ACV31" s="3"/>
      <c r="ACW31" s="3"/>
      <c r="ACX31" s="3"/>
      <c r="ACY31" s="3"/>
      <c r="ACZ31" s="3"/>
      <c r="ADA31" s="3"/>
      <c r="ADB31" s="3"/>
      <c r="ADC31" s="3"/>
      <c r="ADD31" s="3"/>
      <c r="ADE31" s="3"/>
      <c r="ADF31" s="3"/>
      <c r="ADG31" s="3"/>
      <c r="ADH31" s="3"/>
      <c r="ADI31" s="3"/>
      <c r="ADJ31" s="3"/>
      <c r="ADK31" s="3"/>
      <c r="ADL31" s="3"/>
      <c r="ADM31" s="3"/>
      <c r="ADN31" s="3"/>
      <c r="ADO31" s="3"/>
      <c r="ADP31" s="3"/>
      <c r="ADQ31" s="3"/>
      <c r="ADR31" s="3"/>
      <c r="ADS31" s="3"/>
      <c r="ADT31" s="3"/>
      <c r="ADU31" s="3"/>
      <c r="ADV31" s="3"/>
      <c r="ADW31" s="3"/>
      <c r="ADX31" s="3"/>
      <c r="ADY31" s="3"/>
      <c r="ADZ31" s="3"/>
      <c r="AEA31" s="3"/>
      <c r="AEB31" s="3"/>
      <c r="AEC31" s="3"/>
      <c r="AED31" s="3"/>
      <c r="AEE31" s="3"/>
      <c r="AEF31" s="3"/>
      <c r="AEG31" s="3"/>
      <c r="AEH31" s="3"/>
      <c r="AEI31" s="3"/>
      <c r="AEJ31" s="3"/>
      <c r="AEK31" s="3"/>
      <c r="AEL31" s="3"/>
      <c r="AEM31" s="3"/>
      <c r="AEN31" s="3"/>
      <c r="AEO31" s="3"/>
      <c r="AEP31" s="3"/>
      <c r="AEQ31" s="3"/>
      <c r="AER31" s="3"/>
      <c r="AES31" s="3"/>
      <c r="AET31" s="3"/>
      <c r="AEU31" s="3"/>
      <c r="AEV31" s="3"/>
      <c r="AEW31" s="3"/>
      <c r="AEX31" s="3"/>
      <c r="AEY31" s="3"/>
      <c r="AEZ31" s="3"/>
      <c r="AFA31" s="3"/>
      <c r="AFB31" s="3"/>
      <c r="AFC31" s="3"/>
      <c r="AFD31" s="3"/>
      <c r="AFE31" s="3"/>
      <c r="AFF31" s="3"/>
      <c r="AFG31" s="3"/>
      <c r="AFH31" s="3"/>
      <c r="AFI31" s="3"/>
      <c r="AFJ31" s="3"/>
      <c r="AFK31" s="3"/>
      <c r="AFL31" s="3"/>
      <c r="AFM31" s="3"/>
      <c r="AFN31" s="3"/>
      <c r="AFO31" s="3"/>
      <c r="AFP31" s="3"/>
      <c r="AFQ31" s="3"/>
      <c r="AFR31" s="3"/>
      <c r="AFS31" s="3"/>
      <c r="AFT31" s="3"/>
      <c r="AFU31" s="3"/>
      <c r="AFV31" s="3"/>
      <c r="AFW31" s="3"/>
      <c r="AFX31" s="3"/>
      <c r="AFY31" s="3"/>
      <c r="AFZ31" s="3"/>
      <c r="AGA31" s="3"/>
      <c r="AGB31" s="3"/>
      <c r="AGC31" s="3"/>
      <c r="AGD31" s="3"/>
      <c r="AGE31" s="3"/>
      <c r="AGF31" s="3"/>
      <c r="AGG31" s="3"/>
      <c r="AGH31" s="3"/>
      <c r="AGI31" s="3"/>
      <c r="AGJ31" s="3"/>
      <c r="AGK31" s="3"/>
      <c r="AGL31" s="3"/>
      <c r="AGM31" s="3"/>
      <c r="AGN31" s="3"/>
      <c r="AGO31" s="3"/>
      <c r="AGP31" s="3"/>
      <c r="AGQ31" s="3"/>
      <c r="AGR31" s="3"/>
      <c r="AGS31" s="3"/>
      <c r="AGT31" s="3"/>
      <c r="AGU31" s="3"/>
      <c r="AGV31" s="3"/>
      <c r="AGW31" s="3"/>
      <c r="AGX31" s="3"/>
      <c r="AGY31" s="3"/>
      <c r="AGZ31" s="3"/>
      <c r="AHA31" s="3"/>
      <c r="AHB31" s="3"/>
    </row>
    <row r="32" ht="24" customHeight="1" spans="1:886">
      <c r="A32" s="343">
        <v>28</v>
      </c>
      <c r="B32" s="279"/>
      <c r="C32" s="345" t="s">
        <v>122</v>
      </c>
      <c r="D32" s="350"/>
      <c r="E32" s="350"/>
      <c r="F32" s="81">
        <v>3</v>
      </c>
      <c r="G32" s="355" t="s">
        <v>472</v>
      </c>
      <c r="H32" s="359" t="s">
        <v>473</v>
      </c>
      <c r="I32" s="365"/>
      <c r="J32" s="365"/>
      <c r="K32" s="369" t="s">
        <v>126</v>
      </c>
      <c r="L32" s="365"/>
      <c r="M32" s="365"/>
      <c r="N32" s="371"/>
      <c r="O32" s="372" t="s">
        <v>474</v>
      </c>
      <c r="P32" s="370"/>
      <c r="Q32" s="386"/>
      <c r="R32" s="382" t="s">
        <v>132</v>
      </c>
      <c r="S32" s="383"/>
      <c r="T32" s="384"/>
      <c r="U32" s="384"/>
      <c r="V32" s="382" t="s">
        <v>132</v>
      </c>
      <c r="W32" s="382"/>
      <c r="X32" s="343" t="s">
        <v>131</v>
      </c>
      <c r="Y32" s="343" t="s">
        <v>131</v>
      </c>
      <c r="Z32" s="120">
        <f t="shared" si="6"/>
        <v>45</v>
      </c>
      <c r="AA32" s="305" t="str">
        <f t="shared" si="7"/>
        <v>00:45:00</v>
      </c>
      <c r="AB32" s="120">
        <f t="shared" si="8"/>
        <v>2700</v>
      </c>
      <c r="AC32" s="402">
        <v>0.0310185185185185</v>
      </c>
      <c r="AD32" s="401">
        <v>169</v>
      </c>
      <c r="AE32" s="401">
        <v>43</v>
      </c>
      <c r="AF32" s="34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  <c r="AAA32" s="3"/>
      <c r="AAB32" s="3"/>
      <c r="AAC32" s="3"/>
      <c r="AAD32" s="3"/>
      <c r="AAE32" s="3"/>
      <c r="AAF32" s="3"/>
      <c r="AAG32" s="3"/>
      <c r="AAH32" s="3"/>
      <c r="AAI32" s="3"/>
      <c r="AAJ32" s="3"/>
      <c r="AAK32" s="3"/>
      <c r="AAL32" s="3"/>
      <c r="AAM32" s="3"/>
      <c r="AAN32" s="3"/>
      <c r="AAO32" s="3"/>
      <c r="AAP32" s="3"/>
      <c r="AAQ32" s="3"/>
      <c r="AAR32" s="3"/>
      <c r="AAS32" s="3"/>
      <c r="AAT32" s="3"/>
      <c r="AAU32" s="3"/>
      <c r="AAV32" s="3"/>
      <c r="AAW32" s="3"/>
      <c r="AAX32" s="3"/>
      <c r="AAY32" s="3"/>
      <c r="AAZ32" s="3"/>
      <c r="ABA32" s="3"/>
      <c r="ABB32" s="3"/>
      <c r="ABC32" s="3"/>
      <c r="ABD32" s="3"/>
      <c r="ABE32" s="3"/>
      <c r="ABF32" s="3"/>
      <c r="ABG32" s="3"/>
      <c r="ABH32" s="3"/>
      <c r="ABI32" s="3"/>
      <c r="ABJ32" s="3"/>
      <c r="ABK32" s="3"/>
      <c r="ABL32" s="3"/>
      <c r="ABM32" s="3"/>
      <c r="ABN32" s="3"/>
      <c r="ABO32" s="3"/>
      <c r="ABP32" s="3"/>
      <c r="ABQ32" s="3"/>
      <c r="ABR32" s="3"/>
      <c r="ABS32" s="3"/>
      <c r="ABT32" s="3"/>
      <c r="ABU32" s="3"/>
      <c r="ABV32" s="3"/>
      <c r="ABW32" s="3"/>
      <c r="ABX32" s="3"/>
      <c r="ABY32" s="3"/>
      <c r="ABZ32" s="3"/>
      <c r="ACA32" s="3"/>
      <c r="ACB32" s="3"/>
      <c r="ACC32" s="3"/>
      <c r="ACD32" s="3"/>
      <c r="ACE32" s="3"/>
      <c r="ACF32" s="3"/>
      <c r="ACG32" s="3"/>
      <c r="ACH32" s="3"/>
      <c r="ACI32" s="3"/>
      <c r="ACJ32" s="3"/>
      <c r="ACK32" s="3"/>
      <c r="ACL32" s="3"/>
      <c r="ACM32" s="3"/>
      <c r="ACN32" s="3"/>
      <c r="ACO32" s="3"/>
      <c r="ACP32" s="3"/>
      <c r="ACQ32" s="3"/>
      <c r="ACR32" s="3"/>
      <c r="ACS32" s="3"/>
      <c r="ACT32" s="3"/>
      <c r="ACU32" s="3"/>
      <c r="ACV32" s="3"/>
      <c r="ACW32" s="3"/>
      <c r="ACX32" s="3"/>
      <c r="ACY32" s="3"/>
      <c r="ACZ32" s="3"/>
      <c r="ADA32" s="3"/>
      <c r="ADB32" s="3"/>
      <c r="ADC32" s="3"/>
      <c r="ADD32" s="3"/>
      <c r="ADE32" s="3"/>
      <c r="ADF32" s="3"/>
      <c r="ADG32" s="3"/>
      <c r="ADH32" s="3"/>
      <c r="ADI32" s="3"/>
      <c r="ADJ32" s="3"/>
      <c r="ADK32" s="3"/>
      <c r="ADL32" s="3"/>
      <c r="ADM32" s="3"/>
      <c r="ADN32" s="3"/>
      <c r="ADO32" s="3"/>
      <c r="ADP32" s="3"/>
      <c r="ADQ32" s="3"/>
      <c r="ADR32" s="3"/>
      <c r="ADS32" s="3"/>
      <c r="ADT32" s="3"/>
      <c r="ADU32" s="3"/>
      <c r="ADV32" s="3"/>
      <c r="ADW32" s="3"/>
      <c r="ADX32" s="3"/>
      <c r="ADY32" s="3"/>
      <c r="ADZ32" s="3"/>
      <c r="AEA32" s="3"/>
      <c r="AEB32" s="3"/>
      <c r="AEC32" s="3"/>
      <c r="AED32" s="3"/>
      <c r="AEE32" s="3"/>
      <c r="AEF32" s="3"/>
      <c r="AEG32" s="3"/>
      <c r="AEH32" s="3"/>
      <c r="AEI32" s="3"/>
      <c r="AEJ32" s="3"/>
      <c r="AEK32" s="3"/>
      <c r="AEL32" s="3"/>
      <c r="AEM32" s="3"/>
      <c r="AEN32" s="3"/>
      <c r="AEO32" s="3"/>
      <c r="AEP32" s="3"/>
      <c r="AEQ32" s="3"/>
      <c r="AER32" s="3"/>
      <c r="AES32" s="3"/>
      <c r="AET32" s="3"/>
      <c r="AEU32" s="3"/>
      <c r="AEV32" s="3"/>
      <c r="AEW32" s="3"/>
      <c r="AEX32" s="3"/>
      <c r="AEY32" s="3"/>
      <c r="AEZ32" s="3"/>
      <c r="AFA32" s="3"/>
      <c r="AFB32" s="3"/>
      <c r="AFC32" s="3"/>
      <c r="AFD32" s="3"/>
      <c r="AFE32" s="3"/>
      <c r="AFF32" s="3"/>
      <c r="AFG32" s="3"/>
      <c r="AFH32" s="3"/>
      <c r="AFI32" s="3"/>
      <c r="AFJ32" s="3"/>
      <c r="AFK32" s="3"/>
      <c r="AFL32" s="3"/>
      <c r="AFM32" s="3"/>
      <c r="AFN32" s="3"/>
      <c r="AFO32" s="3"/>
      <c r="AFP32" s="3"/>
      <c r="AFQ32" s="3"/>
      <c r="AFR32" s="3"/>
      <c r="AFS32" s="3"/>
      <c r="AFT32" s="3"/>
      <c r="AFU32" s="3"/>
      <c r="AFV32" s="3"/>
      <c r="AFW32" s="3"/>
      <c r="AFX32" s="3"/>
      <c r="AFY32" s="3"/>
      <c r="AFZ32" s="3"/>
      <c r="AGA32" s="3"/>
      <c r="AGB32" s="3"/>
      <c r="AGC32" s="3"/>
      <c r="AGD32" s="3"/>
      <c r="AGE32" s="3"/>
      <c r="AGF32" s="3"/>
      <c r="AGG32" s="3"/>
      <c r="AGH32" s="3"/>
      <c r="AGI32" s="3"/>
      <c r="AGJ32" s="3"/>
      <c r="AGK32" s="3"/>
      <c r="AGL32" s="3"/>
      <c r="AGM32" s="3"/>
      <c r="AGN32" s="3"/>
      <c r="AGO32" s="3"/>
      <c r="AGP32" s="3"/>
      <c r="AGQ32" s="3"/>
      <c r="AGR32" s="3"/>
      <c r="AGS32" s="3"/>
      <c r="AGT32" s="3"/>
      <c r="AGU32" s="3"/>
      <c r="AGV32" s="3"/>
      <c r="AGW32" s="3"/>
      <c r="AGX32" s="3"/>
      <c r="AGY32" s="3"/>
      <c r="AGZ32" s="3"/>
      <c r="AHA32" s="3"/>
      <c r="AHB32" s="3"/>
    </row>
    <row r="33" ht="24" customHeight="1" spans="1:886">
      <c r="A33" s="343">
        <v>29</v>
      </c>
      <c r="B33" s="279"/>
      <c r="C33" s="345" t="s">
        <v>122</v>
      </c>
      <c r="D33" s="350"/>
      <c r="E33" s="350"/>
      <c r="F33" s="81">
        <v>4</v>
      </c>
      <c r="G33" s="355" t="s">
        <v>475</v>
      </c>
      <c r="H33" s="356" t="s">
        <v>476</v>
      </c>
      <c r="I33" s="365"/>
      <c r="J33" s="365"/>
      <c r="K33" s="369" t="s">
        <v>126</v>
      </c>
      <c r="L33" s="365"/>
      <c r="M33" s="365"/>
      <c r="N33" s="371"/>
      <c r="O33" s="372" t="s">
        <v>477</v>
      </c>
      <c r="P33" s="370"/>
      <c r="Q33" s="386"/>
      <c r="R33" s="382" t="s">
        <v>132</v>
      </c>
      <c r="S33" s="383"/>
      <c r="T33" s="384"/>
      <c r="U33" s="384"/>
      <c r="V33" s="382" t="s">
        <v>132</v>
      </c>
      <c r="W33" s="382"/>
      <c r="X33" s="343" t="s">
        <v>131</v>
      </c>
      <c r="Y33" s="343" t="s">
        <v>131</v>
      </c>
      <c r="Z33" s="120">
        <f t="shared" si="6"/>
        <v>45</v>
      </c>
      <c r="AA33" s="305" t="str">
        <f t="shared" si="7"/>
        <v>00:45:00</v>
      </c>
      <c r="AB33" s="120">
        <f t="shared" si="8"/>
        <v>2700</v>
      </c>
      <c r="AC33" s="402">
        <v>0.0315393518518519</v>
      </c>
      <c r="AD33" s="401">
        <v>169</v>
      </c>
      <c r="AE33" s="401">
        <v>43</v>
      </c>
      <c r="AF33" s="34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  <c r="AAA33" s="3"/>
      <c r="AAB33" s="3"/>
      <c r="AAC33" s="3"/>
      <c r="AAD33" s="3"/>
      <c r="AAE33" s="3"/>
      <c r="AAF33" s="3"/>
      <c r="AAG33" s="3"/>
      <c r="AAH33" s="3"/>
      <c r="AAI33" s="3"/>
      <c r="AAJ33" s="3"/>
      <c r="AAK33" s="3"/>
      <c r="AAL33" s="3"/>
      <c r="AAM33" s="3"/>
      <c r="AAN33" s="3"/>
      <c r="AAO33" s="3"/>
      <c r="AAP33" s="3"/>
      <c r="AAQ33" s="3"/>
      <c r="AAR33" s="3"/>
      <c r="AAS33" s="3"/>
      <c r="AAT33" s="3"/>
      <c r="AAU33" s="3"/>
      <c r="AAV33" s="3"/>
      <c r="AAW33" s="3"/>
      <c r="AAX33" s="3"/>
      <c r="AAY33" s="3"/>
      <c r="AAZ33" s="3"/>
      <c r="ABA33" s="3"/>
      <c r="ABB33" s="3"/>
      <c r="ABC33" s="3"/>
      <c r="ABD33" s="3"/>
      <c r="ABE33" s="3"/>
      <c r="ABF33" s="3"/>
      <c r="ABG33" s="3"/>
      <c r="ABH33" s="3"/>
      <c r="ABI33" s="3"/>
      <c r="ABJ33" s="3"/>
      <c r="ABK33" s="3"/>
      <c r="ABL33" s="3"/>
      <c r="ABM33" s="3"/>
      <c r="ABN33" s="3"/>
      <c r="ABO33" s="3"/>
      <c r="ABP33" s="3"/>
      <c r="ABQ33" s="3"/>
      <c r="ABR33" s="3"/>
      <c r="ABS33" s="3"/>
      <c r="ABT33" s="3"/>
      <c r="ABU33" s="3"/>
      <c r="ABV33" s="3"/>
      <c r="ABW33" s="3"/>
      <c r="ABX33" s="3"/>
      <c r="ABY33" s="3"/>
      <c r="ABZ33" s="3"/>
      <c r="ACA33" s="3"/>
      <c r="ACB33" s="3"/>
      <c r="ACC33" s="3"/>
      <c r="ACD33" s="3"/>
      <c r="ACE33" s="3"/>
      <c r="ACF33" s="3"/>
      <c r="ACG33" s="3"/>
      <c r="ACH33" s="3"/>
      <c r="ACI33" s="3"/>
      <c r="ACJ33" s="3"/>
      <c r="ACK33" s="3"/>
      <c r="ACL33" s="3"/>
      <c r="ACM33" s="3"/>
      <c r="ACN33" s="3"/>
      <c r="ACO33" s="3"/>
      <c r="ACP33" s="3"/>
      <c r="ACQ33" s="3"/>
      <c r="ACR33" s="3"/>
      <c r="ACS33" s="3"/>
      <c r="ACT33" s="3"/>
      <c r="ACU33" s="3"/>
      <c r="ACV33" s="3"/>
      <c r="ACW33" s="3"/>
      <c r="ACX33" s="3"/>
      <c r="ACY33" s="3"/>
      <c r="ACZ33" s="3"/>
      <c r="ADA33" s="3"/>
      <c r="ADB33" s="3"/>
      <c r="ADC33" s="3"/>
      <c r="ADD33" s="3"/>
      <c r="ADE33" s="3"/>
      <c r="ADF33" s="3"/>
      <c r="ADG33" s="3"/>
      <c r="ADH33" s="3"/>
      <c r="ADI33" s="3"/>
      <c r="ADJ33" s="3"/>
      <c r="ADK33" s="3"/>
      <c r="ADL33" s="3"/>
      <c r="ADM33" s="3"/>
      <c r="ADN33" s="3"/>
      <c r="ADO33" s="3"/>
      <c r="ADP33" s="3"/>
      <c r="ADQ33" s="3"/>
      <c r="ADR33" s="3"/>
      <c r="ADS33" s="3"/>
      <c r="ADT33" s="3"/>
      <c r="ADU33" s="3"/>
      <c r="ADV33" s="3"/>
      <c r="ADW33" s="3"/>
      <c r="ADX33" s="3"/>
      <c r="ADY33" s="3"/>
      <c r="ADZ33" s="3"/>
      <c r="AEA33" s="3"/>
      <c r="AEB33" s="3"/>
      <c r="AEC33" s="3"/>
      <c r="AED33" s="3"/>
      <c r="AEE33" s="3"/>
      <c r="AEF33" s="3"/>
      <c r="AEG33" s="3"/>
      <c r="AEH33" s="3"/>
      <c r="AEI33" s="3"/>
      <c r="AEJ33" s="3"/>
      <c r="AEK33" s="3"/>
      <c r="AEL33" s="3"/>
      <c r="AEM33" s="3"/>
      <c r="AEN33" s="3"/>
      <c r="AEO33" s="3"/>
      <c r="AEP33" s="3"/>
      <c r="AEQ33" s="3"/>
      <c r="AER33" s="3"/>
      <c r="AES33" s="3"/>
      <c r="AET33" s="3"/>
      <c r="AEU33" s="3"/>
      <c r="AEV33" s="3"/>
      <c r="AEW33" s="3"/>
      <c r="AEX33" s="3"/>
      <c r="AEY33" s="3"/>
      <c r="AEZ33" s="3"/>
      <c r="AFA33" s="3"/>
      <c r="AFB33" s="3"/>
      <c r="AFC33" s="3"/>
      <c r="AFD33" s="3"/>
      <c r="AFE33" s="3"/>
      <c r="AFF33" s="3"/>
      <c r="AFG33" s="3"/>
      <c r="AFH33" s="3"/>
      <c r="AFI33" s="3"/>
      <c r="AFJ33" s="3"/>
      <c r="AFK33" s="3"/>
      <c r="AFL33" s="3"/>
      <c r="AFM33" s="3"/>
      <c r="AFN33" s="3"/>
      <c r="AFO33" s="3"/>
      <c r="AFP33" s="3"/>
      <c r="AFQ33" s="3"/>
      <c r="AFR33" s="3"/>
      <c r="AFS33" s="3"/>
      <c r="AFT33" s="3"/>
      <c r="AFU33" s="3"/>
      <c r="AFV33" s="3"/>
      <c r="AFW33" s="3"/>
      <c r="AFX33" s="3"/>
      <c r="AFY33" s="3"/>
      <c r="AFZ33" s="3"/>
      <c r="AGA33" s="3"/>
      <c r="AGB33" s="3"/>
      <c r="AGC33" s="3"/>
      <c r="AGD33" s="3"/>
      <c r="AGE33" s="3"/>
      <c r="AGF33" s="3"/>
      <c r="AGG33" s="3"/>
      <c r="AGH33" s="3"/>
      <c r="AGI33" s="3"/>
      <c r="AGJ33" s="3"/>
      <c r="AGK33" s="3"/>
      <c r="AGL33" s="3"/>
      <c r="AGM33" s="3"/>
      <c r="AGN33" s="3"/>
      <c r="AGO33" s="3"/>
      <c r="AGP33" s="3"/>
      <c r="AGQ33" s="3"/>
      <c r="AGR33" s="3"/>
      <c r="AGS33" s="3"/>
      <c r="AGT33" s="3"/>
      <c r="AGU33" s="3"/>
      <c r="AGV33" s="3"/>
      <c r="AGW33" s="3"/>
      <c r="AGX33" s="3"/>
      <c r="AGY33" s="3"/>
      <c r="AGZ33" s="3"/>
      <c r="AHA33" s="3"/>
      <c r="AHB33" s="3"/>
    </row>
    <row r="34" ht="24" customHeight="1" spans="1:886">
      <c r="A34" s="343">
        <v>30</v>
      </c>
      <c r="B34" s="279"/>
      <c r="C34" s="345" t="s">
        <v>122</v>
      </c>
      <c r="D34" s="350"/>
      <c r="E34" s="350"/>
      <c r="F34" s="81">
        <v>5</v>
      </c>
      <c r="G34" s="355" t="s">
        <v>478</v>
      </c>
      <c r="H34" s="356" t="s">
        <v>479</v>
      </c>
      <c r="I34" s="365"/>
      <c r="J34" s="365"/>
      <c r="K34" s="369" t="s">
        <v>126</v>
      </c>
      <c r="L34" s="365"/>
      <c r="M34" s="365"/>
      <c r="N34" s="371"/>
      <c r="O34" s="372" t="s">
        <v>480</v>
      </c>
      <c r="P34" s="370"/>
      <c r="Q34" s="386"/>
      <c r="R34" s="382" t="s">
        <v>132</v>
      </c>
      <c r="S34" s="383"/>
      <c r="T34" s="384"/>
      <c r="U34" s="384"/>
      <c r="V34" s="382" t="s">
        <v>132</v>
      </c>
      <c r="W34" s="382"/>
      <c r="X34" s="343" t="s">
        <v>131</v>
      </c>
      <c r="Y34" s="343" t="s">
        <v>131</v>
      </c>
      <c r="Z34" s="120">
        <f t="shared" si="6"/>
        <v>45</v>
      </c>
      <c r="AA34" s="305" t="str">
        <f t="shared" si="7"/>
        <v>00:45:00</v>
      </c>
      <c r="AB34" s="120">
        <f t="shared" si="8"/>
        <v>2700</v>
      </c>
      <c r="AC34" s="402">
        <v>0.0315393518518519</v>
      </c>
      <c r="AD34" s="401">
        <v>169</v>
      </c>
      <c r="AE34" s="401">
        <v>43</v>
      </c>
      <c r="AF34" s="34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  <c r="AAA34" s="3"/>
      <c r="AAB34" s="3"/>
      <c r="AAC34" s="3"/>
      <c r="AAD34" s="3"/>
      <c r="AAE34" s="3"/>
      <c r="AAF34" s="3"/>
      <c r="AAG34" s="3"/>
      <c r="AAH34" s="3"/>
      <c r="AAI34" s="3"/>
      <c r="AAJ34" s="3"/>
      <c r="AAK34" s="3"/>
      <c r="AAL34" s="3"/>
      <c r="AAM34" s="3"/>
      <c r="AAN34" s="3"/>
      <c r="AAO34" s="3"/>
      <c r="AAP34" s="3"/>
      <c r="AAQ34" s="3"/>
      <c r="AAR34" s="3"/>
      <c r="AAS34" s="3"/>
      <c r="AAT34" s="3"/>
      <c r="AAU34" s="3"/>
      <c r="AAV34" s="3"/>
      <c r="AAW34" s="3"/>
      <c r="AAX34" s="3"/>
      <c r="AAY34" s="3"/>
      <c r="AAZ34" s="3"/>
      <c r="ABA34" s="3"/>
      <c r="ABB34" s="3"/>
      <c r="ABC34" s="3"/>
      <c r="ABD34" s="3"/>
      <c r="ABE34" s="3"/>
      <c r="ABF34" s="3"/>
      <c r="ABG34" s="3"/>
      <c r="ABH34" s="3"/>
      <c r="ABI34" s="3"/>
      <c r="ABJ34" s="3"/>
      <c r="ABK34" s="3"/>
      <c r="ABL34" s="3"/>
      <c r="ABM34" s="3"/>
      <c r="ABN34" s="3"/>
      <c r="ABO34" s="3"/>
      <c r="ABP34" s="3"/>
      <c r="ABQ34" s="3"/>
      <c r="ABR34" s="3"/>
      <c r="ABS34" s="3"/>
      <c r="ABT34" s="3"/>
      <c r="ABU34" s="3"/>
      <c r="ABV34" s="3"/>
      <c r="ABW34" s="3"/>
      <c r="ABX34" s="3"/>
      <c r="ABY34" s="3"/>
      <c r="ABZ34" s="3"/>
      <c r="ACA34" s="3"/>
      <c r="ACB34" s="3"/>
      <c r="ACC34" s="3"/>
      <c r="ACD34" s="3"/>
      <c r="ACE34" s="3"/>
      <c r="ACF34" s="3"/>
      <c r="ACG34" s="3"/>
      <c r="ACH34" s="3"/>
      <c r="ACI34" s="3"/>
      <c r="ACJ34" s="3"/>
      <c r="ACK34" s="3"/>
      <c r="ACL34" s="3"/>
      <c r="ACM34" s="3"/>
      <c r="ACN34" s="3"/>
      <c r="ACO34" s="3"/>
      <c r="ACP34" s="3"/>
      <c r="ACQ34" s="3"/>
      <c r="ACR34" s="3"/>
      <c r="ACS34" s="3"/>
      <c r="ACT34" s="3"/>
      <c r="ACU34" s="3"/>
      <c r="ACV34" s="3"/>
      <c r="ACW34" s="3"/>
      <c r="ACX34" s="3"/>
      <c r="ACY34" s="3"/>
      <c r="ACZ34" s="3"/>
      <c r="ADA34" s="3"/>
      <c r="ADB34" s="3"/>
      <c r="ADC34" s="3"/>
      <c r="ADD34" s="3"/>
      <c r="ADE34" s="3"/>
      <c r="ADF34" s="3"/>
      <c r="ADG34" s="3"/>
      <c r="ADH34" s="3"/>
      <c r="ADI34" s="3"/>
      <c r="ADJ34" s="3"/>
      <c r="ADK34" s="3"/>
      <c r="ADL34" s="3"/>
      <c r="ADM34" s="3"/>
      <c r="ADN34" s="3"/>
      <c r="ADO34" s="3"/>
      <c r="ADP34" s="3"/>
      <c r="ADQ34" s="3"/>
      <c r="ADR34" s="3"/>
      <c r="ADS34" s="3"/>
      <c r="ADT34" s="3"/>
      <c r="ADU34" s="3"/>
      <c r="ADV34" s="3"/>
      <c r="ADW34" s="3"/>
      <c r="ADX34" s="3"/>
      <c r="ADY34" s="3"/>
      <c r="ADZ34" s="3"/>
      <c r="AEA34" s="3"/>
      <c r="AEB34" s="3"/>
      <c r="AEC34" s="3"/>
      <c r="AED34" s="3"/>
      <c r="AEE34" s="3"/>
      <c r="AEF34" s="3"/>
      <c r="AEG34" s="3"/>
      <c r="AEH34" s="3"/>
      <c r="AEI34" s="3"/>
      <c r="AEJ34" s="3"/>
      <c r="AEK34" s="3"/>
      <c r="AEL34" s="3"/>
      <c r="AEM34" s="3"/>
      <c r="AEN34" s="3"/>
      <c r="AEO34" s="3"/>
      <c r="AEP34" s="3"/>
      <c r="AEQ34" s="3"/>
      <c r="AER34" s="3"/>
      <c r="AES34" s="3"/>
      <c r="AET34" s="3"/>
      <c r="AEU34" s="3"/>
      <c r="AEV34" s="3"/>
      <c r="AEW34" s="3"/>
      <c r="AEX34" s="3"/>
      <c r="AEY34" s="3"/>
      <c r="AEZ34" s="3"/>
      <c r="AFA34" s="3"/>
      <c r="AFB34" s="3"/>
      <c r="AFC34" s="3"/>
      <c r="AFD34" s="3"/>
      <c r="AFE34" s="3"/>
      <c r="AFF34" s="3"/>
      <c r="AFG34" s="3"/>
      <c r="AFH34" s="3"/>
      <c r="AFI34" s="3"/>
      <c r="AFJ34" s="3"/>
      <c r="AFK34" s="3"/>
      <c r="AFL34" s="3"/>
      <c r="AFM34" s="3"/>
      <c r="AFN34" s="3"/>
      <c r="AFO34" s="3"/>
      <c r="AFP34" s="3"/>
      <c r="AFQ34" s="3"/>
      <c r="AFR34" s="3"/>
      <c r="AFS34" s="3"/>
      <c r="AFT34" s="3"/>
      <c r="AFU34" s="3"/>
      <c r="AFV34" s="3"/>
      <c r="AFW34" s="3"/>
      <c r="AFX34" s="3"/>
      <c r="AFY34" s="3"/>
      <c r="AFZ34" s="3"/>
      <c r="AGA34" s="3"/>
      <c r="AGB34" s="3"/>
      <c r="AGC34" s="3"/>
      <c r="AGD34" s="3"/>
      <c r="AGE34" s="3"/>
      <c r="AGF34" s="3"/>
      <c r="AGG34" s="3"/>
      <c r="AGH34" s="3"/>
      <c r="AGI34" s="3"/>
      <c r="AGJ34" s="3"/>
      <c r="AGK34" s="3"/>
      <c r="AGL34" s="3"/>
      <c r="AGM34" s="3"/>
      <c r="AGN34" s="3"/>
      <c r="AGO34" s="3"/>
      <c r="AGP34" s="3"/>
      <c r="AGQ34" s="3"/>
      <c r="AGR34" s="3"/>
      <c r="AGS34" s="3"/>
      <c r="AGT34" s="3"/>
      <c r="AGU34" s="3"/>
      <c r="AGV34" s="3"/>
      <c r="AGW34" s="3"/>
      <c r="AGX34" s="3"/>
      <c r="AGY34" s="3"/>
      <c r="AGZ34" s="3"/>
      <c r="AHA34" s="3"/>
      <c r="AHB34" s="3"/>
    </row>
    <row r="35" ht="24" customHeight="1" spans="1:886">
      <c r="A35" s="343">
        <v>31</v>
      </c>
      <c r="B35" s="279"/>
      <c r="C35" s="345" t="s">
        <v>122</v>
      </c>
      <c r="D35" s="350"/>
      <c r="E35" s="350"/>
      <c r="F35" s="81">
        <v>6</v>
      </c>
      <c r="G35" s="355" t="s">
        <v>481</v>
      </c>
      <c r="H35" s="356" t="s">
        <v>482</v>
      </c>
      <c r="I35" s="365"/>
      <c r="J35" s="365"/>
      <c r="K35" s="369" t="s">
        <v>126</v>
      </c>
      <c r="L35" s="365"/>
      <c r="M35" s="365"/>
      <c r="N35" s="371"/>
      <c r="O35" s="372" t="s">
        <v>483</v>
      </c>
      <c r="P35" s="370"/>
      <c r="Q35" s="386"/>
      <c r="R35" s="382" t="s">
        <v>132</v>
      </c>
      <c r="S35" s="383"/>
      <c r="T35" s="384"/>
      <c r="U35" s="384"/>
      <c r="V35" s="382" t="s">
        <v>132</v>
      </c>
      <c r="W35" s="382"/>
      <c r="X35" s="343" t="s">
        <v>131</v>
      </c>
      <c r="Y35" s="343" t="s">
        <v>131</v>
      </c>
      <c r="Z35" s="120">
        <f t="shared" si="6"/>
        <v>45</v>
      </c>
      <c r="AA35" s="305" t="str">
        <f t="shared" si="7"/>
        <v>00:45:00</v>
      </c>
      <c r="AB35" s="120">
        <f t="shared" si="8"/>
        <v>2700</v>
      </c>
      <c r="AC35" s="402">
        <v>0.0315393518518519</v>
      </c>
      <c r="AD35" s="401">
        <v>169</v>
      </c>
      <c r="AE35" s="401">
        <v>43</v>
      </c>
      <c r="AF35" s="34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  <c r="AAA35" s="3"/>
      <c r="AAB35" s="3"/>
      <c r="AAC35" s="3"/>
      <c r="AAD35" s="3"/>
      <c r="AAE35" s="3"/>
      <c r="AAF35" s="3"/>
      <c r="AAG35" s="3"/>
      <c r="AAH35" s="3"/>
      <c r="AAI35" s="3"/>
      <c r="AAJ35" s="3"/>
      <c r="AAK35" s="3"/>
      <c r="AAL35" s="3"/>
      <c r="AAM35" s="3"/>
      <c r="AAN35" s="3"/>
      <c r="AAO35" s="3"/>
      <c r="AAP35" s="3"/>
      <c r="AAQ35" s="3"/>
      <c r="AAR35" s="3"/>
      <c r="AAS35" s="3"/>
      <c r="AAT35" s="3"/>
      <c r="AAU35" s="3"/>
      <c r="AAV35" s="3"/>
      <c r="AAW35" s="3"/>
      <c r="AAX35" s="3"/>
      <c r="AAY35" s="3"/>
      <c r="AAZ35" s="3"/>
      <c r="ABA35" s="3"/>
      <c r="ABB35" s="3"/>
      <c r="ABC35" s="3"/>
      <c r="ABD35" s="3"/>
      <c r="ABE35" s="3"/>
      <c r="ABF35" s="3"/>
      <c r="ABG35" s="3"/>
      <c r="ABH35" s="3"/>
      <c r="ABI35" s="3"/>
      <c r="ABJ35" s="3"/>
      <c r="ABK35" s="3"/>
      <c r="ABL35" s="3"/>
      <c r="ABM35" s="3"/>
      <c r="ABN35" s="3"/>
      <c r="ABO35" s="3"/>
      <c r="ABP35" s="3"/>
      <c r="ABQ35" s="3"/>
      <c r="ABR35" s="3"/>
      <c r="ABS35" s="3"/>
      <c r="ABT35" s="3"/>
      <c r="ABU35" s="3"/>
      <c r="ABV35" s="3"/>
      <c r="ABW35" s="3"/>
      <c r="ABX35" s="3"/>
      <c r="ABY35" s="3"/>
      <c r="ABZ35" s="3"/>
      <c r="ACA35" s="3"/>
      <c r="ACB35" s="3"/>
      <c r="ACC35" s="3"/>
      <c r="ACD35" s="3"/>
      <c r="ACE35" s="3"/>
      <c r="ACF35" s="3"/>
      <c r="ACG35" s="3"/>
      <c r="ACH35" s="3"/>
      <c r="ACI35" s="3"/>
      <c r="ACJ35" s="3"/>
      <c r="ACK35" s="3"/>
      <c r="ACL35" s="3"/>
      <c r="ACM35" s="3"/>
      <c r="ACN35" s="3"/>
      <c r="ACO35" s="3"/>
      <c r="ACP35" s="3"/>
      <c r="ACQ35" s="3"/>
      <c r="ACR35" s="3"/>
      <c r="ACS35" s="3"/>
      <c r="ACT35" s="3"/>
      <c r="ACU35" s="3"/>
      <c r="ACV35" s="3"/>
      <c r="ACW35" s="3"/>
      <c r="ACX35" s="3"/>
      <c r="ACY35" s="3"/>
      <c r="ACZ35" s="3"/>
      <c r="ADA35" s="3"/>
      <c r="ADB35" s="3"/>
      <c r="ADC35" s="3"/>
      <c r="ADD35" s="3"/>
      <c r="ADE35" s="3"/>
      <c r="ADF35" s="3"/>
      <c r="ADG35" s="3"/>
      <c r="ADH35" s="3"/>
      <c r="ADI35" s="3"/>
      <c r="ADJ35" s="3"/>
      <c r="ADK35" s="3"/>
      <c r="ADL35" s="3"/>
      <c r="ADM35" s="3"/>
      <c r="ADN35" s="3"/>
      <c r="ADO35" s="3"/>
      <c r="ADP35" s="3"/>
      <c r="ADQ35" s="3"/>
      <c r="ADR35" s="3"/>
      <c r="ADS35" s="3"/>
      <c r="ADT35" s="3"/>
      <c r="ADU35" s="3"/>
      <c r="ADV35" s="3"/>
      <c r="ADW35" s="3"/>
      <c r="ADX35" s="3"/>
      <c r="ADY35" s="3"/>
      <c r="ADZ35" s="3"/>
      <c r="AEA35" s="3"/>
      <c r="AEB35" s="3"/>
      <c r="AEC35" s="3"/>
      <c r="AED35" s="3"/>
      <c r="AEE35" s="3"/>
      <c r="AEF35" s="3"/>
      <c r="AEG35" s="3"/>
      <c r="AEH35" s="3"/>
      <c r="AEI35" s="3"/>
      <c r="AEJ35" s="3"/>
      <c r="AEK35" s="3"/>
      <c r="AEL35" s="3"/>
      <c r="AEM35" s="3"/>
      <c r="AEN35" s="3"/>
      <c r="AEO35" s="3"/>
      <c r="AEP35" s="3"/>
      <c r="AEQ35" s="3"/>
      <c r="AER35" s="3"/>
      <c r="AES35" s="3"/>
      <c r="AET35" s="3"/>
      <c r="AEU35" s="3"/>
      <c r="AEV35" s="3"/>
      <c r="AEW35" s="3"/>
      <c r="AEX35" s="3"/>
      <c r="AEY35" s="3"/>
      <c r="AEZ35" s="3"/>
      <c r="AFA35" s="3"/>
      <c r="AFB35" s="3"/>
      <c r="AFC35" s="3"/>
      <c r="AFD35" s="3"/>
      <c r="AFE35" s="3"/>
      <c r="AFF35" s="3"/>
      <c r="AFG35" s="3"/>
      <c r="AFH35" s="3"/>
      <c r="AFI35" s="3"/>
      <c r="AFJ35" s="3"/>
      <c r="AFK35" s="3"/>
      <c r="AFL35" s="3"/>
      <c r="AFM35" s="3"/>
      <c r="AFN35" s="3"/>
      <c r="AFO35" s="3"/>
      <c r="AFP35" s="3"/>
      <c r="AFQ35" s="3"/>
      <c r="AFR35" s="3"/>
      <c r="AFS35" s="3"/>
      <c r="AFT35" s="3"/>
      <c r="AFU35" s="3"/>
      <c r="AFV35" s="3"/>
      <c r="AFW35" s="3"/>
      <c r="AFX35" s="3"/>
      <c r="AFY35" s="3"/>
      <c r="AFZ35" s="3"/>
      <c r="AGA35" s="3"/>
      <c r="AGB35" s="3"/>
      <c r="AGC35" s="3"/>
      <c r="AGD35" s="3"/>
      <c r="AGE35" s="3"/>
      <c r="AGF35" s="3"/>
      <c r="AGG35" s="3"/>
      <c r="AGH35" s="3"/>
      <c r="AGI35" s="3"/>
      <c r="AGJ35" s="3"/>
      <c r="AGK35" s="3"/>
      <c r="AGL35" s="3"/>
      <c r="AGM35" s="3"/>
      <c r="AGN35" s="3"/>
      <c r="AGO35" s="3"/>
      <c r="AGP35" s="3"/>
      <c r="AGQ35" s="3"/>
      <c r="AGR35" s="3"/>
      <c r="AGS35" s="3"/>
      <c r="AGT35" s="3"/>
      <c r="AGU35" s="3"/>
      <c r="AGV35" s="3"/>
      <c r="AGW35" s="3"/>
      <c r="AGX35" s="3"/>
      <c r="AGY35" s="3"/>
      <c r="AGZ35" s="3"/>
      <c r="AHA35" s="3"/>
      <c r="AHB35" s="3"/>
    </row>
    <row r="36" ht="25" customHeight="1" spans="1:886">
      <c r="A36" s="343">
        <v>32</v>
      </c>
      <c r="B36" s="279"/>
      <c r="C36" s="345" t="s">
        <v>122</v>
      </c>
      <c r="D36" s="350"/>
      <c r="E36" s="350"/>
      <c r="F36" s="81">
        <v>7</v>
      </c>
      <c r="G36" s="360" t="s">
        <v>484</v>
      </c>
      <c r="H36" s="356" t="s">
        <v>485</v>
      </c>
      <c r="I36" s="365" t="s">
        <v>126</v>
      </c>
      <c r="J36" s="365"/>
      <c r="K36" s="365" t="s">
        <v>126</v>
      </c>
      <c r="L36" s="365" t="s">
        <v>126</v>
      </c>
      <c r="M36" s="365" t="s">
        <v>126</v>
      </c>
      <c r="N36" s="371" t="s">
        <v>486</v>
      </c>
      <c r="O36" s="367" t="s">
        <v>486</v>
      </c>
      <c r="P36" s="370" t="str">
        <f>CONCATENATE(RemovePunctuation(H36),"_CA","_","i4K","_",C36,"_",AE36,"_",PROPER(R36),IF(S36="",PROPER(R36),PROPER(S36)),PROPER(T36),PROPER(U36),PROPER(V36),IF(V36&lt;&gt;"","SUB",""),PROPER(W36),IF(W36&lt;&gt;"","SUB",""),"_","Ed","_","M1",".mpg")</f>
        <v>AllCreaturesGreatandSmallS05E06_CA_i4K_0125_43_EngEngZhoSUB_Ed_M1.mpg</v>
      </c>
      <c r="Q36" s="386" t="str">
        <f>CONCATENATE(RemovePunctuation(H36),"_CA","_","i5K","_",C36,"_",AD36,"_",PROPER(R36),IF(S36="",PROPER(R36),PROPER(S36)),PROPER(T36),PROPER(U36),PROPER(V36),IF(V36&lt;&gt;"","SUB",""),PROPER(W36),IF(W36&lt;&gt;"","SUB",""),"_","Ed","_","M4",".mpg")</f>
        <v>AllCreaturesGreatandSmallS05E06_CA_i5K_0125_169_EngEngZhoSUB_Ed_M4.mpg</v>
      </c>
      <c r="R36" s="382" t="s">
        <v>138</v>
      </c>
      <c r="S36" s="383"/>
      <c r="T36" s="384"/>
      <c r="U36" s="384"/>
      <c r="V36" s="382" t="s">
        <v>132</v>
      </c>
      <c r="W36" s="382"/>
      <c r="X36" s="343" t="s">
        <v>131</v>
      </c>
      <c r="Y36" s="343" t="s">
        <v>131</v>
      </c>
      <c r="Z36" s="120">
        <f t="shared" ref="Z36:Z61" si="9">ROUNDUP(HOUR(AA36)*60+MINUTE(AA36)+SECOND(AA36)/60,0)</f>
        <v>46</v>
      </c>
      <c r="AA36" s="305" t="str">
        <f t="shared" ref="AA36:AA61" si="10">TEXT((HOUR(AC36)*60+MINUTE(AC36)+IF(SECOND(AC36)&lt;=29,0,1))*60/86400,"hh:mm:ss")</f>
        <v>00:46:00</v>
      </c>
      <c r="AB36" s="120">
        <f t="shared" ref="AB36:AB61" si="11">Z36*60</f>
        <v>2760</v>
      </c>
      <c r="AC36" s="402">
        <v>0.0319212962962963</v>
      </c>
      <c r="AD36" s="401">
        <v>169</v>
      </c>
      <c r="AE36" s="401">
        <v>43</v>
      </c>
      <c r="AF36" s="343" t="s">
        <v>133</v>
      </c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  <c r="AAA36" s="3"/>
      <c r="AAB36" s="3"/>
      <c r="AAC36" s="3"/>
      <c r="AAD36" s="3"/>
      <c r="AAE36" s="3"/>
      <c r="AAF36" s="3"/>
      <c r="AAG36" s="3"/>
      <c r="AAH36" s="3"/>
      <c r="AAI36" s="3"/>
      <c r="AAJ36" s="3"/>
      <c r="AAK36" s="3"/>
      <c r="AAL36" s="3"/>
      <c r="AAM36" s="3"/>
      <c r="AAN36" s="3"/>
      <c r="AAO36" s="3"/>
      <c r="AAP36" s="3"/>
      <c r="AAQ36" s="3"/>
      <c r="AAR36" s="3"/>
      <c r="AAS36" s="3"/>
      <c r="AAT36" s="3"/>
      <c r="AAU36" s="3"/>
      <c r="AAV36" s="3"/>
      <c r="AAW36" s="3"/>
      <c r="AAX36" s="3"/>
      <c r="AAY36" s="3"/>
      <c r="AAZ36" s="3"/>
      <c r="ABA36" s="3"/>
      <c r="ABB36" s="3"/>
      <c r="ABC36" s="3"/>
      <c r="ABD36" s="3"/>
      <c r="ABE36" s="3"/>
      <c r="ABF36" s="3"/>
      <c r="ABG36" s="3"/>
      <c r="ABH36" s="3"/>
      <c r="ABI36" s="3"/>
      <c r="ABJ36" s="3"/>
      <c r="ABK36" s="3"/>
      <c r="ABL36" s="3"/>
      <c r="ABM36" s="3"/>
      <c r="ABN36" s="3"/>
      <c r="ABO36" s="3"/>
      <c r="ABP36" s="3"/>
      <c r="ABQ36" s="3"/>
      <c r="ABR36" s="3"/>
      <c r="ABS36" s="3"/>
      <c r="ABT36" s="3"/>
      <c r="ABU36" s="3"/>
      <c r="ABV36" s="3"/>
      <c r="ABW36" s="3"/>
      <c r="ABX36" s="3"/>
      <c r="ABY36" s="3"/>
      <c r="ABZ36" s="3"/>
      <c r="ACA36" s="3"/>
      <c r="ACB36" s="3"/>
      <c r="ACC36" s="3"/>
      <c r="ACD36" s="3"/>
      <c r="ACE36" s="3"/>
      <c r="ACF36" s="3"/>
      <c r="ACG36" s="3"/>
      <c r="ACH36" s="3"/>
      <c r="ACI36" s="3"/>
      <c r="ACJ36" s="3"/>
      <c r="ACK36" s="3"/>
      <c r="ACL36" s="3"/>
      <c r="ACM36" s="3"/>
      <c r="ACN36" s="3"/>
      <c r="ACO36" s="3"/>
      <c r="ACP36" s="3"/>
      <c r="ACQ36" s="3"/>
      <c r="ACR36" s="3"/>
      <c r="ACS36" s="3"/>
      <c r="ACT36" s="3"/>
      <c r="ACU36" s="3"/>
      <c r="ACV36" s="3"/>
      <c r="ACW36" s="3"/>
      <c r="ACX36" s="3"/>
      <c r="ACY36" s="3"/>
      <c r="ACZ36" s="3"/>
      <c r="ADA36" s="3"/>
      <c r="ADB36" s="3"/>
      <c r="ADC36" s="3"/>
      <c r="ADD36" s="3"/>
      <c r="ADE36" s="3"/>
      <c r="ADF36" s="3"/>
      <c r="ADG36" s="3"/>
      <c r="ADH36" s="3"/>
      <c r="ADI36" s="3"/>
      <c r="ADJ36" s="3"/>
      <c r="ADK36" s="3"/>
      <c r="ADL36" s="3"/>
      <c r="ADM36" s="3"/>
      <c r="ADN36" s="3"/>
      <c r="ADO36" s="3"/>
      <c r="ADP36" s="3"/>
      <c r="ADQ36" s="3"/>
      <c r="ADR36" s="3"/>
      <c r="ADS36" s="3"/>
      <c r="ADT36" s="3"/>
      <c r="ADU36" s="3"/>
      <c r="ADV36" s="3"/>
      <c r="ADW36" s="3"/>
      <c r="ADX36" s="3"/>
      <c r="ADY36" s="3"/>
      <c r="ADZ36" s="3"/>
      <c r="AEA36" s="3"/>
      <c r="AEB36" s="3"/>
      <c r="AEC36" s="3"/>
      <c r="AED36" s="3"/>
      <c r="AEE36" s="3"/>
      <c r="AEF36" s="3"/>
      <c r="AEG36" s="3"/>
      <c r="AEH36" s="3"/>
      <c r="AEI36" s="3"/>
      <c r="AEJ36" s="3"/>
      <c r="AEK36" s="3"/>
      <c r="AEL36" s="3"/>
      <c r="AEM36" s="3"/>
      <c r="AEN36" s="3"/>
      <c r="AEO36" s="3"/>
      <c r="AEP36" s="3"/>
      <c r="AEQ36" s="3"/>
      <c r="AER36" s="3"/>
      <c r="AES36" s="3"/>
      <c r="AET36" s="3"/>
      <c r="AEU36" s="3"/>
      <c r="AEV36" s="3"/>
      <c r="AEW36" s="3"/>
      <c r="AEX36" s="3"/>
      <c r="AEY36" s="3"/>
      <c r="AEZ36" s="3"/>
      <c r="AFA36" s="3"/>
      <c r="AFB36" s="3"/>
      <c r="AFC36" s="3"/>
      <c r="AFD36" s="3"/>
      <c r="AFE36" s="3"/>
      <c r="AFF36" s="3"/>
      <c r="AFG36" s="3"/>
      <c r="AFH36" s="3"/>
      <c r="AFI36" s="3"/>
      <c r="AFJ36" s="3"/>
      <c r="AFK36" s="3"/>
      <c r="AFL36" s="3"/>
      <c r="AFM36" s="3"/>
      <c r="AFN36" s="3"/>
      <c r="AFO36" s="3"/>
      <c r="AFP36" s="3"/>
      <c r="AFQ36" s="3"/>
      <c r="AFR36" s="3"/>
      <c r="AFS36" s="3"/>
      <c r="AFT36" s="3"/>
      <c r="AFU36" s="3"/>
      <c r="AFV36" s="3"/>
      <c r="AFW36" s="3"/>
      <c r="AFX36" s="3"/>
      <c r="AFY36" s="3"/>
      <c r="AFZ36" s="3"/>
      <c r="AGA36" s="3"/>
      <c r="AGB36" s="3"/>
      <c r="AGC36" s="3"/>
      <c r="AGD36" s="3"/>
      <c r="AGE36" s="3"/>
      <c r="AGF36" s="3"/>
      <c r="AGG36" s="3"/>
      <c r="AGH36" s="3"/>
      <c r="AGI36" s="3"/>
      <c r="AGJ36" s="3"/>
      <c r="AGK36" s="3"/>
      <c r="AGL36" s="3"/>
      <c r="AGM36" s="3"/>
      <c r="AGN36" s="3"/>
      <c r="AGO36" s="3"/>
      <c r="AGP36" s="3"/>
      <c r="AGQ36" s="3"/>
      <c r="AGR36" s="3"/>
      <c r="AGS36" s="3"/>
      <c r="AGT36" s="3"/>
      <c r="AGU36" s="3"/>
      <c r="AGV36" s="3"/>
      <c r="AGW36" s="3"/>
      <c r="AGX36" s="3"/>
      <c r="AGY36" s="3"/>
      <c r="AGZ36" s="3"/>
      <c r="AHA36" s="3"/>
      <c r="AHB36" s="3"/>
    </row>
    <row r="37" ht="25" customHeight="1" spans="1:886">
      <c r="A37" s="343">
        <v>33</v>
      </c>
      <c r="B37" s="279"/>
      <c r="C37" s="345" t="s">
        <v>122</v>
      </c>
      <c r="D37" s="350"/>
      <c r="E37" s="350"/>
      <c r="F37" s="81">
        <v>8</v>
      </c>
      <c r="G37" s="360" t="s">
        <v>487</v>
      </c>
      <c r="H37" s="356" t="s">
        <v>488</v>
      </c>
      <c r="I37" s="365" t="s">
        <v>126</v>
      </c>
      <c r="J37" s="365"/>
      <c r="K37" s="365" t="s">
        <v>126</v>
      </c>
      <c r="L37" s="365" t="s">
        <v>126</v>
      </c>
      <c r="M37" s="365" t="s">
        <v>126</v>
      </c>
      <c r="N37" s="371" t="s">
        <v>489</v>
      </c>
      <c r="O37" s="367" t="s">
        <v>489</v>
      </c>
      <c r="P37" s="370" t="str">
        <f>CONCATENATE(RemovePunctuation(H37),"_CA","_","i4K","_",C37,"_",AE37,"_",PROPER(R37),IF(S37="",PROPER(R37),PROPER(S37)),PROPER(T37),PROPER(U37),PROPER(V37),IF(V37&lt;&gt;"","SUB",""),PROPER(W37),IF(W37&lt;&gt;"","SUB",""),"_","Ed","_","M1",".mpg")</f>
        <v>AllCreaturesGreatandSmallS05E05_CA_i4K_0125_43_EngEngZhoSUB_Ed_M1.mpg</v>
      </c>
      <c r="Q37" s="386" t="str">
        <f>CONCATENATE(RemovePunctuation(H37),"_CA","_","i5K","_",C37,"_",AD37,"_",PROPER(R37),IF(S37="",PROPER(R37),PROPER(S37)),PROPER(T37),PROPER(U37),PROPER(V37),IF(V37&lt;&gt;"","SUB",""),PROPER(W37),IF(W37&lt;&gt;"","SUB",""),"_","Ed","_","M4",".mpg")</f>
        <v>AllCreaturesGreatandSmallS05E05_CA_i5K_0125_169_EngEngZhoSUB_Ed_M4.mpg</v>
      </c>
      <c r="R37" s="382" t="s">
        <v>138</v>
      </c>
      <c r="S37" s="383"/>
      <c r="T37" s="384"/>
      <c r="U37" s="384"/>
      <c r="V37" s="382" t="s">
        <v>132</v>
      </c>
      <c r="W37" s="382"/>
      <c r="X37" s="343" t="s">
        <v>131</v>
      </c>
      <c r="Y37" s="343" t="s">
        <v>131</v>
      </c>
      <c r="Z37" s="120">
        <f t="shared" si="9"/>
        <v>45</v>
      </c>
      <c r="AA37" s="305" t="str">
        <f t="shared" si="10"/>
        <v>00:45:00</v>
      </c>
      <c r="AB37" s="120">
        <f t="shared" si="11"/>
        <v>2700</v>
      </c>
      <c r="AC37" s="402">
        <v>0.0314699074074074</v>
      </c>
      <c r="AD37" s="401">
        <v>169</v>
      </c>
      <c r="AE37" s="401">
        <v>43</v>
      </c>
      <c r="AF37" s="343" t="s">
        <v>133</v>
      </c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  <c r="AAA37" s="3"/>
      <c r="AAB37" s="3"/>
      <c r="AAC37" s="3"/>
      <c r="AAD37" s="3"/>
      <c r="AAE37" s="3"/>
      <c r="AAF37" s="3"/>
      <c r="AAG37" s="3"/>
      <c r="AAH37" s="3"/>
      <c r="AAI37" s="3"/>
      <c r="AAJ37" s="3"/>
      <c r="AAK37" s="3"/>
      <c r="AAL37" s="3"/>
      <c r="AAM37" s="3"/>
      <c r="AAN37" s="3"/>
      <c r="AAO37" s="3"/>
      <c r="AAP37" s="3"/>
      <c r="AAQ37" s="3"/>
      <c r="AAR37" s="3"/>
      <c r="AAS37" s="3"/>
      <c r="AAT37" s="3"/>
      <c r="AAU37" s="3"/>
      <c r="AAV37" s="3"/>
      <c r="AAW37" s="3"/>
      <c r="AAX37" s="3"/>
      <c r="AAY37" s="3"/>
      <c r="AAZ37" s="3"/>
      <c r="ABA37" s="3"/>
      <c r="ABB37" s="3"/>
      <c r="ABC37" s="3"/>
      <c r="ABD37" s="3"/>
      <c r="ABE37" s="3"/>
      <c r="ABF37" s="3"/>
      <c r="ABG37" s="3"/>
      <c r="ABH37" s="3"/>
      <c r="ABI37" s="3"/>
      <c r="ABJ37" s="3"/>
      <c r="ABK37" s="3"/>
      <c r="ABL37" s="3"/>
      <c r="ABM37" s="3"/>
      <c r="ABN37" s="3"/>
      <c r="ABO37" s="3"/>
      <c r="ABP37" s="3"/>
      <c r="ABQ37" s="3"/>
      <c r="ABR37" s="3"/>
      <c r="ABS37" s="3"/>
      <c r="ABT37" s="3"/>
      <c r="ABU37" s="3"/>
      <c r="ABV37" s="3"/>
      <c r="ABW37" s="3"/>
      <c r="ABX37" s="3"/>
      <c r="ABY37" s="3"/>
      <c r="ABZ37" s="3"/>
      <c r="ACA37" s="3"/>
      <c r="ACB37" s="3"/>
      <c r="ACC37" s="3"/>
      <c r="ACD37" s="3"/>
      <c r="ACE37" s="3"/>
      <c r="ACF37" s="3"/>
      <c r="ACG37" s="3"/>
      <c r="ACH37" s="3"/>
      <c r="ACI37" s="3"/>
      <c r="ACJ37" s="3"/>
      <c r="ACK37" s="3"/>
      <c r="ACL37" s="3"/>
      <c r="ACM37" s="3"/>
      <c r="ACN37" s="3"/>
      <c r="ACO37" s="3"/>
      <c r="ACP37" s="3"/>
      <c r="ACQ37" s="3"/>
      <c r="ACR37" s="3"/>
      <c r="ACS37" s="3"/>
      <c r="ACT37" s="3"/>
      <c r="ACU37" s="3"/>
      <c r="ACV37" s="3"/>
      <c r="ACW37" s="3"/>
      <c r="ACX37" s="3"/>
      <c r="ACY37" s="3"/>
      <c r="ACZ37" s="3"/>
      <c r="ADA37" s="3"/>
      <c r="ADB37" s="3"/>
      <c r="ADC37" s="3"/>
      <c r="ADD37" s="3"/>
      <c r="ADE37" s="3"/>
      <c r="ADF37" s="3"/>
      <c r="ADG37" s="3"/>
      <c r="ADH37" s="3"/>
      <c r="ADI37" s="3"/>
      <c r="ADJ37" s="3"/>
      <c r="ADK37" s="3"/>
      <c r="ADL37" s="3"/>
      <c r="ADM37" s="3"/>
      <c r="ADN37" s="3"/>
      <c r="ADO37" s="3"/>
      <c r="ADP37" s="3"/>
      <c r="ADQ37" s="3"/>
      <c r="ADR37" s="3"/>
      <c r="ADS37" s="3"/>
      <c r="ADT37" s="3"/>
      <c r="ADU37" s="3"/>
      <c r="ADV37" s="3"/>
      <c r="ADW37" s="3"/>
      <c r="ADX37" s="3"/>
      <c r="ADY37" s="3"/>
      <c r="ADZ37" s="3"/>
      <c r="AEA37" s="3"/>
      <c r="AEB37" s="3"/>
      <c r="AEC37" s="3"/>
      <c r="AED37" s="3"/>
      <c r="AEE37" s="3"/>
      <c r="AEF37" s="3"/>
      <c r="AEG37" s="3"/>
      <c r="AEH37" s="3"/>
      <c r="AEI37" s="3"/>
      <c r="AEJ37" s="3"/>
      <c r="AEK37" s="3"/>
      <c r="AEL37" s="3"/>
      <c r="AEM37" s="3"/>
      <c r="AEN37" s="3"/>
      <c r="AEO37" s="3"/>
      <c r="AEP37" s="3"/>
      <c r="AEQ37" s="3"/>
      <c r="AER37" s="3"/>
      <c r="AES37" s="3"/>
      <c r="AET37" s="3"/>
      <c r="AEU37" s="3"/>
      <c r="AEV37" s="3"/>
      <c r="AEW37" s="3"/>
      <c r="AEX37" s="3"/>
      <c r="AEY37" s="3"/>
      <c r="AEZ37" s="3"/>
      <c r="AFA37" s="3"/>
      <c r="AFB37" s="3"/>
      <c r="AFC37" s="3"/>
      <c r="AFD37" s="3"/>
      <c r="AFE37" s="3"/>
      <c r="AFF37" s="3"/>
      <c r="AFG37" s="3"/>
      <c r="AFH37" s="3"/>
      <c r="AFI37" s="3"/>
      <c r="AFJ37" s="3"/>
      <c r="AFK37" s="3"/>
      <c r="AFL37" s="3"/>
      <c r="AFM37" s="3"/>
      <c r="AFN37" s="3"/>
      <c r="AFO37" s="3"/>
      <c r="AFP37" s="3"/>
      <c r="AFQ37" s="3"/>
      <c r="AFR37" s="3"/>
      <c r="AFS37" s="3"/>
      <c r="AFT37" s="3"/>
      <c r="AFU37" s="3"/>
      <c r="AFV37" s="3"/>
      <c r="AFW37" s="3"/>
      <c r="AFX37" s="3"/>
      <c r="AFY37" s="3"/>
      <c r="AFZ37" s="3"/>
      <c r="AGA37" s="3"/>
      <c r="AGB37" s="3"/>
      <c r="AGC37" s="3"/>
      <c r="AGD37" s="3"/>
      <c r="AGE37" s="3"/>
      <c r="AGF37" s="3"/>
      <c r="AGG37" s="3"/>
      <c r="AGH37" s="3"/>
      <c r="AGI37" s="3"/>
      <c r="AGJ37" s="3"/>
      <c r="AGK37" s="3"/>
      <c r="AGL37" s="3"/>
      <c r="AGM37" s="3"/>
      <c r="AGN37" s="3"/>
      <c r="AGO37" s="3"/>
      <c r="AGP37" s="3"/>
      <c r="AGQ37" s="3"/>
      <c r="AGR37" s="3"/>
      <c r="AGS37" s="3"/>
      <c r="AGT37" s="3"/>
      <c r="AGU37" s="3"/>
      <c r="AGV37" s="3"/>
      <c r="AGW37" s="3"/>
      <c r="AGX37" s="3"/>
      <c r="AGY37" s="3"/>
      <c r="AGZ37" s="3"/>
      <c r="AHA37" s="3"/>
      <c r="AHB37" s="3"/>
    </row>
    <row r="38" ht="25" customHeight="1" spans="1:886">
      <c r="A38" s="343">
        <v>34</v>
      </c>
      <c r="B38" s="279"/>
      <c r="C38" s="345" t="s">
        <v>122</v>
      </c>
      <c r="D38" s="350"/>
      <c r="E38" s="350"/>
      <c r="F38" s="81">
        <v>9</v>
      </c>
      <c r="G38" s="360" t="s">
        <v>490</v>
      </c>
      <c r="H38" s="356" t="s">
        <v>491</v>
      </c>
      <c r="I38" s="365" t="s">
        <v>126</v>
      </c>
      <c r="J38" s="365"/>
      <c r="K38" s="365" t="s">
        <v>126</v>
      </c>
      <c r="L38" s="365" t="s">
        <v>126</v>
      </c>
      <c r="M38" s="365" t="s">
        <v>126</v>
      </c>
      <c r="N38" s="371" t="s">
        <v>492</v>
      </c>
      <c r="O38" s="367" t="s">
        <v>492</v>
      </c>
      <c r="P38" s="370" t="str">
        <f>CONCATENATE(RemovePunctuation(H38),"_CA","_","i4K","_",C38,"_",AE38,"_",PROPER(R38),IF(S38="",PROPER(R38),PROPER(S38)),PROPER(T38),PROPER(U38),PROPER(V38),IF(V38&lt;&gt;"","SUB",""),PROPER(W38),IF(W38&lt;&gt;"","SUB",""),"_","Ed","_","M1",".mpg")</f>
        <v>AllCreaturesGreatandSmallS05E04_CA_i4K_0125_43_EngEngZhoSUB_Ed_M1.mpg</v>
      </c>
      <c r="Q38" s="386" t="str">
        <f>CONCATENATE(RemovePunctuation(H38),"_CA","_","i5K","_",C38,"_",AD38,"_",PROPER(R38),IF(S38="",PROPER(R38),PROPER(S38)),PROPER(T38),PROPER(U38),PROPER(V38),IF(V38&lt;&gt;"","SUB",""),PROPER(W38),IF(W38&lt;&gt;"","SUB",""),"_","Ed","_","M4",".mpg")</f>
        <v>AllCreaturesGreatandSmallS05E04_CA_i5K_0125_169_EngEngZhoSUB_Ed_M4.mpg</v>
      </c>
      <c r="R38" s="382" t="s">
        <v>138</v>
      </c>
      <c r="S38" s="383"/>
      <c r="T38" s="384"/>
      <c r="U38" s="384"/>
      <c r="V38" s="382" t="s">
        <v>132</v>
      </c>
      <c r="W38" s="382"/>
      <c r="X38" s="343" t="s">
        <v>131</v>
      </c>
      <c r="Y38" s="343" t="s">
        <v>131</v>
      </c>
      <c r="Z38" s="120">
        <f t="shared" si="9"/>
        <v>45</v>
      </c>
      <c r="AA38" s="305" t="str">
        <f t="shared" si="10"/>
        <v>00:45:00</v>
      </c>
      <c r="AB38" s="120">
        <f t="shared" si="11"/>
        <v>2700</v>
      </c>
      <c r="AC38" s="402">
        <v>0.0314814814814815</v>
      </c>
      <c r="AD38" s="401">
        <v>169</v>
      </c>
      <c r="AE38" s="401">
        <v>43</v>
      </c>
      <c r="AF38" s="343" t="s">
        <v>133</v>
      </c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  <c r="AAA38" s="3"/>
      <c r="AAB38" s="3"/>
      <c r="AAC38" s="3"/>
      <c r="AAD38" s="3"/>
      <c r="AAE38" s="3"/>
      <c r="AAF38" s="3"/>
      <c r="AAG38" s="3"/>
      <c r="AAH38" s="3"/>
      <c r="AAI38" s="3"/>
      <c r="AAJ38" s="3"/>
      <c r="AAK38" s="3"/>
      <c r="AAL38" s="3"/>
      <c r="AAM38" s="3"/>
      <c r="AAN38" s="3"/>
      <c r="AAO38" s="3"/>
      <c r="AAP38" s="3"/>
      <c r="AAQ38" s="3"/>
      <c r="AAR38" s="3"/>
      <c r="AAS38" s="3"/>
      <c r="AAT38" s="3"/>
      <c r="AAU38" s="3"/>
      <c r="AAV38" s="3"/>
      <c r="AAW38" s="3"/>
      <c r="AAX38" s="3"/>
      <c r="AAY38" s="3"/>
      <c r="AAZ38" s="3"/>
      <c r="ABA38" s="3"/>
      <c r="ABB38" s="3"/>
      <c r="ABC38" s="3"/>
      <c r="ABD38" s="3"/>
      <c r="ABE38" s="3"/>
      <c r="ABF38" s="3"/>
      <c r="ABG38" s="3"/>
      <c r="ABH38" s="3"/>
      <c r="ABI38" s="3"/>
      <c r="ABJ38" s="3"/>
      <c r="ABK38" s="3"/>
      <c r="ABL38" s="3"/>
      <c r="ABM38" s="3"/>
      <c r="ABN38" s="3"/>
      <c r="ABO38" s="3"/>
      <c r="ABP38" s="3"/>
      <c r="ABQ38" s="3"/>
      <c r="ABR38" s="3"/>
      <c r="ABS38" s="3"/>
      <c r="ABT38" s="3"/>
      <c r="ABU38" s="3"/>
      <c r="ABV38" s="3"/>
      <c r="ABW38" s="3"/>
      <c r="ABX38" s="3"/>
      <c r="ABY38" s="3"/>
      <c r="ABZ38" s="3"/>
      <c r="ACA38" s="3"/>
      <c r="ACB38" s="3"/>
      <c r="ACC38" s="3"/>
      <c r="ACD38" s="3"/>
      <c r="ACE38" s="3"/>
      <c r="ACF38" s="3"/>
      <c r="ACG38" s="3"/>
      <c r="ACH38" s="3"/>
      <c r="ACI38" s="3"/>
      <c r="ACJ38" s="3"/>
      <c r="ACK38" s="3"/>
      <c r="ACL38" s="3"/>
      <c r="ACM38" s="3"/>
      <c r="ACN38" s="3"/>
      <c r="ACO38" s="3"/>
      <c r="ACP38" s="3"/>
      <c r="ACQ38" s="3"/>
      <c r="ACR38" s="3"/>
      <c r="ACS38" s="3"/>
      <c r="ACT38" s="3"/>
      <c r="ACU38" s="3"/>
      <c r="ACV38" s="3"/>
      <c r="ACW38" s="3"/>
      <c r="ACX38" s="3"/>
      <c r="ACY38" s="3"/>
      <c r="ACZ38" s="3"/>
      <c r="ADA38" s="3"/>
      <c r="ADB38" s="3"/>
      <c r="ADC38" s="3"/>
      <c r="ADD38" s="3"/>
      <c r="ADE38" s="3"/>
      <c r="ADF38" s="3"/>
      <c r="ADG38" s="3"/>
      <c r="ADH38" s="3"/>
      <c r="ADI38" s="3"/>
      <c r="ADJ38" s="3"/>
      <c r="ADK38" s="3"/>
      <c r="ADL38" s="3"/>
      <c r="ADM38" s="3"/>
      <c r="ADN38" s="3"/>
      <c r="ADO38" s="3"/>
      <c r="ADP38" s="3"/>
      <c r="ADQ38" s="3"/>
      <c r="ADR38" s="3"/>
      <c r="ADS38" s="3"/>
      <c r="ADT38" s="3"/>
      <c r="ADU38" s="3"/>
      <c r="ADV38" s="3"/>
      <c r="ADW38" s="3"/>
      <c r="ADX38" s="3"/>
      <c r="ADY38" s="3"/>
      <c r="ADZ38" s="3"/>
      <c r="AEA38" s="3"/>
      <c r="AEB38" s="3"/>
      <c r="AEC38" s="3"/>
      <c r="AED38" s="3"/>
      <c r="AEE38" s="3"/>
      <c r="AEF38" s="3"/>
      <c r="AEG38" s="3"/>
      <c r="AEH38" s="3"/>
      <c r="AEI38" s="3"/>
      <c r="AEJ38" s="3"/>
      <c r="AEK38" s="3"/>
      <c r="AEL38" s="3"/>
      <c r="AEM38" s="3"/>
      <c r="AEN38" s="3"/>
      <c r="AEO38" s="3"/>
      <c r="AEP38" s="3"/>
      <c r="AEQ38" s="3"/>
      <c r="AER38" s="3"/>
      <c r="AES38" s="3"/>
      <c r="AET38" s="3"/>
      <c r="AEU38" s="3"/>
      <c r="AEV38" s="3"/>
      <c r="AEW38" s="3"/>
      <c r="AEX38" s="3"/>
      <c r="AEY38" s="3"/>
      <c r="AEZ38" s="3"/>
      <c r="AFA38" s="3"/>
      <c r="AFB38" s="3"/>
      <c r="AFC38" s="3"/>
      <c r="AFD38" s="3"/>
      <c r="AFE38" s="3"/>
      <c r="AFF38" s="3"/>
      <c r="AFG38" s="3"/>
      <c r="AFH38" s="3"/>
      <c r="AFI38" s="3"/>
      <c r="AFJ38" s="3"/>
      <c r="AFK38" s="3"/>
      <c r="AFL38" s="3"/>
      <c r="AFM38" s="3"/>
      <c r="AFN38" s="3"/>
      <c r="AFO38" s="3"/>
      <c r="AFP38" s="3"/>
      <c r="AFQ38" s="3"/>
      <c r="AFR38" s="3"/>
      <c r="AFS38" s="3"/>
      <c r="AFT38" s="3"/>
      <c r="AFU38" s="3"/>
      <c r="AFV38" s="3"/>
      <c r="AFW38" s="3"/>
      <c r="AFX38" s="3"/>
      <c r="AFY38" s="3"/>
      <c r="AFZ38" s="3"/>
      <c r="AGA38" s="3"/>
      <c r="AGB38" s="3"/>
      <c r="AGC38" s="3"/>
      <c r="AGD38" s="3"/>
      <c r="AGE38" s="3"/>
      <c r="AGF38" s="3"/>
      <c r="AGG38" s="3"/>
      <c r="AGH38" s="3"/>
      <c r="AGI38" s="3"/>
      <c r="AGJ38" s="3"/>
      <c r="AGK38" s="3"/>
      <c r="AGL38" s="3"/>
      <c r="AGM38" s="3"/>
      <c r="AGN38" s="3"/>
      <c r="AGO38" s="3"/>
      <c r="AGP38" s="3"/>
      <c r="AGQ38" s="3"/>
      <c r="AGR38" s="3"/>
      <c r="AGS38" s="3"/>
      <c r="AGT38" s="3"/>
      <c r="AGU38" s="3"/>
      <c r="AGV38" s="3"/>
      <c r="AGW38" s="3"/>
      <c r="AGX38" s="3"/>
      <c r="AGY38" s="3"/>
      <c r="AGZ38" s="3"/>
      <c r="AHA38" s="3"/>
      <c r="AHB38" s="3"/>
    </row>
    <row r="39" ht="25" customHeight="1" spans="1:886">
      <c r="A39" s="343">
        <v>35</v>
      </c>
      <c r="B39" s="279"/>
      <c r="C39" s="345" t="s">
        <v>122</v>
      </c>
      <c r="D39" s="350"/>
      <c r="E39" s="350"/>
      <c r="F39" s="81">
        <v>10</v>
      </c>
      <c r="G39" s="360" t="s">
        <v>493</v>
      </c>
      <c r="H39" s="356" t="s">
        <v>494</v>
      </c>
      <c r="I39" s="365" t="s">
        <v>126</v>
      </c>
      <c r="J39" s="365" t="s">
        <v>126</v>
      </c>
      <c r="K39" s="365" t="s">
        <v>126</v>
      </c>
      <c r="L39" s="365" t="s">
        <v>126</v>
      </c>
      <c r="M39" s="365" t="s">
        <v>126</v>
      </c>
      <c r="N39" s="371" t="s">
        <v>495</v>
      </c>
      <c r="O39" s="367" t="s">
        <v>495</v>
      </c>
      <c r="P39" s="370" t="str">
        <f>CONCATENATE(RemovePunctuation(H39),"_CA","_","i4K","_",C39,"_",AE39,"_",PROPER(R39),IF(S39="",PROPER(R39),PROPER(S39)),PROPER(T39),PROPER(U39),PROPER(V39),IF(V39&lt;&gt;"","SUB",""),PROPER(W39),IF(W39&lt;&gt;"","SUB",""),"_","Ed","_","M1",".mpg")</f>
        <v>AllCreaturesGreatandSmallS05E03_CA_i4K_0125_43_EngEngZhoSUB_Ed_M1.mpg</v>
      </c>
      <c r="Q39" s="386" t="str">
        <f>CONCATENATE(RemovePunctuation(H39),"_CA","_","i5K","_",C39,"_",AD39,"_",PROPER(R39),IF(S39="",PROPER(R39),PROPER(S39)),PROPER(T39),PROPER(U39),PROPER(V39),IF(V39&lt;&gt;"","SUB",""),PROPER(W39),IF(W39&lt;&gt;"","SUB",""),"_","Ed","_","M4",".mpg")</f>
        <v>AllCreaturesGreatandSmallS05E03_CA_i5K_0125_169_EngEngZhoSUB_Ed_M4.mpg</v>
      </c>
      <c r="R39" s="382" t="s">
        <v>138</v>
      </c>
      <c r="S39" s="383"/>
      <c r="T39" s="384"/>
      <c r="U39" s="384"/>
      <c r="V39" s="382" t="s">
        <v>132</v>
      </c>
      <c r="W39" s="382"/>
      <c r="X39" s="343" t="s">
        <v>131</v>
      </c>
      <c r="Y39" s="343" t="s">
        <v>131</v>
      </c>
      <c r="Z39" s="120">
        <f t="shared" si="9"/>
        <v>45</v>
      </c>
      <c r="AA39" s="305" t="str">
        <f t="shared" si="10"/>
        <v>00:45:00</v>
      </c>
      <c r="AB39" s="120">
        <f t="shared" si="11"/>
        <v>2700</v>
      </c>
      <c r="AC39" s="402">
        <v>0.0313194444444444</v>
      </c>
      <c r="AD39" s="401">
        <v>169</v>
      </c>
      <c r="AE39" s="401">
        <v>43</v>
      </c>
      <c r="AF39" s="343" t="s">
        <v>133</v>
      </c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  <c r="AAA39" s="3"/>
      <c r="AAB39" s="3"/>
      <c r="AAC39" s="3"/>
      <c r="AAD39" s="3"/>
      <c r="AAE39" s="3"/>
      <c r="AAF39" s="3"/>
      <c r="AAG39" s="3"/>
      <c r="AAH39" s="3"/>
      <c r="AAI39" s="3"/>
      <c r="AAJ39" s="3"/>
      <c r="AAK39" s="3"/>
      <c r="AAL39" s="3"/>
      <c r="AAM39" s="3"/>
      <c r="AAN39" s="3"/>
      <c r="AAO39" s="3"/>
      <c r="AAP39" s="3"/>
      <c r="AAQ39" s="3"/>
      <c r="AAR39" s="3"/>
      <c r="AAS39" s="3"/>
      <c r="AAT39" s="3"/>
      <c r="AAU39" s="3"/>
      <c r="AAV39" s="3"/>
      <c r="AAW39" s="3"/>
      <c r="AAX39" s="3"/>
      <c r="AAY39" s="3"/>
      <c r="AAZ39" s="3"/>
      <c r="ABA39" s="3"/>
      <c r="ABB39" s="3"/>
      <c r="ABC39" s="3"/>
      <c r="ABD39" s="3"/>
      <c r="ABE39" s="3"/>
      <c r="ABF39" s="3"/>
      <c r="ABG39" s="3"/>
      <c r="ABH39" s="3"/>
      <c r="ABI39" s="3"/>
      <c r="ABJ39" s="3"/>
      <c r="ABK39" s="3"/>
      <c r="ABL39" s="3"/>
      <c r="ABM39" s="3"/>
      <c r="ABN39" s="3"/>
      <c r="ABO39" s="3"/>
      <c r="ABP39" s="3"/>
      <c r="ABQ39" s="3"/>
      <c r="ABR39" s="3"/>
      <c r="ABS39" s="3"/>
      <c r="ABT39" s="3"/>
      <c r="ABU39" s="3"/>
      <c r="ABV39" s="3"/>
      <c r="ABW39" s="3"/>
      <c r="ABX39" s="3"/>
      <c r="ABY39" s="3"/>
      <c r="ABZ39" s="3"/>
      <c r="ACA39" s="3"/>
      <c r="ACB39" s="3"/>
      <c r="ACC39" s="3"/>
      <c r="ACD39" s="3"/>
      <c r="ACE39" s="3"/>
      <c r="ACF39" s="3"/>
      <c r="ACG39" s="3"/>
      <c r="ACH39" s="3"/>
      <c r="ACI39" s="3"/>
      <c r="ACJ39" s="3"/>
      <c r="ACK39" s="3"/>
      <c r="ACL39" s="3"/>
      <c r="ACM39" s="3"/>
      <c r="ACN39" s="3"/>
      <c r="ACO39" s="3"/>
      <c r="ACP39" s="3"/>
      <c r="ACQ39" s="3"/>
      <c r="ACR39" s="3"/>
      <c r="ACS39" s="3"/>
      <c r="ACT39" s="3"/>
      <c r="ACU39" s="3"/>
      <c r="ACV39" s="3"/>
      <c r="ACW39" s="3"/>
      <c r="ACX39" s="3"/>
      <c r="ACY39" s="3"/>
      <c r="ACZ39" s="3"/>
      <c r="ADA39" s="3"/>
      <c r="ADB39" s="3"/>
      <c r="ADC39" s="3"/>
      <c r="ADD39" s="3"/>
      <c r="ADE39" s="3"/>
      <c r="ADF39" s="3"/>
      <c r="ADG39" s="3"/>
      <c r="ADH39" s="3"/>
      <c r="ADI39" s="3"/>
      <c r="ADJ39" s="3"/>
      <c r="ADK39" s="3"/>
      <c r="ADL39" s="3"/>
      <c r="ADM39" s="3"/>
      <c r="ADN39" s="3"/>
      <c r="ADO39" s="3"/>
      <c r="ADP39" s="3"/>
      <c r="ADQ39" s="3"/>
      <c r="ADR39" s="3"/>
      <c r="ADS39" s="3"/>
      <c r="ADT39" s="3"/>
      <c r="ADU39" s="3"/>
      <c r="ADV39" s="3"/>
      <c r="ADW39" s="3"/>
      <c r="ADX39" s="3"/>
      <c r="ADY39" s="3"/>
      <c r="ADZ39" s="3"/>
      <c r="AEA39" s="3"/>
      <c r="AEB39" s="3"/>
      <c r="AEC39" s="3"/>
      <c r="AED39" s="3"/>
      <c r="AEE39" s="3"/>
      <c r="AEF39" s="3"/>
      <c r="AEG39" s="3"/>
      <c r="AEH39" s="3"/>
      <c r="AEI39" s="3"/>
      <c r="AEJ39" s="3"/>
      <c r="AEK39" s="3"/>
      <c r="AEL39" s="3"/>
      <c r="AEM39" s="3"/>
      <c r="AEN39" s="3"/>
      <c r="AEO39" s="3"/>
      <c r="AEP39" s="3"/>
      <c r="AEQ39" s="3"/>
      <c r="AER39" s="3"/>
      <c r="AES39" s="3"/>
      <c r="AET39" s="3"/>
      <c r="AEU39" s="3"/>
      <c r="AEV39" s="3"/>
      <c r="AEW39" s="3"/>
      <c r="AEX39" s="3"/>
      <c r="AEY39" s="3"/>
      <c r="AEZ39" s="3"/>
      <c r="AFA39" s="3"/>
      <c r="AFB39" s="3"/>
      <c r="AFC39" s="3"/>
      <c r="AFD39" s="3"/>
      <c r="AFE39" s="3"/>
      <c r="AFF39" s="3"/>
      <c r="AFG39" s="3"/>
      <c r="AFH39" s="3"/>
      <c r="AFI39" s="3"/>
      <c r="AFJ39" s="3"/>
      <c r="AFK39" s="3"/>
      <c r="AFL39" s="3"/>
      <c r="AFM39" s="3"/>
      <c r="AFN39" s="3"/>
      <c r="AFO39" s="3"/>
      <c r="AFP39" s="3"/>
      <c r="AFQ39" s="3"/>
      <c r="AFR39" s="3"/>
      <c r="AFS39" s="3"/>
      <c r="AFT39" s="3"/>
      <c r="AFU39" s="3"/>
      <c r="AFV39" s="3"/>
      <c r="AFW39" s="3"/>
      <c r="AFX39" s="3"/>
      <c r="AFY39" s="3"/>
      <c r="AFZ39" s="3"/>
      <c r="AGA39" s="3"/>
      <c r="AGB39" s="3"/>
      <c r="AGC39" s="3"/>
      <c r="AGD39" s="3"/>
      <c r="AGE39" s="3"/>
      <c r="AGF39" s="3"/>
      <c r="AGG39" s="3"/>
      <c r="AGH39" s="3"/>
      <c r="AGI39" s="3"/>
      <c r="AGJ39" s="3"/>
      <c r="AGK39" s="3"/>
      <c r="AGL39" s="3"/>
      <c r="AGM39" s="3"/>
      <c r="AGN39" s="3"/>
      <c r="AGO39" s="3"/>
      <c r="AGP39" s="3"/>
      <c r="AGQ39" s="3"/>
      <c r="AGR39" s="3"/>
      <c r="AGS39" s="3"/>
      <c r="AGT39" s="3"/>
      <c r="AGU39" s="3"/>
      <c r="AGV39" s="3"/>
      <c r="AGW39" s="3"/>
      <c r="AGX39" s="3"/>
      <c r="AGY39" s="3"/>
      <c r="AGZ39" s="3"/>
      <c r="AHA39" s="3"/>
      <c r="AHB39" s="3"/>
    </row>
    <row r="40" ht="25" customHeight="1" spans="1:886">
      <c r="A40" s="343">
        <v>36</v>
      </c>
      <c r="B40" s="279"/>
      <c r="C40" s="345" t="s">
        <v>122</v>
      </c>
      <c r="D40" s="350"/>
      <c r="E40" s="350"/>
      <c r="F40" s="81">
        <v>11</v>
      </c>
      <c r="G40" s="360" t="s">
        <v>496</v>
      </c>
      <c r="H40" s="356" t="s">
        <v>497</v>
      </c>
      <c r="I40" s="365" t="s">
        <v>126</v>
      </c>
      <c r="J40" s="365" t="s">
        <v>126</v>
      </c>
      <c r="K40" s="365" t="s">
        <v>126</v>
      </c>
      <c r="L40" s="365" t="s">
        <v>126</v>
      </c>
      <c r="M40" s="365" t="s">
        <v>126</v>
      </c>
      <c r="N40" s="371" t="s">
        <v>498</v>
      </c>
      <c r="O40" s="367" t="s">
        <v>498</v>
      </c>
      <c r="P40" s="370" t="str">
        <f>CONCATENATE(RemovePunctuation(H40),"_CA","_","i4K","_",C40,"_",AE40,"_",PROPER(R40),IF(S40="",PROPER(R40),PROPER(S40)),PROPER(T40),PROPER(U40),PROPER(V40),IF(V40&lt;&gt;"","SUB",""),PROPER(W40),IF(W40&lt;&gt;"","SUB",""),"_","Ed","_","M1",".mpg")</f>
        <v>AllCreaturesGreatandSmallS05E02_CA_i4K_0125_43_EngEngZhoSUB_Ed_M1.mpg</v>
      </c>
      <c r="Q40" s="386" t="str">
        <f>CONCATENATE(RemovePunctuation(H40),"_CA","_","i5K","_",C40,"_",AD40,"_",PROPER(R40),IF(S40="",PROPER(R40),PROPER(S40)),PROPER(T40),PROPER(U40),PROPER(V40),IF(V40&lt;&gt;"","SUB",""),PROPER(W40),IF(W40&lt;&gt;"","SUB",""),"_","Ed","_","M4",".mpg")</f>
        <v>AllCreaturesGreatandSmallS05E02_CA_i5K_0125_169_EngEngZhoSUB_Ed_M4.mpg</v>
      </c>
      <c r="R40" s="382" t="s">
        <v>138</v>
      </c>
      <c r="S40" s="383"/>
      <c r="T40" s="384"/>
      <c r="U40" s="384"/>
      <c r="V40" s="382" t="s">
        <v>132</v>
      </c>
      <c r="W40" s="382"/>
      <c r="X40" s="343" t="s">
        <v>131</v>
      </c>
      <c r="Y40" s="343" t="s">
        <v>131</v>
      </c>
      <c r="Z40" s="120">
        <f t="shared" si="9"/>
        <v>45</v>
      </c>
      <c r="AA40" s="305" t="str">
        <f t="shared" si="10"/>
        <v>00:45:00</v>
      </c>
      <c r="AB40" s="120">
        <f t="shared" si="11"/>
        <v>2700</v>
      </c>
      <c r="AC40" s="402">
        <v>0.0312268518518519</v>
      </c>
      <c r="AD40" s="401">
        <v>169</v>
      </c>
      <c r="AE40" s="401">
        <v>43</v>
      </c>
      <c r="AF40" s="343" t="s">
        <v>133</v>
      </c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  <c r="AAA40" s="3"/>
      <c r="AAB40" s="3"/>
      <c r="AAC40" s="3"/>
      <c r="AAD40" s="3"/>
      <c r="AAE40" s="3"/>
      <c r="AAF40" s="3"/>
      <c r="AAG40" s="3"/>
      <c r="AAH40" s="3"/>
      <c r="AAI40" s="3"/>
      <c r="AAJ40" s="3"/>
      <c r="AAK40" s="3"/>
      <c r="AAL40" s="3"/>
      <c r="AAM40" s="3"/>
      <c r="AAN40" s="3"/>
      <c r="AAO40" s="3"/>
      <c r="AAP40" s="3"/>
      <c r="AAQ40" s="3"/>
      <c r="AAR40" s="3"/>
      <c r="AAS40" s="3"/>
      <c r="AAT40" s="3"/>
      <c r="AAU40" s="3"/>
      <c r="AAV40" s="3"/>
      <c r="AAW40" s="3"/>
      <c r="AAX40" s="3"/>
      <c r="AAY40" s="3"/>
      <c r="AAZ40" s="3"/>
      <c r="ABA40" s="3"/>
      <c r="ABB40" s="3"/>
      <c r="ABC40" s="3"/>
      <c r="ABD40" s="3"/>
      <c r="ABE40" s="3"/>
      <c r="ABF40" s="3"/>
      <c r="ABG40" s="3"/>
      <c r="ABH40" s="3"/>
      <c r="ABI40" s="3"/>
      <c r="ABJ40" s="3"/>
      <c r="ABK40" s="3"/>
      <c r="ABL40" s="3"/>
      <c r="ABM40" s="3"/>
      <c r="ABN40" s="3"/>
      <c r="ABO40" s="3"/>
      <c r="ABP40" s="3"/>
      <c r="ABQ40" s="3"/>
      <c r="ABR40" s="3"/>
      <c r="ABS40" s="3"/>
      <c r="ABT40" s="3"/>
      <c r="ABU40" s="3"/>
      <c r="ABV40" s="3"/>
      <c r="ABW40" s="3"/>
      <c r="ABX40" s="3"/>
      <c r="ABY40" s="3"/>
      <c r="ABZ40" s="3"/>
      <c r="ACA40" s="3"/>
      <c r="ACB40" s="3"/>
      <c r="ACC40" s="3"/>
      <c r="ACD40" s="3"/>
      <c r="ACE40" s="3"/>
      <c r="ACF40" s="3"/>
      <c r="ACG40" s="3"/>
      <c r="ACH40" s="3"/>
      <c r="ACI40" s="3"/>
      <c r="ACJ40" s="3"/>
      <c r="ACK40" s="3"/>
      <c r="ACL40" s="3"/>
      <c r="ACM40" s="3"/>
      <c r="ACN40" s="3"/>
      <c r="ACO40" s="3"/>
      <c r="ACP40" s="3"/>
      <c r="ACQ40" s="3"/>
      <c r="ACR40" s="3"/>
      <c r="ACS40" s="3"/>
      <c r="ACT40" s="3"/>
      <c r="ACU40" s="3"/>
      <c r="ACV40" s="3"/>
      <c r="ACW40" s="3"/>
      <c r="ACX40" s="3"/>
      <c r="ACY40" s="3"/>
      <c r="ACZ40" s="3"/>
      <c r="ADA40" s="3"/>
      <c r="ADB40" s="3"/>
      <c r="ADC40" s="3"/>
      <c r="ADD40" s="3"/>
      <c r="ADE40" s="3"/>
      <c r="ADF40" s="3"/>
      <c r="ADG40" s="3"/>
      <c r="ADH40" s="3"/>
      <c r="ADI40" s="3"/>
      <c r="ADJ40" s="3"/>
      <c r="ADK40" s="3"/>
      <c r="ADL40" s="3"/>
      <c r="ADM40" s="3"/>
      <c r="ADN40" s="3"/>
      <c r="ADO40" s="3"/>
      <c r="ADP40" s="3"/>
      <c r="ADQ40" s="3"/>
      <c r="ADR40" s="3"/>
      <c r="ADS40" s="3"/>
      <c r="ADT40" s="3"/>
      <c r="ADU40" s="3"/>
      <c r="ADV40" s="3"/>
      <c r="ADW40" s="3"/>
      <c r="ADX40" s="3"/>
      <c r="ADY40" s="3"/>
      <c r="ADZ40" s="3"/>
      <c r="AEA40" s="3"/>
      <c r="AEB40" s="3"/>
      <c r="AEC40" s="3"/>
      <c r="AED40" s="3"/>
      <c r="AEE40" s="3"/>
      <c r="AEF40" s="3"/>
      <c r="AEG40" s="3"/>
      <c r="AEH40" s="3"/>
      <c r="AEI40" s="3"/>
      <c r="AEJ40" s="3"/>
      <c r="AEK40" s="3"/>
      <c r="AEL40" s="3"/>
      <c r="AEM40" s="3"/>
      <c r="AEN40" s="3"/>
      <c r="AEO40" s="3"/>
      <c r="AEP40" s="3"/>
      <c r="AEQ40" s="3"/>
      <c r="AER40" s="3"/>
      <c r="AES40" s="3"/>
      <c r="AET40" s="3"/>
      <c r="AEU40" s="3"/>
      <c r="AEV40" s="3"/>
      <c r="AEW40" s="3"/>
      <c r="AEX40" s="3"/>
      <c r="AEY40" s="3"/>
      <c r="AEZ40" s="3"/>
      <c r="AFA40" s="3"/>
      <c r="AFB40" s="3"/>
      <c r="AFC40" s="3"/>
      <c r="AFD40" s="3"/>
      <c r="AFE40" s="3"/>
      <c r="AFF40" s="3"/>
      <c r="AFG40" s="3"/>
      <c r="AFH40" s="3"/>
      <c r="AFI40" s="3"/>
      <c r="AFJ40" s="3"/>
      <c r="AFK40" s="3"/>
      <c r="AFL40" s="3"/>
      <c r="AFM40" s="3"/>
      <c r="AFN40" s="3"/>
      <c r="AFO40" s="3"/>
      <c r="AFP40" s="3"/>
      <c r="AFQ40" s="3"/>
      <c r="AFR40" s="3"/>
      <c r="AFS40" s="3"/>
      <c r="AFT40" s="3"/>
      <c r="AFU40" s="3"/>
      <c r="AFV40" s="3"/>
      <c r="AFW40" s="3"/>
      <c r="AFX40" s="3"/>
      <c r="AFY40" s="3"/>
      <c r="AFZ40" s="3"/>
      <c r="AGA40" s="3"/>
      <c r="AGB40" s="3"/>
      <c r="AGC40" s="3"/>
      <c r="AGD40" s="3"/>
      <c r="AGE40" s="3"/>
      <c r="AGF40" s="3"/>
      <c r="AGG40" s="3"/>
      <c r="AGH40" s="3"/>
      <c r="AGI40" s="3"/>
      <c r="AGJ40" s="3"/>
      <c r="AGK40" s="3"/>
      <c r="AGL40" s="3"/>
      <c r="AGM40" s="3"/>
      <c r="AGN40" s="3"/>
      <c r="AGO40" s="3"/>
      <c r="AGP40" s="3"/>
      <c r="AGQ40" s="3"/>
      <c r="AGR40" s="3"/>
      <c r="AGS40" s="3"/>
      <c r="AGT40" s="3"/>
      <c r="AGU40" s="3"/>
      <c r="AGV40" s="3"/>
      <c r="AGW40" s="3"/>
      <c r="AGX40" s="3"/>
      <c r="AGY40" s="3"/>
      <c r="AGZ40" s="3"/>
      <c r="AHA40" s="3"/>
      <c r="AHB40" s="3"/>
    </row>
    <row r="41" ht="25" customHeight="1" spans="1:886">
      <c r="A41" s="343">
        <v>37</v>
      </c>
      <c r="B41" s="279"/>
      <c r="C41" s="345" t="s">
        <v>122</v>
      </c>
      <c r="D41" s="350"/>
      <c r="E41" s="350"/>
      <c r="F41" s="81">
        <v>12</v>
      </c>
      <c r="G41" s="360" t="s">
        <v>499</v>
      </c>
      <c r="H41" s="356" t="s">
        <v>500</v>
      </c>
      <c r="I41" s="365" t="s">
        <v>126</v>
      </c>
      <c r="J41" s="365" t="s">
        <v>126</v>
      </c>
      <c r="K41" s="365" t="s">
        <v>126</v>
      </c>
      <c r="L41" s="365" t="s">
        <v>126</v>
      </c>
      <c r="M41" s="365" t="s">
        <v>126</v>
      </c>
      <c r="N41" s="371" t="s">
        <v>501</v>
      </c>
      <c r="O41" s="367" t="s">
        <v>501</v>
      </c>
      <c r="P41" s="370" t="str">
        <f>CONCATENATE(RemovePunctuation(H41),"_CA","_","i4K","_",C41,"_",AE41,"_",PROPER(R41),IF(S41="",PROPER(R41),PROPER(S41)),PROPER(T41),PROPER(U41),PROPER(V41),IF(V41&lt;&gt;"","SUB",""),PROPER(W41),IF(W41&lt;&gt;"","SUB",""),"_","Ed","_","M1",".mpg")</f>
        <v>AllCreaturesGreatandSmallS05E01_CA_i4K_0125_43_EngEngZhoSUB_Ed_M1.mpg</v>
      </c>
      <c r="Q41" s="386" t="str">
        <f>CONCATENATE(RemovePunctuation(H41),"_CA","_","i5K","_",C41,"_",AD41,"_",PROPER(R41),IF(S41="",PROPER(R41),PROPER(S41)),PROPER(T41),PROPER(U41),PROPER(V41),IF(V41&lt;&gt;"","SUB",""),PROPER(W41),IF(W41&lt;&gt;"","SUB",""),"_","Ed","_","M4",".mpg")</f>
        <v>AllCreaturesGreatandSmallS05E01_CA_i5K_0125_169_EngEngZhoSUB_Ed_M4.mpg</v>
      </c>
      <c r="R41" s="382" t="s">
        <v>138</v>
      </c>
      <c r="S41" s="383"/>
      <c r="T41" s="384"/>
      <c r="U41" s="384"/>
      <c r="V41" s="382" t="s">
        <v>132</v>
      </c>
      <c r="W41" s="382"/>
      <c r="X41" s="343" t="s">
        <v>131</v>
      </c>
      <c r="Y41" s="343" t="s">
        <v>131</v>
      </c>
      <c r="Z41" s="120">
        <f t="shared" si="9"/>
        <v>46</v>
      </c>
      <c r="AA41" s="305" t="str">
        <f t="shared" si="10"/>
        <v>00:46:00</v>
      </c>
      <c r="AB41" s="120">
        <f t="shared" si="11"/>
        <v>2760</v>
      </c>
      <c r="AC41" s="402">
        <v>0.0318402777777778</v>
      </c>
      <c r="AD41" s="401">
        <v>169</v>
      </c>
      <c r="AE41" s="401">
        <v>43</v>
      </c>
      <c r="AF41" s="343" t="s">
        <v>133</v>
      </c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  <c r="AAA41" s="3"/>
      <c r="AAB41" s="3"/>
      <c r="AAC41" s="3"/>
      <c r="AAD41" s="3"/>
      <c r="AAE41" s="3"/>
      <c r="AAF41" s="3"/>
      <c r="AAG41" s="3"/>
      <c r="AAH41" s="3"/>
      <c r="AAI41" s="3"/>
      <c r="AAJ41" s="3"/>
      <c r="AAK41" s="3"/>
      <c r="AAL41" s="3"/>
      <c r="AAM41" s="3"/>
      <c r="AAN41" s="3"/>
      <c r="AAO41" s="3"/>
      <c r="AAP41" s="3"/>
      <c r="AAQ41" s="3"/>
      <c r="AAR41" s="3"/>
      <c r="AAS41" s="3"/>
      <c r="AAT41" s="3"/>
      <c r="AAU41" s="3"/>
      <c r="AAV41" s="3"/>
      <c r="AAW41" s="3"/>
      <c r="AAX41" s="3"/>
      <c r="AAY41" s="3"/>
      <c r="AAZ41" s="3"/>
      <c r="ABA41" s="3"/>
      <c r="ABB41" s="3"/>
      <c r="ABC41" s="3"/>
      <c r="ABD41" s="3"/>
      <c r="ABE41" s="3"/>
      <c r="ABF41" s="3"/>
      <c r="ABG41" s="3"/>
      <c r="ABH41" s="3"/>
      <c r="ABI41" s="3"/>
      <c r="ABJ41" s="3"/>
      <c r="ABK41" s="3"/>
      <c r="ABL41" s="3"/>
      <c r="ABM41" s="3"/>
      <c r="ABN41" s="3"/>
      <c r="ABO41" s="3"/>
      <c r="ABP41" s="3"/>
      <c r="ABQ41" s="3"/>
      <c r="ABR41" s="3"/>
      <c r="ABS41" s="3"/>
      <c r="ABT41" s="3"/>
      <c r="ABU41" s="3"/>
      <c r="ABV41" s="3"/>
      <c r="ABW41" s="3"/>
      <c r="ABX41" s="3"/>
      <c r="ABY41" s="3"/>
      <c r="ABZ41" s="3"/>
      <c r="ACA41" s="3"/>
      <c r="ACB41" s="3"/>
      <c r="ACC41" s="3"/>
      <c r="ACD41" s="3"/>
      <c r="ACE41" s="3"/>
      <c r="ACF41" s="3"/>
      <c r="ACG41" s="3"/>
      <c r="ACH41" s="3"/>
      <c r="ACI41" s="3"/>
      <c r="ACJ41" s="3"/>
      <c r="ACK41" s="3"/>
      <c r="ACL41" s="3"/>
      <c r="ACM41" s="3"/>
      <c r="ACN41" s="3"/>
      <c r="ACO41" s="3"/>
      <c r="ACP41" s="3"/>
      <c r="ACQ41" s="3"/>
      <c r="ACR41" s="3"/>
      <c r="ACS41" s="3"/>
      <c r="ACT41" s="3"/>
      <c r="ACU41" s="3"/>
      <c r="ACV41" s="3"/>
      <c r="ACW41" s="3"/>
      <c r="ACX41" s="3"/>
      <c r="ACY41" s="3"/>
      <c r="ACZ41" s="3"/>
      <c r="ADA41" s="3"/>
      <c r="ADB41" s="3"/>
      <c r="ADC41" s="3"/>
      <c r="ADD41" s="3"/>
      <c r="ADE41" s="3"/>
      <c r="ADF41" s="3"/>
      <c r="ADG41" s="3"/>
      <c r="ADH41" s="3"/>
      <c r="ADI41" s="3"/>
      <c r="ADJ41" s="3"/>
      <c r="ADK41" s="3"/>
      <c r="ADL41" s="3"/>
      <c r="ADM41" s="3"/>
      <c r="ADN41" s="3"/>
      <c r="ADO41" s="3"/>
      <c r="ADP41" s="3"/>
      <c r="ADQ41" s="3"/>
      <c r="ADR41" s="3"/>
      <c r="ADS41" s="3"/>
      <c r="ADT41" s="3"/>
      <c r="ADU41" s="3"/>
      <c r="ADV41" s="3"/>
      <c r="ADW41" s="3"/>
      <c r="ADX41" s="3"/>
      <c r="ADY41" s="3"/>
      <c r="ADZ41" s="3"/>
      <c r="AEA41" s="3"/>
      <c r="AEB41" s="3"/>
      <c r="AEC41" s="3"/>
      <c r="AED41" s="3"/>
      <c r="AEE41" s="3"/>
      <c r="AEF41" s="3"/>
      <c r="AEG41" s="3"/>
      <c r="AEH41" s="3"/>
      <c r="AEI41" s="3"/>
      <c r="AEJ41" s="3"/>
      <c r="AEK41" s="3"/>
      <c r="AEL41" s="3"/>
      <c r="AEM41" s="3"/>
      <c r="AEN41" s="3"/>
      <c r="AEO41" s="3"/>
      <c r="AEP41" s="3"/>
      <c r="AEQ41" s="3"/>
      <c r="AER41" s="3"/>
      <c r="AES41" s="3"/>
      <c r="AET41" s="3"/>
      <c r="AEU41" s="3"/>
      <c r="AEV41" s="3"/>
      <c r="AEW41" s="3"/>
      <c r="AEX41" s="3"/>
      <c r="AEY41" s="3"/>
      <c r="AEZ41" s="3"/>
      <c r="AFA41" s="3"/>
      <c r="AFB41" s="3"/>
      <c r="AFC41" s="3"/>
      <c r="AFD41" s="3"/>
      <c r="AFE41" s="3"/>
      <c r="AFF41" s="3"/>
      <c r="AFG41" s="3"/>
      <c r="AFH41" s="3"/>
      <c r="AFI41" s="3"/>
      <c r="AFJ41" s="3"/>
      <c r="AFK41" s="3"/>
      <c r="AFL41" s="3"/>
      <c r="AFM41" s="3"/>
      <c r="AFN41" s="3"/>
      <c r="AFO41" s="3"/>
      <c r="AFP41" s="3"/>
      <c r="AFQ41" s="3"/>
      <c r="AFR41" s="3"/>
      <c r="AFS41" s="3"/>
      <c r="AFT41" s="3"/>
      <c r="AFU41" s="3"/>
      <c r="AFV41" s="3"/>
      <c r="AFW41" s="3"/>
      <c r="AFX41" s="3"/>
      <c r="AFY41" s="3"/>
      <c r="AFZ41" s="3"/>
      <c r="AGA41" s="3"/>
      <c r="AGB41" s="3"/>
      <c r="AGC41" s="3"/>
      <c r="AGD41" s="3"/>
      <c r="AGE41" s="3"/>
      <c r="AGF41" s="3"/>
      <c r="AGG41" s="3"/>
      <c r="AGH41" s="3"/>
      <c r="AGI41" s="3"/>
      <c r="AGJ41" s="3"/>
      <c r="AGK41" s="3"/>
      <c r="AGL41" s="3"/>
      <c r="AGM41" s="3"/>
      <c r="AGN41" s="3"/>
      <c r="AGO41" s="3"/>
      <c r="AGP41" s="3"/>
      <c r="AGQ41" s="3"/>
      <c r="AGR41" s="3"/>
      <c r="AGS41" s="3"/>
      <c r="AGT41" s="3"/>
      <c r="AGU41" s="3"/>
      <c r="AGV41" s="3"/>
      <c r="AGW41" s="3"/>
      <c r="AGX41" s="3"/>
      <c r="AGY41" s="3"/>
      <c r="AGZ41" s="3"/>
      <c r="AHA41" s="3"/>
      <c r="AHB41" s="3"/>
    </row>
    <row r="42" ht="24" customHeight="1" spans="1:32">
      <c r="A42" s="343">
        <v>38</v>
      </c>
      <c r="B42" s="279"/>
      <c r="C42" s="345" t="s">
        <v>122</v>
      </c>
      <c r="D42" s="346" t="s">
        <v>502</v>
      </c>
      <c r="E42" s="352"/>
      <c r="F42" s="81">
        <v>1</v>
      </c>
      <c r="G42" s="361" t="s">
        <v>503</v>
      </c>
      <c r="H42" s="361" t="s">
        <v>504</v>
      </c>
      <c r="I42" s="365" t="s">
        <v>126</v>
      </c>
      <c r="J42" s="365" t="s">
        <v>126</v>
      </c>
      <c r="K42" s="365" t="s">
        <v>126</v>
      </c>
      <c r="L42" s="365" t="s">
        <v>126</v>
      </c>
      <c r="M42" s="365" t="s">
        <v>126</v>
      </c>
      <c r="N42" s="371" t="s">
        <v>505</v>
      </c>
      <c r="O42" s="367" t="s">
        <v>505</v>
      </c>
      <c r="P42" s="370" t="str">
        <f>CONCATENATE(RemovePunctuation(H42),"_CA","_","i4K","_",C42,"_",AE42,"_",PROPER(R42),IF(S42="",PROPER(R42),PROPER(S42)),PROPER(T42),PROPER(U42),PROPER(V42),IF(V42&lt;&gt;"","SUB",""),PROPER(W42),IF(W42&lt;&gt;"","SUB",""),"_","Ed","_","M1",".mpg")</f>
        <v>AirPanoramaInternationalOutbound_CA_i4K_0125_43_EngZhoEngSUBZhoSUB_Ed_M1.mpg</v>
      </c>
      <c r="Q42" s="386" t="str">
        <f>CONCATENATE(RemovePunctuation(H42),"_CA","_","i5K","_",C42,"_",AD42,"_",PROPER(R42),IF(S42="",PROPER(R42),PROPER(S42)),PROPER(T42),PROPER(U42),PROPER(V42),IF(V42&lt;&gt;"","SUB",""),PROPER(W42),IF(W42&lt;&gt;"","SUB",""),"_","Ed","_","M4",".mpg")</f>
        <v>AirPanoramaInternationalOutbound_CA_i5K_0125_169_EngZhoEngSUBZhoSUB_Ed_M4.mpg</v>
      </c>
      <c r="R42" s="382" t="s">
        <v>138</v>
      </c>
      <c r="S42" s="387" t="s">
        <v>132</v>
      </c>
      <c r="T42" s="384"/>
      <c r="U42" s="384"/>
      <c r="V42" s="382" t="s">
        <v>138</v>
      </c>
      <c r="W42" s="387" t="s">
        <v>132</v>
      </c>
      <c r="X42" s="343" t="s">
        <v>131</v>
      </c>
      <c r="Y42" s="343" t="s">
        <v>131</v>
      </c>
      <c r="Z42" s="120">
        <f t="shared" si="9"/>
        <v>144</v>
      </c>
      <c r="AA42" s="305" t="str">
        <f t="shared" si="10"/>
        <v>02:24:00</v>
      </c>
      <c r="AB42" s="120">
        <f t="shared" si="11"/>
        <v>8640</v>
      </c>
      <c r="AC42" s="402">
        <v>0.0999652777777778</v>
      </c>
      <c r="AD42" s="401">
        <v>169</v>
      </c>
      <c r="AE42" s="401">
        <v>43</v>
      </c>
      <c r="AF42" s="403"/>
    </row>
    <row r="43" ht="24" customHeight="1" spans="1:32">
      <c r="A43" s="343">
        <v>39</v>
      </c>
      <c r="B43" s="279"/>
      <c r="C43" s="345" t="s">
        <v>122</v>
      </c>
      <c r="D43" s="350"/>
      <c r="E43" s="352"/>
      <c r="F43" s="81">
        <v>2</v>
      </c>
      <c r="G43" s="361" t="s">
        <v>506</v>
      </c>
      <c r="H43" s="361" t="s">
        <v>507</v>
      </c>
      <c r="I43" s="365" t="s">
        <v>126</v>
      </c>
      <c r="J43" s="365" t="s">
        <v>126</v>
      </c>
      <c r="K43" s="365" t="s">
        <v>126</v>
      </c>
      <c r="L43" s="365" t="s">
        <v>126</v>
      </c>
      <c r="M43" s="365" t="s">
        <v>126</v>
      </c>
      <c r="N43" s="371" t="s">
        <v>508</v>
      </c>
      <c r="O43" s="367" t="s">
        <v>508</v>
      </c>
      <c r="P43" s="370" t="str">
        <f>CONCATENATE(RemovePunctuation(H43),"_CA","_","i4K","_",C43,"_",AE43,"_",PROPER(R43),IF(S43="",PROPER(R43),PROPER(S43)),PROPER(T43),PROPER(U43),PROPER(V43),IF(V43&lt;&gt;"","SUB",""),PROPER(W43),IF(W43&lt;&gt;"","SUB",""),"_","Ed","_","M1",".mpg")</f>
        <v>AirPanoramaInternationalInbound_CA_i4K_0125_43_EngZhoEngSUBZhoSUB_Ed_M1.mpg</v>
      </c>
      <c r="Q43" s="386" t="str">
        <f>CONCATENATE(RemovePunctuation(H43),"_CA","_","i5K","_",C43,"_",AD43,"_",PROPER(R43),IF(S43="",PROPER(R43),PROPER(S43)),PROPER(T43),PROPER(U43),PROPER(V43),IF(V43&lt;&gt;"","SUB",""),PROPER(W43),IF(W43&lt;&gt;"","SUB",""),"_","Ed","_","M4",".mpg")</f>
        <v>AirPanoramaInternationalInbound_CA_i5K_0125_169_EngZhoEngSUBZhoSUB_Ed_M4.mpg</v>
      </c>
      <c r="R43" s="382" t="s">
        <v>138</v>
      </c>
      <c r="S43" s="387" t="s">
        <v>132</v>
      </c>
      <c r="T43" s="384"/>
      <c r="U43" s="384"/>
      <c r="V43" s="382" t="s">
        <v>138</v>
      </c>
      <c r="W43" s="387" t="s">
        <v>132</v>
      </c>
      <c r="X43" s="343" t="s">
        <v>131</v>
      </c>
      <c r="Y43" s="343" t="s">
        <v>131</v>
      </c>
      <c r="Z43" s="120">
        <f t="shared" si="9"/>
        <v>146</v>
      </c>
      <c r="AA43" s="305" t="str">
        <f t="shared" si="10"/>
        <v>02:26:00</v>
      </c>
      <c r="AB43" s="120">
        <f t="shared" si="11"/>
        <v>8760</v>
      </c>
      <c r="AC43" s="402">
        <v>0.101122685185185</v>
      </c>
      <c r="AD43" s="401">
        <v>169</v>
      </c>
      <c r="AE43" s="401">
        <v>43</v>
      </c>
      <c r="AF43" s="403"/>
    </row>
    <row r="44" ht="24" customHeight="1" spans="1:32">
      <c r="A44" s="343">
        <v>40</v>
      </c>
      <c r="B44" s="279"/>
      <c r="C44" s="345" t="s">
        <v>122</v>
      </c>
      <c r="D44" s="350"/>
      <c r="E44" s="352"/>
      <c r="F44" s="81">
        <v>3</v>
      </c>
      <c r="G44" s="362" t="s">
        <v>509</v>
      </c>
      <c r="H44" s="361" t="s">
        <v>510</v>
      </c>
      <c r="I44" s="365" t="s">
        <v>126</v>
      </c>
      <c r="J44" s="365" t="s">
        <v>126</v>
      </c>
      <c r="K44" s="365" t="s">
        <v>126</v>
      </c>
      <c r="L44" s="365" t="s">
        <v>126</v>
      </c>
      <c r="M44" s="365" t="s">
        <v>126</v>
      </c>
      <c r="N44" s="371" t="s">
        <v>511</v>
      </c>
      <c r="O44" s="367" t="s">
        <v>511</v>
      </c>
      <c r="P44" s="370" t="str">
        <f>CONCATENATE(RemovePunctuation(H44),"_CA","_","i4K","_",C44,"_",AE44,"_",PROPER(R44),IF(S44="",PROPER(R44),PROPER(S44)),PROPER(T44),PROPER(U44),PROPER(V44),IF(V44&lt;&gt;"","SUB",""),PROPER(W44),IF(W44&lt;&gt;"","SUB",""),"_","Ed","_","M1",".mpg")</f>
        <v>AirPanoramaDomesticOutbound_CA_i4K_0125_43_ZhoZhoZhoSUB_Ed_M1.mpg</v>
      </c>
      <c r="Q44" s="386" t="str">
        <f>CONCATENATE(RemovePunctuation(H44),"_CA","_","i5K","_",C44,"_",AD44,"_",PROPER(R44),IF(S44="",PROPER(R44),PROPER(S44)),PROPER(T44),PROPER(U44),PROPER(V44),IF(V44&lt;&gt;"","SUB",""),PROPER(W44),IF(W44&lt;&gt;"","SUB",""),"_","Ed","_","M4",".mpg")</f>
        <v>AirPanoramaDomesticOutbound_CA_i5K_0125_169_ZhoZhoZhoSUB_Ed_M4.mpg</v>
      </c>
      <c r="R44" s="382" t="s">
        <v>132</v>
      </c>
      <c r="S44" s="384"/>
      <c r="T44" s="384"/>
      <c r="U44" s="384"/>
      <c r="V44" s="387" t="s">
        <v>132</v>
      </c>
      <c r="W44" s="384"/>
      <c r="X44" s="343" t="s">
        <v>131</v>
      </c>
      <c r="Y44" s="343" t="s">
        <v>131</v>
      </c>
      <c r="Z44" s="120">
        <f t="shared" si="9"/>
        <v>141</v>
      </c>
      <c r="AA44" s="305" t="str">
        <f t="shared" si="10"/>
        <v>02:21:00</v>
      </c>
      <c r="AB44" s="120">
        <f t="shared" si="11"/>
        <v>8460</v>
      </c>
      <c r="AC44" s="402">
        <v>0.0980555555555556</v>
      </c>
      <c r="AD44" s="401">
        <v>169</v>
      </c>
      <c r="AE44" s="401">
        <v>43</v>
      </c>
      <c r="AF44" s="403"/>
    </row>
    <row r="45" ht="24" customHeight="1" spans="1:32">
      <c r="A45" s="343">
        <v>41</v>
      </c>
      <c r="B45" s="279"/>
      <c r="C45" s="345" t="s">
        <v>122</v>
      </c>
      <c r="D45" s="350"/>
      <c r="E45" s="352"/>
      <c r="F45" s="81">
        <v>4</v>
      </c>
      <c r="G45" s="361" t="s">
        <v>512</v>
      </c>
      <c r="H45" s="361" t="s">
        <v>513</v>
      </c>
      <c r="I45" s="365" t="s">
        <v>126</v>
      </c>
      <c r="J45" s="365" t="s">
        <v>126</v>
      </c>
      <c r="K45" s="365" t="s">
        <v>126</v>
      </c>
      <c r="L45" s="365" t="s">
        <v>126</v>
      </c>
      <c r="M45" s="365" t="s">
        <v>126</v>
      </c>
      <c r="N45" s="371" t="s">
        <v>514</v>
      </c>
      <c r="O45" s="367" t="s">
        <v>514</v>
      </c>
      <c r="P45" s="370" t="str">
        <f>CONCATENATE(RemovePunctuation(H45),"_CA","_","i4K","_",C45,"_",AE45,"_",PROPER(R45),IF(S45="",PROPER(R45),PROPER(S45)),PROPER(T45),PROPER(U45),PROPER(V45),IF(V45&lt;&gt;"","SUB",""),PROPER(W45),IF(W45&lt;&gt;"","SUB",""),"_","Ed","_","M1",".mpg")</f>
        <v>AirPanoramaDomesticInbound_CA_i4K_0125_43_ZhoZhoZhoSUB_Ed_M1.mpg</v>
      </c>
      <c r="Q45" s="386" t="str">
        <f>CONCATENATE(RemovePunctuation(H45),"_CA","_","i5K","_",C45,"_",AD45,"_",PROPER(R45),IF(S45="",PROPER(R45),PROPER(S45)),PROPER(T45),PROPER(U45),PROPER(V45),IF(V45&lt;&gt;"","SUB",""),PROPER(W45),IF(W45&lt;&gt;"","SUB",""),"_","Ed","_","M4",".mpg")</f>
        <v>AirPanoramaDomesticInbound_CA_i5K_0125_169_ZhoZhoZhoSUB_Ed_M4.mpg</v>
      </c>
      <c r="R45" s="382" t="s">
        <v>132</v>
      </c>
      <c r="S45" s="384"/>
      <c r="T45" s="384"/>
      <c r="U45" s="384"/>
      <c r="V45" s="387" t="s">
        <v>132</v>
      </c>
      <c r="W45" s="384"/>
      <c r="X45" s="343" t="s">
        <v>131</v>
      </c>
      <c r="Y45" s="343" t="s">
        <v>131</v>
      </c>
      <c r="Z45" s="120">
        <f t="shared" si="9"/>
        <v>147</v>
      </c>
      <c r="AA45" s="305" t="str">
        <f t="shared" si="10"/>
        <v>02:27:00</v>
      </c>
      <c r="AB45" s="120">
        <f t="shared" si="11"/>
        <v>8820</v>
      </c>
      <c r="AC45" s="402">
        <v>0.101759259259259</v>
      </c>
      <c r="AD45" s="401">
        <v>169</v>
      </c>
      <c r="AE45" s="401">
        <v>43</v>
      </c>
      <c r="AF45" s="403"/>
    </row>
    <row r="46" ht="24" customHeight="1" spans="1:32">
      <c r="A46" s="343">
        <v>42</v>
      </c>
      <c r="B46" s="279"/>
      <c r="C46" s="345" t="s">
        <v>122</v>
      </c>
      <c r="D46" s="350"/>
      <c r="E46" s="352"/>
      <c r="F46" s="81">
        <v>5</v>
      </c>
      <c r="G46" s="361" t="s">
        <v>515</v>
      </c>
      <c r="H46" s="361" t="s">
        <v>516</v>
      </c>
      <c r="I46" s="365" t="s">
        <v>126</v>
      </c>
      <c r="J46" s="365" t="s">
        <v>126</v>
      </c>
      <c r="K46" s="365" t="s">
        <v>126</v>
      </c>
      <c r="L46" s="365" t="s">
        <v>126</v>
      </c>
      <c r="M46" s="365" t="s">
        <v>126</v>
      </c>
      <c r="N46" s="371" t="s">
        <v>517</v>
      </c>
      <c r="O46" s="367" t="s">
        <v>517</v>
      </c>
      <c r="P46" s="370" t="str">
        <f>CONCATENATE(RemovePunctuation(H46),"_CA","_","i4K","_",C46,"_",AE46,"_",PROPER(R46),IF(S46="",PROPER(R46),PROPER(S46)),PROPER(T46),PROPER(U46),PROPER(V46),IF(V46&lt;&gt;"","SUB",""),PROPER(W46),IF(W46&lt;&gt;"","SUB",""),"_","Ed","_","M1",".mpg")</f>
        <v>The12twohourPeriodsinBeijing10_CA_i4K_0125_43_ZhoZhoZhoSUB_Ed_M1.mpg</v>
      </c>
      <c r="Q46" s="386" t="str">
        <f>CONCATENATE(RemovePunctuation(H46),"_CA","_","i5K","_",C46,"_",AD46,"_",PROPER(R46),IF(S46="",PROPER(R46),PROPER(S46)),PROPER(T46),PROPER(U46),PROPER(V46),IF(V46&lt;&gt;"","SUB",""),PROPER(W46),IF(W46&lt;&gt;"","SUB",""),"_","Ed","_","M4",".mpg")</f>
        <v>The12twohourPeriodsinBeijing10_CA_i5K_0125_169_ZhoZhoZhoSUB_Ed_M4.mpg</v>
      </c>
      <c r="R46" s="382" t="s">
        <v>132</v>
      </c>
      <c r="S46" s="384"/>
      <c r="T46" s="384"/>
      <c r="U46" s="384"/>
      <c r="V46" s="387" t="s">
        <v>132</v>
      </c>
      <c r="W46" s="384"/>
      <c r="X46" s="343" t="s">
        <v>131</v>
      </c>
      <c r="Y46" s="343" t="s">
        <v>131</v>
      </c>
      <c r="Z46" s="120">
        <f t="shared" si="9"/>
        <v>37</v>
      </c>
      <c r="AA46" s="305" t="str">
        <f t="shared" si="10"/>
        <v>00:37:00</v>
      </c>
      <c r="AB46" s="120">
        <f t="shared" si="11"/>
        <v>2220</v>
      </c>
      <c r="AC46" s="402">
        <v>0.0256018518518519</v>
      </c>
      <c r="AD46" s="401">
        <v>169</v>
      </c>
      <c r="AE46" s="401">
        <v>43</v>
      </c>
      <c r="AF46" s="343" t="s">
        <v>144</v>
      </c>
    </row>
    <row r="47" ht="24" customHeight="1" spans="1:32">
      <c r="A47" s="343">
        <v>43</v>
      </c>
      <c r="B47" s="279"/>
      <c r="C47" s="345" t="s">
        <v>122</v>
      </c>
      <c r="D47" s="350"/>
      <c r="E47" s="352"/>
      <c r="F47" s="81">
        <v>6</v>
      </c>
      <c r="G47" s="361" t="s">
        <v>518</v>
      </c>
      <c r="H47" s="361" t="s">
        <v>519</v>
      </c>
      <c r="I47" s="365" t="s">
        <v>126</v>
      </c>
      <c r="J47" s="365" t="s">
        <v>126</v>
      </c>
      <c r="K47" s="365" t="s">
        <v>126</v>
      </c>
      <c r="L47" s="365" t="s">
        <v>126</v>
      </c>
      <c r="M47" s="365" t="s">
        <v>126</v>
      </c>
      <c r="N47" s="371" t="s">
        <v>520</v>
      </c>
      <c r="O47" s="367" t="s">
        <v>520</v>
      </c>
      <c r="P47" s="370" t="str">
        <f>CONCATENATE(RemovePunctuation(H47),"_CA","_","i4K","_",C47,"_",AE47,"_",PROPER(R47),IF(S47="",PROPER(R47),PROPER(S47)),PROPER(T47),PROPER(U47),PROPER(V47),IF(V47&lt;&gt;"","SUB",""),PROPER(W47),IF(W47&lt;&gt;"","SUB",""),"_","Ed","_","M1",".mpg")</f>
        <v>DivasHitTheRoadGoodFriendsE09_CA_i4K_0125_43_ZhoZhoZhoSUB_Ed_M1.mpg</v>
      </c>
      <c r="Q47" s="386" t="str">
        <f>CONCATENATE(RemovePunctuation(H47),"_CA","_","i5K","_",C47,"_",AD47,"_",PROPER(R47),IF(S47="",PROPER(R47),PROPER(S47)),PROPER(T47),PROPER(U47),PROPER(V47),IF(V47&lt;&gt;"","SUB",""),PROPER(W47),IF(W47&lt;&gt;"","SUB",""),"_","Ed","_","M4",".mpg")</f>
        <v>DivasHitTheRoadGoodFriendsE09_CA_i5K_0125_169_ZhoZhoZhoSUB_Ed_M4.mpg</v>
      </c>
      <c r="R47" s="382" t="s">
        <v>132</v>
      </c>
      <c r="S47" s="384"/>
      <c r="T47" s="384"/>
      <c r="U47" s="384"/>
      <c r="V47" s="387" t="s">
        <v>132</v>
      </c>
      <c r="W47" s="384"/>
      <c r="X47" s="343" t="s">
        <v>131</v>
      </c>
      <c r="Y47" s="343" t="s">
        <v>131</v>
      </c>
      <c r="Z47" s="120">
        <f t="shared" si="9"/>
        <v>97</v>
      </c>
      <c r="AA47" s="305" t="str">
        <f t="shared" si="10"/>
        <v>01:37:00</v>
      </c>
      <c r="AB47" s="120">
        <f t="shared" si="11"/>
        <v>5820</v>
      </c>
      <c r="AC47" s="402">
        <v>0.0675578703703704</v>
      </c>
      <c r="AD47" s="401">
        <v>169</v>
      </c>
      <c r="AE47" s="401">
        <v>43</v>
      </c>
      <c r="AF47" s="343" t="s">
        <v>133</v>
      </c>
    </row>
    <row r="48" ht="24" customHeight="1" spans="1:32">
      <c r="A48" s="343">
        <v>44</v>
      </c>
      <c r="B48" s="279"/>
      <c r="C48" s="345" t="s">
        <v>122</v>
      </c>
      <c r="D48" s="350"/>
      <c r="E48" s="352"/>
      <c r="F48" s="81">
        <v>7</v>
      </c>
      <c r="G48" s="361" t="s">
        <v>521</v>
      </c>
      <c r="H48" s="361" t="s">
        <v>522</v>
      </c>
      <c r="I48" s="365" t="s">
        <v>126</v>
      </c>
      <c r="J48" s="365" t="s">
        <v>126</v>
      </c>
      <c r="K48" s="365" t="s">
        <v>126</v>
      </c>
      <c r="L48" s="365" t="s">
        <v>126</v>
      </c>
      <c r="M48" s="365" t="s">
        <v>126</v>
      </c>
      <c r="N48" s="371" t="s">
        <v>523</v>
      </c>
      <c r="O48" s="367" t="s">
        <v>523</v>
      </c>
      <c r="P48" s="370" t="str">
        <f>CONCATENATE(RemovePunctuation(H48),"_CA","_","i4K","_",C48,"_",AE48,"_",PROPER(R48),IF(S48="",PROPER(R48),PROPER(S48)),PROPER(T48),PROPER(U48),PROPER(V48),IF(V48&lt;&gt;"","SUB",""),PROPER(W48),IF(W48&lt;&gt;"","SUB",""),"_","Ed","_","M1",".mpg")</f>
        <v>DivasHitTheRoadGoodFriendsE08_CA_i4K_0125_43_ZhoZhoZhoSUB_Ed_M1.mpg</v>
      </c>
      <c r="Q48" s="386" t="str">
        <f>CONCATENATE(RemovePunctuation(H48),"_CA","_","i5K","_",C48,"_",AD48,"_",PROPER(R48),IF(S48="",PROPER(R48),PROPER(S48)),PROPER(T48),PROPER(U48),PROPER(V48),IF(V48&lt;&gt;"","SUB",""),PROPER(W48),IF(W48&lt;&gt;"","SUB",""),"_","Ed","_","M4",".mpg")</f>
        <v>DivasHitTheRoadGoodFriendsE08_CA_i5K_0125_169_ZhoZhoZhoSUB_Ed_M4.mpg</v>
      </c>
      <c r="R48" s="382" t="s">
        <v>132</v>
      </c>
      <c r="S48" s="384"/>
      <c r="T48" s="384"/>
      <c r="U48" s="384"/>
      <c r="V48" s="387" t="s">
        <v>132</v>
      </c>
      <c r="W48" s="384"/>
      <c r="X48" s="343" t="s">
        <v>131</v>
      </c>
      <c r="Y48" s="343" t="s">
        <v>131</v>
      </c>
      <c r="Z48" s="120">
        <f t="shared" si="9"/>
        <v>109</v>
      </c>
      <c r="AA48" s="305" t="str">
        <f t="shared" si="10"/>
        <v>01:49:00</v>
      </c>
      <c r="AB48" s="120">
        <f t="shared" si="11"/>
        <v>6540</v>
      </c>
      <c r="AC48" s="402">
        <v>0.0757523148148148</v>
      </c>
      <c r="AD48" s="401">
        <v>169</v>
      </c>
      <c r="AE48" s="401">
        <v>43</v>
      </c>
      <c r="AF48" s="343" t="s">
        <v>133</v>
      </c>
    </row>
    <row r="49" ht="24" customHeight="1" spans="1:32">
      <c r="A49" s="343">
        <v>45</v>
      </c>
      <c r="B49" s="279"/>
      <c r="C49" s="345" t="s">
        <v>122</v>
      </c>
      <c r="D49" s="350"/>
      <c r="E49" s="352"/>
      <c r="F49" s="81">
        <v>8</v>
      </c>
      <c r="G49" s="361" t="s">
        <v>524</v>
      </c>
      <c r="H49" s="361" t="s">
        <v>525</v>
      </c>
      <c r="I49" s="365" t="s">
        <v>126</v>
      </c>
      <c r="J49" s="365"/>
      <c r="K49" s="365"/>
      <c r="L49" s="365" t="s">
        <v>126</v>
      </c>
      <c r="M49" s="365"/>
      <c r="N49" s="371" t="s">
        <v>526</v>
      </c>
      <c r="O49" s="367"/>
      <c r="P49" s="370"/>
      <c r="Q49" s="386" t="str">
        <f>CONCATENATE(RemovePunctuation(H49),"_CA","_","i5K","_",C49,"_",AD49,"_",PROPER(R49),IF(S49="",PROPER(R49),PROPER(S49)),PROPER(T49),PROPER(U49),PROPER(V49),IF(V49&lt;&gt;"","SUB",""),PROPER(W49),IF(W49&lt;&gt;"","SUB",""),"_","Ed","_","M4",".mpg")</f>
        <v>SnowandIceWelcomeGuests2ErbinaFireinWinter_CA_i5K_0125_169_ZhoZhoZhoSUB_Ed_M4.mpg</v>
      </c>
      <c r="R49" s="382" t="s">
        <v>132</v>
      </c>
      <c r="S49" s="384"/>
      <c r="T49" s="384"/>
      <c r="U49" s="384"/>
      <c r="V49" s="387" t="s">
        <v>132</v>
      </c>
      <c r="W49" s="384"/>
      <c r="X49" s="343" t="s">
        <v>131</v>
      </c>
      <c r="Y49" s="343" t="s">
        <v>131</v>
      </c>
      <c r="Z49" s="120">
        <f t="shared" si="9"/>
        <v>24</v>
      </c>
      <c r="AA49" s="305" t="str">
        <f t="shared" si="10"/>
        <v>00:24:00</v>
      </c>
      <c r="AB49" s="120">
        <f t="shared" si="11"/>
        <v>1440</v>
      </c>
      <c r="AC49" s="402">
        <v>0.0169444444444444</v>
      </c>
      <c r="AD49" s="401">
        <v>169</v>
      </c>
      <c r="AE49" s="401">
        <v>43</v>
      </c>
      <c r="AF49" s="343" t="s">
        <v>133</v>
      </c>
    </row>
    <row r="50" ht="24" customHeight="1" spans="1:32">
      <c r="A50" s="343">
        <v>46</v>
      </c>
      <c r="B50" s="279"/>
      <c r="C50" s="345" t="s">
        <v>122</v>
      </c>
      <c r="D50" s="350"/>
      <c r="E50" s="352"/>
      <c r="F50" s="81">
        <v>9</v>
      </c>
      <c r="G50" s="362" t="s">
        <v>527</v>
      </c>
      <c r="H50" s="361" t="s">
        <v>528</v>
      </c>
      <c r="I50" s="365" t="s">
        <v>126</v>
      </c>
      <c r="J50" s="365" t="s">
        <v>126</v>
      </c>
      <c r="K50" s="365" t="s">
        <v>126</v>
      </c>
      <c r="L50" s="365" t="s">
        <v>126</v>
      </c>
      <c r="M50" s="365" t="s">
        <v>126</v>
      </c>
      <c r="N50" s="371" t="s">
        <v>529</v>
      </c>
      <c r="O50" s="367" t="s">
        <v>529</v>
      </c>
      <c r="P50" s="370" t="str">
        <f>CONCATENATE(RemovePunctuation(H50),"_CA","_","i4K","_",C50,"_",AE50,"_",PROPER(R50),IF(S50="",PROPER(R50),PROPER(S50)),PROPER(T50),PROPER(U50),PROPER(V50),IF(V50&lt;&gt;"","SUB",""),PROPER(W50),IF(W50&lt;&gt;"","SUB",""),"_","Ed","_","M1",".mpg")</f>
        <v>SnowandIceWelcomeGuests1ErbinWeHaveaVisitor_CA_i4K_0125_43_ZhoZhoZhoSUB_Ed_M1.mpg</v>
      </c>
      <c r="Q50" s="386" t="str">
        <f>CONCATENATE(RemovePunctuation(H50),"_CA","_","i5K","_",C50,"_",AD50,"_",PROPER(R50),IF(S50="",PROPER(R50),PROPER(S50)),PROPER(T50),PROPER(U50),PROPER(V50),IF(V50&lt;&gt;"","SUB",""),PROPER(W50),IF(W50&lt;&gt;"","SUB",""),"_","Ed","_","M4",".mpg")</f>
        <v>SnowandIceWelcomeGuests1ErbinWeHaveaVisitor_CA_i5K_0125_169_ZhoZhoZhoSUB_Ed_M4.mpg</v>
      </c>
      <c r="R50" s="382" t="s">
        <v>132</v>
      </c>
      <c r="S50" s="384"/>
      <c r="T50" s="384"/>
      <c r="U50" s="384"/>
      <c r="V50" s="387" t="s">
        <v>132</v>
      </c>
      <c r="W50" s="384"/>
      <c r="X50" s="343" t="s">
        <v>131</v>
      </c>
      <c r="Y50" s="343" t="s">
        <v>131</v>
      </c>
      <c r="Z50" s="120">
        <f t="shared" si="9"/>
        <v>24</v>
      </c>
      <c r="AA50" s="305" t="str">
        <f t="shared" si="10"/>
        <v>00:24:00</v>
      </c>
      <c r="AB50" s="120">
        <f t="shared" si="11"/>
        <v>1440</v>
      </c>
      <c r="AC50" s="402">
        <v>0.0169097222222222</v>
      </c>
      <c r="AD50" s="401">
        <v>169</v>
      </c>
      <c r="AE50" s="401">
        <v>43</v>
      </c>
      <c r="AF50" s="343" t="s">
        <v>133</v>
      </c>
    </row>
    <row r="51" ht="24" customHeight="1" spans="1:32">
      <c r="A51" s="343">
        <v>47</v>
      </c>
      <c r="B51" s="279"/>
      <c r="C51" s="345" t="s">
        <v>122</v>
      </c>
      <c r="D51" s="350"/>
      <c r="E51" s="352"/>
      <c r="F51" s="81">
        <v>10</v>
      </c>
      <c r="G51" s="361" t="s">
        <v>530</v>
      </c>
      <c r="H51" s="361" t="s">
        <v>531</v>
      </c>
      <c r="I51" s="365" t="s">
        <v>126</v>
      </c>
      <c r="J51" s="365"/>
      <c r="K51" s="365"/>
      <c r="L51" s="365" t="s">
        <v>126</v>
      </c>
      <c r="M51" s="365"/>
      <c r="N51" s="371" t="s">
        <v>532</v>
      </c>
      <c r="O51" s="367"/>
      <c r="P51" s="370"/>
      <c r="Q51" s="386" t="str">
        <f>CONCATENATE(RemovePunctuation(H51),"_CA","_","i5K","_",C51,"_",AD51,"_",PROPER(R51),IF(S51="",PROPER(R51),PROPER(S51)),PROPER(T51),PROPER(U51),PROPER(V51),IF(V51&lt;&gt;"","SUB",""),PROPER(W51),IF(W51&lt;&gt;"","SUB",""),"_","Ed","_","M4",".mpg")</f>
        <v>LivesinChaganLake2ExploreItFreely_CA_i5K_0125_169_ZhoZhoZhoSUB_Ed_M4.mpg</v>
      </c>
      <c r="R51" s="382" t="s">
        <v>132</v>
      </c>
      <c r="S51" s="384"/>
      <c r="T51" s="384"/>
      <c r="U51" s="384"/>
      <c r="V51" s="387" t="s">
        <v>132</v>
      </c>
      <c r="W51" s="384"/>
      <c r="X51" s="343" t="s">
        <v>131</v>
      </c>
      <c r="Y51" s="343" t="s">
        <v>131</v>
      </c>
      <c r="Z51" s="120">
        <f t="shared" si="9"/>
        <v>24</v>
      </c>
      <c r="AA51" s="305" t="str">
        <f t="shared" si="10"/>
        <v>00:24:00</v>
      </c>
      <c r="AB51" s="120">
        <f t="shared" si="11"/>
        <v>1440</v>
      </c>
      <c r="AC51" s="402">
        <v>0.0164814814814815</v>
      </c>
      <c r="AD51" s="401">
        <v>169</v>
      </c>
      <c r="AE51" s="401">
        <v>43</v>
      </c>
      <c r="AF51" s="343" t="s">
        <v>133</v>
      </c>
    </row>
    <row r="52" ht="24" customHeight="1" spans="1:32">
      <c r="A52" s="343">
        <v>48</v>
      </c>
      <c r="B52" s="279"/>
      <c r="C52" s="345" t="s">
        <v>122</v>
      </c>
      <c r="D52" s="350"/>
      <c r="E52" s="352"/>
      <c r="F52" s="81">
        <v>11</v>
      </c>
      <c r="G52" s="361" t="s">
        <v>533</v>
      </c>
      <c r="H52" s="361" t="s">
        <v>534</v>
      </c>
      <c r="I52" s="365" t="s">
        <v>126</v>
      </c>
      <c r="J52" s="365" t="s">
        <v>126</v>
      </c>
      <c r="K52" s="365" t="s">
        <v>126</v>
      </c>
      <c r="L52" s="365" t="s">
        <v>126</v>
      </c>
      <c r="M52" s="365" t="s">
        <v>126</v>
      </c>
      <c r="N52" s="371" t="s">
        <v>535</v>
      </c>
      <c r="O52" s="367" t="s">
        <v>535</v>
      </c>
      <c r="P52" s="370" t="str">
        <f>CONCATENATE(RemovePunctuation(H52),"_CA","_","i4K","_",C52,"_",AE52,"_",PROPER(R52),IF(S52="",PROPER(R52),PROPER(S52)),PROPER(T52),PROPER(U52),PROPER(V52),IF(V52&lt;&gt;"","SUB",""),PROPER(W52),IF(W52&lt;&gt;"","SUB",""),"_","Ed","_","M1",".mpg")</f>
        <v>LivesinChaganLake1SurplusYearafterYear_CA_i4K_0125_43_ZhoZhoZhoSUB_Ed_M1.mpg</v>
      </c>
      <c r="Q52" s="386" t="str">
        <f>CONCATENATE(RemovePunctuation(H52),"_CA","_","i5K","_",C52,"_",AD52,"_",PROPER(R52),IF(S52="",PROPER(R52),PROPER(S52)),PROPER(T52),PROPER(U52),PROPER(V52),IF(V52&lt;&gt;"","SUB",""),PROPER(W52),IF(W52&lt;&gt;"","SUB",""),"_","Ed","_","M4",".mpg")</f>
        <v>LivesinChaganLake1SurplusYearafterYear_CA_i5K_0125_169_ZhoZhoZhoSUB_Ed_M4.mpg</v>
      </c>
      <c r="R52" s="382" t="s">
        <v>132</v>
      </c>
      <c r="S52" s="384"/>
      <c r="T52" s="384"/>
      <c r="U52" s="384"/>
      <c r="V52" s="387" t="s">
        <v>132</v>
      </c>
      <c r="W52" s="384"/>
      <c r="X52" s="343" t="s">
        <v>131</v>
      </c>
      <c r="Y52" s="343" t="s">
        <v>131</v>
      </c>
      <c r="Z52" s="120">
        <f t="shared" si="9"/>
        <v>23</v>
      </c>
      <c r="AA52" s="305" t="str">
        <f t="shared" si="10"/>
        <v>00:23:00</v>
      </c>
      <c r="AB52" s="120">
        <f t="shared" si="11"/>
        <v>1380</v>
      </c>
      <c r="AC52" s="402">
        <v>0.0160069444444444</v>
      </c>
      <c r="AD52" s="401">
        <v>169</v>
      </c>
      <c r="AE52" s="401">
        <v>43</v>
      </c>
      <c r="AF52" s="343" t="s">
        <v>133</v>
      </c>
    </row>
    <row r="53" ht="24" customHeight="1" spans="1:32">
      <c r="A53" s="343">
        <v>49</v>
      </c>
      <c r="B53" s="279"/>
      <c r="C53" s="345" t="s">
        <v>122</v>
      </c>
      <c r="D53" s="350"/>
      <c r="E53" s="352"/>
      <c r="F53" s="81">
        <v>12</v>
      </c>
      <c r="G53" s="361" t="s">
        <v>536</v>
      </c>
      <c r="H53" s="361" t="s">
        <v>537</v>
      </c>
      <c r="I53" s="365" t="s">
        <v>126</v>
      </c>
      <c r="J53" s="365" t="s">
        <v>126</v>
      </c>
      <c r="K53" s="365" t="s">
        <v>126</v>
      </c>
      <c r="L53" s="365" t="s">
        <v>126</v>
      </c>
      <c r="M53" s="365" t="s">
        <v>126</v>
      </c>
      <c r="N53" s="371" t="s">
        <v>538</v>
      </c>
      <c r="O53" s="367" t="s">
        <v>538</v>
      </c>
      <c r="P53" s="370" t="str">
        <f>CONCATENATE(RemovePunctuation(H53),"_CA","_","i4K","_",C53,"_",AE53,"_",PROPER(R53),IF(S53="",PROPER(R53),PROPER(S53)),PROPER(T53),PROPER(U53),PROPER(V53),IF(V53&lt;&gt;"","SUB",""),PROPER(W53),IF(W53&lt;&gt;"","SUB",""),"_","Ed","_","M1",".mpg")</f>
        <v>100PlacestoVisitinThisLifetime8Cryptomeria_CA_i4K_0125_43_ZhoZhoZhoSUB_Ed_M1.mpg</v>
      </c>
      <c r="Q53" s="386" t="str">
        <f>CONCATENATE(RemovePunctuation(H53),"_CA","_","i5K","_",C53,"_",AD53,"_",PROPER(R53),IF(S53="",PROPER(R53),PROPER(S53)),PROPER(T53),PROPER(U53),PROPER(V53),IF(V53&lt;&gt;"","SUB",""),PROPER(W53),IF(W53&lt;&gt;"","SUB",""),"_","Ed","_","M4",".mpg")</f>
        <v>100PlacestoVisitinThisLifetime8Cryptomeria_CA_i5K_0125_169_ZhoZhoZhoSUB_Ed_M4.mpg</v>
      </c>
      <c r="R53" s="382" t="s">
        <v>132</v>
      </c>
      <c r="S53" s="384"/>
      <c r="T53" s="384"/>
      <c r="U53" s="384"/>
      <c r="V53" s="387" t="s">
        <v>132</v>
      </c>
      <c r="W53" s="384"/>
      <c r="X53" s="343" t="s">
        <v>131</v>
      </c>
      <c r="Y53" s="343" t="s">
        <v>131</v>
      </c>
      <c r="Z53" s="120">
        <f t="shared" si="9"/>
        <v>72</v>
      </c>
      <c r="AA53" s="305" t="str">
        <f t="shared" si="10"/>
        <v>01:12:00</v>
      </c>
      <c r="AB53" s="120">
        <f t="shared" si="11"/>
        <v>4320</v>
      </c>
      <c r="AC53" s="402">
        <v>0.0502083333333333</v>
      </c>
      <c r="AD53" s="401">
        <v>169</v>
      </c>
      <c r="AE53" s="401">
        <v>43</v>
      </c>
      <c r="AF53" s="343" t="s">
        <v>133</v>
      </c>
    </row>
    <row r="54" ht="24" customHeight="1" spans="1:32">
      <c r="A54" s="343">
        <v>50</v>
      </c>
      <c r="B54" s="279"/>
      <c r="C54" s="345" t="s">
        <v>122</v>
      </c>
      <c r="D54" s="350"/>
      <c r="E54" s="352"/>
      <c r="F54" s="81">
        <v>13</v>
      </c>
      <c r="G54" s="361" t="s">
        <v>539</v>
      </c>
      <c r="H54" s="361" t="s">
        <v>540</v>
      </c>
      <c r="I54" s="365" t="s">
        <v>126</v>
      </c>
      <c r="J54" s="365"/>
      <c r="K54" s="365"/>
      <c r="L54" s="365" t="s">
        <v>126</v>
      </c>
      <c r="M54" s="365"/>
      <c r="N54" s="371" t="s">
        <v>541</v>
      </c>
      <c r="O54" s="367"/>
      <c r="P54" s="370"/>
      <c r="Q54" s="386" t="str">
        <f>CONCATENATE(RemovePunctuation(H54),"_CA","_","i5K","_",C54,"_",AD54,"_",PROPER(R54),IF(S54="",PROPER(R54),PROPER(S54)),PROPER(T54),PROPER(U54),PROPER(V54),IF(V54&lt;&gt;"","SUB",""),PROPER(W54),IF(W54&lt;&gt;"","SUB",""),"_","Ed","_","M4",".mpg")</f>
        <v>100PlacestoVisitinThisLifetime7GongtongFlowers_CA_i5K_0125_169_ZhoZhoZhoSUB_Ed_M4.mpg</v>
      </c>
      <c r="R54" s="382" t="s">
        <v>132</v>
      </c>
      <c r="S54" s="384"/>
      <c r="T54" s="384"/>
      <c r="U54" s="384"/>
      <c r="V54" s="387" t="s">
        <v>132</v>
      </c>
      <c r="W54" s="384"/>
      <c r="X54" s="343" t="s">
        <v>131</v>
      </c>
      <c r="Y54" s="343" t="s">
        <v>131</v>
      </c>
      <c r="Z54" s="120">
        <f t="shared" si="9"/>
        <v>71</v>
      </c>
      <c r="AA54" s="305" t="str">
        <f t="shared" si="10"/>
        <v>01:11:00</v>
      </c>
      <c r="AB54" s="120">
        <f t="shared" si="11"/>
        <v>4260</v>
      </c>
      <c r="AC54" s="402">
        <v>0.0491203703703704</v>
      </c>
      <c r="AD54" s="401">
        <v>169</v>
      </c>
      <c r="AE54" s="401">
        <v>43</v>
      </c>
      <c r="AF54" s="343" t="s">
        <v>133</v>
      </c>
    </row>
    <row r="55" ht="24" customHeight="1" spans="1:32">
      <c r="A55" s="343">
        <v>51</v>
      </c>
      <c r="B55" s="279"/>
      <c r="C55" s="345" t="s">
        <v>122</v>
      </c>
      <c r="D55" s="350"/>
      <c r="E55" s="352"/>
      <c r="F55" s="81">
        <v>14</v>
      </c>
      <c r="G55" s="361" t="s">
        <v>542</v>
      </c>
      <c r="H55" s="361" t="s">
        <v>543</v>
      </c>
      <c r="I55" s="365" t="s">
        <v>126</v>
      </c>
      <c r="J55" s="365" t="s">
        <v>126</v>
      </c>
      <c r="K55" s="365" t="s">
        <v>126</v>
      </c>
      <c r="L55" s="365" t="s">
        <v>126</v>
      </c>
      <c r="M55" s="365" t="s">
        <v>126</v>
      </c>
      <c r="N55" s="371" t="s">
        <v>544</v>
      </c>
      <c r="O55" s="367" t="s">
        <v>544</v>
      </c>
      <c r="P55" s="370" t="str">
        <f>CONCATENATE(RemovePunctuation(H55),"_CA","_","i4K","_",C55,"_",AE55,"_",PROPER(R55),IF(S55="",PROPER(R55),PROPER(S55)),PROPER(T55),PROPER(U55),PROPER(V55),IF(V55&lt;&gt;"","SUB",""),PROPER(W55),IF(W55&lt;&gt;"","SUB",""),"_","Ed","_","M1",".mpg")</f>
        <v>MyGreekOdysseyS06E07_CA_i4K_0125_43_EngEngEngSUBZhoSUB_Ed_M1.mpg</v>
      </c>
      <c r="Q55" s="386" t="str">
        <f>CONCATENATE(RemovePunctuation(H55),"_CA","_","i5K","_",C55,"_",AD55,"_",PROPER(R55),IF(S55="",PROPER(R55),PROPER(S55)),PROPER(T55),PROPER(U55),PROPER(V55),IF(V55&lt;&gt;"","SUB",""),PROPER(W55),IF(W55&lt;&gt;"","SUB",""),"_","Ed","_","M4",".mpg")</f>
        <v>MyGreekOdysseyS06E07_CA_i5K_0125_169_EngEngEngSUBZhoSUB_Ed_M4.mpg</v>
      </c>
      <c r="R55" s="382" t="s">
        <v>138</v>
      </c>
      <c r="S55" s="383"/>
      <c r="T55" s="384"/>
      <c r="U55" s="384"/>
      <c r="V55" s="382" t="s">
        <v>138</v>
      </c>
      <c r="W55" s="387" t="s">
        <v>132</v>
      </c>
      <c r="X55" s="343" t="s">
        <v>131</v>
      </c>
      <c r="Y55" s="343" t="s">
        <v>131</v>
      </c>
      <c r="Z55" s="120">
        <f t="shared" si="9"/>
        <v>39</v>
      </c>
      <c r="AA55" s="305" t="str">
        <f t="shared" si="10"/>
        <v>00:39:00</v>
      </c>
      <c r="AB55" s="120">
        <f t="shared" si="11"/>
        <v>2340</v>
      </c>
      <c r="AC55" s="402">
        <v>0.0268865740740741</v>
      </c>
      <c r="AD55" s="401">
        <v>169</v>
      </c>
      <c r="AE55" s="401">
        <v>43</v>
      </c>
      <c r="AF55" s="343" t="s">
        <v>133</v>
      </c>
    </row>
    <row r="56" ht="24" customHeight="1" spans="1:32">
      <c r="A56" s="343">
        <v>52</v>
      </c>
      <c r="B56" s="279"/>
      <c r="C56" s="345" t="s">
        <v>122</v>
      </c>
      <c r="D56" s="352" t="s">
        <v>545</v>
      </c>
      <c r="E56" s="352"/>
      <c r="F56" s="81">
        <v>1</v>
      </c>
      <c r="G56" s="360" t="s">
        <v>546</v>
      </c>
      <c r="H56" s="361" t="s">
        <v>547</v>
      </c>
      <c r="I56" s="365" t="s">
        <v>126</v>
      </c>
      <c r="J56" s="365" t="s">
        <v>126</v>
      </c>
      <c r="K56" s="365" t="s">
        <v>126</v>
      </c>
      <c r="L56" s="365" t="s">
        <v>126</v>
      </c>
      <c r="M56" s="365" t="s">
        <v>126</v>
      </c>
      <c r="N56" s="371" t="s">
        <v>548</v>
      </c>
      <c r="O56" s="367" t="s">
        <v>548</v>
      </c>
      <c r="P56" s="370" t="str">
        <f>CONCATENATE(RemovePunctuation(H56),"_CA","_","i4K","_",C56,"_",AE56,"_",PROPER(R56),IF(S56="",PROPER(R56),PROPER(S56)),PROPER(T56),PROPER(U56),PROPER(V56),IF(V56&lt;&gt;"","SUB",""),PROPER(W56),IF(W56&lt;&gt;"","SUB",""),"_","Ed","_","M1",".mpg")</f>
        <v>TheGarfieldShowEp08_CA_i4K_0125_43_EngZhoZhoSUB_Ed_M1.mpg</v>
      </c>
      <c r="Q56" s="386" t="str">
        <f>CONCATENATE(RemovePunctuation(H56),"_CA","_","i5K","_",C56,"_",AD56,"_",PROPER(R56),IF(S56="",PROPER(R56),PROPER(S56)),PROPER(T56),PROPER(U56),PROPER(V56),IF(V56&lt;&gt;"","SUB",""),PROPER(W56),IF(W56&lt;&gt;"","SUB",""),"_","Ed","_","M4",".mpg")</f>
        <v>TheGarfieldShowEp08_CA_i5K_0125_169_EngZhoZhoSUB_Ed_M4.mpg</v>
      </c>
      <c r="R56" s="382" t="s">
        <v>138</v>
      </c>
      <c r="S56" s="387" t="s">
        <v>132</v>
      </c>
      <c r="T56" s="384"/>
      <c r="U56" s="384"/>
      <c r="V56" s="387" t="s">
        <v>132</v>
      </c>
      <c r="W56" s="384"/>
      <c r="X56" s="343" t="s">
        <v>131</v>
      </c>
      <c r="Y56" s="343" t="s">
        <v>131</v>
      </c>
      <c r="Z56" s="120">
        <f t="shared" si="9"/>
        <v>12</v>
      </c>
      <c r="AA56" s="305" t="str">
        <f t="shared" si="10"/>
        <v>00:12:00</v>
      </c>
      <c r="AB56" s="120">
        <f t="shared" si="11"/>
        <v>720</v>
      </c>
      <c r="AC56" s="402">
        <v>0.00851851851851852</v>
      </c>
      <c r="AD56" s="401">
        <v>169</v>
      </c>
      <c r="AE56" s="401">
        <v>43</v>
      </c>
      <c r="AF56" s="343" t="s">
        <v>133</v>
      </c>
    </row>
    <row r="57" ht="24" customHeight="1" spans="1:32">
      <c r="A57" s="343">
        <v>53</v>
      </c>
      <c r="B57" s="279"/>
      <c r="C57" s="345" t="s">
        <v>122</v>
      </c>
      <c r="D57" s="352"/>
      <c r="E57" s="352"/>
      <c r="F57" s="81">
        <v>2</v>
      </c>
      <c r="G57" s="360" t="s">
        <v>549</v>
      </c>
      <c r="H57" s="361" t="s">
        <v>550</v>
      </c>
      <c r="I57" s="365" t="s">
        <v>126</v>
      </c>
      <c r="J57" s="365" t="s">
        <v>126</v>
      </c>
      <c r="K57" s="365" t="s">
        <v>126</v>
      </c>
      <c r="L57" s="365" t="s">
        <v>126</v>
      </c>
      <c r="M57" s="365" t="s">
        <v>126</v>
      </c>
      <c r="N57" s="371" t="s">
        <v>551</v>
      </c>
      <c r="O57" s="367" t="s">
        <v>551</v>
      </c>
      <c r="P57" s="370" t="str">
        <f>CONCATENATE(RemovePunctuation(H57),"_CA","_","i4K","_",C57,"_",AE57,"_",PROPER(R57),IF(S57="",PROPER(R57),PROPER(S57)),PROPER(T57),PROPER(U57),PROPER(V57),IF(V57&lt;&gt;"","SUB",""),PROPER(W57),IF(W57&lt;&gt;"","SUB",""),"_","Ed","_","M1",".mpg")</f>
        <v>TheGarfieldShowEp07_CA_i4K_0125_43_EngZhoZhoSUB_Ed_M1.mpg</v>
      </c>
      <c r="Q57" s="386" t="str">
        <f>CONCATENATE(RemovePunctuation(H57),"_CA","_","i5K","_",C57,"_",AD57,"_",PROPER(R57),IF(S57="",PROPER(R57),PROPER(S57)),PROPER(T57),PROPER(U57),PROPER(V57),IF(V57&lt;&gt;"","SUB",""),PROPER(W57),IF(W57&lt;&gt;"","SUB",""),"_","Ed","_","M4",".mpg")</f>
        <v>TheGarfieldShowEp07_CA_i5K_0125_169_EngZhoZhoSUB_Ed_M4.mpg</v>
      </c>
      <c r="R57" s="382" t="s">
        <v>138</v>
      </c>
      <c r="S57" s="387" t="s">
        <v>132</v>
      </c>
      <c r="T57" s="384"/>
      <c r="U57" s="384"/>
      <c r="V57" s="387" t="s">
        <v>132</v>
      </c>
      <c r="W57" s="384"/>
      <c r="X57" s="343" t="s">
        <v>131</v>
      </c>
      <c r="Y57" s="343" t="s">
        <v>131</v>
      </c>
      <c r="Z57" s="120">
        <f t="shared" si="9"/>
        <v>12</v>
      </c>
      <c r="AA57" s="305" t="str">
        <f t="shared" si="10"/>
        <v>00:12:00</v>
      </c>
      <c r="AB57" s="120">
        <f t="shared" si="11"/>
        <v>720</v>
      </c>
      <c r="AC57" s="402">
        <v>0.0084375</v>
      </c>
      <c r="AD57" s="401">
        <v>169</v>
      </c>
      <c r="AE57" s="401">
        <v>43</v>
      </c>
      <c r="AF57" s="343" t="s">
        <v>133</v>
      </c>
    </row>
    <row r="58" ht="24" customHeight="1" spans="1:32">
      <c r="A58" s="343">
        <v>54</v>
      </c>
      <c r="B58" s="279"/>
      <c r="C58" s="345" t="s">
        <v>122</v>
      </c>
      <c r="D58" s="352"/>
      <c r="E58" s="352"/>
      <c r="F58" s="81">
        <v>3</v>
      </c>
      <c r="G58" s="360" t="s">
        <v>552</v>
      </c>
      <c r="H58" s="361" t="s">
        <v>553</v>
      </c>
      <c r="I58" s="365" t="s">
        <v>126</v>
      </c>
      <c r="J58" s="365" t="s">
        <v>126</v>
      </c>
      <c r="K58" s="365" t="s">
        <v>126</v>
      </c>
      <c r="L58" s="365" t="s">
        <v>126</v>
      </c>
      <c r="M58" s="365" t="s">
        <v>126</v>
      </c>
      <c r="N58" s="371" t="s">
        <v>554</v>
      </c>
      <c r="O58" s="367" t="s">
        <v>554</v>
      </c>
      <c r="P58" s="370" t="str">
        <f>CONCATENATE(RemovePunctuation(H58),"_CA","_","i4K","_",C58,"_",AE58,"_",PROPER(R58),IF(S58="",PROPER(R58),PROPER(S58)),PROPER(T58),PROPER(U58),PROPER(V58),IF(V58&lt;&gt;"","SUB",""),PROPER(W58),IF(W58&lt;&gt;"","SUB",""),"_","Ed","_","M1",".mpg")</f>
        <v>IfHistoryIsaGroupofCatsS01E04YutheGreatFoundingtheXiaDynasty_CA_i4K_0125_43_ZhoZhoEngSUBZhoSUB_Ed_M1.mpg</v>
      </c>
      <c r="Q58" s="386" t="str">
        <f>CONCATENATE(RemovePunctuation(H58),"_CA","_","i5K","_",C58,"_",AD58,"_",PROPER(R58),IF(S58="",PROPER(R58),PROPER(S58)),PROPER(T58),PROPER(U58),PROPER(V58),IF(V58&lt;&gt;"","SUB",""),PROPER(W58),IF(W58&lt;&gt;"","SUB",""),"_","Ed","_","M4",".mpg")</f>
        <v>IfHistoryIsaGroupofCatsS01E04YutheGreatFoundingtheXiaDynasty_CA_i5K_0125_169_ZhoZhoEngSUBZhoSUB_Ed_M4.mpg</v>
      </c>
      <c r="R58" s="387" t="s">
        <v>132</v>
      </c>
      <c r="S58" s="387"/>
      <c r="T58" s="384"/>
      <c r="U58" s="384"/>
      <c r="V58" s="382" t="s">
        <v>138</v>
      </c>
      <c r="W58" s="387" t="s">
        <v>132</v>
      </c>
      <c r="X58" s="343" t="s">
        <v>131</v>
      </c>
      <c r="Y58" s="343" t="s">
        <v>131</v>
      </c>
      <c r="Z58" s="120">
        <f t="shared" si="9"/>
        <v>5</v>
      </c>
      <c r="AA58" s="305" t="str">
        <f t="shared" si="10"/>
        <v>00:05:00</v>
      </c>
      <c r="AB58" s="120">
        <f t="shared" si="11"/>
        <v>300</v>
      </c>
      <c r="AC58" s="402">
        <v>0.00319444444444444</v>
      </c>
      <c r="AD58" s="401">
        <v>169</v>
      </c>
      <c r="AE58" s="401">
        <v>43</v>
      </c>
      <c r="AF58" s="343" t="s">
        <v>321</v>
      </c>
    </row>
    <row r="59" ht="24" customHeight="1" spans="1:32">
      <c r="A59" s="343">
        <v>55</v>
      </c>
      <c r="B59" s="279"/>
      <c r="C59" s="345" t="s">
        <v>122</v>
      </c>
      <c r="D59" s="352"/>
      <c r="E59" s="352"/>
      <c r="F59" s="81">
        <v>4</v>
      </c>
      <c r="G59" s="360" t="s">
        <v>555</v>
      </c>
      <c r="H59" s="361" t="s">
        <v>556</v>
      </c>
      <c r="I59" s="365" t="s">
        <v>126</v>
      </c>
      <c r="J59" s="365" t="s">
        <v>126</v>
      </c>
      <c r="K59" s="365" t="s">
        <v>126</v>
      </c>
      <c r="L59" s="365" t="s">
        <v>126</v>
      </c>
      <c r="M59" s="365" t="s">
        <v>126</v>
      </c>
      <c r="N59" s="371" t="s">
        <v>557</v>
      </c>
      <c r="O59" s="367" t="s">
        <v>557</v>
      </c>
      <c r="P59" s="370" t="str">
        <f>CONCATENATE(RemovePunctuation(H59),"_CA","_","i4K","_",C59,"_",AE59,"_",PROPER(R59),IF(S59="",PROPER(R59),PROPER(S59)),PROPER(T59),PROPER(U59),PROPER(V59),IF(V59&lt;&gt;"","SUB",""),PROPER(W59),IF(W59&lt;&gt;"","SUB",""),"_","Ed","_","M1",".mpg")</f>
        <v>IfHistoryIsaGroupofCatsS01E03ThreeSovereignsandFiveEmperors_CA_i4K_0125_43_ZhoZhoEngSUBZhoSUB_Ed_M1.mpg</v>
      </c>
      <c r="Q59" s="386" t="str">
        <f>CONCATENATE(RemovePunctuation(H59),"_CA","_","i5K","_",C59,"_",AD59,"_",PROPER(R59),IF(S59="",PROPER(R59),PROPER(S59)),PROPER(T59),PROPER(U59),PROPER(V59),IF(V59&lt;&gt;"","SUB",""),PROPER(W59),IF(W59&lt;&gt;"","SUB",""),"_","Ed","_","M4",".mpg")</f>
        <v>IfHistoryIsaGroupofCatsS01E03ThreeSovereignsandFiveEmperors_CA_i5K_0125_169_ZhoZhoEngSUBZhoSUB_Ed_M4.mpg</v>
      </c>
      <c r="R59" s="387" t="s">
        <v>132</v>
      </c>
      <c r="S59" s="387"/>
      <c r="T59" s="384"/>
      <c r="U59" s="384"/>
      <c r="V59" s="382" t="s">
        <v>138</v>
      </c>
      <c r="W59" s="387" t="s">
        <v>132</v>
      </c>
      <c r="X59" s="343" t="s">
        <v>131</v>
      </c>
      <c r="Y59" s="343" t="s">
        <v>131</v>
      </c>
      <c r="Z59" s="120">
        <f t="shared" si="9"/>
        <v>5</v>
      </c>
      <c r="AA59" s="305" t="str">
        <f t="shared" si="10"/>
        <v>00:05:00</v>
      </c>
      <c r="AB59" s="120">
        <f t="shared" si="11"/>
        <v>300</v>
      </c>
      <c r="AC59" s="402">
        <v>0.0033912037037037</v>
      </c>
      <c r="AD59" s="401">
        <v>169</v>
      </c>
      <c r="AE59" s="401">
        <v>43</v>
      </c>
      <c r="AF59" s="343" t="s">
        <v>321</v>
      </c>
    </row>
    <row r="60" ht="24" customHeight="1" spans="1:32">
      <c r="A60" s="343">
        <v>56</v>
      </c>
      <c r="B60" s="279"/>
      <c r="C60" s="345" t="s">
        <v>122</v>
      </c>
      <c r="D60" s="352"/>
      <c r="E60" s="352"/>
      <c r="F60" s="81">
        <v>5</v>
      </c>
      <c r="G60" s="360" t="s">
        <v>558</v>
      </c>
      <c r="H60" s="361" t="s">
        <v>559</v>
      </c>
      <c r="I60" s="365" t="s">
        <v>126</v>
      </c>
      <c r="J60" s="365" t="s">
        <v>126</v>
      </c>
      <c r="K60" s="365" t="s">
        <v>126</v>
      </c>
      <c r="L60" s="365" t="s">
        <v>126</v>
      </c>
      <c r="M60" s="365" t="s">
        <v>126</v>
      </c>
      <c r="N60" s="371" t="s">
        <v>560</v>
      </c>
      <c r="O60" s="367" t="s">
        <v>560</v>
      </c>
      <c r="P60" s="370" t="str">
        <f>CONCATENATE(RemovePunctuation(H60),"_CA","_","i4K","_",C60,"_",AE60,"_",PROPER(R60),IF(S60="",PROPER(R60),PROPER(S60)),PROPER(T60),PROPER(U60),PROPER(V60),IF(V60&lt;&gt;"","SUB",""),PROPER(W60),IF(W60&lt;&gt;"","SUB",""),"_","Ed","_","M1",".mpg")</f>
        <v>JingJuCatsS02E15_CA_i4K_0125_43_ZhoZhoZhoSUB_Ed_M1.mpg</v>
      </c>
      <c r="Q60" s="386" t="str">
        <f>CONCATENATE(RemovePunctuation(H60),"_CA","_","i5K","_",C60,"_",AD60,"_",PROPER(R60),IF(S60="",PROPER(R60),PROPER(S60)),PROPER(T60),PROPER(U60),PROPER(V60),IF(V60&lt;&gt;"","SUB",""),PROPER(W60),IF(W60&lt;&gt;"","SUB",""),"_","Ed","_","M4",".mpg")</f>
        <v>JingJuCatsS02E15_CA_i5K_0125_169_ZhoZhoZhoSUB_Ed_M4.mpg</v>
      </c>
      <c r="R60" s="387" t="s">
        <v>132</v>
      </c>
      <c r="S60" s="387"/>
      <c r="T60" s="384"/>
      <c r="U60" s="384"/>
      <c r="V60" s="387" t="s">
        <v>132</v>
      </c>
      <c r="W60" s="384"/>
      <c r="X60" s="343" t="s">
        <v>131</v>
      </c>
      <c r="Y60" s="343" t="s">
        <v>131</v>
      </c>
      <c r="Z60" s="120">
        <f t="shared" si="9"/>
        <v>13</v>
      </c>
      <c r="AA60" s="305" t="str">
        <f t="shared" si="10"/>
        <v>00:13:00</v>
      </c>
      <c r="AB60" s="120">
        <f t="shared" si="11"/>
        <v>780</v>
      </c>
      <c r="AC60" s="402">
        <v>0.00918981481481482</v>
      </c>
      <c r="AD60" s="401">
        <v>169</v>
      </c>
      <c r="AE60" s="401">
        <v>43</v>
      </c>
      <c r="AF60" s="343" t="s">
        <v>321</v>
      </c>
    </row>
    <row r="61" ht="24" customHeight="1" spans="1:32">
      <c r="A61" s="343">
        <v>57</v>
      </c>
      <c r="B61" s="279"/>
      <c r="C61" s="345" t="s">
        <v>122</v>
      </c>
      <c r="D61" s="352"/>
      <c r="E61" s="352"/>
      <c r="F61" s="81">
        <v>6</v>
      </c>
      <c r="G61" s="360" t="s">
        <v>561</v>
      </c>
      <c r="H61" s="361" t="s">
        <v>562</v>
      </c>
      <c r="I61" s="365"/>
      <c r="J61" s="365"/>
      <c r="K61" s="369" t="s">
        <v>126</v>
      </c>
      <c r="L61" s="365"/>
      <c r="M61" s="365"/>
      <c r="N61" s="371"/>
      <c r="O61" s="372" t="s">
        <v>563</v>
      </c>
      <c r="P61" s="370"/>
      <c r="Q61" s="386"/>
      <c r="R61" s="387" t="s">
        <v>132</v>
      </c>
      <c r="S61" s="387"/>
      <c r="T61" s="384"/>
      <c r="U61" s="384"/>
      <c r="V61" s="387" t="s">
        <v>132</v>
      </c>
      <c r="W61" s="384"/>
      <c r="X61" s="343" t="s">
        <v>131</v>
      </c>
      <c r="Y61" s="343" t="s">
        <v>131</v>
      </c>
      <c r="Z61" s="120">
        <f t="shared" si="9"/>
        <v>13</v>
      </c>
      <c r="AA61" s="305" t="str">
        <f t="shared" si="10"/>
        <v>00:13:00</v>
      </c>
      <c r="AB61" s="120">
        <f t="shared" si="11"/>
        <v>780</v>
      </c>
      <c r="AC61" s="402">
        <v>0.00892361111111111</v>
      </c>
      <c r="AD61" s="401">
        <v>169</v>
      </c>
      <c r="AE61" s="401">
        <v>43</v>
      </c>
      <c r="AF61" s="343"/>
    </row>
    <row r="62" ht="24" customHeight="1" spans="1:32">
      <c r="A62" s="343">
        <v>58</v>
      </c>
      <c r="B62" s="279"/>
      <c r="C62" s="345" t="s">
        <v>122</v>
      </c>
      <c r="D62" s="352"/>
      <c r="E62" s="352"/>
      <c r="F62" s="81">
        <v>7</v>
      </c>
      <c r="G62" s="360" t="s">
        <v>564</v>
      </c>
      <c r="H62" s="361" t="s">
        <v>565</v>
      </c>
      <c r="I62" s="365" t="s">
        <v>126</v>
      </c>
      <c r="J62" s="365" t="s">
        <v>126</v>
      </c>
      <c r="K62" s="365" t="s">
        <v>126</v>
      </c>
      <c r="L62" s="365" t="s">
        <v>126</v>
      </c>
      <c r="M62" s="365" t="s">
        <v>126</v>
      </c>
      <c r="N62" s="371" t="s">
        <v>566</v>
      </c>
      <c r="O62" s="367" t="s">
        <v>566</v>
      </c>
      <c r="P62" s="370" t="str">
        <f>CONCATENATE(RemovePunctuation(H62),"_CA","_","i4K","_",C62,"_",AE62,"_",PROPER(R62),IF(S62="",PROPER(R62),PROPER(S62)),PROPER(T62),PROPER(U62),PROPER(V62),IF(V62&lt;&gt;"","SUB",""),PROPER(W62),IF(W62&lt;&gt;"","SUB",""),"_","Ed","_","M1",".mpg")</f>
        <v>BoonieBearsProjectMonster256_CA_i4K_0125_43_ZhoZho_Ed_M1.mpg</v>
      </c>
      <c r="Q62" s="386" t="str">
        <f>CONCATENATE(RemovePunctuation(H62),"_CA","_","i5K","_",C62,"_",AD62,"_",PROPER(R62),IF(S62="",PROPER(R62),PROPER(S62)),PROPER(T62),PROPER(U62),PROPER(V62),IF(V62&lt;&gt;"","SUB",""),PROPER(W62),IF(W62&lt;&gt;"","SUB",""),"_","Ed","_","M4",".mpg")</f>
        <v>BoonieBearsProjectMonster256_CA_i5K_0125_169_ZhoZho_Ed_M4.mpg</v>
      </c>
      <c r="R62" s="387" t="s">
        <v>132</v>
      </c>
      <c r="S62" s="387"/>
      <c r="T62" s="384"/>
      <c r="U62" s="384"/>
      <c r="V62" s="387"/>
      <c r="W62" s="384"/>
      <c r="X62" s="343" t="s">
        <v>131</v>
      </c>
      <c r="Y62" s="343" t="s">
        <v>131</v>
      </c>
      <c r="Z62" s="120">
        <f t="shared" ref="Z62:Z73" si="12">ROUNDUP(HOUR(AA62)*60+MINUTE(AA62)+SECOND(AA62)/60,0)</f>
        <v>20</v>
      </c>
      <c r="AA62" s="305" t="str">
        <f t="shared" ref="AA62:AA73" si="13">TEXT((HOUR(AC62)*60+MINUTE(AC62)+IF(SECOND(AC62)&lt;=29,0,1))*60/86400,"hh:mm:ss")</f>
        <v>00:20:00</v>
      </c>
      <c r="AB62" s="120">
        <f t="shared" ref="AB62:AB73" si="14">Z62*60</f>
        <v>1200</v>
      </c>
      <c r="AC62" s="402">
        <v>0.0139467592592593</v>
      </c>
      <c r="AD62" s="401">
        <v>169</v>
      </c>
      <c r="AE62" s="401">
        <v>43</v>
      </c>
      <c r="AF62" s="343"/>
    </row>
    <row r="63" ht="24" customHeight="1" spans="1:32">
      <c r="A63" s="343">
        <v>59</v>
      </c>
      <c r="B63" s="279"/>
      <c r="C63" s="345" t="s">
        <v>122</v>
      </c>
      <c r="D63" s="352"/>
      <c r="E63" s="352"/>
      <c r="F63" s="81">
        <v>8</v>
      </c>
      <c r="G63" s="360" t="s">
        <v>567</v>
      </c>
      <c r="H63" s="361" t="s">
        <v>568</v>
      </c>
      <c r="I63" s="365" t="s">
        <v>126</v>
      </c>
      <c r="J63" s="365" t="s">
        <v>126</v>
      </c>
      <c r="K63" s="365" t="s">
        <v>126</v>
      </c>
      <c r="L63" s="365" t="s">
        <v>126</v>
      </c>
      <c r="M63" s="365" t="s">
        <v>126</v>
      </c>
      <c r="N63" s="371" t="s">
        <v>569</v>
      </c>
      <c r="O63" s="367" t="s">
        <v>569</v>
      </c>
      <c r="P63" s="370" t="str">
        <f>CONCATENATE(RemovePunctuation(H63),"_CA","_","i4K","_",C63,"_",AE63,"_",PROPER(R63),IF(S63="",PROPER(R63),PROPER(S63)),PROPER(T63),PROPER(U63),PROPER(V63),IF(V63&lt;&gt;"","SUB",""),PROPER(W63),IF(W63&lt;&gt;"","SUB",""),"_","Ed","_","M1",".mpg")</f>
        <v>LegendsofMountainsandSeas7_CA_i4K_0125_43_ZhoZhoZhoSUB_Ed_M1.mpg</v>
      </c>
      <c r="Q63" s="386" t="str">
        <f>CONCATENATE(RemovePunctuation(H63),"_CA","_","i5K","_",C63,"_",AD63,"_",PROPER(R63),IF(S63="",PROPER(R63),PROPER(S63)),PROPER(T63),PROPER(U63),PROPER(V63),IF(V63&lt;&gt;"","SUB",""),PROPER(W63),IF(W63&lt;&gt;"","SUB",""),"_","Ed","_","M4",".mpg")</f>
        <v>LegendsofMountainsandSeas7_CA_i5K_0125_169_ZhoZhoZhoSUB_Ed_M4.mpg</v>
      </c>
      <c r="R63" s="387" t="s">
        <v>132</v>
      </c>
      <c r="S63" s="387"/>
      <c r="T63" s="384"/>
      <c r="U63" s="384"/>
      <c r="V63" s="387" t="s">
        <v>132</v>
      </c>
      <c r="W63" s="384"/>
      <c r="X63" s="343" t="s">
        <v>131</v>
      </c>
      <c r="Y63" s="343" t="s">
        <v>131</v>
      </c>
      <c r="Z63" s="120">
        <f t="shared" si="12"/>
        <v>10</v>
      </c>
      <c r="AA63" s="305" t="str">
        <f t="shared" si="13"/>
        <v>00:10:00</v>
      </c>
      <c r="AB63" s="120">
        <f t="shared" si="14"/>
        <v>600</v>
      </c>
      <c r="AC63" s="402">
        <v>0.00712962962962963</v>
      </c>
      <c r="AD63" s="401">
        <v>169</v>
      </c>
      <c r="AE63" s="401">
        <v>43</v>
      </c>
      <c r="AF63" s="343"/>
    </row>
    <row r="64" ht="24" customHeight="1" spans="1:32">
      <c r="A64" s="343">
        <v>60</v>
      </c>
      <c r="B64" s="279"/>
      <c r="C64" s="345" t="s">
        <v>122</v>
      </c>
      <c r="D64" s="352"/>
      <c r="E64" s="352"/>
      <c r="F64" s="81">
        <v>9</v>
      </c>
      <c r="G64" s="360" t="s">
        <v>570</v>
      </c>
      <c r="H64" s="361" t="s">
        <v>571</v>
      </c>
      <c r="I64" s="365" t="s">
        <v>126</v>
      </c>
      <c r="J64" s="365" t="s">
        <v>126</v>
      </c>
      <c r="K64" s="365" t="s">
        <v>126</v>
      </c>
      <c r="L64" s="365" t="s">
        <v>126</v>
      </c>
      <c r="M64" s="365" t="s">
        <v>126</v>
      </c>
      <c r="N64" s="371" t="s">
        <v>572</v>
      </c>
      <c r="O64" s="367" t="s">
        <v>572</v>
      </c>
      <c r="P64" s="370" t="str">
        <f>CONCATENATE(RemovePunctuation(H64),"_CA","_","i4K","_",C64,"_",AE64,"_",PROPER(R64),IF(S64="",PROPER(R64),PROPER(S64)),PROPER(T64),PROPER(U64),PROPER(V64),IF(V64&lt;&gt;"","SUB",""),PROPER(W64),IF(W64&lt;&gt;"","SUB",""),"_","Ed","_","M1",".mpg")</f>
        <v>TianzhenandKungFuSocks4344_CA_i4K_0125_43_ZhoZho_Ed_M1.mpg</v>
      </c>
      <c r="Q64" s="386" t="str">
        <f>CONCATENATE(RemovePunctuation(H64),"_CA","_","i5K","_",C64,"_",AD64,"_",PROPER(R64),IF(S64="",PROPER(R64),PROPER(S64)),PROPER(T64),PROPER(U64),PROPER(V64),IF(V64&lt;&gt;"","SUB",""),PROPER(W64),IF(W64&lt;&gt;"","SUB",""),"_","Ed","_","M4",".mpg")</f>
        <v>TianzhenandKungFuSocks4344_CA_i5K_0125_169_ZhoZho_Ed_M4.mpg</v>
      </c>
      <c r="R64" s="387" t="s">
        <v>132</v>
      </c>
      <c r="S64" s="383"/>
      <c r="T64" s="384"/>
      <c r="U64" s="384"/>
      <c r="V64" s="387"/>
      <c r="W64" s="384"/>
      <c r="X64" s="343" t="s">
        <v>131</v>
      </c>
      <c r="Y64" s="343" t="s">
        <v>131</v>
      </c>
      <c r="Z64" s="120">
        <f t="shared" si="12"/>
        <v>19</v>
      </c>
      <c r="AA64" s="305" t="str">
        <f t="shared" si="13"/>
        <v>00:19:00</v>
      </c>
      <c r="AB64" s="120">
        <f t="shared" si="14"/>
        <v>1140</v>
      </c>
      <c r="AC64" s="402">
        <v>0.0134953703703704</v>
      </c>
      <c r="AD64" s="401">
        <v>169</v>
      </c>
      <c r="AE64" s="401">
        <v>43</v>
      </c>
      <c r="AF64" s="343"/>
    </row>
    <row r="65" ht="24" customHeight="1" spans="1:32">
      <c r="A65" s="343">
        <v>61</v>
      </c>
      <c r="B65" s="279"/>
      <c r="C65" s="345" t="s">
        <v>122</v>
      </c>
      <c r="D65" s="352"/>
      <c r="E65" s="352"/>
      <c r="F65" s="81">
        <v>10</v>
      </c>
      <c r="G65" s="360" t="s">
        <v>573</v>
      </c>
      <c r="H65" s="361" t="s">
        <v>574</v>
      </c>
      <c r="I65" s="365" t="s">
        <v>126</v>
      </c>
      <c r="J65" s="365" t="s">
        <v>126</v>
      </c>
      <c r="K65" s="365" t="s">
        <v>126</v>
      </c>
      <c r="L65" s="365" t="s">
        <v>126</v>
      </c>
      <c r="M65" s="365" t="s">
        <v>126</v>
      </c>
      <c r="N65" s="371" t="s">
        <v>575</v>
      </c>
      <c r="O65" s="367" t="s">
        <v>575</v>
      </c>
      <c r="P65" s="370" t="str">
        <f>CONCATENATE(RemovePunctuation(H65),"_CA","_","i4K","_",C65,"_",AE65,"_",PROPER(R65),IF(S65="",PROPER(R65),PROPER(S65)),PROPER(T65),PROPER(U65),PROPER(V65),IF(V65&lt;&gt;"","SUB",""),PROPER(W65),IF(W65&lt;&gt;"","SUB",""),"_","Ed","_","M1",".mpg")</f>
        <v>ChickyRainbowSeason71920_CA_i4K_0125_43_ZhoZho_Ed_M1.mpg</v>
      </c>
      <c r="Q65" s="386" t="str">
        <f>CONCATENATE(RemovePunctuation(H65),"_CA","_","i5K","_",C65,"_",AD65,"_",PROPER(R65),IF(S65="",PROPER(R65),PROPER(S65)),PROPER(T65),PROPER(U65),PROPER(V65),IF(V65&lt;&gt;"","SUB",""),PROPER(W65),IF(W65&lt;&gt;"","SUB",""),"_","Ed","_","M4",".mpg")</f>
        <v>ChickyRainbowSeason71920_CA_i5K_0125_169_ZhoZho_Ed_M4.mpg</v>
      </c>
      <c r="R65" s="387" t="s">
        <v>132</v>
      </c>
      <c r="S65" s="383"/>
      <c r="T65" s="384"/>
      <c r="U65" s="384"/>
      <c r="V65" s="384"/>
      <c r="W65" s="384"/>
      <c r="X65" s="343" t="s">
        <v>131</v>
      </c>
      <c r="Y65" s="343" t="s">
        <v>131</v>
      </c>
      <c r="Z65" s="120">
        <f t="shared" si="12"/>
        <v>15</v>
      </c>
      <c r="AA65" s="305" t="str">
        <f t="shared" si="13"/>
        <v>00:15:00</v>
      </c>
      <c r="AB65" s="120">
        <f t="shared" si="14"/>
        <v>900</v>
      </c>
      <c r="AC65" s="402">
        <v>0.0101388888888889</v>
      </c>
      <c r="AD65" s="401">
        <v>169</v>
      </c>
      <c r="AE65" s="401">
        <v>43</v>
      </c>
      <c r="AF65" s="343"/>
    </row>
    <row r="66" ht="24" customHeight="1" spans="1:32">
      <c r="A66" s="343">
        <v>62</v>
      </c>
      <c r="B66" s="279"/>
      <c r="C66" s="345" t="s">
        <v>122</v>
      </c>
      <c r="D66" s="352"/>
      <c r="E66" s="352"/>
      <c r="F66" s="81">
        <v>11</v>
      </c>
      <c r="G66" s="360" t="s">
        <v>576</v>
      </c>
      <c r="H66" s="361" t="s">
        <v>577</v>
      </c>
      <c r="I66" s="365" t="s">
        <v>126</v>
      </c>
      <c r="J66" s="365" t="s">
        <v>126</v>
      </c>
      <c r="K66" s="365" t="s">
        <v>126</v>
      </c>
      <c r="L66" s="365" t="s">
        <v>126</v>
      </c>
      <c r="M66" s="365" t="s">
        <v>126</v>
      </c>
      <c r="N66" s="371" t="s">
        <v>578</v>
      </c>
      <c r="O66" s="367" t="s">
        <v>578</v>
      </c>
      <c r="P66" s="370" t="str">
        <f>CONCATENATE(RemovePunctuation(H66),"_CA","_","i4K","_",C66,"_",AE66,"_",PROPER(R66),IF(S66="",PROPER(R66),PROPER(S66)),PROPER(T66),PROPER(U66),PROPER(V66),IF(V66&lt;&gt;"","SUB",""),PROPER(W66),IF(W66&lt;&gt;"","SUB",""),"_","Ed","_","M1",".mpg")</f>
        <v>VersatileSchoolBusSeason111718_CA_i4K_0125_43_ZhoZho_Ed_M1.mpg</v>
      </c>
      <c r="Q66" s="386" t="str">
        <f>CONCATENATE(RemovePunctuation(H66),"_CA","_","i5K","_",C66,"_",AD66,"_",PROPER(R66),IF(S66="",PROPER(R66),PROPER(S66)),PROPER(T66),PROPER(U66),PROPER(V66),IF(V66&lt;&gt;"","SUB",""),PROPER(W66),IF(W66&lt;&gt;"","SUB",""),"_","Ed","_","M4",".mpg")</f>
        <v>VersatileSchoolBusSeason111718_CA_i5K_0125_169_ZhoZho_Ed_M4.mpg</v>
      </c>
      <c r="R66" s="387" t="s">
        <v>132</v>
      </c>
      <c r="S66" s="383"/>
      <c r="T66" s="384"/>
      <c r="U66" s="384"/>
      <c r="V66" s="387"/>
      <c r="W66" s="384"/>
      <c r="X66" s="343" t="s">
        <v>131</v>
      </c>
      <c r="Y66" s="343" t="s">
        <v>131</v>
      </c>
      <c r="Z66" s="120">
        <f t="shared" ref="Z66:Z97" si="15">ROUNDUP(HOUR(AA66)*60+MINUTE(AA66)+SECOND(AA66)/60,0)</f>
        <v>21</v>
      </c>
      <c r="AA66" s="305" t="str">
        <f t="shared" ref="AA66:AA97" si="16">TEXT((HOUR(AC66)*60+MINUTE(AC66)+IF(SECOND(AC66)&lt;=29,0,1))*60/86400,"hh:mm:ss")</f>
        <v>00:21:00</v>
      </c>
      <c r="AB66" s="120">
        <f t="shared" ref="AB66:AB97" si="17">Z66*60</f>
        <v>1260</v>
      </c>
      <c r="AC66" s="402">
        <v>0.0145601851851852</v>
      </c>
      <c r="AD66" s="401">
        <v>169</v>
      </c>
      <c r="AE66" s="401">
        <v>43</v>
      </c>
      <c r="AF66" s="343"/>
    </row>
    <row r="67" ht="24" customHeight="1" spans="1:32">
      <c r="A67" s="343">
        <v>63</v>
      </c>
      <c r="B67" s="279"/>
      <c r="C67" s="345" t="s">
        <v>122</v>
      </c>
      <c r="D67" s="350" t="s">
        <v>579</v>
      </c>
      <c r="E67" s="350"/>
      <c r="F67" s="81">
        <v>1</v>
      </c>
      <c r="G67" s="360" t="s">
        <v>580</v>
      </c>
      <c r="H67" s="361" t="s">
        <v>581</v>
      </c>
      <c r="I67" s="365" t="s">
        <v>126</v>
      </c>
      <c r="J67" s="365" t="s">
        <v>126</v>
      </c>
      <c r="K67" s="365" t="s">
        <v>126</v>
      </c>
      <c r="L67" s="365" t="s">
        <v>126</v>
      </c>
      <c r="M67" s="365" t="s">
        <v>126</v>
      </c>
      <c r="N67" s="371" t="s">
        <v>582</v>
      </c>
      <c r="O67" s="367" t="s">
        <v>582</v>
      </c>
      <c r="P67" s="370" t="str">
        <f>CONCATENATE(RemovePunctuation(H67),"_CA","_","i4K","_",C67,"_",AE67,"_",PROPER(R67),IF(S67="",PROPER(R67),PROPER(S67)),PROPER(T67),PROPER(U67),PROPER(V67),IF(V67&lt;&gt;"","SUB",""),PROPER(W67),IF(W67&lt;&gt;"","SUB",""),"_","Ed","_","M1",".mpg")</f>
        <v>YouthofaStrongNationS03E03EquestrianLadiesonHorseback_CA_i4K_0125_43_ZhoZhoZhoSUB_Ed_M1.mpg</v>
      </c>
      <c r="Q67" s="386" t="str">
        <f>CONCATENATE(RemovePunctuation(H67),"_CA","_","i5K","_",C67,"_",AD67,"_",PROPER(R67),IF(S67="",PROPER(R67),PROPER(S67)),PROPER(T67),PROPER(U67),PROPER(V67),IF(V67&lt;&gt;"","SUB",""),PROPER(W67),IF(W67&lt;&gt;"","SUB",""),"_","Ed","_","M4",".mpg")</f>
        <v>YouthofaStrongNationS03E03EquestrianLadiesonHorseback_CA_i5K_0125_169_ZhoZhoZhoSUB_Ed_M4.mpg</v>
      </c>
      <c r="R67" s="387" t="s">
        <v>132</v>
      </c>
      <c r="S67" s="383"/>
      <c r="T67" s="384"/>
      <c r="U67" s="384"/>
      <c r="V67" s="387" t="s">
        <v>132</v>
      </c>
      <c r="W67" s="384"/>
      <c r="X67" s="343" t="s">
        <v>131</v>
      </c>
      <c r="Y67" s="343" t="s">
        <v>131</v>
      </c>
      <c r="Z67" s="120">
        <f t="shared" si="15"/>
        <v>15</v>
      </c>
      <c r="AA67" s="305" t="str">
        <f t="shared" si="16"/>
        <v>00:15:00</v>
      </c>
      <c r="AB67" s="120">
        <f t="shared" si="17"/>
        <v>900</v>
      </c>
      <c r="AC67" s="402">
        <v>0.0101041666666667</v>
      </c>
      <c r="AD67" s="401">
        <v>169</v>
      </c>
      <c r="AE67" s="401">
        <v>43</v>
      </c>
      <c r="AF67" s="343" t="s">
        <v>133</v>
      </c>
    </row>
    <row r="68" ht="24" customHeight="1" spans="1:32">
      <c r="A68" s="343">
        <v>64</v>
      </c>
      <c r="B68" s="279"/>
      <c r="C68" s="345" t="s">
        <v>122</v>
      </c>
      <c r="D68" s="350"/>
      <c r="E68" s="350"/>
      <c r="F68" s="81">
        <v>2</v>
      </c>
      <c r="G68" s="360" t="s">
        <v>583</v>
      </c>
      <c r="H68" s="361" t="s">
        <v>584</v>
      </c>
      <c r="I68" s="365" t="s">
        <v>126</v>
      </c>
      <c r="J68" s="365" t="s">
        <v>126</v>
      </c>
      <c r="K68" s="365" t="s">
        <v>126</v>
      </c>
      <c r="L68" s="365" t="s">
        <v>126</v>
      </c>
      <c r="M68" s="365" t="s">
        <v>126</v>
      </c>
      <c r="N68" s="371" t="s">
        <v>585</v>
      </c>
      <c r="O68" s="367" t="s">
        <v>585</v>
      </c>
      <c r="P68" s="370" t="str">
        <f>CONCATENATE(RemovePunctuation(H68),"_CA","_","i4K","_",C68,"_",AE68,"_",PROPER(R68),IF(S68="",PROPER(R68),PROPER(S68)),PROPER(T68),PROPER(U68),PROPER(V68),IF(V68&lt;&gt;"","SUB",""),PROPER(W68),IF(W68&lt;&gt;"","SUB",""),"_","Ed","_","M1",".mpg")</f>
        <v>BrilliantGardenEp12_CA_i4K_0125_43_ZhoZhoZhoSUB_Ed_M1.mpg</v>
      </c>
      <c r="Q68" s="386" t="str">
        <f>CONCATENATE(RemovePunctuation(H68),"_CA","_","i5K","_",C68,"_",AD68,"_",PROPER(R68),IF(S68="",PROPER(R68),PROPER(S68)),PROPER(T68),PROPER(U68),PROPER(V68),IF(V68&lt;&gt;"","SUB",""),PROPER(W68),IF(W68&lt;&gt;"","SUB",""),"_","Ed","_","M4",".mpg")</f>
        <v>BrilliantGardenEp12_CA_i5K_0125_169_ZhoZhoZhoSUB_Ed_M4.mpg</v>
      </c>
      <c r="R68" s="387" t="s">
        <v>132</v>
      </c>
      <c r="S68" s="383"/>
      <c r="T68" s="384"/>
      <c r="U68" s="384"/>
      <c r="V68" s="387" t="s">
        <v>132</v>
      </c>
      <c r="W68" s="384"/>
      <c r="X68" s="343" t="s">
        <v>131</v>
      </c>
      <c r="Y68" s="343" t="s">
        <v>131</v>
      </c>
      <c r="Z68" s="120">
        <f t="shared" si="15"/>
        <v>89</v>
      </c>
      <c r="AA68" s="305" t="str">
        <f t="shared" si="16"/>
        <v>01:29:00</v>
      </c>
      <c r="AB68" s="120">
        <f t="shared" si="17"/>
        <v>5340</v>
      </c>
      <c r="AC68" s="402">
        <v>0.0620949074074074</v>
      </c>
      <c r="AD68" s="401">
        <v>169</v>
      </c>
      <c r="AE68" s="401">
        <v>43</v>
      </c>
      <c r="AF68" s="343" t="s">
        <v>133</v>
      </c>
    </row>
    <row r="69" ht="24" customHeight="1" spans="1:32">
      <c r="A69" s="343">
        <v>65</v>
      </c>
      <c r="B69" s="279"/>
      <c r="C69" s="345" t="s">
        <v>122</v>
      </c>
      <c r="D69" s="350"/>
      <c r="E69" s="350"/>
      <c r="F69" s="81">
        <v>3</v>
      </c>
      <c r="G69" s="360" t="s">
        <v>586</v>
      </c>
      <c r="H69" s="361" t="s">
        <v>587</v>
      </c>
      <c r="I69" s="365" t="s">
        <v>126</v>
      </c>
      <c r="J69" s="365" t="s">
        <v>126</v>
      </c>
      <c r="K69" s="365" t="s">
        <v>126</v>
      </c>
      <c r="L69" s="365" t="s">
        <v>126</v>
      </c>
      <c r="M69" s="365" t="s">
        <v>126</v>
      </c>
      <c r="N69" s="371" t="s">
        <v>588</v>
      </c>
      <c r="O69" s="367" t="s">
        <v>588</v>
      </c>
      <c r="P69" s="370" t="str">
        <f>CONCATENATE(RemovePunctuation(H69),"_CA","_","i4K","_",C69,"_",AE69,"_",PROPER(R69),IF(S69="",PROPER(R69),PROPER(S69)),PROPER(T69),PROPER(U69),PROPER(V69),IF(V69&lt;&gt;"","SUB",""),PROPER(W69),IF(W69&lt;&gt;"","SUB",""),"_","Ed","_","M1",".mpg")</f>
        <v>BrilliantGardenEp11_CA_i4K_0125_43_ZhoZhoZhoSUB_Ed_M1.mpg</v>
      </c>
      <c r="Q69" s="386" t="str">
        <f>CONCATENATE(RemovePunctuation(H69),"_CA","_","i5K","_",C69,"_",AD69,"_",PROPER(R69),IF(S69="",PROPER(R69),PROPER(S69)),PROPER(T69),PROPER(U69),PROPER(V69),IF(V69&lt;&gt;"","SUB",""),PROPER(W69),IF(W69&lt;&gt;"","SUB",""),"_","Ed","_","M4",".mpg")</f>
        <v>BrilliantGardenEp11_CA_i5K_0125_169_ZhoZhoZhoSUB_Ed_M4.mpg</v>
      </c>
      <c r="R69" s="387" t="s">
        <v>132</v>
      </c>
      <c r="S69" s="383"/>
      <c r="T69" s="384"/>
      <c r="U69" s="384"/>
      <c r="V69" s="387" t="s">
        <v>132</v>
      </c>
      <c r="W69" s="384"/>
      <c r="X69" s="343" t="s">
        <v>131</v>
      </c>
      <c r="Y69" s="343" t="s">
        <v>131</v>
      </c>
      <c r="Z69" s="120">
        <f t="shared" si="15"/>
        <v>84</v>
      </c>
      <c r="AA69" s="305" t="str">
        <f t="shared" si="16"/>
        <v>01:24:00</v>
      </c>
      <c r="AB69" s="120">
        <f t="shared" si="17"/>
        <v>5040</v>
      </c>
      <c r="AC69" s="402">
        <v>0.0579976851851852</v>
      </c>
      <c r="AD69" s="401">
        <v>169</v>
      </c>
      <c r="AE69" s="401">
        <v>43</v>
      </c>
      <c r="AF69" s="343" t="s">
        <v>133</v>
      </c>
    </row>
    <row r="70" ht="24" customHeight="1" spans="1:32">
      <c r="A70" s="343">
        <v>66</v>
      </c>
      <c r="B70" s="279"/>
      <c r="C70" s="345" t="s">
        <v>122</v>
      </c>
      <c r="D70" s="350"/>
      <c r="E70" s="350"/>
      <c r="F70" s="81">
        <v>4</v>
      </c>
      <c r="G70" s="360" t="s">
        <v>589</v>
      </c>
      <c r="H70" s="361" t="s">
        <v>590</v>
      </c>
      <c r="I70" s="365" t="s">
        <v>126</v>
      </c>
      <c r="J70" s="365" t="s">
        <v>126</v>
      </c>
      <c r="K70" s="365" t="s">
        <v>126</v>
      </c>
      <c r="L70" s="365" t="s">
        <v>126</v>
      </c>
      <c r="M70" s="365" t="s">
        <v>126</v>
      </c>
      <c r="N70" s="371" t="s">
        <v>591</v>
      </c>
      <c r="O70" s="367" t="s">
        <v>591</v>
      </c>
      <c r="P70" s="370" t="str">
        <f>CONCATENATE(RemovePunctuation(H70),"_CA","_","i4K","_",C70,"_",AE70,"_",PROPER(R70),IF(S70="",PROPER(R70),PROPER(S70)),PROPER(T70),PROPER(U70),PROPER(V70),IF(V70&lt;&gt;"","SUB",""),PROPER(W70),IF(W70&lt;&gt;"","SUB",""),"_","Ed","_","M1",".mpg")</f>
        <v>BrilliantGardenEp10_CA_i4K_0125_43_ZhoZhoZhoSUB_Ed_M1.mpg</v>
      </c>
      <c r="Q70" s="386" t="str">
        <f>CONCATENATE(RemovePunctuation(H70),"_CA","_","i5K","_",C70,"_",AD70,"_",PROPER(R70),IF(S70="",PROPER(R70),PROPER(S70)),PROPER(T70),PROPER(U70),PROPER(V70),IF(V70&lt;&gt;"","SUB",""),PROPER(W70),IF(W70&lt;&gt;"","SUB",""),"_","Ed","_","M4",".mpg")</f>
        <v>BrilliantGardenEp10_CA_i5K_0125_169_ZhoZhoZhoSUB_Ed_M4.mpg</v>
      </c>
      <c r="R70" s="387" t="s">
        <v>132</v>
      </c>
      <c r="S70" s="383"/>
      <c r="T70" s="384"/>
      <c r="U70" s="384"/>
      <c r="V70" s="387" t="s">
        <v>132</v>
      </c>
      <c r="W70" s="384"/>
      <c r="X70" s="343" t="s">
        <v>131</v>
      </c>
      <c r="Y70" s="343" t="s">
        <v>131</v>
      </c>
      <c r="Z70" s="120">
        <f t="shared" si="15"/>
        <v>90</v>
      </c>
      <c r="AA70" s="305" t="str">
        <f t="shared" si="16"/>
        <v>01:30:00</v>
      </c>
      <c r="AB70" s="120">
        <f t="shared" si="17"/>
        <v>5400</v>
      </c>
      <c r="AC70" s="402">
        <v>0.0626736111111111</v>
      </c>
      <c r="AD70" s="401">
        <v>169</v>
      </c>
      <c r="AE70" s="401">
        <v>43</v>
      </c>
      <c r="AF70" s="343" t="s">
        <v>133</v>
      </c>
    </row>
    <row r="71" ht="24" customHeight="1" spans="1:32">
      <c r="A71" s="343">
        <v>67</v>
      </c>
      <c r="B71" s="279"/>
      <c r="C71" s="345" t="s">
        <v>122</v>
      </c>
      <c r="D71" s="350"/>
      <c r="E71" s="350"/>
      <c r="F71" s="81">
        <v>5</v>
      </c>
      <c r="G71" s="360" t="s">
        <v>592</v>
      </c>
      <c r="H71" s="361" t="s">
        <v>593</v>
      </c>
      <c r="I71" s="365" t="s">
        <v>126</v>
      </c>
      <c r="J71" s="365" t="s">
        <v>126</v>
      </c>
      <c r="K71" s="365" t="s">
        <v>126</v>
      </c>
      <c r="L71" s="365" t="s">
        <v>126</v>
      </c>
      <c r="M71" s="365" t="s">
        <v>126</v>
      </c>
      <c r="N71" s="371" t="s">
        <v>594</v>
      </c>
      <c r="O71" s="367" t="s">
        <v>594</v>
      </c>
      <c r="P71" s="370" t="str">
        <f>CONCATENATE(RemovePunctuation(H71),"_CA","_","i4K","_",C71,"_",AE71,"_",PROPER(R71),IF(S71="",PROPER(R71),PROPER(S71)),PROPER(T71),PROPER(U71),PROPER(V71),IF(V71&lt;&gt;"","SUB",""),PROPER(W71),IF(W71&lt;&gt;"","SUB",""),"_","Ed","_","M1",".mpg")</f>
        <v>DaddyatHomeS02E15P02_CA_i4K_0125_43_ZhoZhoZhoSUB_Ed_M1.mpg</v>
      </c>
      <c r="Q71" s="386" t="str">
        <f>CONCATENATE(RemovePunctuation(H71),"_CA","_","i5K","_",C71,"_",AD71,"_",PROPER(R71),IF(S71="",PROPER(R71),PROPER(S71)),PROPER(T71),PROPER(U71),PROPER(V71),IF(V71&lt;&gt;"","SUB",""),PROPER(W71),IF(W71&lt;&gt;"","SUB",""),"_","Ed","_","M4",".mpg")</f>
        <v>DaddyatHomeS02E15P02_CA_i5K_0125_169_ZhoZhoZhoSUB_Ed_M4.mpg</v>
      </c>
      <c r="R71" s="387" t="s">
        <v>132</v>
      </c>
      <c r="S71" s="383"/>
      <c r="T71" s="384"/>
      <c r="U71" s="384"/>
      <c r="V71" s="387" t="s">
        <v>132</v>
      </c>
      <c r="W71" s="384"/>
      <c r="X71" s="343" t="s">
        <v>131</v>
      </c>
      <c r="Y71" s="343" t="s">
        <v>131</v>
      </c>
      <c r="Z71" s="120">
        <f t="shared" si="15"/>
        <v>69</v>
      </c>
      <c r="AA71" s="305" t="str">
        <f t="shared" si="16"/>
        <v>01:09:00</v>
      </c>
      <c r="AB71" s="120">
        <f t="shared" si="17"/>
        <v>4140</v>
      </c>
      <c r="AC71" s="402">
        <v>0.0478240740740741</v>
      </c>
      <c r="AD71" s="401">
        <v>169</v>
      </c>
      <c r="AE71" s="401">
        <v>43</v>
      </c>
      <c r="AF71" s="343" t="s">
        <v>133</v>
      </c>
    </row>
    <row r="72" ht="24" customHeight="1" spans="1:32">
      <c r="A72" s="343">
        <v>68</v>
      </c>
      <c r="B72" s="279"/>
      <c r="C72" s="345" t="s">
        <v>122</v>
      </c>
      <c r="D72" s="350"/>
      <c r="E72" s="350"/>
      <c r="F72" s="81">
        <v>6</v>
      </c>
      <c r="G72" s="360" t="s">
        <v>595</v>
      </c>
      <c r="H72" s="361" t="s">
        <v>596</v>
      </c>
      <c r="I72" s="365" t="s">
        <v>126</v>
      </c>
      <c r="J72" s="365" t="s">
        <v>126</v>
      </c>
      <c r="K72" s="365" t="s">
        <v>126</v>
      </c>
      <c r="L72" s="365" t="s">
        <v>126</v>
      </c>
      <c r="M72" s="365" t="s">
        <v>126</v>
      </c>
      <c r="N72" s="371" t="s">
        <v>597</v>
      </c>
      <c r="O72" s="367" t="s">
        <v>597</v>
      </c>
      <c r="P72" s="370" t="str">
        <f>CONCATENATE(RemovePunctuation(H72),"_CA","_","i4K","_",C72,"_",AE72,"_",PROPER(R72),IF(S72="",PROPER(R72),PROPER(S72)),PROPER(T72),PROPER(U72),PROPER(V72),IF(V72&lt;&gt;"","SUB",""),PROPER(W72),IF(W72&lt;&gt;"","SUB",""),"_","Ed","_","M1",".mpg")</f>
        <v>DaddyatHomeS02E15P01_CA_i4K_0125_43_ZhoZhoZhoSUB_Ed_M1.mpg</v>
      </c>
      <c r="Q72" s="386" t="str">
        <f>CONCATENATE(RemovePunctuation(H72),"_CA","_","i5K","_",C72,"_",AD72,"_",PROPER(R72),IF(S72="",PROPER(R72),PROPER(S72)),PROPER(T72),PROPER(U72),PROPER(V72),IF(V72&lt;&gt;"","SUB",""),PROPER(W72),IF(W72&lt;&gt;"","SUB",""),"_","Ed","_","M4",".mpg")</f>
        <v>DaddyatHomeS02E15P01_CA_i5K_0125_169_ZhoZhoZhoSUB_Ed_M4.mpg</v>
      </c>
      <c r="R72" s="387" t="s">
        <v>132</v>
      </c>
      <c r="S72" s="383"/>
      <c r="T72" s="384"/>
      <c r="U72" s="384"/>
      <c r="V72" s="387" t="s">
        <v>132</v>
      </c>
      <c r="W72" s="384"/>
      <c r="X72" s="343" t="s">
        <v>131</v>
      </c>
      <c r="Y72" s="343" t="s">
        <v>131</v>
      </c>
      <c r="Z72" s="120">
        <f t="shared" si="15"/>
        <v>74</v>
      </c>
      <c r="AA72" s="305" t="str">
        <f t="shared" si="16"/>
        <v>01:14:00</v>
      </c>
      <c r="AB72" s="120">
        <f t="shared" si="17"/>
        <v>4440</v>
      </c>
      <c r="AC72" s="402">
        <v>0.051724537037037</v>
      </c>
      <c r="AD72" s="401">
        <v>169</v>
      </c>
      <c r="AE72" s="401">
        <v>43</v>
      </c>
      <c r="AF72" s="343" t="s">
        <v>133</v>
      </c>
    </row>
    <row r="73" ht="24" customHeight="1" spans="1:32">
      <c r="A73" s="343">
        <v>69</v>
      </c>
      <c r="B73" s="279"/>
      <c r="C73" s="345" t="s">
        <v>122</v>
      </c>
      <c r="D73" s="350"/>
      <c r="E73" s="350"/>
      <c r="F73" s="81">
        <v>7</v>
      </c>
      <c r="G73" s="360" t="s">
        <v>598</v>
      </c>
      <c r="H73" s="361" t="s">
        <v>599</v>
      </c>
      <c r="I73" s="365" t="s">
        <v>126</v>
      </c>
      <c r="J73" s="365"/>
      <c r="K73" s="365" t="s">
        <v>126</v>
      </c>
      <c r="L73" s="365" t="s">
        <v>126</v>
      </c>
      <c r="M73" s="365" t="s">
        <v>126</v>
      </c>
      <c r="N73" s="371" t="s">
        <v>600</v>
      </c>
      <c r="O73" s="367" t="s">
        <v>600</v>
      </c>
      <c r="P73" s="370" t="str">
        <f>CONCATENATE(RemovePunctuation(H73),"_CA","_","i4K","_",C73,"_",AE73,"_",PROPER(R73),IF(S73="",PROPER(R73),PROPER(S73)),PROPER(T73),PROPER(U73),PROPER(V73),IF(V73&lt;&gt;"","SUB",""),PROPER(W73),IF(W73&lt;&gt;"","SUB",""),"_","Ed","_","M1",".mpg")</f>
        <v>DaddyatHomeS02E14P02_CA_i4K_0125_43_ZhoZhoZhoSUB_Ed_M1.mpg</v>
      </c>
      <c r="Q73" s="386" t="str">
        <f>CONCATENATE(RemovePunctuation(H73),"_CA","_","i5K","_",C73,"_",AD73,"_",PROPER(R73),IF(S73="",PROPER(R73),PROPER(S73)),PROPER(T73),PROPER(U73),PROPER(V73),IF(V73&lt;&gt;"","SUB",""),PROPER(W73),IF(W73&lt;&gt;"","SUB",""),"_","Ed","_","M4",".mpg")</f>
        <v>DaddyatHomeS02E14P02_CA_i5K_0125_169_ZhoZhoZhoSUB_Ed_M4.mpg</v>
      </c>
      <c r="R73" s="387" t="s">
        <v>132</v>
      </c>
      <c r="S73" s="383"/>
      <c r="T73" s="384"/>
      <c r="U73" s="384"/>
      <c r="V73" s="387" t="s">
        <v>132</v>
      </c>
      <c r="W73" s="384"/>
      <c r="X73" s="343" t="s">
        <v>131</v>
      </c>
      <c r="Y73" s="343" t="s">
        <v>131</v>
      </c>
      <c r="Z73" s="120">
        <f t="shared" si="15"/>
        <v>75</v>
      </c>
      <c r="AA73" s="305" t="str">
        <f t="shared" si="16"/>
        <v>01:15:00</v>
      </c>
      <c r="AB73" s="120">
        <f t="shared" si="17"/>
        <v>4500</v>
      </c>
      <c r="AC73" s="402">
        <v>0.052337962962963</v>
      </c>
      <c r="AD73" s="401">
        <v>169</v>
      </c>
      <c r="AE73" s="401">
        <v>43</v>
      </c>
      <c r="AF73" s="343" t="s">
        <v>133</v>
      </c>
    </row>
    <row r="74" ht="24" customHeight="1" spans="1:32">
      <c r="A74" s="343">
        <v>70</v>
      </c>
      <c r="B74" s="279"/>
      <c r="C74" s="345" t="s">
        <v>122</v>
      </c>
      <c r="D74" s="350"/>
      <c r="E74" s="350"/>
      <c r="F74" s="81">
        <v>8</v>
      </c>
      <c r="G74" s="360" t="s">
        <v>601</v>
      </c>
      <c r="H74" s="361" t="s">
        <v>602</v>
      </c>
      <c r="I74" s="365" t="s">
        <v>126</v>
      </c>
      <c r="J74" s="365"/>
      <c r="K74" s="365" t="s">
        <v>126</v>
      </c>
      <c r="L74" s="365" t="s">
        <v>126</v>
      </c>
      <c r="M74" s="365" t="s">
        <v>126</v>
      </c>
      <c r="N74" s="371" t="s">
        <v>603</v>
      </c>
      <c r="O74" s="367" t="s">
        <v>603</v>
      </c>
      <c r="P74" s="370" t="str">
        <f>CONCATENATE(RemovePunctuation(H74),"_CA","_","i4K","_",C74,"_",AE74,"_",PROPER(R74),IF(S74="",PROPER(R74),PROPER(S74)),PROPER(T74),PROPER(U74),PROPER(V74),IF(V74&lt;&gt;"","SUB",""),PROPER(W74),IF(W74&lt;&gt;"","SUB",""),"_","Ed","_","M1",".mpg")</f>
        <v>DaddyatHomeS02E14P01_CA_i4K_0125_43_ZhoZhoZhoSUB_Ed_M1.mpg</v>
      </c>
      <c r="Q74" s="386" t="str">
        <f>CONCATENATE(RemovePunctuation(H74),"_CA","_","i5K","_",C74,"_",AD74,"_",PROPER(R74),IF(S74="",PROPER(R74),PROPER(S74)),PROPER(T74),PROPER(U74),PROPER(V74),IF(V74&lt;&gt;"","SUB",""),PROPER(W74),IF(W74&lt;&gt;"","SUB",""),"_","Ed","_","M4",".mpg")</f>
        <v>DaddyatHomeS02E14P01_CA_i5K_0125_169_ZhoZhoZhoSUB_Ed_M4.mpg</v>
      </c>
      <c r="R74" s="387" t="s">
        <v>132</v>
      </c>
      <c r="S74" s="383"/>
      <c r="T74" s="384"/>
      <c r="U74" s="384"/>
      <c r="V74" s="387" t="s">
        <v>132</v>
      </c>
      <c r="W74" s="384"/>
      <c r="X74" s="343" t="s">
        <v>131</v>
      </c>
      <c r="Y74" s="343" t="s">
        <v>131</v>
      </c>
      <c r="Z74" s="120">
        <f t="shared" si="15"/>
        <v>75</v>
      </c>
      <c r="AA74" s="305" t="str">
        <f t="shared" si="16"/>
        <v>01:15:00</v>
      </c>
      <c r="AB74" s="120">
        <f t="shared" si="17"/>
        <v>4500</v>
      </c>
      <c r="AC74" s="402">
        <v>0.0522337962962963</v>
      </c>
      <c r="AD74" s="401">
        <v>169</v>
      </c>
      <c r="AE74" s="401">
        <v>43</v>
      </c>
      <c r="AF74" s="343" t="s">
        <v>133</v>
      </c>
    </row>
    <row r="75" ht="24" customHeight="1" spans="1:32">
      <c r="A75" s="343">
        <v>71</v>
      </c>
      <c r="B75" s="279"/>
      <c r="C75" s="345" t="s">
        <v>122</v>
      </c>
      <c r="D75" s="350"/>
      <c r="E75" s="350"/>
      <c r="F75" s="81">
        <v>9</v>
      </c>
      <c r="G75" s="360" t="s">
        <v>604</v>
      </c>
      <c r="H75" s="361" t="s">
        <v>605</v>
      </c>
      <c r="I75" s="365" t="s">
        <v>126</v>
      </c>
      <c r="J75" s="365" t="s">
        <v>126</v>
      </c>
      <c r="K75" s="365" t="s">
        <v>126</v>
      </c>
      <c r="L75" s="365" t="s">
        <v>126</v>
      </c>
      <c r="M75" s="365" t="s">
        <v>126</v>
      </c>
      <c r="N75" s="371" t="s">
        <v>606</v>
      </c>
      <c r="O75" s="367" t="s">
        <v>606</v>
      </c>
      <c r="P75" s="370" t="str">
        <f>CONCATENATE(RemovePunctuation(H75),"_CA","_","i4K","_",C75,"_",AE75,"_",PROPER(R75),IF(S75="",PROPER(R75),PROPER(S75)),PROPER(T75),PROPER(U75),PROPER(V75),IF(V75&lt;&gt;"","SUB",""),PROPER(W75),IF(W75&lt;&gt;"","SUB",""),"_","Ed","_","M1",".mpg")</f>
        <v>HappyFriendsS02E01_CA_i4K_0125_43_ZhoZhoZhoSUB_Ed_M1.mpg</v>
      </c>
      <c r="Q75" s="386" t="str">
        <f>CONCATENATE(RemovePunctuation(H75),"_CA","_","i5K","_",C75,"_",AD75,"_",PROPER(R75),IF(S75="",PROPER(R75),PROPER(S75)),PROPER(T75),PROPER(U75),PROPER(V75),IF(V75&lt;&gt;"","SUB",""),PROPER(W75),IF(W75&lt;&gt;"","SUB",""),"_","Ed","_","M4",".mpg")</f>
        <v>HappyFriendsS02E01_CA_i5K_0125_169_ZhoZhoZhoSUB_Ed_M4.mpg</v>
      </c>
      <c r="R75" s="387" t="s">
        <v>132</v>
      </c>
      <c r="S75" s="383"/>
      <c r="T75" s="384"/>
      <c r="U75" s="384"/>
      <c r="V75" s="387" t="s">
        <v>132</v>
      </c>
      <c r="W75" s="384"/>
      <c r="X75" s="343" t="s">
        <v>131</v>
      </c>
      <c r="Y75" s="343" t="s">
        <v>131</v>
      </c>
      <c r="Z75" s="120">
        <f t="shared" si="15"/>
        <v>98</v>
      </c>
      <c r="AA75" s="305" t="str">
        <f t="shared" si="16"/>
        <v>01:38:00</v>
      </c>
      <c r="AB75" s="120">
        <f t="shared" si="17"/>
        <v>5880</v>
      </c>
      <c r="AC75" s="402">
        <v>0.0677199074074074</v>
      </c>
      <c r="AD75" s="401">
        <v>169</v>
      </c>
      <c r="AE75" s="401">
        <v>43</v>
      </c>
      <c r="AF75" s="343" t="s">
        <v>133</v>
      </c>
    </row>
    <row r="76" ht="24" customHeight="1" spans="1:32">
      <c r="A76" s="343">
        <v>72</v>
      </c>
      <c r="B76" s="279"/>
      <c r="C76" s="345" t="s">
        <v>122</v>
      </c>
      <c r="D76" s="350"/>
      <c r="E76" s="350"/>
      <c r="F76" s="81">
        <v>10</v>
      </c>
      <c r="G76" s="360" t="s">
        <v>607</v>
      </c>
      <c r="H76" s="361" t="s">
        <v>608</v>
      </c>
      <c r="I76" s="365" t="s">
        <v>126</v>
      </c>
      <c r="J76" s="365" t="s">
        <v>126</v>
      </c>
      <c r="K76" s="365" t="s">
        <v>126</v>
      </c>
      <c r="L76" s="365" t="s">
        <v>126</v>
      </c>
      <c r="M76" s="365" t="s">
        <v>126</v>
      </c>
      <c r="N76" s="371" t="s">
        <v>609</v>
      </c>
      <c r="O76" s="367" t="s">
        <v>609</v>
      </c>
      <c r="P76" s="370" t="str">
        <f>CONCATENATE(RemovePunctuation(H76),"_CA","_","i4K","_",C76,"_",AE76,"_",PROPER(R76),IF(S76="",PROPER(R76),PROPER(S76)),PROPER(T76),PROPER(U76),PROPER(V76),IF(V76&lt;&gt;"","SUB",""),PROPER(W76),IF(W76&lt;&gt;"","SUB",""),"_","Ed","_","M1",".mpg")</f>
        <v>HappyFriendsS02Intro_CA_i4K_0125_43_ZhoZhoZhoSUB_Ed_M1.mpg</v>
      </c>
      <c r="Q76" s="386" t="str">
        <f>CONCATENATE(RemovePunctuation(H76),"_CA","_","i5K","_",C76,"_",AD76,"_",PROPER(R76),IF(S76="",PROPER(R76),PROPER(S76)),PROPER(T76),PROPER(U76),PROPER(V76),IF(V76&lt;&gt;"","SUB",""),PROPER(W76),IF(W76&lt;&gt;"","SUB",""),"_","Ed","_","M4",".mpg")</f>
        <v>HappyFriendsS02Intro_CA_i5K_0125_169_ZhoZhoZhoSUB_Ed_M4.mpg</v>
      </c>
      <c r="R76" s="387" t="s">
        <v>132</v>
      </c>
      <c r="S76" s="383"/>
      <c r="T76" s="384"/>
      <c r="U76" s="384"/>
      <c r="V76" s="387" t="s">
        <v>132</v>
      </c>
      <c r="W76" s="384"/>
      <c r="X76" s="343" t="s">
        <v>131</v>
      </c>
      <c r="Y76" s="343" t="s">
        <v>131</v>
      </c>
      <c r="Z76" s="120">
        <f t="shared" si="15"/>
        <v>53</v>
      </c>
      <c r="AA76" s="305" t="str">
        <f t="shared" si="16"/>
        <v>00:53:00</v>
      </c>
      <c r="AB76" s="120">
        <f t="shared" si="17"/>
        <v>3180</v>
      </c>
      <c r="AC76" s="402">
        <v>0.0368865740740741</v>
      </c>
      <c r="AD76" s="401">
        <v>169</v>
      </c>
      <c r="AE76" s="401">
        <v>43</v>
      </c>
      <c r="AF76" s="343" t="s">
        <v>133</v>
      </c>
    </row>
    <row r="77" ht="24" customHeight="1" spans="1:32">
      <c r="A77" s="343">
        <v>73</v>
      </c>
      <c r="B77" s="279"/>
      <c r="C77" s="345" t="s">
        <v>122</v>
      </c>
      <c r="D77" s="350"/>
      <c r="E77" s="350"/>
      <c r="F77" s="81">
        <v>11</v>
      </c>
      <c r="G77" s="360" t="s">
        <v>610</v>
      </c>
      <c r="H77" s="361" t="s">
        <v>611</v>
      </c>
      <c r="I77" s="365" t="s">
        <v>126</v>
      </c>
      <c r="J77" s="365" t="s">
        <v>126</v>
      </c>
      <c r="K77" s="365" t="s">
        <v>126</v>
      </c>
      <c r="L77" s="365" t="s">
        <v>126</v>
      </c>
      <c r="M77" s="365" t="s">
        <v>126</v>
      </c>
      <c r="N77" s="371" t="s">
        <v>612</v>
      </c>
      <c r="O77" s="367" t="s">
        <v>612</v>
      </c>
      <c r="P77" s="370" t="str">
        <f>CONCATENATE(RemovePunctuation(H77),"_CA","_","i4K","_",C77,"_",AE77,"_",PROPER(R77),IF(S77="",PROPER(R77),PROPER(S77)),PROPER(T77),PROPER(U77),PROPER(V77),IF(V77&lt;&gt;"","SUB",""),PROPER(W77),IF(W77&lt;&gt;"","SUB",""),"_","Ed","_","M1",".mpg")</f>
        <v>CircleofLifeNewYearsDaySpecialProductionHealthyOpentheNewYeartoBeHealthy_CA_i4K_0125_43_ZhoZhoZhoSUB_Ed_M1.mpg</v>
      </c>
      <c r="Q77" s="386" t="str">
        <f>CONCATENATE(RemovePunctuation(H77),"_CA","_","i5K","_",C77,"_",AD77,"_",PROPER(R77),IF(S77="",PROPER(R77),PROPER(S77)),PROPER(T77),PROPER(U77),PROPER(V77),IF(V77&lt;&gt;"","SUB",""),PROPER(W77),IF(W77&lt;&gt;"","SUB",""),"_","Ed","_","M4",".mpg")</f>
        <v>CircleofLifeNewYearsDaySpecialProductionHealthyOpentheNewYeartoBeHealthy_CA_i5K_0125_169_ZhoZhoZhoSUB_Ed_M4.mpg</v>
      </c>
      <c r="R77" s="387" t="s">
        <v>132</v>
      </c>
      <c r="S77" s="383"/>
      <c r="T77" s="384"/>
      <c r="U77" s="384"/>
      <c r="V77" s="387" t="s">
        <v>132</v>
      </c>
      <c r="W77" s="384"/>
      <c r="X77" s="343" t="s">
        <v>131</v>
      </c>
      <c r="Y77" s="343" t="s">
        <v>131</v>
      </c>
      <c r="Z77" s="120">
        <f t="shared" si="15"/>
        <v>48</v>
      </c>
      <c r="AA77" s="305" t="str">
        <f t="shared" si="16"/>
        <v>00:48:00</v>
      </c>
      <c r="AB77" s="120">
        <f t="shared" si="17"/>
        <v>2880</v>
      </c>
      <c r="AC77" s="402">
        <v>0.0336458333333333</v>
      </c>
      <c r="AD77" s="401">
        <v>169</v>
      </c>
      <c r="AE77" s="401">
        <v>43</v>
      </c>
      <c r="AF77" s="343" t="s">
        <v>133</v>
      </c>
    </row>
    <row r="78" ht="24" customHeight="1" spans="1:32">
      <c r="A78" s="343">
        <v>74</v>
      </c>
      <c r="B78" s="279"/>
      <c r="C78" s="345" t="s">
        <v>122</v>
      </c>
      <c r="D78" s="350"/>
      <c r="E78" s="350"/>
      <c r="F78" s="81">
        <v>12</v>
      </c>
      <c r="G78" s="360" t="s">
        <v>613</v>
      </c>
      <c r="H78" s="361" t="s">
        <v>614</v>
      </c>
      <c r="I78" s="365" t="s">
        <v>126</v>
      </c>
      <c r="J78" s="365"/>
      <c r="K78" s="365"/>
      <c r="L78" s="365" t="s">
        <v>126</v>
      </c>
      <c r="M78" s="365" t="s">
        <v>126</v>
      </c>
      <c r="N78" s="371" t="s">
        <v>615</v>
      </c>
      <c r="O78" s="367"/>
      <c r="P78" s="370" t="str">
        <f>CONCATENATE(RemovePunctuation(H78),"_CA","_","i4K","_",C78,"_",AE78,"_",PROPER(R78),IF(S78="",PROPER(R78),PROPER(S78)),PROPER(T78),PROPER(U78),PROPER(V78),IF(V78&lt;&gt;"","SUB",""),PROPER(W78),IF(W78&lt;&gt;"","SUB",""),"_","Ed","_","M1",".mpg")</f>
        <v>NewYearsEveDinnerinFourSeasonsS03E03TasteofHome_CA_i4K_0125_43_ZhoZhoZhoSUB_Ed_M1.mpg</v>
      </c>
      <c r="Q78" s="386" t="str">
        <f>CONCATENATE(RemovePunctuation(H78),"_CA","_","i5K","_",C78,"_",AD78,"_",PROPER(R78),IF(S78="",PROPER(R78),PROPER(S78)),PROPER(T78),PROPER(U78),PROPER(V78),IF(V78&lt;&gt;"","SUB",""),PROPER(W78),IF(W78&lt;&gt;"","SUB",""),"_","Ed","_","M4",".mpg")</f>
        <v>NewYearsEveDinnerinFourSeasonsS03E03TasteofHome_CA_i5K_0125_169_ZhoZhoZhoSUB_Ed_M4.mpg</v>
      </c>
      <c r="R78" s="387" t="s">
        <v>132</v>
      </c>
      <c r="S78" s="383"/>
      <c r="T78" s="384"/>
      <c r="U78" s="384"/>
      <c r="V78" s="387" t="s">
        <v>132</v>
      </c>
      <c r="W78" s="384"/>
      <c r="X78" s="343" t="s">
        <v>131</v>
      </c>
      <c r="Y78" s="343" t="s">
        <v>131</v>
      </c>
      <c r="Z78" s="120">
        <f t="shared" si="15"/>
        <v>24</v>
      </c>
      <c r="AA78" s="305" t="str">
        <f t="shared" si="16"/>
        <v>00:24:00</v>
      </c>
      <c r="AB78" s="120">
        <f t="shared" si="17"/>
        <v>1440</v>
      </c>
      <c r="AC78" s="402">
        <v>0.0167361111111111</v>
      </c>
      <c r="AD78" s="401">
        <v>169</v>
      </c>
      <c r="AE78" s="401">
        <v>43</v>
      </c>
      <c r="AF78" s="343" t="s">
        <v>133</v>
      </c>
    </row>
    <row r="79" ht="24" customHeight="1" spans="1:32">
      <c r="A79" s="343">
        <v>75</v>
      </c>
      <c r="B79" s="279"/>
      <c r="C79" s="345" t="s">
        <v>122</v>
      </c>
      <c r="D79" s="350"/>
      <c r="E79" s="350"/>
      <c r="F79" s="81">
        <v>13</v>
      </c>
      <c r="G79" s="360" t="s">
        <v>616</v>
      </c>
      <c r="H79" s="361" t="s">
        <v>617</v>
      </c>
      <c r="I79" s="365" t="s">
        <v>126</v>
      </c>
      <c r="J79" s="365"/>
      <c r="K79" s="365"/>
      <c r="L79" s="365" t="s">
        <v>126</v>
      </c>
      <c r="M79" s="365" t="s">
        <v>126</v>
      </c>
      <c r="N79" s="371" t="s">
        <v>618</v>
      </c>
      <c r="O79" s="367"/>
      <c r="P79" s="370" t="str">
        <f>CONCATENATE(RemovePunctuation(H79),"_CA","_","i4K","_",C79,"_",AE79,"_",PROPER(R79),IF(S79="",PROPER(R79),PROPER(S79)),PROPER(T79),PROPER(U79),PROPER(V79),IF(V79&lt;&gt;"","SUB",""),PROPER(W79),IF(W79&lt;&gt;"","SUB",""),"_","Ed","_","M1",".mpg")</f>
        <v>NewYearsEveDinnerinFourSeasonsS03E02TakeRootontheGround_CA_i4K_0125_43_ZhoZhoZhoSUB_Ed_M1.mpg</v>
      </c>
      <c r="Q79" s="386" t="str">
        <f>CONCATENATE(RemovePunctuation(H79),"_CA","_","i5K","_",C79,"_",AD79,"_",PROPER(R79),IF(S79="",PROPER(R79),PROPER(S79)),PROPER(T79),PROPER(U79),PROPER(V79),IF(V79&lt;&gt;"","SUB",""),PROPER(W79),IF(W79&lt;&gt;"","SUB",""),"_","Ed","_","M4",".mpg")</f>
        <v>NewYearsEveDinnerinFourSeasonsS03E02TakeRootontheGround_CA_i5K_0125_169_ZhoZhoZhoSUB_Ed_M4.mpg</v>
      </c>
      <c r="R79" s="387" t="s">
        <v>132</v>
      </c>
      <c r="S79" s="383"/>
      <c r="T79" s="384"/>
      <c r="U79" s="384"/>
      <c r="V79" s="387" t="s">
        <v>132</v>
      </c>
      <c r="W79" s="387"/>
      <c r="X79" s="343" t="s">
        <v>131</v>
      </c>
      <c r="Y79" s="343" t="s">
        <v>131</v>
      </c>
      <c r="Z79" s="120">
        <f t="shared" si="15"/>
        <v>24</v>
      </c>
      <c r="AA79" s="305" t="str">
        <f t="shared" si="16"/>
        <v>00:24:00</v>
      </c>
      <c r="AB79" s="120">
        <f t="shared" si="17"/>
        <v>1440</v>
      </c>
      <c r="AC79" s="402">
        <v>0.0165162037037037</v>
      </c>
      <c r="AD79" s="401">
        <v>169</v>
      </c>
      <c r="AE79" s="401">
        <v>43</v>
      </c>
      <c r="AF79" s="343" t="s">
        <v>133</v>
      </c>
    </row>
    <row r="80" ht="24" customHeight="1" spans="1:32">
      <c r="A80" s="343">
        <v>76</v>
      </c>
      <c r="B80" s="279"/>
      <c r="C80" s="345" t="s">
        <v>122</v>
      </c>
      <c r="D80" s="350"/>
      <c r="E80" s="350"/>
      <c r="F80" s="81">
        <v>14</v>
      </c>
      <c r="G80" s="360" t="s">
        <v>619</v>
      </c>
      <c r="H80" s="361" t="s">
        <v>620</v>
      </c>
      <c r="I80" s="365" t="s">
        <v>126</v>
      </c>
      <c r="J80" s="365" t="s">
        <v>126</v>
      </c>
      <c r="K80" s="365" t="s">
        <v>126</v>
      </c>
      <c r="L80" s="365" t="s">
        <v>126</v>
      </c>
      <c r="M80" s="365" t="s">
        <v>126</v>
      </c>
      <c r="N80" s="371" t="s">
        <v>621</v>
      </c>
      <c r="O80" s="367" t="s">
        <v>621</v>
      </c>
      <c r="P80" s="370" t="str">
        <f>CONCATENATE(RemovePunctuation(H80),"_CA","_","i4K","_",C80,"_",AE80,"_",PROPER(R80),IF(S80="",PROPER(R80),PROPER(S80)),PROPER(T80),PROPER(U80),PROPER(V80),IF(V80&lt;&gt;"","SUB",""),PROPER(W80),IF(W80&lt;&gt;"","SUB",""),"_","Ed","_","M1",".mpg")</f>
        <v>NewYearsEveDinnerinFourSeasonsS03E01TheYearIsRichandDelicious_CA_i4K_0125_43_ZhoZhoZhoSUB_Ed_M1.mpg</v>
      </c>
      <c r="Q80" s="386" t="str">
        <f>CONCATENATE(RemovePunctuation(H80),"_CA","_","i5K","_",C80,"_",AD80,"_",PROPER(R80),IF(S80="",PROPER(R80),PROPER(S80)),PROPER(T80),PROPER(U80),PROPER(V80),IF(V80&lt;&gt;"","SUB",""),PROPER(W80),IF(W80&lt;&gt;"","SUB",""),"_","Ed","_","M4",".mpg")</f>
        <v>NewYearsEveDinnerinFourSeasonsS03E01TheYearIsRichandDelicious_CA_i5K_0125_169_ZhoZhoZhoSUB_Ed_M4.mpg</v>
      </c>
      <c r="R80" s="387" t="s">
        <v>132</v>
      </c>
      <c r="S80" s="383"/>
      <c r="T80" s="384"/>
      <c r="U80" s="384"/>
      <c r="V80" s="387" t="s">
        <v>132</v>
      </c>
      <c r="W80" s="387"/>
      <c r="X80" s="343" t="s">
        <v>131</v>
      </c>
      <c r="Y80" s="343" t="s">
        <v>131</v>
      </c>
      <c r="Z80" s="120">
        <f t="shared" si="15"/>
        <v>24</v>
      </c>
      <c r="AA80" s="305" t="str">
        <f t="shared" si="16"/>
        <v>00:24:00</v>
      </c>
      <c r="AB80" s="120">
        <f t="shared" si="17"/>
        <v>1440</v>
      </c>
      <c r="AC80" s="402">
        <v>0.0165740740740741</v>
      </c>
      <c r="AD80" s="401">
        <v>169</v>
      </c>
      <c r="AE80" s="401">
        <v>43</v>
      </c>
      <c r="AF80" s="343" t="s">
        <v>133</v>
      </c>
    </row>
    <row r="81" ht="24" customHeight="1" spans="1:32">
      <c r="A81" s="343">
        <v>77</v>
      </c>
      <c r="B81" s="279"/>
      <c r="C81" s="345" t="s">
        <v>122</v>
      </c>
      <c r="D81" s="350"/>
      <c r="E81" s="350"/>
      <c r="F81" s="81">
        <v>15</v>
      </c>
      <c r="G81" s="360" t="s">
        <v>622</v>
      </c>
      <c r="H81" s="361" t="s">
        <v>623</v>
      </c>
      <c r="I81" s="365" t="s">
        <v>126</v>
      </c>
      <c r="J81" s="365" t="s">
        <v>126</v>
      </c>
      <c r="K81" s="365" t="s">
        <v>126</v>
      </c>
      <c r="L81" s="365" t="s">
        <v>126</v>
      </c>
      <c r="M81" s="365" t="s">
        <v>126</v>
      </c>
      <c r="N81" s="371" t="s">
        <v>624</v>
      </c>
      <c r="O81" s="367" t="s">
        <v>624</v>
      </c>
      <c r="P81" s="370" t="str">
        <f>CONCATENATE(RemovePunctuation(H81),"_CA","_","i4K","_",C81,"_",AE81,"_",PROPER(R81),IF(S81="",PROPER(R81),PROPER(S81)),PROPER(T81),PROPER(U81),PROPER(V81),IF(V81&lt;&gt;"","SUB",""),PROPER(W81),IF(W81&lt;&gt;"","SUB",""),"_","Ed","_","M1",".mpg")</f>
        <v>PeakednessFoodMomentChineseandFrenchChefCompetitionShrimpandCrabFood_CA_i4K_0125_43_ZhoZhoZhoSUB_Ed_M1.mpg</v>
      </c>
      <c r="Q81" s="386" t="str">
        <f>CONCATENATE(RemovePunctuation(H81),"_CA","_","i5K","_",C81,"_",AD81,"_",PROPER(R81),IF(S81="",PROPER(R81),PROPER(S81)),PROPER(T81),PROPER(U81),PROPER(V81),IF(V81&lt;&gt;"","SUB",""),PROPER(W81),IF(W81&lt;&gt;"","SUB",""),"_","Ed","_","M4",".mpg")</f>
        <v>PeakednessFoodMomentChineseandFrenchChefCompetitionShrimpandCrabFood_CA_i5K_0125_169_ZhoZhoZhoSUB_Ed_M4.mpg</v>
      </c>
      <c r="R81" s="387" t="s">
        <v>132</v>
      </c>
      <c r="S81" s="383"/>
      <c r="T81" s="384"/>
      <c r="U81" s="384"/>
      <c r="V81" s="387" t="s">
        <v>132</v>
      </c>
      <c r="W81" s="387"/>
      <c r="X81" s="343" t="s">
        <v>131</v>
      </c>
      <c r="Y81" s="343" t="s">
        <v>131</v>
      </c>
      <c r="Z81" s="120">
        <f t="shared" si="15"/>
        <v>55</v>
      </c>
      <c r="AA81" s="305" t="str">
        <f t="shared" si="16"/>
        <v>00:55:00</v>
      </c>
      <c r="AB81" s="120">
        <f t="shared" si="17"/>
        <v>3300</v>
      </c>
      <c r="AC81" s="402">
        <v>0.0379050925925926</v>
      </c>
      <c r="AD81" s="401">
        <v>169</v>
      </c>
      <c r="AE81" s="401">
        <v>43</v>
      </c>
      <c r="AF81" s="343" t="s">
        <v>133</v>
      </c>
    </row>
    <row r="82" ht="24" customHeight="1" spans="1:32">
      <c r="A82" s="343">
        <v>78</v>
      </c>
      <c r="B82" s="279"/>
      <c r="C82" s="345" t="s">
        <v>122</v>
      </c>
      <c r="D82" s="350"/>
      <c r="E82" s="350"/>
      <c r="F82" s="81">
        <v>16</v>
      </c>
      <c r="G82" s="360" t="s">
        <v>625</v>
      </c>
      <c r="H82" s="361" t="s">
        <v>626</v>
      </c>
      <c r="I82" s="365" t="s">
        <v>126</v>
      </c>
      <c r="J82" s="365" t="s">
        <v>126</v>
      </c>
      <c r="K82" s="365" t="s">
        <v>126</v>
      </c>
      <c r="L82" s="365" t="s">
        <v>126</v>
      </c>
      <c r="M82" s="365" t="s">
        <v>126</v>
      </c>
      <c r="N82" s="371" t="s">
        <v>627</v>
      </c>
      <c r="O82" s="367" t="s">
        <v>627</v>
      </c>
      <c r="P82" s="370" t="str">
        <f>CONCATENATE(RemovePunctuation(H82),"_CA","_","i4K","_",C82,"_",AE82,"_",PROPER(R82),IF(S82="",PROPER(R82),PROPER(S82)),PROPER(T82),PROPER(U82),PROPER(V82),IF(V82&lt;&gt;"","SUB",""),PROPER(W82),IF(W82&lt;&gt;"","SUB",""),"_","Ed","_","M1",".mpg")</f>
        <v>ThreeMealsandFourSeasons20240707_CA_i4K_0125_43_ZhoZhoZhoSUB_Ed_M1.mpg</v>
      </c>
      <c r="Q82" s="386" t="str">
        <f>CONCATENATE(RemovePunctuation(H82),"_CA","_","i5K","_",C82,"_",AD82,"_",PROPER(R82),IF(S82="",PROPER(R82),PROPER(S82)),PROPER(T82),PROPER(U82),PROPER(V82),IF(V82&lt;&gt;"","SUB",""),PROPER(W82),IF(W82&lt;&gt;"","SUB",""),"_","Ed","_","M4",".mpg")</f>
        <v>ThreeMealsandFourSeasons20240707_CA_i5K_0125_169_ZhoZhoZhoSUB_Ed_M4.mpg</v>
      </c>
      <c r="R82" s="387" t="s">
        <v>132</v>
      </c>
      <c r="S82" s="383"/>
      <c r="T82" s="384"/>
      <c r="U82" s="384"/>
      <c r="V82" s="387" t="s">
        <v>132</v>
      </c>
      <c r="W82" s="387"/>
      <c r="X82" s="343" t="s">
        <v>131</v>
      </c>
      <c r="Y82" s="343" t="s">
        <v>131</v>
      </c>
      <c r="Z82" s="120">
        <f t="shared" si="15"/>
        <v>88</v>
      </c>
      <c r="AA82" s="305" t="str">
        <f t="shared" si="16"/>
        <v>01:28:00</v>
      </c>
      <c r="AB82" s="120">
        <f t="shared" si="17"/>
        <v>5280</v>
      </c>
      <c r="AC82" s="402">
        <v>0.0611342592592593</v>
      </c>
      <c r="AD82" s="401">
        <v>169</v>
      </c>
      <c r="AE82" s="401">
        <v>43</v>
      </c>
      <c r="AF82" s="343" t="s">
        <v>133</v>
      </c>
    </row>
    <row r="83" ht="24" customHeight="1" spans="1:32">
      <c r="A83" s="343">
        <v>79</v>
      </c>
      <c r="B83" s="279"/>
      <c r="C83" s="345" t="s">
        <v>122</v>
      </c>
      <c r="D83" s="350"/>
      <c r="E83" s="350"/>
      <c r="F83" s="81">
        <v>17</v>
      </c>
      <c r="G83" s="360" t="s">
        <v>628</v>
      </c>
      <c r="H83" s="361" t="s">
        <v>629</v>
      </c>
      <c r="I83" s="365" t="s">
        <v>126</v>
      </c>
      <c r="J83" s="365" t="s">
        <v>126</v>
      </c>
      <c r="K83" s="365" t="s">
        <v>126</v>
      </c>
      <c r="L83" s="365" t="s">
        <v>126</v>
      </c>
      <c r="M83" s="365" t="s">
        <v>126</v>
      </c>
      <c r="N83" s="371" t="s">
        <v>630</v>
      </c>
      <c r="O83" s="367" t="s">
        <v>630</v>
      </c>
      <c r="P83" s="370" t="str">
        <f>CONCATENATE(RemovePunctuation(H83),"_CA","_","i4K","_",C83,"_",AE83,"_",PROPER(R83),IF(S83="",PROPER(R83),PROPER(S83)),PROPER(T83),PROPER(U83),PROPER(V83),IF(V83&lt;&gt;"","SUB",""),PROPER(W83),IF(W83&lt;&gt;"","SUB",""),"_","Ed","_","M1",".mpg")</f>
        <v>AHomeamongMountainsandRiversSeason320240908_CA_i4K_0125_43_ZhoZhoZhoSUB_Ed_M1.mpg</v>
      </c>
      <c r="Q83" s="386" t="str">
        <f>CONCATENATE(RemovePunctuation(H83),"_CA","_","i5K","_",C83,"_",AD83,"_",PROPER(R83),IF(S83="",PROPER(R83),PROPER(S83)),PROPER(T83),PROPER(U83),PROPER(V83),IF(V83&lt;&gt;"","SUB",""),PROPER(W83),IF(W83&lt;&gt;"","SUB",""),"_","Ed","_","M4",".mpg")</f>
        <v>AHomeamongMountainsandRiversSeason320240908_CA_i5K_0125_169_ZhoZhoZhoSUB_Ed_M4.mpg</v>
      </c>
      <c r="R83" s="387" t="s">
        <v>132</v>
      </c>
      <c r="S83" s="383"/>
      <c r="T83" s="384"/>
      <c r="U83" s="384"/>
      <c r="V83" s="387" t="s">
        <v>132</v>
      </c>
      <c r="W83" s="387"/>
      <c r="X83" s="343" t="s">
        <v>131</v>
      </c>
      <c r="Y83" s="343" t="s">
        <v>131</v>
      </c>
      <c r="Z83" s="120">
        <f t="shared" si="15"/>
        <v>86</v>
      </c>
      <c r="AA83" s="305" t="str">
        <f t="shared" si="16"/>
        <v>01:26:00</v>
      </c>
      <c r="AB83" s="120">
        <f t="shared" si="17"/>
        <v>5160</v>
      </c>
      <c r="AC83" s="402">
        <v>0.0596180555555556</v>
      </c>
      <c r="AD83" s="401">
        <v>169</v>
      </c>
      <c r="AE83" s="401">
        <v>43</v>
      </c>
      <c r="AF83" s="343" t="s">
        <v>133</v>
      </c>
    </row>
    <row r="84" ht="24" customHeight="1" spans="1:32">
      <c r="A84" s="343">
        <v>80</v>
      </c>
      <c r="B84" s="279"/>
      <c r="C84" s="345" t="s">
        <v>122</v>
      </c>
      <c r="D84" s="350"/>
      <c r="E84" s="350"/>
      <c r="F84" s="81">
        <v>18</v>
      </c>
      <c r="G84" s="360" t="s">
        <v>631</v>
      </c>
      <c r="H84" s="361" t="s">
        <v>632</v>
      </c>
      <c r="I84" s="365"/>
      <c r="J84" s="365"/>
      <c r="K84" s="369" t="s">
        <v>126</v>
      </c>
      <c r="L84" s="365"/>
      <c r="M84" s="365"/>
      <c r="N84" s="371"/>
      <c r="O84" s="372" t="s">
        <v>633</v>
      </c>
      <c r="P84" s="370"/>
      <c r="Q84" s="386"/>
      <c r="R84" s="382" t="s">
        <v>138</v>
      </c>
      <c r="S84" s="383"/>
      <c r="T84" s="384"/>
      <c r="U84" s="384"/>
      <c r="V84" s="382" t="s">
        <v>138</v>
      </c>
      <c r="W84" s="387" t="s">
        <v>132</v>
      </c>
      <c r="X84" s="343" t="s">
        <v>131</v>
      </c>
      <c r="Y84" s="343" t="s">
        <v>131</v>
      </c>
      <c r="Z84" s="120">
        <f t="shared" si="15"/>
        <v>43</v>
      </c>
      <c r="AA84" s="305" t="str">
        <f t="shared" si="16"/>
        <v>00:43:00</v>
      </c>
      <c r="AB84" s="120">
        <f t="shared" si="17"/>
        <v>2580</v>
      </c>
      <c r="AC84" s="402">
        <v>0.0297453703703704</v>
      </c>
      <c r="AD84" s="401">
        <v>169</v>
      </c>
      <c r="AE84" s="401">
        <v>43</v>
      </c>
      <c r="AF84" s="343"/>
    </row>
    <row r="85" ht="24" customHeight="1" spans="1:32">
      <c r="A85" s="343">
        <v>81</v>
      </c>
      <c r="B85" s="279"/>
      <c r="C85" s="345" t="s">
        <v>122</v>
      </c>
      <c r="D85" s="350"/>
      <c r="E85" s="350"/>
      <c r="F85" s="81">
        <v>19</v>
      </c>
      <c r="G85" s="360" t="s">
        <v>634</v>
      </c>
      <c r="H85" s="361" t="s">
        <v>635</v>
      </c>
      <c r="I85" s="365"/>
      <c r="J85" s="365"/>
      <c r="K85" s="369" t="s">
        <v>126</v>
      </c>
      <c r="L85" s="365"/>
      <c r="M85" s="365"/>
      <c r="N85" s="371"/>
      <c r="O85" s="372" t="s">
        <v>636</v>
      </c>
      <c r="P85" s="370"/>
      <c r="Q85" s="386"/>
      <c r="R85" s="382" t="s">
        <v>138</v>
      </c>
      <c r="S85" s="383"/>
      <c r="T85" s="384"/>
      <c r="U85" s="384"/>
      <c r="V85" s="382" t="s">
        <v>138</v>
      </c>
      <c r="W85" s="387" t="s">
        <v>132</v>
      </c>
      <c r="X85" s="343" t="s">
        <v>131</v>
      </c>
      <c r="Y85" s="343" t="s">
        <v>131</v>
      </c>
      <c r="Z85" s="120">
        <f t="shared" si="15"/>
        <v>43</v>
      </c>
      <c r="AA85" s="305" t="str">
        <f t="shared" si="16"/>
        <v>00:43:00</v>
      </c>
      <c r="AB85" s="120">
        <f t="shared" si="17"/>
        <v>2580</v>
      </c>
      <c r="AC85" s="402">
        <v>0.0301967592592593</v>
      </c>
      <c r="AD85" s="401">
        <v>169</v>
      </c>
      <c r="AE85" s="401">
        <v>43</v>
      </c>
      <c r="AF85" s="343"/>
    </row>
    <row r="86" ht="24" customHeight="1" spans="1:32">
      <c r="A86" s="343">
        <v>82</v>
      </c>
      <c r="B86" s="279"/>
      <c r="C86" s="345" t="s">
        <v>122</v>
      </c>
      <c r="D86" s="404" t="s">
        <v>637</v>
      </c>
      <c r="E86" s="404"/>
      <c r="F86" s="81">
        <v>1</v>
      </c>
      <c r="G86" s="360" t="s">
        <v>638</v>
      </c>
      <c r="H86" s="361" t="s">
        <v>639</v>
      </c>
      <c r="I86" s="365" t="s">
        <v>126</v>
      </c>
      <c r="J86" s="365" t="s">
        <v>126</v>
      </c>
      <c r="K86" s="365" t="s">
        <v>126</v>
      </c>
      <c r="L86" s="365" t="s">
        <v>126</v>
      </c>
      <c r="M86" s="365" t="s">
        <v>126</v>
      </c>
      <c r="N86" s="371" t="s">
        <v>640</v>
      </c>
      <c r="O86" s="367" t="s">
        <v>640</v>
      </c>
      <c r="P86" s="370" t="str">
        <f>CONCATENATE(RemovePunctuation(H86),"_CA","_","i4K","_",C86,"_",AE86,"_",PROPER(R86),IF(S86="",PROPER(R86),PROPER(S86)),PROPER(T86),PROPER(U86),PROPER(V86),IF(V86&lt;&gt;"","SUB",""),PROPER(W86),IF(W86&lt;&gt;"","SUB",""),"_","Ed","_","M1",".mpg")</f>
        <v>FitnessMovesFitnessDanceOlympicChampionTookMetoPractice_CA_i4K_0125_43_ZhoZho_Ed_M1.mpg</v>
      </c>
      <c r="Q86" s="386" t="str">
        <f>CONCATENATE(RemovePunctuation(H86),"_CA","_","i5K","_",C86,"_",AD86,"_",PROPER(R86),IF(S86="",PROPER(R86),PROPER(S86)),PROPER(T86),PROPER(U86),PROPER(V86),IF(V86&lt;&gt;"","SUB",""),PROPER(W86),IF(W86&lt;&gt;"","SUB",""),"_","Ed","_","M4",".mpg")</f>
        <v>FitnessMovesFitnessDanceOlympicChampionTookMetoPractice_CA_i5K_0125_169_ZhoZho_Ed_M4.mpg</v>
      </c>
      <c r="R86" s="387" t="s">
        <v>132</v>
      </c>
      <c r="S86" s="384"/>
      <c r="T86" s="384"/>
      <c r="U86" s="384"/>
      <c r="V86" s="387"/>
      <c r="W86" s="384"/>
      <c r="X86" s="343" t="s">
        <v>131</v>
      </c>
      <c r="Y86" s="343" t="s">
        <v>131</v>
      </c>
      <c r="Z86" s="120">
        <f t="shared" si="15"/>
        <v>20</v>
      </c>
      <c r="AA86" s="305" t="str">
        <f t="shared" si="16"/>
        <v>00:20:00</v>
      </c>
      <c r="AB86" s="120">
        <f t="shared" si="17"/>
        <v>1200</v>
      </c>
      <c r="AC86" s="402">
        <v>0.0139699074074074</v>
      </c>
      <c r="AD86" s="401">
        <v>169</v>
      </c>
      <c r="AE86" s="401">
        <v>43</v>
      </c>
      <c r="AF86" s="343" t="s">
        <v>133</v>
      </c>
    </row>
    <row r="87" ht="24" customHeight="1" spans="1:32">
      <c r="A87" s="343">
        <v>83</v>
      </c>
      <c r="B87" s="279"/>
      <c r="C87" s="345" t="s">
        <v>122</v>
      </c>
      <c r="D87" s="405"/>
      <c r="E87" s="405"/>
      <c r="F87" s="81">
        <v>2</v>
      </c>
      <c r="G87" s="360" t="s">
        <v>641</v>
      </c>
      <c r="H87" s="361" t="s">
        <v>642</v>
      </c>
      <c r="I87" s="365" t="s">
        <v>126</v>
      </c>
      <c r="J87" s="365" t="s">
        <v>126</v>
      </c>
      <c r="K87" s="365" t="s">
        <v>126</v>
      </c>
      <c r="L87" s="365" t="s">
        <v>126</v>
      </c>
      <c r="M87" s="365" t="s">
        <v>126</v>
      </c>
      <c r="N87" s="371" t="s">
        <v>643</v>
      </c>
      <c r="O87" s="367" t="s">
        <v>643</v>
      </c>
      <c r="P87" s="370" t="str">
        <f>CONCATENATE(RemovePunctuation(H87),"_CA","_","i4K","_",C87,"_",AE87,"_",PROPER(R87),IF(S87="",PROPER(R87),PROPER(S87)),PROPER(T87),PROPER(U87),PROPER(V87),IF(V87&lt;&gt;"","SUB",""),PROPER(W87),IF(W87&lt;&gt;"","SUB",""),"_","Ed","_","M1",".mpg")</f>
        <v>BilliardsSnookerWuhanOpen3rdroundDingJunhuiVSYuanSijun_CA_i4K_0125_43_ZhoZho_Ed_M1.mpg</v>
      </c>
      <c r="Q87" s="386" t="str">
        <f>CONCATENATE(RemovePunctuation(H87),"_CA","_","i5K","_",C87,"_",AD87,"_",PROPER(R87),IF(S87="",PROPER(R87),PROPER(S87)),PROPER(T87),PROPER(U87),PROPER(V87),IF(V87&lt;&gt;"","SUB",""),PROPER(W87),IF(W87&lt;&gt;"","SUB",""),"_","Ed","_","M4",".mpg")</f>
        <v>BilliardsSnookerWuhanOpen3rdroundDingJunhuiVSYuanSijun_CA_i5K_0125_169_ZhoZho_Ed_M4.mpg</v>
      </c>
      <c r="R87" s="387" t="s">
        <v>132</v>
      </c>
      <c r="S87" s="384"/>
      <c r="T87" s="384"/>
      <c r="U87" s="384"/>
      <c r="V87" s="387"/>
      <c r="W87" s="384"/>
      <c r="X87" s="343" t="s">
        <v>131</v>
      </c>
      <c r="Y87" s="343" t="s">
        <v>131</v>
      </c>
      <c r="Z87" s="120">
        <f t="shared" si="15"/>
        <v>129</v>
      </c>
      <c r="AA87" s="305" t="str">
        <f t="shared" si="16"/>
        <v>02:09:00</v>
      </c>
      <c r="AB87" s="120">
        <f t="shared" si="17"/>
        <v>7740</v>
      </c>
      <c r="AC87" s="402">
        <v>0.0898958333333333</v>
      </c>
      <c r="AD87" s="401">
        <v>169</v>
      </c>
      <c r="AE87" s="401">
        <v>43</v>
      </c>
      <c r="AF87" s="343" t="s">
        <v>133</v>
      </c>
    </row>
    <row r="88" ht="24" customHeight="1" spans="1:32">
      <c r="A88" s="343">
        <v>84</v>
      </c>
      <c r="B88" s="279"/>
      <c r="C88" s="345" t="s">
        <v>122</v>
      </c>
      <c r="D88" s="405"/>
      <c r="E88" s="405"/>
      <c r="F88" s="81">
        <v>3</v>
      </c>
      <c r="G88" s="360" t="s">
        <v>644</v>
      </c>
      <c r="H88" s="361" t="s">
        <v>645</v>
      </c>
      <c r="I88" s="365" t="s">
        <v>126</v>
      </c>
      <c r="J88" s="365" t="s">
        <v>126</v>
      </c>
      <c r="K88" s="365" t="s">
        <v>126</v>
      </c>
      <c r="L88" s="365" t="s">
        <v>126</v>
      </c>
      <c r="M88" s="365" t="s">
        <v>126</v>
      </c>
      <c r="N88" s="371" t="s">
        <v>646</v>
      </c>
      <c r="O88" s="367" t="s">
        <v>646</v>
      </c>
      <c r="P88" s="370" t="str">
        <f>CONCATENATE(RemovePunctuation(H88),"_CA","_","i4K","_",C88,"_",AE88,"_",PROPER(R88),IF(S88="",PROPER(R88),PROPER(S88)),PROPER(T88),PROPER(U88),PROPER(V88),IF(V88&lt;&gt;"","SUB",""),PROPER(W88),IF(W88&lt;&gt;"","SUB",""),"_","Ed","_","M1",".mpg")</f>
        <v>TotalSoccerMbappeItsGettingBetter_CA_i4K_0125_43_ZhoZhoZhoSUB_Ed_M1.mpg</v>
      </c>
      <c r="Q88" s="386" t="str">
        <f>CONCATENATE(RemovePunctuation(H88),"_CA","_","i5K","_",C88,"_",AD88,"_",PROPER(R88),IF(S88="",PROPER(R88),PROPER(S88)),PROPER(T88),PROPER(U88),PROPER(V88),IF(V88&lt;&gt;"","SUB",""),PROPER(W88),IF(W88&lt;&gt;"","SUB",""),"_","Ed","_","M4",".mpg")</f>
        <v>TotalSoccerMbappeItsGettingBetter_CA_i5K_0125_169_ZhoZhoZhoSUB_Ed_M4.mpg</v>
      </c>
      <c r="R88" s="387" t="s">
        <v>132</v>
      </c>
      <c r="S88" s="383"/>
      <c r="T88" s="384"/>
      <c r="U88" s="384"/>
      <c r="V88" s="387" t="s">
        <v>132</v>
      </c>
      <c r="W88" s="384"/>
      <c r="X88" s="343" t="s">
        <v>131</v>
      </c>
      <c r="Y88" s="343" t="s">
        <v>131</v>
      </c>
      <c r="Z88" s="120">
        <f t="shared" si="15"/>
        <v>34</v>
      </c>
      <c r="AA88" s="305" t="str">
        <f t="shared" si="16"/>
        <v>00:34:00</v>
      </c>
      <c r="AB88" s="120">
        <f t="shared" si="17"/>
        <v>2040</v>
      </c>
      <c r="AC88" s="402">
        <v>0.02375</v>
      </c>
      <c r="AD88" s="401">
        <v>169</v>
      </c>
      <c r="AE88" s="401">
        <v>43</v>
      </c>
      <c r="AF88" s="343" t="s">
        <v>133</v>
      </c>
    </row>
    <row r="89" ht="24" customHeight="1" spans="1:32">
      <c r="A89" s="343">
        <v>85</v>
      </c>
      <c r="B89" s="279"/>
      <c r="C89" s="345" t="s">
        <v>122</v>
      </c>
      <c r="D89" s="405"/>
      <c r="E89" s="405"/>
      <c r="F89" s="81">
        <v>4</v>
      </c>
      <c r="G89" s="360" t="s">
        <v>647</v>
      </c>
      <c r="H89" s="361" t="s">
        <v>648</v>
      </c>
      <c r="I89" s="365" t="s">
        <v>126</v>
      </c>
      <c r="J89" s="365"/>
      <c r="K89" s="365"/>
      <c r="L89" s="365"/>
      <c r="M89" s="365"/>
      <c r="N89" s="371" t="s">
        <v>649</v>
      </c>
      <c r="O89" s="367"/>
      <c r="P89" s="370"/>
      <c r="Q89" s="386"/>
      <c r="R89" s="387" t="s">
        <v>132</v>
      </c>
      <c r="S89" s="383"/>
      <c r="T89" s="384"/>
      <c r="U89" s="384"/>
      <c r="V89" s="387" t="s">
        <v>132</v>
      </c>
      <c r="W89" s="384"/>
      <c r="X89" s="343" t="s">
        <v>131</v>
      </c>
      <c r="Y89" s="343" t="s">
        <v>131</v>
      </c>
      <c r="Z89" s="120">
        <f t="shared" si="15"/>
        <v>62</v>
      </c>
      <c r="AA89" s="305" t="str">
        <f t="shared" si="16"/>
        <v>01:02:00</v>
      </c>
      <c r="AB89" s="120">
        <f t="shared" si="17"/>
        <v>3720</v>
      </c>
      <c r="AC89" s="402">
        <v>0.0429398148148148</v>
      </c>
      <c r="AD89" s="401">
        <v>169</v>
      </c>
      <c r="AE89" s="401">
        <v>43</v>
      </c>
      <c r="AF89" s="343" t="s">
        <v>133</v>
      </c>
    </row>
    <row r="90" ht="26" customHeight="1" spans="1:32">
      <c r="A90" s="343">
        <v>86</v>
      </c>
      <c r="B90" s="279"/>
      <c r="C90" s="345" t="s">
        <v>122</v>
      </c>
      <c r="D90" s="405"/>
      <c r="E90" s="405"/>
      <c r="F90" s="81">
        <v>5</v>
      </c>
      <c r="G90" s="360" t="s">
        <v>650</v>
      </c>
      <c r="H90" s="361" t="s">
        <v>651</v>
      </c>
      <c r="I90" s="365" t="s">
        <v>126</v>
      </c>
      <c r="J90" s="365" t="s">
        <v>126</v>
      </c>
      <c r="K90" s="365" t="s">
        <v>126</v>
      </c>
      <c r="L90" s="365" t="s">
        <v>126</v>
      </c>
      <c r="M90" s="365" t="s">
        <v>126</v>
      </c>
      <c r="N90" s="371" t="s">
        <v>652</v>
      </c>
      <c r="O90" s="367" t="s">
        <v>652</v>
      </c>
      <c r="P90" s="370" t="str">
        <f>CONCATENATE(RemovePunctuation(H90),"_CA","_","i4K","_",C90,"_",AE90,"_",PROPER(R90),IF(S90="",PROPER(R90),PROPER(S90)),PROPER(T90),PROPER(U90),PROPER(V90),IF(V90&lt;&gt;"","SUB",""),PROPER(W90),IF(W90&lt;&gt;"","SUB",""),"_","Ed","_","M1",".mpg")</f>
        <v>BasketballParkShandongMensBasketballCoachQiuBiao_CA_i4K_0125_43_ZhoZhoZhoSUB_Ed_M1.mpg</v>
      </c>
      <c r="Q90" s="386" t="str">
        <f>CONCATENATE(RemovePunctuation(H90),"_CA","_","i5K","_",C90,"_",AD90,"_",PROPER(R90),IF(S90="",PROPER(R90),PROPER(S90)),PROPER(T90),PROPER(U90),PROPER(V90),IF(V90&lt;&gt;"","SUB",""),PROPER(W90),IF(W90&lt;&gt;"","SUB",""),"_","Ed","_","M4",".mpg")</f>
        <v>BasketballParkShandongMensBasketballCoachQiuBiao_CA_i5K_0125_169_ZhoZhoZhoSUB_Ed_M4.mpg</v>
      </c>
      <c r="R90" s="387" t="s">
        <v>132</v>
      </c>
      <c r="S90" s="383"/>
      <c r="T90" s="384"/>
      <c r="U90" s="384"/>
      <c r="V90" s="387" t="s">
        <v>132</v>
      </c>
      <c r="W90" s="384"/>
      <c r="X90" s="343" t="s">
        <v>131</v>
      </c>
      <c r="Y90" s="343" t="s">
        <v>131</v>
      </c>
      <c r="Z90" s="120">
        <f t="shared" si="15"/>
        <v>35</v>
      </c>
      <c r="AA90" s="305" t="str">
        <f t="shared" si="16"/>
        <v>00:35:00</v>
      </c>
      <c r="AB90" s="120">
        <f t="shared" si="17"/>
        <v>2100</v>
      </c>
      <c r="AC90" s="402">
        <v>0.0242476851851852</v>
      </c>
      <c r="AD90" s="401">
        <v>169</v>
      </c>
      <c r="AE90" s="401">
        <v>43</v>
      </c>
      <c r="AF90" s="343" t="s">
        <v>133</v>
      </c>
    </row>
    <row r="91" ht="24" customHeight="1" spans="1:32">
      <c r="A91" s="343">
        <v>87</v>
      </c>
      <c r="B91" s="279"/>
      <c r="C91" s="345" t="s">
        <v>122</v>
      </c>
      <c r="D91" s="405"/>
      <c r="E91" s="405"/>
      <c r="F91" s="81">
        <v>6</v>
      </c>
      <c r="G91" s="406" t="s">
        <v>653</v>
      </c>
      <c r="H91" s="407" t="s">
        <v>654</v>
      </c>
      <c r="I91" s="365" t="s">
        <v>126</v>
      </c>
      <c r="J91" s="365"/>
      <c r="K91" s="365"/>
      <c r="L91" s="365"/>
      <c r="M91" s="365"/>
      <c r="N91" s="371" t="s">
        <v>655</v>
      </c>
      <c r="O91" s="367"/>
      <c r="P91" s="370"/>
      <c r="Q91" s="386"/>
      <c r="R91" s="387" t="s">
        <v>132</v>
      </c>
      <c r="S91" s="383"/>
      <c r="T91" s="384"/>
      <c r="U91" s="384"/>
      <c r="V91" s="387" t="s">
        <v>132</v>
      </c>
      <c r="W91" s="387"/>
      <c r="X91" s="343" t="s">
        <v>131</v>
      </c>
      <c r="Y91" s="343" t="s">
        <v>131</v>
      </c>
      <c r="Z91" s="120">
        <f t="shared" si="15"/>
        <v>43</v>
      </c>
      <c r="AA91" s="305" t="str">
        <f t="shared" si="16"/>
        <v>00:43:00</v>
      </c>
      <c r="AB91" s="120">
        <f t="shared" si="17"/>
        <v>2580</v>
      </c>
      <c r="AC91" s="402">
        <v>0.0297222222222222</v>
      </c>
      <c r="AD91" s="401">
        <v>169</v>
      </c>
      <c r="AE91" s="401">
        <v>43</v>
      </c>
      <c r="AF91" s="343" t="s">
        <v>133</v>
      </c>
    </row>
    <row r="92" ht="24" customHeight="1" spans="1:32">
      <c r="A92" s="343">
        <v>88</v>
      </c>
      <c r="B92" s="279"/>
      <c r="C92" s="345" t="s">
        <v>122</v>
      </c>
      <c r="D92" s="405"/>
      <c r="E92" s="405"/>
      <c r="F92" s="81">
        <v>7</v>
      </c>
      <c r="G92" s="406" t="s">
        <v>656</v>
      </c>
      <c r="H92" s="407" t="s">
        <v>657</v>
      </c>
      <c r="I92" s="365" t="s">
        <v>126</v>
      </c>
      <c r="J92" s="365" t="s">
        <v>126</v>
      </c>
      <c r="K92" s="365" t="s">
        <v>126</v>
      </c>
      <c r="L92" s="365" t="s">
        <v>126</v>
      </c>
      <c r="M92" s="365" t="s">
        <v>126</v>
      </c>
      <c r="N92" s="371" t="s">
        <v>658</v>
      </c>
      <c r="O92" s="367" t="s">
        <v>658</v>
      </c>
      <c r="P92" s="370" t="str">
        <f>CONCATENATE(RemovePunctuation(H92),"_CA","_","i4K","_",C92,"_",AE92,"_",PROPER(R92),IF(S92="",PROPER(R92),PROPER(S92)),PROPER(T92),PROPER(U92),PROPER(V92),IF(V92&lt;&gt;"","SUB",""),PROPER(W92),IF(W92&lt;&gt;"","SUB",""),"_","Ed","_","M1",".mpg")</f>
        <v>FIBAWorldBasketballEp02_CA_i4K_0125_43_EngEngEngSUBZhoSUB_Ed_M1.mpg</v>
      </c>
      <c r="Q92" s="386" t="str">
        <f>CONCATENATE(RemovePunctuation(H92),"_CA","_","i5K","_",C92,"_",AD92,"_",PROPER(R92),IF(S92="",PROPER(R92),PROPER(S92)),PROPER(T92),PROPER(U92),PROPER(V92),IF(V92&lt;&gt;"","SUB",""),PROPER(W92),IF(W92&lt;&gt;"","SUB",""),"_","Ed","_","M4",".mpg")</f>
        <v>FIBAWorldBasketballEp02_CA_i5K_0125_169_EngEngEngSUBZhoSUB_Ed_M4.mpg</v>
      </c>
      <c r="R92" s="382" t="s">
        <v>138</v>
      </c>
      <c r="S92" s="383"/>
      <c r="T92" s="384"/>
      <c r="U92" s="384"/>
      <c r="V92" s="382" t="s">
        <v>138</v>
      </c>
      <c r="W92" s="387" t="s">
        <v>132</v>
      </c>
      <c r="X92" s="343" t="s">
        <v>131</v>
      </c>
      <c r="Y92" s="343" t="s">
        <v>131</v>
      </c>
      <c r="Z92" s="120">
        <f t="shared" si="15"/>
        <v>24</v>
      </c>
      <c r="AA92" s="305" t="str">
        <f t="shared" si="16"/>
        <v>00:24:00</v>
      </c>
      <c r="AB92" s="120">
        <f t="shared" si="17"/>
        <v>1440</v>
      </c>
      <c r="AC92" s="402">
        <v>0.0164467592592593</v>
      </c>
      <c r="AD92" s="401">
        <v>169</v>
      </c>
      <c r="AE92" s="401">
        <v>43</v>
      </c>
      <c r="AF92" s="343" t="s">
        <v>133</v>
      </c>
    </row>
    <row r="93" ht="24" customHeight="1" spans="1:32">
      <c r="A93" s="343">
        <v>89</v>
      </c>
      <c r="B93" s="279"/>
      <c r="C93" s="345" t="s">
        <v>122</v>
      </c>
      <c r="D93" s="405"/>
      <c r="E93" s="405"/>
      <c r="F93" s="81">
        <v>8</v>
      </c>
      <c r="G93" s="406" t="s">
        <v>659</v>
      </c>
      <c r="H93" s="407" t="s">
        <v>660</v>
      </c>
      <c r="I93" s="365" t="s">
        <v>126</v>
      </c>
      <c r="J93" s="365" t="s">
        <v>126</v>
      </c>
      <c r="K93" s="365" t="s">
        <v>126</v>
      </c>
      <c r="L93" s="365" t="s">
        <v>126</v>
      </c>
      <c r="M93" s="365" t="s">
        <v>126</v>
      </c>
      <c r="N93" s="371" t="s">
        <v>661</v>
      </c>
      <c r="O93" s="367" t="s">
        <v>661</v>
      </c>
      <c r="P93" s="370" t="str">
        <f>CONCATENATE(RemovePunctuation(H93),"_CA","_","i4K","_",C93,"_",AE93,"_",PROPER(R93),IF(S93="",PROPER(R93),PROPER(S93)),PROPER(T93),PROPER(U93),PROPER(V93),IF(V93&lt;&gt;"","SUB",""),PROPER(W93),IF(W93&lt;&gt;"","SUB",""),"_","Ed","_","M1",".mpg")</f>
        <v>HowGoodIsGolfEp02_CA_i4K_0125_43_EngEngEngSUBZhoSUB_Ed_M1.mpg</v>
      </c>
      <c r="Q93" s="386" t="str">
        <f>CONCATENATE(RemovePunctuation(H93),"_CA","_","i5K","_",C93,"_",AD93,"_",PROPER(R93),IF(S93="",PROPER(R93),PROPER(S93)),PROPER(T93),PROPER(U93),PROPER(V93),IF(V93&lt;&gt;"","SUB",""),PROPER(W93),IF(W93&lt;&gt;"","SUB",""),"_","Ed","_","M4",".mpg")</f>
        <v>HowGoodIsGolfEp02_CA_i5K_0125_169_EngEngEngSUBZhoSUB_Ed_M4.mpg</v>
      </c>
      <c r="R93" s="382" t="s">
        <v>138</v>
      </c>
      <c r="S93" s="383"/>
      <c r="T93" s="384"/>
      <c r="U93" s="384"/>
      <c r="V93" s="382" t="s">
        <v>138</v>
      </c>
      <c r="W93" s="387" t="s">
        <v>132</v>
      </c>
      <c r="X93" s="343" t="s">
        <v>131</v>
      </c>
      <c r="Y93" s="343" t="s">
        <v>131</v>
      </c>
      <c r="Z93" s="120">
        <f t="shared" si="15"/>
        <v>24</v>
      </c>
      <c r="AA93" s="305" t="str">
        <f t="shared" si="16"/>
        <v>00:24:00</v>
      </c>
      <c r="AB93" s="120">
        <f t="shared" si="17"/>
        <v>1440</v>
      </c>
      <c r="AC93" s="402">
        <v>0.0166898148148148</v>
      </c>
      <c r="AD93" s="401">
        <v>169</v>
      </c>
      <c r="AE93" s="401">
        <v>43</v>
      </c>
      <c r="AF93" s="343" t="s">
        <v>133</v>
      </c>
    </row>
    <row r="94" ht="24" customHeight="1" spans="1:32">
      <c r="A94" s="343">
        <v>90</v>
      </c>
      <c r="B94" s="279"/>
      <c r="C94" s="345" t="s">
        <v>122</v>
      </c>
      <c r="D94" s="405"/>
      <c r="E94" s="405"/>
      <c r="F94" s="81">
        <v>9</v>
      </c>
      <c r="G94" s="406" t="s">
        <v>662</v>
      </c>
      <c r="H94" s="408" t="s">
        <v>663</v>
      </c>
      <c r="I94" s="365" t="s">
        <v>126</v>
      </c>
      <c r="J94" s="365" t="s">
        <v>126</v>
      </c>
      <c r="K94" s="365" t="s">
        <v>126</v>
      </c>
      <c r="L94" s="365" t="s">
        <v>126</v>
      </c>
      <c r="M94" s="365" t="s">
        <v>126</v>
      </c>
      <c r="N94" s="371" t="s">
        <v>664</v>
      </c>
      <c r="O94" s="367" t="s">
        <v>664</v>
      </c>
      <c r="P94" s="370" t="str">
        <f>CONCATENATE(RemovePunctuation(H94),"_CA","_","i4K","_",C94,"_",AE94,"_",PROPER(R94),IF(S94="",PROPER(R94),PROPER(S94)),PROPER(T94),PROPER(U94),PROPER(V94),IF(V94&lt;&gt;"","SUB",""),PROPER(W94),IF(W94&lt;&gt;"","SUB",""),"_","Ed","_","M1",".mpg")</f>
        <v>TheInsideLineEp02_CA_i4K_0125_43_EngEngEngSUBZhoSUB_Ed_M1.mpg</v>
      </c>
      <c r="Q94" s="386" t="str">
        <f>CONCATENATE(RemovePunctuation(H94),"_CA","_","i5K","_",C94,"_",AD94,"_",PROPER(R94),IF(S94="",PROPER(R94),PROPER(S94)),PROPER(T94),PROPER(U94),PROPER(V94),IF(V94&lt;&gt;"","SUB",""),PROPER(W94),IF(W94&lt;&gt;"","SUB",""),"_","Ed","_","M4",".mpg")</f>
        <v>TheInsideLineEp02_CA_i5K_0125_169_EngEngEngSUBZhoSUB_Ed_M4.mpg</v>
      </c>
      <c r="R94" s="382" t="s">
        <v>138</v>
      </c>
      <c r="S94" s="383"/>
      <c r="T94" s="384"/>
      <c r="U94" s="384"/>
      <c r="V94" s="382" t="s">
        <v>138</v>
      </c>
      <c r="W94" s="387" t="s">
        <v>132</v>
      </c>
      <c r="X94" s="343" t="s">
        <v>131</v>
      </c>
      <c r="Y94" s="343" t="s">
        <v>131</v>
      </c>
      <c r="Z94" s="120">
        <f t="shared" si="15"/>
        <v>23</v>
      </c>
      <c r="AA94" s="305" t="str">
        <f t="shared" si="16"/>
        <v>00:23:00</v>
      </c>
      <c r="AB94" s="120">
        <f t="shared" si="17"/>
        <v>1380</v>
      </c>
      <c r="AC94" s="402">
        <v>0.0157986111111111</v>
      </c>
      <c r="AD94" s="401">
        <v>169</v>
      </c>
      <c r="AE94" s="401">
        <v>43</v>
      </c>
      <c r="AF94" s="343" t="s">
        <v>133</v>
      </c>
    </row>
    <row r="95" ht="24" customHeight="1" spans="1:32">
      <c r="A95" s="343">
        <v>91</v>
      </c>
      <c r="B95" s="279"/>
      <c r="C95" s="345" t="s">
        <v>122</v>
      </c>
      <c r="D95" s="405"/>
      <c r="E95" s="405"/>
      <c r="F95" s="81">
        <v>10</v>
      </c>
      <c r="G95" s="406" t="s">
        <v>665</v>
      </c>
      <c r="H95" s="407" t="s">
        <v>666</v>
      </c>
      <c r="I95" s="365" t="s">
        <v>126</v>
      </c>
      <c r="J95" s="365" t="s">
        <v>126</v>
      </c>
      <c r="K95" s="365" t="s">
        <v>126</v>
      </c>
      <c r="L95" s="365" t="s">
        <v>126</v>
      </c>
      <c r="M95" s="365" t="s">
        <v>126</v>
      </c>
      <c r="N95" s="371" t="s">
        <v>667</v>
      </c>
      <c r="O95" s="367" t="s">
        <v>667</v>
      </c>
      <c r="P95" s="370" t="str">
        <f>CONCATENATE(RemovePunctuation(H95),"_CA","_","i4K","_",C95,"_",AE95,"_",PROPER(R95),IF(S95="",PROPER(R95),PROPER(S95)),PROPER(T95),PROPER(U95),PROPER(V95),IF(V95&lt;&gt;"","SUB",""),PROPER(W95),IF(W95&lt;&gt;"","SUB",""),"_","Ed","_","M1",".mpg")</f>
        <v>MoreThanaDiveEp3_CA_i4K_0125_43_EngEngEngSUBZhoSUB_Ed_M1.mpg</v>
      </c>
      <c r="Q95" s="386" t="str">
        <f>CONCATENATE(RemovePunctuation(H95),"_CA","_","i5K","_",C95,"_",AD95,"_",PROPER(R95),IF(S95="",PROPER(R95),PROPER(S95)),PROPER(T95),PROPER(U95),PROPER(V95),IF(V95&lt;&gt;"","SUB",""),PROPER(W95),IF(W95&lt;&gt;"","SUB",""),"_","Ed","_","M4",".mpg")</f>
        <v>MoreThanaDiveEp3_CA_i5K_0125_169_EngEngEngSUBZhoSUB_Ed_M4.mpg</v>
      </c>
      <c r="R95" s="382" t="s">
        <v>138</v>
      </c>
      <c r="S95" s="383"/>
      <c r="T95" s="384"/>
      <c r="U95" s="384"/>
      <c r="V95" s="382" t="s">
        <v>138</v>
      </c>
      <c r="W95" s="387" t="s">
        <v>132</v>
      </c>
      <c r="X95" s="343" t="s">
        <v>131</v>
      </c>
      <c r="Y95" s="343" t="s">
        <v>131</v>
      </c>
      <c r="Z95" s="120">
        <f t="shared" si="15"/>
        <v>50</v>
      </c>
      <c r="AA95" s="305" t="str">
        <f t="shared" si="16"/>
        <v>00:50:00</v>
      </c>
      <c r="AB95" s="120">
        <f t="shared" si="17"/>
        <v>3000</v>
      </c>
      <c r="AC95" s="402">
        <v>0.0347337962962963</v>
      </c>
      <c r="AD95" s="401">
        <v>169</v>
      </c>
      <c r="AE95" s="401">
        <v>43</v>
      </c>
      <c r="AF95" s="343" t="s">
        <v>133</v>
      </c>
    </row>
    <row r="96" ht="24" customHeight="1" spans="1:32">
      <c r="A96" s="343">
        <v>92</v>
      </c>
      <c r="B96" s="279"/>
      <c r="C96" s="345" t="s">
        <v>122</v>
      </c>
      <c r="D96" s="405"/>
      <c r="E96" s="405"/>
      <c r="F96" s="81">
        <v>11</v>
      </c>
      <c r="G96" s="406" t="s">
        <v>668</v>
      </c>
      <c r="H96" s="407" t="s">
        <v>669</v>
      </c>
      <c r="I96" s="365"/>
      <c r="J96" s="365"/>
      <c r="K96" s="369" t="s">
        <v>126</v>
      </c>
      <c r="L96" s="365"/>
      <c r="M96" s="365"/>
      <c r="N96" s="371"/>
      <c r="O96" s="372" t="s">
        <v>670</v>
      </c>
      <c r="P96" s="370"/>
      <c r="Q96" s="386"/>
      <c r="R96" s="382" t="s">
        <v>138</v>
      </c>
      <c r="S96" s="383"/>
      <c r="T96" s="384"/>
      <c r="U96" s="384"/>
      <c r="V96" s="382" t="s">
        <v>138</v>
      </c>
      <c r="W96" s="387" t="s">
        <v>132</v>
      </c>
      <c r="X96" s="343" t="s">
        <v>131</v>
      </c>
      <c r="Y96" s="343" t="s">
        <v>131</v>
      </c>
      <c r="Z96" s="120">
        <f t="shared" si="15"/>
        <v>51</v>
      </c>
      <c r="AA96" s="305" t="str">
        <f t="shared" si="16"/>
        <v>00:51:00</v>
      </c>
      <c r="AB96" s="120">
        <f t="shared" si="17"/>
        <v>3060</v>
      </c>
      <c r="AC96" s="402">
        <v>0.035162037037037</v>
      </c>
      <c r="AD96" s="401">
        <v>169</v>
      </c>
      <c r="AE96" s="401">
        <v>43</v>
      </c>
      <c r="AF96" s="343"/>
    </row>
    <row r="97" ht="24" customHeight="1" spans="1:32">
      <c r="A97" s="343">
        <v>93</v>
      </c>
      <c r="B97" s="279"/>
      <c r="C97" s="345" t="s">
        <v>122</v>
      </c>
      <c r="D97" s="405"/>
      <c r="E97" s="405"/>
      <c r="F97" s="81">
        <v>12</v>
      </c>
      <c r="G97" s="406" t="s">
        <v>671</v>
      </c>
      <c r="H97" s="407" t="s">
        <v>672</v>
      </c>
      <c r="I97" s="365" t="s">
        <v>126</v>
      </c>
      <c r="J97" s="365" t="s">
        <v>126</v>
      </c>
      <c r="K97" s="365" t="s">
        <v>126</v>
      </c>
      <c r="L97" s="365" t="s">
        <v>126</v>
      </c>
      <c r="M97" s="365" t="s">
        <v>126</v>
      </c>
      <c r="N97" s="371" t="s">
        <v>673</v>
      </c>
      <c r="O97" s="367" t="s">
        <v>673</v>
      </c>
      <c r="P97" s="370" t="str">
        <f>CONCATENATE(RemovePunctuation(H97),"_CA","_","i4K","_",C97,"_",AE97,"_",PROPER(R97),IF(S97="",PROPER(R97),PROPER(S97)),PROPER(T97),PROPER(U97),PROPER(V97),IF(V97&lt;&gt;"","SUB",""),PROPER(W97),IF(W97&lt;&gt;"","SUB",""),"_","Ed","_","M1",".mpg")</f>
        <v>TheGreatestofAllTimeEp04_CA_i4K_0125_43_EngEngEngSUBZhoSUB_Ed_M1.mpg</v>
      </c>
      <c r="Q97" s="386" t="str">
        <f>CONCATENATE(RemovePunctuation(H97),"_CA","_","i5K","_",C97,"_",AD97,"_",PROPER(R97),IF(S97="",PROPER(R97),PROPER(S97)),PROPER(T97),PROPER(U97),PROPER(V97),IF(V97&lt;&gt;"","SUB",""),PROPER(W97),IF(W97&lt;&gt;"","SUB",""),"_","Ed","_","M4",".mpg")</f>
        <v>TheGreatestofAllTimeEp04_CA_i5K_0125_169_EngEngEngSUBZhoSUB_Ed_M4.mpg</v>
      </c>
      <c r="R97" s="382" t="s">
        <v>138</v>
      </c>
      <c r="S97" s="383"/>
      <c r="T97" s="384"/>
      <c r="U97" s="384"/>
      <c r="V97" s="382" t="s">
        <v>138</v>
      </c>
      <c r="W97" s="387" t="s">
        <v>132</v>
      </c>
      <c r="X97" s="343" t="s">
        <v>131</v>
      </c>
      <c r="Y97" s="343" t="s">
        <v>131</v>
      </c>
      <c r="Z97" s="120">
        <f t="shared" ref="Z97:Z117" si="18">ROUNDUP(HOUR(AA97)*60+MINUTE(AA97)+SECOND(AA97)/60,0)</f>
        <v>15</v>
      </c>
      <c r="AA97" s="305" t="str">
        <f t="shared" si="16"/>
        <v>00:15:00</v>
      </c>
      <c r="AB97" s="120">
        <f t="shared" si="17"/>
        <v>900</v>
      </c>
      <c r="AC97" s="402">
        <v>0.0106134259259259</v>
      </c>
      <c r="AD97" s="401">
        <v>169</v>
      </c>
      <c r="AE97" s="401">
        <v>43</v>
      </c>
      <c r="AF97" s="343" t="s">
        <v>133</v>
      </c>
    </row>
    <row r="98" ht="24" customHeight="1" spans="1:32">
      <c r="A98" s="343">
        <v>94</v>
      </c>
      <c r="B98" s="279"/>
      <c r="C98" s="345" t="s">
        <v>122</v>
      </c>
      <c r="D98" s="405"/>
      <c r="E98" s="405"/>
      <c r="F98" s="81">
        <v>13</v>
      </c>
      <c r="G98" s="406" t="s">
        <v>674</v>
      </c>
      <c r="H98" s="407" t="s">
        <v>675</v>
      </c>
      <c r="I98" s="365" t="s">
        <v>126</v>
      </c>
      <c r="J98" s="365" t="s">
        <v>126</v>
      </c>
      <c r="K98" s="365" t="s">
        <v>126</v>
      </c>
      <c r="L98" s="365" t="s">
        <v>126</v>
      </c>
      <c r="M98" s="365" t="s">
        <v>126</v>
      </c>
      <c r="N98" s="371" t="s">
        <v>676</v>
      </c>
      <c r="O98" s="367" t="s">
        <v>676</v>
      </c>
      <c r="P98" s="370" t="str">
        <f>CONCATENATE(RemovePunctuation(H98),"_CA","_","i4K","_",C98,"_",AE98,"_",PROPER(R98),IF(S98="",PROPER(R98),PROPER(S98)),PROPER(T98),PROPER(U98),PROPER(V98),IF(V98&lt;&gt;"","SUB",""),PROPER(W98),IF(W98&lt;&gt;"","SUB",""),"_","Ed","_","M1",".mpg")</f>
        <v>ArenaEsports79_CA_i4K_0125_43_EngEngEngSUBZhoSUB_Ed_M1.mpg</v>
      </c>
      <c r="Q98" s="386" t="str">
        <f>CONCATENATE(RemovePunctuation(H98),"_CA","_","i5K","_",C98,"_",AD98,"_",PROPER(R98),IF(S98="",PROPER(R98),PROPER(S98)),PROPER(T98),PROPER(U98),PROPER(V98),IF(V98&lt;&gt;"","SUB",""),PROPER(W98),IF(W98&lt;&gt;"","SUB",""),"_","Ed","_","M4",".mpg")</f>
        <v>ArenaEsports79_CA_i5K_0125_169_EngEngEngSUBZhoSUB_Ed_M4.mpg</v>
      </c>
      <c r="R98" s="382" t="s">
        <v>138</v>
      </c>
      <c r="S98" s="383"/>
      <c r="T98" s="384"/>
      <c r="U98" s="384"/>
      <c r="V98" s="382" t="s">
        <v>138</v>
      </c>
      <c r="W98" s="387" t="s">
        <v>132</v>
      </c>
      <c r="X98" s="343" t="s">
        <v>131</v>
      </c>
      <c r="Y98" s="343" t="s">
        <v>131</v>
      </c>
      <c r="Z98" s="120">
        <f t="shared" si="18"/>
        <v>24</v>
      </c>
      <c r="AA98" s="305" t="str">
        <f t="shared" ref="AA98:AA117" si="19">TEXT((HOUR(AC98)*60+MINUTE(AC98)+IF(SECOND(AC98)&lt;=29,0,1))*60/86400,"hh:mm:ss")</f>
        <v>00:24:00</v>
      </c>
      <c r="AB98" s="120">
        <f t="shared" ref="AB98:AB117" si="20">Z98*60</f>
        <v>1440</v>
      </c>
      <c r="AC98" s="402">
        <v>0.0166898148148148</v>
      </c>
      <c r="AD98" s="401">
        <v>169</v>
      </c>
      <c r="AE98" s="401">
        <v>43</v>
      </c>
      <c r="AF98" s="343"/>
    </row>
    <row r="99" ht="24" customHeight="1" spans="1:32">
      <c r="A99" s="343">
        <v>95</v>
      </c>
      <c r="B99" s="279"/>
      <c r="C99" s="345" t="s">
        <v>122</v>
      </c>
      <c r="D99" s="405"/>
      <c r="E99" s="405"/>
      <c r="F99" s="81">
        <v>14</v>
      </c>
      <c r="G99" s="406" t="s">
        <v>677</v>
      </c>
      <c r="H99" s="407" t="s">
        <v>678</v>
      </c>
      <c r="I99" s="365" t="s">
        <v>126</v>
      </c>
      <c r="J99" s="365"/>
      <c r="K99" s="365" t="s">
        <v>126</v>
      </c>
      <c r="L99" s="365" t="s">
        <v>126</v>
      </c>
      <c r="M99" s="365"/>
      <c r="N99" s="371" t="s">
        <v>679</v>
      </c>
      <c r="O99" s="367" t="s">
        <v>679</v>
      </c>
      <c r="P99" s="370"/>
      <c r="Q99" s="386" t="str">
        <f>CONCATENATE(RemovePunctuation(H99),"_CA","_","i5K","_",C99,"_",AD99,"_",PROPER(R99),IF(S99="",PROPER(R99),PROPER(S99)),PROPER(T99),PROPER(U99),PROPER(V99),IF(V99&lt;&gt;"","SUB",""),PROPER(W99),IF(W99&lt;&gt;"","SUB",""),"_","Ed","_","M4",".mpg")</f>
        <v>ArenaEsports78_CA_i5K_0125_169_EngEngEngSUBZhoSUB_Ed_M4.mpg</v>
      </c>
      <c r="R99" s="382" t="s">
        <v>138</v>
      </c>
      <c r="S99" s="383"/>
      <c r="T99" s="384"/>
      <c r="U99" s="384"/>
      <c r="V99" s="382" t="s">
        <v>138</v>
      </c>
      <c r="W99" s="387" t="s">
        <v>132</v>
      </c>
      <c r="X99" s="343" t="s">
        <v>131</v>
      </c>
      <c r="Y99" s="343" t="s">
        <v>131</v>
      </c>
      <c r="Z99" s="120">
        <f t="shared" si="18"/>
        <v>20</v>
      </c>
      <c r="AA99" s="305" t="str">
        <f t="shared" si="19"/>
        <v>00:20:00</v>
      </c>
      <c r="AB99" s="120">
        <f t="shared" si="20"/>
        <v>1200</v>
      </c>
      <c r="AC99" s="402">
        <v>0.0141666666666667</v>
      </c>
      <c r="AD99" s="401">
        <v>169</v>
      </c>
      <c r="AE99" s="401">
        <v>43</v>
      </c>
      <c r="AF99" s="343"/>
    </row>
    <row r="100" ht="23.1" customHeight="1" spans="1:32">
      <c r="A100" s="343">
        <v>96</v>
      </c>
      <c r="B100" s="279"/>
      <c r="C100" s="345" t="s">
        <v>122</v>
      </c>
      <c r="D100" s="404" t="s">
        <v>680</v>
      </c>
      <c r="E100" s="404"/>
      <c r="F100" s="81">
        <v>1</v>
      </c>
      <c r="G100" s="406" t="s">
        <v>681</v>
      </c>
      <c r="H100" s="408" t="s">
        <v>682</v>
      </c>
      <c r="I100" s="365" t="s">
        <v>126</v>
      </c>
      <c r="J100" s="365" t="s">
        <v>126</v>
      </c>
      <c r="K100" s="365" t="s">
        <v>126</v>
      </c>
      <c r="L100" s="365" t="s">
        <v>126</v>
      </c>
      <c r="M100" s="365" t="s">
        <v>126</v>
      </c>
      <c r="N100" s="371" t="s">
        <v>683</v>
      </c>
      <c r="O100" s="367" t="s">
        <v>683</v>
      </c>
      <c r="P100" s="370" t="str">
        <f>CONCATENATE(RemovePunctuation(H100),"_CA","_","i4K","_",C100,"_",AE100,"_",PROPER(R100),IF(S100="",PROPER(R100),PROPER(S100)),PROPER(T100),PROPER(U100),PROPER(V100),IF(V100&lt;&gt;"","SUB",""),PROPER(W100),IF(W100&lt;&gt;"","SUB",""),"_","Ed","_","M1",".mpg")</f>
        <v>SuperSketchShowS01E01_CA_i4K_0125_43_ZhoZhoZhoSUB_Ed_M1.mpg</v>
      </c>
      <c r="Q100" s="386" t="str">
        <f>CONCATENATE(RemovePunctuation(H100),"_CA","_","i5K","_",C100,"_",AD100,"_",PROPER(R100),IF(S100="",PROPER(R100),PROPER(S100)),PROPER(T100),PROPER(U100),PROPER(V100),IF(V100&lt;&gt;"","SUB",""),PROPER(W100),IF(W100&lt;&gt;"","SUB",""),"_","Ed","_","M4",".mpg")</f>
        <v>SuperSketchShowS01E01_CA_i5K_0125_169_ZhoZhoZhoSUB_Ed_M4.mpg</v>
      </c>
      <c r="R100" s="387" t="s">
        <v>132</v>
      </c>
      <c r="S100" s="383"/>
      <c r="T100" s="384"/>
      <c r="U100" s="384"/>
      <c r="V100" s="387" t="s">
        <v>132</v>
      </c>
      <c r="W100" s="384"/>
      <c r="X100" s="343" t="s">
        <v>131</v>
      </c>
      <c r="Y100" s="343" t="s">
        <v>131</v>
      </c>
      <c r="Z100" s="120">
        <f t="shared" si="18"/>
        <v>68</v>
      </c>
      <c r="AA100" s="305" t="str">
        <f t="shared" si="19"/>
        <v>01:08:00</v>
      </c>
      <c r="AB100" s="120">
        <f t="shared" si="20"/>
        <v>4080</v>
      </c>
      <c r="AC100" s="402">
        <v>0.0475578703703704</v>
      </c>
      <c r="AD100" s="401">
        <v>169</v>
      </c>
      <c r="AE100" s="401">
        <v>43</v>
      </c>
      <c r="AF100" s="343" t="s">
        <v>144</v>
      </c>
    </row>
    <row r="101" ht="23.1" customHeight="1" spans="1:32">
      <c r="A101" s="343">
        <v>97</v>
      </c>
      <c r="B101" s="279"/>
      <c r="C101" s="345" t="s">
        <v>122</v>
      </c>
      <c r="D101" s="405"/>
      <c r="E101" s="405"/>
      <c r="F101" s="81">
        <v>2</v>
      </c>
      <c r="G101" s="406" t="s">
        <v>684</v>
      </c>
      <c r="H101" s="408" t="s">
        <v>685</v>
      </c>
      <c r="I101" s="365" t="s">
        <v>126</v>
      </c>
      <c r="J101" s="365" t="s">
        <v>126</v>
      </c>
      <c r="K101" s="365" t="s">
        <v>126</v>
      </c>
      <c r="L101" s="365" t="s">
        <v>126</v>
      </c>
      <c r="M101" s="365" t="s">
        <v>126</v>
      </c>
      <c r="N101" s="371" t="s">
        <v>686</v>
      </c>
      <c r="O101" s="367" t="s">
        <v>686</v>
      </c>
      <c r="P101" s="370" t="str">
        <f>CONCATENATE(RemovePunctuation(H101),"_CA","_","i4K","_",C101,"_",AE101,"_",PROPER(R101),IF(S101="",PROPER(R101),PROPER(S101)),PROPER(T101),PROPER(U101),PROPER(V101),IF(V101&lt;&gt;"","SUB",""),PROPER(W101),IF(W101&lt;&gt;"","SUB",""),"_","Ed","_","M1",".mpg")</f>
        <v>AvenueofStarsThisStationStarlight20240608_CA_i4K_0125_43_ZhoZhoZhoSUB_Ed_M1.mpg</v>
      </c>
      <c r="Q101" s="386" t="str">
        <f>CONCATENATE(RemovePunctuation(H101),"_CA","_","i5K","_",C101,"_",AD101,"_",PROPER(R101),IF(S101="",PROPER(R101),PROPER(S101)),PROPER(T101),PROPER(U101),PROPER(V101),IF(V101&lt;&gt;"","SUB",""),PROPER(W101),IF(W101&lt;&gt;"","SUB",""),"_","Ed","_","M4",".mpg")</f>
        <v>AvenueofStarsThisStationStarlight20240608_CA_i5K_0125_169_ZhoZhoZhoSUB_Ed_M4.mpg</v>
      </c>
      <c r="R101" s="387" t="s">
        <v>132</v>
      </c>
      <c r="S101" s="383"/>
      <c r="T101" s="384"/>
      <c r="U101" s="384"/>
      <c r="V101" s="387" t="s">
        <v>132</v>
      </c>
      <c r="W101" s="384"/>
      <c r="X101" s="343" t="s">
        <v>131</v>
      </c>
      <c r="Y101" s="343" t="s">
        <v>131</v>
      </c>
      <c r="Z101" s="120">
        <f t="shared" si="18"/>
        <v>67</v>
      </c>
      <c r="AA101" s="305" t="str">
        <f t="shared" si="19"/>
        <v>01:07:00</v>
      </c>
      <c r="AB101" s="120">
        <f t="shared" si="20"/>
        <v>4020</v>
      </c>
      <c r="AC101" s="402">
        <v>0.0462037037037037</v>
      </c>
      <c r="AD101" s="401">
        <v>169</v>
      </c>
      <c r="AE101" s="401">
        <v>43</v>
      </c>
      <c r="AF101" s="343" t="s">
        <v>133</v>
      </c>
    </row>
    <row r="102" ht="23.1" customHeight="1" spans="1:32">
      <c r="A102" s="343">
        <v>98</v>
      </c>
      <c r="B102" s="279"/>
      <c r="C102" s="345" t="s">
        <v>122</v>
      </c>
      <c r="D102" s="405"/>
      <c r="E102" s="405"/>
      <c r="F102" s="81">
        <v>3</v>
      </c>
      <c r="G102" s="406" t="s">
        <v>687</v>
      </c>
      <c r="H102" s="408" t="s">
        <v>688</v>
      </c>
      <c r="I102" s="365" t="s">
        <v>126</v>
      </c>
      <c r="J102" s="365" t="s">
        <v>126</v>
      </c>
      <c r="K102" s="365" t="s">
        <v>126</v>
      </c>
      <c r="L102" s="365" t="s">
        <v>126</v>
      </c>
      <c r="M102" s="365" t="s">
        <v>126</v>
      </c>
      <c r="N102" s="371" t="s">
        <v>689</v>
      </c>
      <c r="O102" s="367" t="s">
        <v>689</v>
      </c>
      <c r="P102" s="370" t="str">
        <f>CONCATENATE(RemovePunctuation(H102),"_CA","_","i4K","_",C102,"_",AE102,"_",PROPER(R102),IF(S102="",PROPER(R102),PROPER(S102)),PROPER(T102),PROPER(U102),PROPER(V102),IF(V102&lt;&gt;"","SUB",""),PROPER(W102),IF(W102&lt;&gt;"","SUB",""),"_","Ed","_","M1",".mpg")</f>
        <v>OpentheDoorandBeHappy20240826_CA_i4K_0125_43_ZhoZhoZhoSUB_Ed_M1.mpg</v>
      </c>
      <c r="Q102" s="386" t="str">
        <f>CONCATENATE(RemovePunctuation(H102),"_CA","_","i5K","_",C102,"_",AD102,"_",PROPER(R102),IF(S102="",PROPER(R102),PROPER(S102)),PROPER(T102),PROPER(U102),PROPER(V102),IF(V102&lt;&gt;"","SUB",""),PROPER(W102),IF(W102&lt;&gt;"","SUB",""),"_","Ed","_","M4",".mpg")</f>
        <v>OpentheDoorandBeHappy20240826_CA_i5K_0125_169_ZhoZhoZhoSUB_Ed_M4.mpg</v>
      </c>
      <c r="R102" s="387" t="s">
        <v>132</v>
      </c>
      <c r="S102" s="383"/>
      <c r="T102" s="384"/>
      <c r="U102" s="384"/>
      <c r="V102" s="387" t="s">
        <v>132</v>
      </c>
      <c r="W102" s="384"/>
      <c r="X102" s="343" t="s">
        <v>131</v>
      </c>
      <c r="Y102" s="343" t="s">
        <v>131</v>
      </c>
      <c r="Z102" s="120">
        <f t="shared" si="18"/>
        <v>73</v>
      </c>
      <c r="AA102" s="305" t="str">
        <f t="shared" si="19"/>
        <v>01:13:00</v>
      </c>
      <c r="AB102" s="120">
        <f t="shared" si="20"/>
        <v>4380</v>
      </c>
      <c r="AC102" s="402">
        <v>0.0505092592592593</v>
      </c>
      <c r="AD102" s="401">
        <v>169</v>
      </c>
      <c r="AE102" s="401">
        <v>43</v>
      </c>
      <c r="AF102" s="343" t="s">
        <v>133</v>
      </c>
    </row>
    <row r="103" ht="23.1" customHeight="1" spans="1:32">
      <c r="A103" s="343">
        <v>99</v>
      </c>
      <c r="B103" s="279"/>
      <c r="C103" s="345" t="s">
        <v>122</v>
      </c>
      <c r="D103" s="405"/>
      <c r="E103" s="405"/>
      <c r="F103" s="81">
        <v>4</v>
      </c>
      <c r="G103" s="406" t="s">
        <v>690</v>
      </c>
      <c r="H103" s="409" t="s">
        <v>691</v>
      </c>
      <c r="I103" s="365" t="s">
        <v>126</v>
      </c>
      <c r="J103" s="365" t="s">
        <v>126</v>
      </c>
      <c r="K103" s="365" t="s">
        <v>126</v>
      </c>
      <c r="L103" s="365" t="s">
        <v>126</v>
      </c>
      <c r="M103" s="365" t="s">
        <v>126</v>
      </c>
      <c r="N103" s="371" t="s">
        <v>692</v>
      </c>
      <c r="O103" s="367" t="s">
        <v>692</v>
      </c>
      <c r="P103" s="370" t="str">
        <f>CONCATENATE(RemovePunctuation(H103),"_CA","_","i4K","_",C103,"_",AE103,"_",PROPER(R103),IF(S103="",PROPER(R103),PROPER(S103)),PROPER(T103),PROPER(U103),PROPER(V103),IF(V103&lt;&gt;"","SUB",""),PROPER(W103),IF(W103&lt;&gt;"","SUB",""),"_","Ed","_","M1",".mpg")</f>
        <v>SpringFestivalNewYearColumnDrama20230123_CA_i4K_0125_43_ZhoZhoZhoSUB_Ed_M1.mpg</v>
      </c>
      <c r="Q103" s="386" t="str">
        <f>CONCATENATE(RemovePunctuation(H103),"_CA","_","i5K","_",C103,"_",AD103,"_",PROPER(R103),IF(S103="",PROPER(R103),PROPER(S103)),PROPER(T103),PROPER(U103),PROPER(V103),IF(V103&lt;&gt;"","SUB",""),PROPER(W103),IF(W103&lt;&gt;"","SUB",""),"_","Ed","_","M4",".mpg")</f>
        <v>SpringFestivalNewYearColumnDrama20230123_CA_i5K_0125_169_ZhoZhoZhoSUB_Ed_M4.mpg</v>
      </c>
      <c r="R103" s="387" t="s">
        <v>132</v>
      </c>
      <c r="S103" s="383"/>
      <c r="T103" s="384"/>
      <c r="U103" s="384"/>
      <c r="V103" s="387" t="s">
        <v>132</v>
      </c>
      <c r="W103" s="384"/>
      <c r="X103" s="343" t="s">
        <v>131</v>
      </c>
      <c r="Y103" s="343" t="s">
        <v>131</v>
      </c>
      <c r="Z103" s="120">
        <f t="shared" si="18"/>
        <v>52</v>
      </c>
      <c r="AA103" s="305" t="str">
        <f t="shared" si="19"/>
        <v>00:52:00</v>
      </c>
      <c r="AB103" s="120">
        <f t="shared" si="20"/>
        <v>3120</v>
      </c>
      <c r="AC103" s="402">
        <v>0.0359722222222222</v>
      </c>
      <c r="AD103" s="401">
        <v>169</v>
      </c>
      <c r="AE103" s="401">
        <v>43</v>
      </c>
      <c r="AF103" s="343" t="s">
        <v>133</v>
      </c>
    </row>
    <row r="104" ht="23.1" customHeight="1" spans="1:32">
      <c r="A104" s="343">
        <v>100</v>
      </c>
      <c r="B104" s="279"/>
      <c r="C104" s="345" t="s">
        <v>122</v>
      </c>
      <c r="D104" s="405"/>
      <c r="E104" s="405"/>
      <c r="F104" s="81">
        <v>5</v>
      </c>
      <c r="G104" s="406" t="s">
        <v>693</v>
      </c>
      <c r="H104" s="408" t="s">
        <v>694</v>
      </c>
      <c r="I104" s="365" t="s">
        <v>126</v>
      </c>
      <c r="J104" s="365" t="s">
        <v>126</v>
      </c>
      <c r="K104" s="365" t="s">
        <v>126</v>
      </c>
      <c r="L104" s="365" t="s">
        <v>126</v>
      </c>
      <c r="M104" s="365" t="s">
        <v>126</v>
      </c>
      <c r="N104" s="371" t="s">
        <v>695</v>
      </c>
      <c r="O104" s="367" t="s">
        <v>695</v>
      </c>
      <c r="P104" s="370" t="str">
        <f>CONCATENATE(RemovePunctuation(H104),"_CA","_","i4K","_",C104,"_",AE104,"_",PROPER(R104),IF(S104="",PROPER(R104),PROPER(S104)),PROPER(T104),PROPER(U104),PROPER(V104),IF(V104&lt;&gt;"","SUB",""),PROPER(W104),IF(W104&lt;&gt;"","SUB",""),"_","Ed","_","M1",".mpg")</f>
        <v>JustForLaughsGagsS21E11_CA_i4K_0125_43_EngEng_Ed_M1.mpg</v>
      </c>
      <c r="Q104" s="386" t="str">
        <f>CONCATENATE(RemovePunctuation(H104),"_CA","_","i5K","_",C104,"_",AD104,"_",PROPER(R104),IF(S104="",PROPER(R104),PROPER(S104)),PROPER(T104),PROPER(U104),PROPER(V104),IF(V104&lt;&gt;"","SUB",""),PROPER(W104),IF(W104&lt;&gt;"","SUB",""),"_","Ed","_","M4",".mpg")</f>
        <v>JustForLaughsGagsS21E11_CA_i5K_0125_169_EngEng_Ed_M4.mpg</v>
      </c>
      <c r="R104" s="382" t="s">
        <v>138</v>
      </c>
      <c r="S104" s="384"/>
      <c r="T104" s="414"/>
      <c r="U104" s="384"/>
      <c r="V104" s="382"/>
      <c r="W104" s="384"/>
      <c r="X104" s="343" t="s">
        <v>131</v>
      </c>
      <c r="Y104" s="343" t="s">
        <v>131</v>
      </c>
      <c r="Z104" s="120">
        <f t="shared" si="18"/>
        <v>21</v>
      </c>
      <c r="AA104" s="305" t="str">
        <f t="shared" si="19"/>
        <v>00:21:00</v>
      </c>
      <c r="AB104" s="120">
        <f t="shared" si="20"/>
        <v>1260</v>
      </c>
      <c r="AC104" s="402">
        <v>0.0142476851851852</v>
      </c>
      <c r="AD104" s="401">
        <v>169</v>
      </c>
      <c r="AE104" s="401">
        <v>43</v>
      </c>
      <c r="AF104" s="343"/>
    </row>
    <row r="105" ht="23.1" customHeight="1" spans="1:32">
      <c r="A105" s="343">
        <v>101</v>
      </c>
      <c r="B105" s="279"/>
      <c r="C105" s="345" t="s">
        <v>122</v>
      </c>
      <c r="D105" s="404" t="s">
        <v>696</v>
      </c>
      <c r="E105" s="404"/>
      <c r="F105" s="81">
        <v>1</v>
      </c>
      <c r="G105" s="406" t="s">
        <v>697</v>
      </c>
      <c r="H105" s="408" t="s">
        <v>698</v>
      </c>
      <c r="I105" s="365" t="s">
        <v>126</v>
      </c>
      <c r="J105" s="365" t="s">
        <v>126</v>
      </c>
      <c r="K105" s="365" t="s">
        <v>126</v>
      </c>
      <c r="L105" s="365" t="s">
        <v>126</v>
      </c>
      <c r="M105" s="365" t="s">
        <v>126</v>
      </c>
      <c r="N105" s="371" t="s">
        <v>699</v>
      </c>
      <c r="O105" s="367" t="s">
        <v>699</v>
      </c>
      <c r="P105" s="370" t="str">
        <f>CONCATENATE(RemovePunctuation(H105),"_CA","_","i4K","_",C105,"_",AE105,"_",PROPER(R105),IF(S105="",PROPER(R105),PROPER(S105)),PROPER(T105),PROPER(U105),PROPER(V105),IF(V105&lt;&gt;"","SUB",""),PROPER(W105),IF(W105&lt;&gt;"","SUB",""),"_","Ed","_","M1",".mpg")</f>
        <v>TimeConcertOldFriendsEp02_CA_i4K_0125_43_ZhoZhoZhoSUB_Ed_M1.mpg</v>
      </c>
      <c r="Q105" s="386" t="str">
        <f>CONCATENATE(RemovePunctuation(H105),"_CA","_","i5K","_",C105,"_",AD105,"_",PROPER(R105),IF(S105="",PROPER(R105),PROPER(S105)),PROPER(T105),PROPER(U105),PROPER(V105),IF(V105&lt;&gt;"","SUB",""),PROPER(W105),IF(W105&lt;&gt;"","SUB",""),"_","Ed","_","M4",".mpg")</f>
        <v>TimeConcertOldFriendsEp02_CA_i5K_0125_169_ZhoZhoZhoSUB_Ed_M4.mpg</v>
      </c>
      <c r="R105" s="387" t="s">
        <v>132</v>
      </c>
      <c r="S105" s="383"/>
      <c r="T105" s="384"/>
      <c r="U105" s="384"/>
      <c r="V105" s="387" t="s">
        <v>132</v>
      </c>
      <c r="W105" s="387"/>
      <c r="X105" s="343" t="s">
        <v>131</v>
      </c>
      <c r="Y105" s="343" t="s">
        <v>131</v>
      </c>
      <c r="Z105" s="120">
        <f t="shared" si="18"/>
        <v>87</v>
      </c>
      <c r="AA105" s="305" t="str">
        <f t="shared" si="19"/>
        <v>01:27:00</v>
      </c>
      <c r="AB105" s="120">
        <f t="shared" si="20"/>
        <v>5220</v>
      </c>
      <c r="AC105" s="402">
        <v>0.0602430555555556</v>
      </c>
      <c r="AD105" s="401">
        <v>169</v>
      </c>
      <c r="AE105" s="401">
        <v>43</v>
      </c>
      <c r="AF105" s="343" t="s">
        <v>133</v>
      </c>
    </row>
    <row r="106" ht="23.1" customHeight="1" spans="1:32">
      <c r="A106" s="343">
        <v>102</v>
      </c>
      <c r="B106" s="279"/>
      <c r="C106" s="345" t="s">
        <v>122</v>
      </c>
      <c r="D106" s="405"/>
      <c r="E106" s="405"/>
      <c r="F106" s="81">
        <v>2</v>
      </c>
      <c r="G106" s="406" t="s">
        <v>700</v>
      </c>
      <c r="H106" s="408" t="s">
        <v>701</v>
      </c>
      <c r="I106" s="365" t="s">
        <v>126</v>
      </c>
      <c r="J106" s="365" t="s">
        <v>126</v>
      </c>
      <c r="K106" s="365" t="s">
        <v>126</v>
      </c>
      <c r="L106" s="365" t="s">
        <v>126</v>
      </c>
      <c r="M106" s="365" t="s">
        <v>126</v>
      </c>
      <c r="N106" s="371" t="s">
        <v>702</v>
      </c>
      <c r="O106" s="367" t="s">
        <v>702</v>
      </c>
      <c r="P106" s="370" t="str">
        <f>CONCATENATE(RemovePunctuation(H106),"_CA","_","i4K","_",C106,"_",AE106,"_",PROPER(R106),IF(S106="",PROPER(R106),PROPER(S106)),PROPER(T106),PROPER(U106),PROPER(V106),IF(V106&lt;&gt;"","SUB",""),PROPER(W106),IF(W106&lt;&gt;"","SUB",""),"_","Ed","_","M1",".mpg")</f>
        <v>TimeConcertOldFriendsEp01_CA_i4K_0125_43_ZhoZhoZhoSUB_Ed_M1.mpg</v>
      </c>
      <c r="Q106" s="386" t="str">
        <f>CONCATENATE(RemovePunctuation(H106),"_CA","_","i5K","_",C106,"_",AD106,"_",PROPER(R106),IF(S106="",PROPER(R106),PROPER(S106)),PROPER(T106),PROPER(U106),PROPER(V106),IF(V106&lt;&gt;"","SUB",""),PROPER(W106),IF(W106&lt;&gt;"","SUB",""),"_","Ed","_","M4",".mpg")</f>
        <v>TimeConcertOldFriendsEp01_CA_i5K_0125_169_ZhoZhoZhoSUB_Ed_M4.mpg</v>
      </c>
      <c r="R106" s="387" t="s">
        <v>132</v>
      </c>
      <c r="S106" s="383"/>
      <c r="T106" s="384"/>
      <c r="U106" s="384"/>
      <c r="V106" s="387" t="s">
        <v>132</v>
      </c>
      <c r="W106" s="387"/>
      <c r="X106" s="343" t="s">
        <v>131</v>
      </c>
      <c r="Y106" s="343" t="s">
        <v>131</v>
      </c>
      <c r="Z106" s="120">
        <f t="shared" si="18"/>
        <v>90</v>
      </c>
      <c r="AA106" s="305" t="str">
        <f t="shared" si="19"/>
        <v>01:30:00</v>
      </c>
      <c r="AB106" s="120">
        <f t="shared" si="20"/>
        <v>5400</v>
      </c>
      <c r="AC106" s="402">
        <v>0.0622800925925926</v>
      </c>
      <c r="AD106" s="401">
        <v>169</v>
      </c>
      <c r="AE106" s="401">
        <v>43</v>
      </c>
      <c r="AF106" s="343" t="s">
        <v>133</v>
      </c>
    </row>
    <row r="107" ht="23.1" customHeight="1" spans="1:32">
      <c r="A107" s="343">
        <v>103</v>
      </c>
      <c r="B107" s="279"/>
      <c r="C107" s="345" t="s">
        <v>122</v>
      </c>
      <c r="D107" s="405"/>
      <c r="E107" s="405"/>
      <c r="F107" s="81">
        <v>3</v>
      </c>
      <c r="G107" s="406" t="s">
        <v>703</v>
      </c>
      <c r="H107" s="408" t="s">
        <v>704</v>
      </c>
      <c r="I107" s="365" t="s">
        <v>126</v>
      </c>
      <c r="J107" s="365" t="s">
        <v>126</v>
      </c>
      <c r="K107" s="365" t="s">
        <v>126</v>
      </c>
      <c r="L107" s="365" t="s">
        <v>126</v>
      </c>
      <c r="M107" s="365" t="s">
        <v>126</v>
      </c>
      <c r="N107" s="371" t="s">
        <v>705</v>
      </c>
      <c r="O107" s="367" t="s">
        <v>705</v>
      </c>
      <c r="P107" s="370" t="str">
        <f>CONCATENATE(RemovePunctuation(H107),"_CA","_","i4K","_",C107,"_",AE107,"_",PROPER(R107),IF(S107="",PROPER(R107),PROPER(S107)),PROPER(T107),PROPER(U107),PROPER(V107),IF(V107&lt;&gt;"","SUB",""),PROPER(W107),IF(W107&lt;&gt;"","SUB",""),"_","Ed","_","M1",".mpg")</f>
        <v>SINGER2024EP12_CA_i4K_0125_43_ZhoZhoZhoSUB_Ed_M1.mpg</v>
      </c>
      <c r="Q107" s="386" t="str">
        <f>CONCATENATE(RemovePunctuation(H107),"_CA","_","i5K","_",C107,"_",AD107,"_",PROPER(R107),IF(S107="",PROPER(R107),PROPER(S107)),PROPER(T107),PROPER(U107),PROPER(V107),IF(V107&lt;&gt;"","SUB",""),PROPER(W107),IF(W107&lt;&gt;"","SUB",""),"_","Ed","_","M4",".mpg")</f>
        <v>SINGER2024EP12_CA_i5K_0125_169_ZhoZhoZhoSUB_Ed_M4.mpg</v>
      </c>
      <c r="R107" s="387" t="s">
        <v>132</v>
      </c>
      <c r="S107" s="383"/>
      <c r="T107" s="384"/>
      <c r="U107" s="384"/>
      <c r="V107" s="387" t="s">
        <v>132</v>
      </c>
      <c r="W107" s="387"/>
      <c r="X107" s="343" t="s">
        <v>131</v>
      </c>
      <c r="Y107" s="343" t="s">
        <v>131</v>
      </c>
      <c r="Z107" s="120">
        <f t="shared" si="18"/>
        <v>152</v>
      </c>
      <c r="AA107" s="305" t="str">
        <f t="shared" si="19"/>
        <v>02:32:00</v>
      </c>
      <c r="AB107" s="120">
        <f t="shared" si="20"/>
        <v>9120</v>
      </c>
      <c r="AC107" s="402">
        <v>0.105763888888889</v>
      </c>
      <c r="AD107" s="401">
        <v>169</v>
      </c>
      <c r="AE107" s="401">
        <v>43</v>
      </c>
      <c r="AF107" s="343" t="s">
        <v>133</v>
      </c>
    </row>
    <row r="108" ht="23.1" customHeight="1" spans="1:32">
      <c r="A108" s="343">
        <v>104</v>
      </c>
      <c r="B108" s="279"/>
      <c r="C108" s="345" t="s">
        <v>122</v>
      </c>
      <c r="D108" s="405"/>
      <c r="E108" s="405"/>
      <c r="F108" s="81">
        <v>4</v>
      </c>
      <c r="G108" s="406" t="s">
        <v>706</v>
      </c>
      <c r="H108" s="408" t="s">
        <v>707</v>
      </c>
      <c r="I108" s="365"/>
      <c r="J108" s="365"/>
      <c r="K108" s="369" t="s">
        <v>126</v>
      </c>
      <c r="L108" s="365"/>
      <c r="M108" s="365"/>
      <c r="N108" s="371"/>
      <c r="O108" s="372" t="s">
        <v>708</v>
      </c>
      <c r="P108" s="370"/>
      <c r="Q108" s="386"/>
      <c r="R108" s="387" t="s">
        <v>132</v>
      </c>
      <c r="S108" s="383"/>
      <c r="T108" s="384"/>
      <c r="U108" s="384"/>
      <c r="V108" s="387" t="s">
        <v>132</v>
      </c>
      <c r="W108" s="387"/>
      <c r="X108" s="343" t="s">
        <v>131</v>
      </c>
      <c r="Y108" s="343" t="s">
        <v>131</v>
      </c>
      <c r="Z108" s="120">
        <f t="shared" ref="Z108:Z121" si="21">ROUNDUP(HOUR(AA108)*60+MINUTE(AA108)+SECOND(AA108)/60,0)</f>
        <v>117</v>
      </c>
      <c r="AA108" s="305" t="str">
        <f t="shared" ref="AA108:AA121" si="22">TEXT((HOUR(AC108)*60+MINUTE(AC108)+IF(SECOND(AC108)&lt;=29,0,1))*60/86400,"hh:mm:ss")</f>
        <v>01:57:00</v>
      </c>
      <c r="AB108" s="120">
        <f t="shared" ref="AB108:AB121" si="23">Z108*60</f>
        <v>7020</v>
      </c>
      <c r="AC108" s="402">
        <v>0.0810300925925926</v>
      </c>
      <c r="AD108" s="401">
        <v>169</v>
      </c>
      <c r="AE108" s="401">
        <v>43</v>
      </c>
      <c r="AF108" s="343"/>
    </row>
    <row r="109" ht="23.1" customHeight="1" spans="1:32">
      <c r="A109" s="343">
        <v>105</v>
      </c>
      <c r="B109" s="279"/>
      <c r="C109" s="345" t="s">
        <v>122</v>
      </c>
      <c r="D109" s="405"/>
      <c r="E109" s="405"/>
      <c r="F109" s="81">
        <v>5</v>
      </c>
      <c r="G109" s="406" t="s">
        <v>709</v>
      </c>
      <c r="H109" s="408" t="s">
        <v>710</v>
      </c>
      <c r="I109" s="365"/>
      <c r="J109" s="365"/>
      <c r="K109" s="369" t="s">
        <v>126</v>
      </c>
      <c r="L109" s="365"/>
      <c r="M109" s="365"/>
      <c r="N109" s="371"/>
      <c r="O109" s="372" t="s">
        <v>711</v>
      </c>
      <c r="P109" s="370"/>
      <c r="Q109" s="386"/>
      <c r="R109" s="387" t="s">
        <v>132</v>
      </c>
      <c r="S109" s="383"/>
      <c r="T109" s="384"/>
      <c r="U109" s="384"/>
      <c r="V109" s="387" t="s">
        <v>132</v>
      </c>
      <c r="W109" s="387"/>
      <c r="X109" s="343" t="s">
        <v>131</v>
      </c>
      <c r="Y109" s="343" t="s">
        <v>131</v>
      </c>
      <c r="Z109" s="120">
        <f t="shared" si="21"/>
        <v>111</v>
      </c>
      <c r="AA109" s="305" t="str">
        <f t="shared" si="22"/>
        <v>01:51:00</v>
      </c>
      <c r="AB109" s="120">
        <f t="shared" si="23"/>
        <v>6660</v>
      </c>
      <c r="AC109" s="402">
        <v>0.0769791666666667</v>
      </c>
      <c r="AD109" s="401">
        <v>169</v>
      </c>
      <c r="AE109" s="401">
        <v>43</v>
      </c>
      <c r="AF109" s="343"/>
    </row>
    <row r="110" ht="23.1" customHeight="1" spans="1:32">
      <c r="A110" s="343">
        <v>106</v>
      </c>
      <c r="B110" s="279"/>
      <c r="C110" s="345" t="s">
        <v>122</v>
      </c>
      <c r="D110" s="405"/>
      <c r="E110" s="405"/>
      <c r="F110" s="81">
        <v>6</v>
      </c>
      <c r="G110" s="406" t="s">
        <v>712</v>
      </c>
      <c r="H110" s="408" t="s">
        <v>713</v>
      </c>
      <c r="I110" s="365" t="s">
        <v>126</v>
      </c>
      <c r="J110" s="365" t="s">
        <v>126</v>
      </c>
      <c r="K110" s="365" t="s">
        <v>126</v>
      </c>
      <c r="L110" s="365" t="s">
        <v>126</v>
      </c>
      <c r="M110" s="365" t="s">
        <v>126</v>
      </c>
      <c r="N110" s="371" t="s">
        <v>714</v>
      </c>
      <c r="O110" s="367" t="s">
        <v>714</v>
      </c>
      <c r="P110" s="370" t="str">
        <f>CONCATENATE(RemovePunctuation(H110),"_CA","_","i4K","_",C110,"_",AE110,"_",PROPER(R110),IF(S110="",PROPER(R110),PROPER(S110)),PROPER(T110),PROPER(U110),PROPER(V110),IF(V110&lt;&gt;"","SUB",""),PROPER(W110),IF(W110&lt;&gt;"","SUB",""),"_","Ed","_","M1",".mpg")</f>
        <v>2024ViennaNewYearsConcert_CA_i4K_0125_43_ZhoZho_Ed_M1.mpg</v>
      </c>
      <c r="Q110" s="386" t="str">
        <f>CONCATENATE(RemovePunctuation(H110),"_CA","_","i5K","_",C110,"_",AD110,"_",PROPER(R110),IF(S110="",PROPER(R110),PROPER(S110)),PROPER(T110),PROPER(U110),PROPER(V110),IF(V110&lt;&gt;"","SUB",""),PROPER(W110),IF(W110&lt;&gt;"","SUB",""),"_","Ed","_","M4",".mpg")</f>
        <v>2024ViennaNewYearsConcert_CA_i5K_0125_169_ZhoZho_Ed_M4.mpg</v>
      </c>
      <c r="R110" s="387" t="s">
        <v>132</v>
      </c>
      <c r="S110" s="384"/>
      <c r="T110" s="414"/>
      <c r="U110" s="384"/>
      <c r="V110" s="387"/>
      <c r="W110" s="387"/>
      <c r="X110" s="343" t="s">
        <v>131</v>
      </c>
      <c r="Y110" s="343" t="s">
        <v>131</v>
      </c>
      <c r="Z110" s="120">
        <f t="shared" si="21"/>
        <v>88</v>
      </c>
      <c r="AA110" s="305" t="str">
        <f t="shared" si="22"/>
        <v>01:28:00</v>
      </c>
      <c r="AB110" s="120">
        <f t="shared" si="23"/>
        <v>5280</v>
      </c>
      <c r="AC110" s="402">
        <v>0.061400462962963</v>
      </c>
      <c r="AD110" s="401">
        <v>169</v>
      </c>
      <c r="AE110" s="401">
        <v>43</v>
      </c>
      <c r="AF110" s="343"/>
    </row>
    <row r="111" ht="23.1" customHeight="1" spans="1:32">
      <c r="A111" s="343">
        <v>107</v>
      </c>
      <c r="B111" s="279"/>
      <c r="C111" s="345" t="s">
        <v>122</v>
      </c>
      <c r="D111" s="405"/>
      <c r="E111" s="405"/>
      <c r="F111" s="81">
        <v>7</v>
      </c>
      <c r="G111" s="406" t="s">
        <v>715</v>
      </c>
      <c r="H111" s="408" t="s">
        <v>716</v>
      </c>
      <c r="I111" s="365" t="s">
        <v>126</v>
      </c>
      <c r="J111" s="365"/>
      <c r="K111" s="365"/>
      <c r="L111" s="365" t="s">
        <v>126</v>
      </c>
      <c r="M111" s="365" t="s">
        <v>126</v>
      </c>
      <c r="N111" s="371" t="s">
        <v>717</v>
      </c>
      <c r="O111" s="367"/>
      <c r="P111" s="370" t="str">
        <f>CONCATENATE(RemovePunctuation(H111),"_CA","_","i4K","_",C111,"_",AE111,"_",PROPER(R111),IF(S111="",PROPER(R111),PROPER(S111)),PROPER(T111),PROPER(U111),PROPER(V111),IF(V111&lt;&gt;"","SUB",""),PROPER(W111),IF(W111&lt;&gt;"","SUB",""),"_","Ed","_","M1",".mpg")</f>
        <v>WonderfulMusicCollectionMyLoveSaystoYou20241012_CA_i4K_0125_43_ZhoZhoZhoSUB_Ed_M1.mpg</v>
      </c>
      <c r="Q111" s="386" t="str">
        <f>CONCATENATE(RemovePunctuation(H111),"_CA","_","i5K","_",C111,"_",AD111,"_",PROPER(R111),IF(S111="",PROPER(R111),PROPER(S111)),PROPER(T111),PROPER(U111),PROPER(V111),IF(V111&lt;&gt;"","SUB",""),PROPER(W111),IF(W111&lt;&gt;"","SUB",""),"_","Ed","_","M4",".mpg")</f>
        <v>WonderfulMusicCollectionMyLoveSaystoYou20241012_CA_i5K_0125_169_ZhoZhoZhoSUB_Ed_M4.mpg</v>
      </c>
      <c r="R111" s="387" t="s">
        <v>132</v>
      </c>
      <c r="S111" s="384"/>
      <c r="T111" s="414"/>
      <c r="U111" s="384"/>
      <c r="V111" s="387" t="s">
        <v>132</v>
      </c>
      <c r="W111" s="387"/>
      <c r="X111" s="343" t="s">
        <v>131</v>
      </c>
      <c r="Y111" s="343" t="s">
        <v>131</v>
      </c>
      <c r="Z111" s="120">
        <f t="shared" si="21"/>
        <v>56</v>
      </c>
      <c r="AA111" s="305" t="str">
        <f t="shared" si="22"/>
        <v>00:56:00</v>
      </c>
      <c r="AB111" s="120">
        <f t="shared" si="23"/>
        <v>3360</v>
      </c>
      <c r="AC111" s="402">
        <v>0.0388078703703704</v>
      </c>
      <c r="AD111" s="401">
        <v>169</v>
      </c>
      <c r="AE111" s="401">
        <v>43</v>
      </c>
      <c r="AF111" s="343"/>
    </row>
    <row r="112" ht="23.1" customHeight="1" spans="1:32">
      <c r="A112" s="343">
        <v>108</v>
      </c>
      <c r="B112" s="279"/>
      <c r="C112" s="345" t="s">
        <v>122</v>
      </c>
      <c r="D112" s="405"/>
      <c r="E112" s="405"/>
      <c r="F112" s="81">
        <v>8</v>
      </c>
      <c r="G112" s="406" t="s">
        <v>718</v>
      </c>
      <c r="H112" s="408" t="s">
        <v>719</v>
      </c>
      <c r="I112" s="365"/>
      <c r="J112" s="365"/>
      <c r="K112" s="369" t="s">
        <v>126</v>
      </c>
      <c r="L112" s="365"/>
      <c r="M112" s="365"/>
      <c r="N112" s="371"/>
      <c r="O112" s="372" t="s">
        <v>720</v>
      </c>
      <c r="P112" s="370"/>
      <c r="Q112" s="386"/>
      <c r="R112" s="387" t="s">
        <v>132</v>
      </c>
      <c r="S112" s="384"/>
      <c r="T112" s="414"/>
      <c r="U112" s="384"/>
      <c r="V112" s="387" t="s">
        <v>132</v>
      </c>
      <c r="W112" s="387"/>
      <c r="X112" s="343" t="s">
        <v>131</v>
      </c>
      <c r="Y112" s="343" t="s">
        <v>131</v>
      </c>
      <c r="Z112" s="120">
        <f t="shared" si="21"/>
        <v>185</v>
      </c>
      <c r="AA112" s="305" t="str">
        <f t="shared" si="22"/>
        <v>03:05:00</v>
      </c>
      <c r="AB112" s="120">
        <f t="shared" si="23"/>
        <v>11100</v>
      </c>
      <c r="AC112" s="402">
        <v>0.128206018518519</v>
      </c>
      <c r="AD112" s="401">
        <v>169</v>
      </c>
      <c r="AE112" s="401">
        <v>43</v>
      </c>
      <c r="AF112" s="343"/>
    </row>
    <row r="113" ht="23.1" customHeight="1" spans="1:32">
      <c r="A113" s="343">
        <v>109</v>
      </c>
      <c r="B113" s="279"/>
      <c r="C113" s="345" t="s">
        <v>122</v>
      </c>
      <c r="D113" s="410"/>
      <c r="E113" s="410"/>
      <c r="F113" s="81">
        <v>9</v>
      </c>
      <c r="G113" s="406" t="s">
        <v>721</v>
      </c>
      <c r="H113" s="408" t="s">
        <v>722</v>
      </c>
      <c r="I113" s="365"/>
      <c r="J113" s="365"/>
      <c r="K113" s="369" t="s">
        <v>126</v>
      </c>
      <c r="L113" s="365"/>
      <c r="M113" s="365"/>
      <c r="N113" s="371"/>
      <c r="O113" s="372" t="s">
        <v>723</v>
      </c>
      <c r="P113" s="370"/>
      <c r="Q113" s="386"/>
      <c r="R113" s="387" t="s">
        <v>132</v>
      </c>
      <c r="S113" s="384"/>
      <c r="T113" s="414"/>
      <c r="U113" s="384"/>
      <c r="V113" s="387" t="s">
        <v>132</v>
      </c>
      <c r="W113" s="387"/>
      <c r="X113" s="343" t="s">
        <v>131</v>
      </c>
      <c r="Y113" s="343" t="s">
        <v>131</v>
      </c>
      <c r="Z113" s="120">
        <f t="shared" si="21"/>
        <v>113</v>
      </c>
      <c r="AA113" s="305" t="str">
        <f t="shared" si="22"/>
        <v>01:53:00</v>
      </c>
      <c r="AB113" s="120">
        <f t="shared" si="23"/>
        <v>6780</v>
      </c>
      <c r="AC113" s="402">
        <v>0.0785532407407407</v>
      </c>
      <c r="AD113" s="401">
        <v>169</v>
      </c>
      <c r="AE113" s="401">
        <v>43</v>
      </c>
      <c r="AF113" s="343"/>
    </row>
    <row r="114" ht="23.1" customHeight="1" spans="1:32">
      <c r="A114" s="343">
        <v>110</v>
      </c>
      <c r="B114" s="279"/>
      <c r="C114" s="345" t="s">
        <v>122</v>
      </c>
      <c r="D114" s="411" t="s">
        <v>724</v>
      </c>
      <c r="E114" s="411"/>
      <c r="F114" s="156">
        <v>1</v>
      </c>
      <c r="G114" s="406" t="s">
        <v>725</v>
      </c>
      <c r="H114" s="329" t="s">
        <v>726</v>
      </c>
      <c r="I114" s="365" t="s">
        <v>126</v>
      </c>
      <c r="J114" s="365" t="s">
        <v>126</v>
      </c>
      <c r="K114" s="365" t="s">
        <v>126</v>
      </c>
      <c r="L114" s="365" t="s">
        <v>126</v>
      </c>
      <c r="M114" s="365" t="s">
        <v>126</v>
      </c>
      <c r="N114" s="371" t="s">
        <v>727</v>
      </c>
      <c r="O114" s="367" t="s">
        <v>727</v>
      </c>
      <c r="P114" s="370" t="str">
        <f>CONCATENATE(RemovePunctuation(H114),"_CA","_","i4K","_",C114,"_",AE114,"_",PROPER(R114),IF(S114="",PROPER(R114),PROPER(S114)),PROPER(T114),PROPER(U114),PROPER(V114),IF(V114&lt;&gt;"","SUB",""),PROPER(W114),IF(W114&lt;&gt;"","SUB",""),"_","Ed","_","M1",".mpg")</f>
        <v>ChineseFestival2SpringFestivalPart2_CA_i4K_0125_43_ZhoZhoZhoSUB_Ed_M1.mpg</v>
      </c>
      <c r="Q114" s="386" t="str">
        <f>CONCATENATE(RemovePunctuation(H114),"_CA","_","i5K","_",C114,"_",AD114,"_",PROPER(R114),IF(S114="",PROPER(R114),PROPER(S114)),PROPER(T114),PROPER(U114),PROPER(V114),IF(V114&lt;&gt;"","SUB",""),PROPER(W114),IF(W114&lt;&gt;"","SUB",""),"_","Ed","_","M4",".mpg")</f>
        <v>ChineseFestival2SpringFestivalPart2_CA_i5K_0125_169_ZhoZhoZhoSUB_Ed_M4.mpg</v>
      </c>
      <c r="R114" s="387" t="s">
        <v>132</v>
      </c>
      <c r="S114" s="384"/>
      <c r="T114" s="414"/>
      <c r="U114" s="384"/>
      <c r="V114" s="387" t="s">
        <v>132</v>
      </c>
      <c r="W114" s="384"/>
      <c r="X114" s="343" t="s">
        <v>131</v>
      </c>
      <c r="Y114" s="343" t="s">
        <v>131</v>
      </c>
      <c r="Z114" s="120">
        <f t="shared" si="21"/>
        <v>21</v>
      </c>
      <c r="AA114" s="305" t="str">
        <f t="shared" si="22"/>
        <v>00:21:00</v>
      </c>
      <c r="AB114" s="120">
        <f t="shared" si="23"/>
        <v>1260</v>
      </c>
      <c r="AC114" s="402">
        <v>0.0142592592592593</v>
      </c>
      <c r="AD114" s="401">
        <v>169</v>
      </c>
      <c r="AE114" s="401">
        <v>43</v>
      </c>
      <c r="AF114" s="343" t="s">
        <v>144</v>
      </c>
    </row>
    <row r="115" ht="23.1" customHeight="1" spans="1:32">
      <c r="A115" s="343">
        <v>111</v>
      </c>
      <c r="B115" s="279"/>
      <c r="C115" s="345" t="s">
        <v>122</v>
      </c>
      <c r="D115" s="411"/>
      <c r="E115" s="411"/>
      <c r="F115" s="156">
        <v>2</v>
      </c>
      <c r="G115" s="406" t="s">
        <v>728</v>
      </c>
      <c r="H115" s="329" t="s">
        <v>729</v>
      </c>
      <c r="I115" s="365" t="s">
        <v>126</v>
      </c>
      <c r="J115" s="365" t="s">
        <v>126</v>
      </c>
      <c r="K115" s="365" t="s">
        <v>126</v>
      </c>
      <c r="L115" s="365" t="s">
        <v>126</v>
      </c>
      <c r="M115" s="365" t="s">
        <v>126</v>
      </c>
      <c r="N115" s="371" t="s">
        <v>730</v>
      </c>
      <c r="O115" s="367" t="s">
        <v>730</v>
      </c>
      <c r="P115" s="370" t="str">
        <f>CONCATENATE(RemovePunctuation(H115),"_CA","_","i4K","_",C115,"_",AE115,"_",PROPER(R115),IF(S115="",PROPER(R115),PROPER(S115)),PROPER(T115),PROPER(U115),PROPER(V115),IF(V115&lt;&gt;"","SUB",""),PROPER(W115),IF(W115&lt;&gt;"","SUB",""),"_","Ed","_","M1",".mpg")</f>
        <v>ChineseFestival1SpringFestivalPart1_CA_i4K_0125_43_ZhoZhoZhoSUB_Ed_M1.mpg</v>
      </c>
      <c r="Q115" s="386" t="str">
        <f>CONCATENATE(RemovePunctuation(H115),"_CA","_","i5K","_",C115,"_",AD115,"_",PROPER(R115),IF(S115="",PROPER(R115),PROPER(S115)),PROPER(T115),PROPER(U115),PROPER(V115),IF(V115&lt;&gt;"","SUB",""),PROPER(W115),IF(W115&lt;&gt;"","SUB",""),"_","Ed","_","M4",".mpg")</f>
        <v>ChineseFestival1SpringFestivalPart1_CA_i5K_0125_169_ZhoZhoZhoSUB_Ed_M4.mpg</v>
      </c>
      <c r="R115" s="387" t="s">
        <v>132</v>
      </c>
      <c r="S115" s="384"/>
      <c r="T115" s="414"/>
      <c r="U115" s="384"/>
      <c r="V115" s="387" t="s">
        <v>132</v>
      </c>
      <c r="W115" s="384"/>
      <c r="X115" s="343" t="s">
        <v>131</v>
      </c>
      <c r="Y115" s="343" t="s">
        <v>131</v>
      </c>
      <c r="Z115" s="120">
        <f t="shared" si="21"/>
        <v>21</v>
      </c>
      <c r="AA115" s="305" t="str">
        <f t="shared" si="22"/>
        <v>00:21:00</v>
      </c>
      <c r="AB115" s="120">
        <f t="shared" si="23"/>
        <v>1260</v>
      </c>
      <c r="AC115" s="402">
        <v>0.0146759259259259</v>
      </c>
      <c r="AD115" s="401">
        <v>169</v>
      </c>
      <c r="AE115" s="401">
        <v>43</v>
      </c>
      <c r="AF115" s="343" t="s">
        <v>144</v>
      </c>
    </row>
    <row r="116" ht="23.1" customHeight="1" spans="1:32">
      <c r="A116" s="343">
        <v>112</v>
      </c>
      <c r="B116" s="279"/>
      <c r="C116" s="345" t="s">
        <v>122</v>
      </c>
      <c r="D116" s="411"/>
      <c r="E116" s="411"/>
      <c r="F116" s="156">
        <v>3</v>
      </c>
      <c r="G116" s="406" t="s">
        <v>731</v>
      </c>
      <c r="H116" s="329" t="s">
        <v>732</v>
      </c>
      <c r="I116" s="365" t="s">
        <v>126</v>
      </c>
      <c r="J116" s="365" t="s">
        <v>126</v>
      </c>
      <c r="K116" s="365" t="s">
        <v>126</v>
      </c>
      <c r="L116" s="365" t="s">
        <v>126</v>
      </c>
      <c r="M116" s="365" t="s">
        <v>126</v>
      </c>
      <c r="N116" s="371" t="s">
        <v>733</v>
      </c>
      <c r="O116" s="367" t="s">
        <v>733</v>
      </c>
      <c r="P116" s="370" t="str">
        <f>CONCATENATE(RemovePunctuation(H116),"_CA","_","i4K","_",C116,"_",AE116,"_",PROPER(R116),IF(S116="",PROPER(R116),PROPER(S116)),PROPER(T116),PROPER(U116),PROPER(V116),IF(V116&lt;&gt;"","SUB",""),PROPER(W116),IF(W116&lt;&gt;"","SUB",""),"_","Ed","_","M1",".mpg")</f>
        <v>ChinaBeforeChinaEp04_CA_i4K_0125_43_ZhoZhoZhoSUB_Ed_M1.mpg</v>
      </c>
      <c r="Q116" s="386" t="str">
        <f>CONCATENATE(RemovePunctuation(H116),"_CA","_","i5K","_",C116,"_",AD116,"_",PROPER(R116),IF(S116="",PROPER(R116),PROPER(S116)),PROPER(T116),PROPER(U116),PROPER(V116),IF(V116&lt;&gt;"","SUB",""),PROPER(W116),IF(W116&lt;&gt;"","SUB",""),"_","Ed","_","M4",".mpg")</f>
        <v>ChinaBeforeChinaEp04_CA_i5K_0125_169_ZhoZhoZhoSUB_Ed_M4.mpg</v>
      </c>
      <c r="R116" s="387" t="s">
        <v>132</v>
      </c>
      <c r="S116" s="384"/>
      <c r="T116" s="414"/>
      <c r="U116" s="384"/>
      <c r="V116" s="387" t="s">
        <v>132</v>
      </c>
      <c r="W116" s="384"/>
      <c r="X116" s="343" t="s">
        <v>131</v>
      </c>
      <c r="Y116" s="343" t="s">
        <v>131</v>
      </c>
      <c r="Z116" s="120">
        <f t="shared" si="21"/>
        <v>62</v>
      </c>
      <c r="AA116" s="305" t="str">
        <f t="shared" si="22"/>
        <v>01:02:00</v>
      </c>
      <c r="AB116" s="120">
        <f t="shared" si="23"/>
        <v>3720</v>
      </c>
      <c r="AC116" s="402">
        <v>0.0431944444444444</v>
      </c>
      <c r="AD116" s="401">
        <v>169</v>
      </c>
      <c r="AE116" s="401">
        <v>43</v>
      </c>
      <c r="AF116" s="343" t="s">
        <v>133</v>
      </c>
    </row>
    <row r="117" ht="23.1" customHeight="1" spans="1:32">
      <c r="A117" s="343">
        <v>113</v>
      </c>
      <c r="B117" s="279"/>
      <c r="C117" s="345" t="s">
        <v>122</v>
      </c>
      <c r="D117" s="411"/>
      <c r="E117" s="411"/>
      <c r="F117" s="156">
        <v>4</v>
      </c>
      <c r="G117" s="406" t="s">
        <v>734</v>
      </c>
      <c r="H117" s="329" t="s">
        <v>735</v>
      </c>
      <c r="I117" s="365" t="s">
        <v>126</v>
      </c>
      <c r="J117" s="365" t="s">
        <v>126</v>
      </c>
      <c r="K117" s="365" t="s">
        <v>126</v>
      </c>
      <c r="L117" s="365" t="s">
        <v>126</v>
      </c>
      <c r="M117" s="365" t="s">
        <v>126</v>
      </c>
      <c r="N117" s="371" t="s">
        <v>736</v>
      </c>
      <c r="O117" s="367" t="s">
        <v>736</v>
      </c>
      <c r="P117" s="370" t="str">
        <f>CONCATENATE(RemovePunctuation(H117),"_CA","_","i4K","_",C117,"_",AE117,"_",PROPER(R117),IF(S117="",PROPER(R117),PROPER(S117)),PROPER(T117),PROPER(U117),PROPER(V117),IF(V117&lt;&gt;"","SUB",""),PROPER(W117),IF(W117&lt;&gt;"","SUB",""),"_","Ed","_","M1",".mpg")</f>
        <v>ChinaBeforeChinaEp03_CA_i4K_0125_43_ZhoZhoZhoSUB_Ed_M1.mpg</v>
      </c>
      <c r="Q117" s="386" t="str">
        <f>CONCATENATE(RemovePunctuation(H117),"_CA","_","i5K","_",C117,"_",AD117,"_",PROPER(R117),IF(S117="",PROPER(R117),PROPER(S117)),PROPER(T117),PROPER(U117),PROPER(V117),IF(V117&lt;&gt;"","SUB",""),PROPER(W117),IF(W117&lt;&gt;"","SUB",""),"_","Ed","_","M4",".mpg")</f>
        <v>ChinaBeforeChinaEp03_CA_i5K_0125_169_ZhoZhoZhoSUB_Ed_M4.mpg</v>
      </c>
      <c r="R117" s="387" t="s">
        <v>132</v>
      </c>
      <c r="S117" s="384"/>
      <c r="T117" s="414"/>
      <c r="U117" s="384"/>
      <c r="V117" s="387" t="s">
        <v>132</v>
      </c>
      <c r="W117" s="384"/>
      <c r="X117" s="343" t="s">
        <v>131</v>
      </c>
      <c r="Y117" s="343" t="s">
        <v>131</v>
      </c>
      <c r="Z117" s="120">
        <f t="shared" si="21"/>
        <v>59</v>
      </c>
      <c r="AA117" s="305" t="str">
        <f t="shared" si="22"/>
        <v>00:59:00</v>
      </c>
      <c r="AB117" s="120">
        <f t="shared" si="23"/>
        <v>3540</v>
      </c>
      <c r="AC117" s="402">
        <v>0.0409837962962963</v>
      </c>
      <c r="AD117" s="401">
        <v>169</v>
      </c>
      <c r="AE117" s="401">
        <v>43</v>
      </c>
      <c r="AF117" s="343" t="s">
        <v>133</v>
      </c>
    </row>
    <row r="118" ht="23.1" customHeight="1" spans="1:32">
      <c r="A118" s="343">
        <v>114</v>
      </c>
      <c r="B118" s="279"/>
      <c r="C118" s="345" t="s">
        <v>122</v>
      </c>
      <c r="D118" s="411"/>
      <c r="E118" s="411"/>
      <c r="F118" s="156">
        <v>5</v>
      </c>
      <c r="G118" s="406" t="s">
        <v>737</v>
      </c>
      <c r="H118" s="329" t="s">
        <v>738</v>
      </c>
      <c r="I118" s="365" t="s">
        <v>126</v>
      </c>
      <c r="J118" s="365" t="s">
        <v>126</v>
      </c>
      <c r="K118" s="365" t="s">
        <v>126</v>
      </c>
      <c r="L118" s="365" t="s">
        <v>126</v>
      </c>
      <c r="M118" s="365" t="s">
        <v>126</v>
      </c>
      <c r="N118" s="371" t="s">
        <v>739</v>
      </c>
      <c r="O118" s="367" t="s">
        <v>739</v>
      </c>
      <c r="P118" s="370" t="str">
        <f>CONCATENATE(RemovePunctuation(H118),"_CA","_","i4K","_",C118,"_",AE118,"_",PROPER(R118),IF(S118="",PROPER(R118),PROPER(S118)),PROPER(T118),PROPER(U118),PROPER(V118),IF(V118&lt;&gt;"","SUB",""),PROPER(W118),IF(W118&lt;&gt;"","SUB",""),"_","Ed","_","M1",".mpg")</f>
        <v>TheVillagesinChinaEp03_CA_i4K_0125_43_ZhoZhoZhoSUB_Ed_M1.mpg</v>
      </c>
      <c r="Q118" s="386" t="str">
        <f>CONCATENATE(RemovePunctuation(H118),"_CA","_","i5K","_",C118,"_",AD118,"_",PROPER(R118),IF(S118="",PROPER(R118),PROPER(S118)),PROPER(T118),PROPER(U118),PROPER(V118),IF(V118&lt;&gt;"","SUB",""),PROPER(W118),IF(W118&lt;&gt;"","SUB",""),"_","Ed","_","M4",".mpg")</f>
        <v>TheVillagesinChinaEp03_CA_i5K_0125_169_ZhoZhoZhoSUB_Ed_M4.mpg</v>
      </c>
      <c r="R118" s="387" t="s">
        <v>132</v>
      </c>
      <c r="S118" s="384"/>
      <c r="T118" s="414"/>
      <c r="U118" s="384"/>
      <c r="V118" s="387" t="s">
        <v>132</v>
      </c>
      <c r="W118" s="384"/>
      <c r="X118" s="343" t="s">
        <v>131</v>
      </c>
      <c r="Y118" s="343" t="s">
        <v>131</v>
      </c>
      <c r="Z118" s="120">
        <f t="shared" si="21"/>
        <v>45</v>
      </c>
      <c r="AA118" s="305" t="str">
        <f t="shared" si="22"/>
        <v>00:45:00</v>
      </c>
      <c r="AB118" s="120">
        <f t="shared" si="23"/>
        <v>2700</v>
      </c>
      <c r="AC118" s="417">
        <v>0.0313888888888889</v>
      </c>
      <c r="AD118" s="401">
        <v>169</v>
      </c>
      <c r="AE118" s="401">
        <v>43</v>
      </c>
      <c r="AF118" s="343" t="s">
        <v>321</v>
      </c>
    </row>
    <row r="119" ht="23.1" customHeight="1" spans="1:32">
      <c r="A119" s="343">
        <v>115</v>
      </c>
      <c r="B119" s="279"/>
      <c r="C119" s="345" t="s">
        <v>122</v>
      </c>
      <c r="D119" s="411"/>
      <c r="E119" s="411"/>
      <c r="F119" s="156">
        <v>6</v>
      </c>
      <c r="G119" s="406" t="s">
        <v>740</v>
      </c>
      <c r="H119" s="329" t="s">
        <v>741</v>
      </c>
      <c r="I119" s="365" t="s">
        <v>126</v>
      </c>
      <c r="J119" s="365" t="s">
        <v>126</v>
      </c>
      <c r="K119" s="365" t="s">
        <v>126</v>
      </c>
      <c r="L119" s="365" t="s">
        <v>126</v>
      </c>
      <c r="M119" s="365" t="s">
        <v>126</v>
      </c>
      <c r="N119" s="371" t="s">
        <v>742</v>
      </c>
      <c r="O119" s="367" t="s">
        <v>742</v>
      </c>
      <c r="P119" s="370" t="s">
        <v>743</v>
      </c>
      <c r="Q119" s="386" t="s">
        <v>744</v>
      </c>
      <c r="R119" s="387" t="s">
        <v>132</v>
      </c>
      <c r="S119" s="384"/>
      <c r="T119" s="414"/>
      <c r="U119" s="384"/>
      <c r="V119" s="415" t="s">
        <v>201</v>
      </c>
      <c r="W119" s="416" t="s">
        <v>132</v>
      </c>
      <c r="X119" s="343" t="s">
        <v>131</v>
      </c>
      <c r="Y119" s="343" t="s">
        <v>131</v>
      </c>
      <c r="Z119" s="120">
        <f t="shared" si="21"/>
        <v>55</v>
      </c>
      <c r="AA119" s="305" t="str">
        <f t="shared" si="22"/>
        <v>00:55:00</v>
      </c>
      <c r="AB119" s="120">
        <f t="shared" si="23"/>
        <v>3300</v>
      </c>
      <c r="AC119" s="402">
        <v>0.0382986111111111</v>
      </c>
      <c r="AD119" s="401">
        <v>169</v>
      </c>
      <c r="AE119" s="401">
        <v>43</v>
      </c>
      <c r="AF119" s="343" t="s">
        <v>133</v>
      </c>
    </row>
    <row r="120" ht="23.1" customHeight="1" spans="1:32">
      <c r="A120" s="343">
        <v>116</v>
      </c>
      <c r="B120" s="279"/>
      <c r="C120" s="345" t="s">
        <v>122</v>
      </c>
      <c r="D120" s="411"/>
      <c r="E120" s="411"/>
      <c r="F120" s="156">
        <v>7</v>
      </c>
      <c r="G120" s="406" t="s">
        <v>745</v>
      </c>
      <c r="H120" s="329" t="s">
        <v>746</v>
      </c>
      <c r="I120" s="365" t="s">
        <v>126</v>
      </c>
      <c r="J120" s="365" t="s">
        <v>126</v>
      </c>
      <c r="K120" s="365" t="s">
        <v>126</v>
      </c>
      <c r="L120" s="365" t="s">
        <v>126</v>
      </c>
      <c r="M120" s="365" t="s">
        <v>126</v>
      </c>
      <c r="N120" s="371" t="s">
        <v>747</v>
      </c>
      <c r="O120" s="367" t="s">
        <v>747</v>
      </c>
      <c r="P120" s="370" t="str">
        <f>CONCATENATE(RemovePunctuation(H120),"_CA","_","i4K","_",C120,"_",AE120,"_",PROPER(R120),IF(S120="",PROPER(R120),PROPER(S120)),PROPER(T120),PROPER(U120),PROPER(V120),IF(V120&lt;&gt;"","SUB",""),PROPER(W120),IF(W120&lt;&gt;"","SUB",""),"_","Ed","_","M1",".mpg")</f>
        <v>PoetryandPaintinginChinaRiversFlowThroughtheAges20240622_CA_i4K_0125_43_ZhoZhoZhoSUB_Ed_M1.mpg</v>
      </c>
      <c r="Q120" s="386" t="str">
        <f>CONCATENATE(RemovePunctuation(H120),"_CA","_","i5K","_",C120,"_",AD120,"_",PROPER(R120),IF(S120="",PROPER(R120),PROPER(S120)),PROPER(T120),PROPER(U120),PROPER(V120),IF(V120&lt;&gt;"","SUB",""),PROPER(W120),IF(W120&lt;&gt;"","SUB",""),"_","Ed","_","M4",".mpg")</f>
        <v>PoetryandPaintinginChinaRiversFlowThroughtheAges20240622_CA_i5K_0125_169_ZhoZhoZhoSUB_Ed_M4.mpg</v>
      </c>
      <c r="R120" s="387" t="s">
        <v>132</v>
      </c>
      <c r="S120" s="384"/>
      <c r="T120" s="414"/>
      <c r="U120" s="384"/>
      <c r="V120" s="387" t="s">
        <v>132</v>
      </c>
      <c r="W120" s="384"/>
      <c r="X120" s="343" t="s">
        <v>131</v>
      </c>
      <c r="Y120" s="343" t="s">
        <v>131</v>
      </c>
      <c r="Z120" s="120">
        <f t="shared" si="21"/>
        <v>88</v>
      </c>
      <c r="AA120" s="305" t="str">
        <f t="shared" si="22"/>
        <v>01:28:00</v>
      </c>
      <c r="AB120" s="120">
        <f t="shared" si="23"/>
        <v>5280</v>
      </c>
      <c r="AC120" s="402">
        <v>0.0610069444444444</v>
      </c>
      <c r="AD120" s="401">
        <v>169</v>
      </c>
      <c r="AE120" s="401">
        <v>43</v>
      </c>
      <c r="AF120" s="343" t="s">
        <v>133</v>
      </c>
    </row>
    <row r="121" ht="23.1" customHeight="1" spans="1:32">
      <c r="A121" s="343">
        <v>117</v>
      </c>
      <c r="B121" s="279"/>
      <c r="C121" s="345" t="s">
        <v>122</v>
      </c>
      <c r="D121" s="411"/>
      <c r="E121" s="411"/>
      <c r="F121" s="156">
        <v>8</v>
      </c>
      <c r="G121" s="406" t="s">
        <v>748</v>
      </c>
      <c r="H121" s="329" t="s">
        <v>749</v>
      </c>
      <c r="I121" s="365" t="s">
        <v>126</v>
      </c>
      <c r="J121" s="365" t="s">
        <v>126</v>
      </c>
      <c r="K121" s="365" t="s">
        <v>126</v>
      </c>
      <c r="L121" s="365" t="s">
        <v>126</v>
      </c>
      <c r="M121" s="365" t="s">
        <v>126</v>
      </c>
      <c r="N121" s="371" t="s">
        <v>750</v>
      </c>
      <c r="O121" s="367" t="s">
        <v>750</v>
      </c>
      <c r="P121" s="370" t="str">
        <f>CONCATENATE(RemovePunctuation(H121),"_CA","_","i4K","_",C121,"_",AE121,"_",PROPER(R121),IF(S121="",PROPER(R121),PROPER(S121)),PROPER(T121),PROPER(U121),PROPER(V121),IF(V121&lt;&gt;"","SUB",""),PROPER(W121),IF(W121&lt;&gt;"","SUB",""),"_","Ed","_","M1",".mpg")</f>
        <v>TheColoursofChinaEp02_CA_i4K_0125_43_ZhoZhoEngSUBZhoSUB_Ed_M1.mpg</v>
      </c>
      <c r="Q121" s="386" t="str">
        <f>CONCATENATE(RemovePunctuation(H121),"_CA","_","i5K","_",C121,"_",AD121,"_",PROPER(R121),IF(S121="",PROPER(R121),PROPER(S121)),PROPER(T121),PROPER(U121),PROPER(V121),IF(V121&lt;&gt;"","SUB",""),PROPER(W121),IF(W121&lt;&gt;"","SUB",""),"_","Ed","_","M4",".mpg")</f>
        <v>TheColoursofChinaEp02_CA_i5K_0125_169_ZhoZhoEngSUBZhoSUB_Ed_M4.mpg</v>
      </c>
      <c r="R121" s="387" t="s">
        <v>132</v>
      </c>
      <c r="S121" s="384"/>
      <c r="T121" s="414"/>
      <c r="U121" s="384"/>
      <c r="V121" s="382" t="s">
        <v>138</v>
      </c>
      <c r="W121" s="387" t="s">
        <v>132</v>
      </c>
      <c r="X121" s="343" t="s">
        <v>131</v>
      </c>
      <c r="Y121" s="343" t="s">
        <v>131</v>
      </c>
      <c r="Z121" s="120">
        <f t="shared" si="21"/>
        <v>52</v>
      </c>
      <c r="AA121" s="305" t="str">
        <f t="shared" si="22"/>
        <v>00:52:00</v>
      </c>
      <c r="AB121" s="120">
        <f t="shared" si="23"/>
        <v>3120</v>
      </c>
      <c r="AC121" s="402">
        <v>0.0361921296296296</v>
      </c>
      <c r="AD121" s="401">
        <v>169</v>
      </c>
      <c r="AE121" s="401">
        <v>43</v>
      </c>
      <c r="AF121" s="343" t="s">
        <v>144</v>
      </c>
    </row>
    <row r="122" s="2" customFormat="1" ht="23.1" customHeight="1" spans="1:43">
      <c r="A122" s="343">
        <v>118</v>
      </c>
      <c r="B122" s="279"/>
      <c r="C122" s="345" t="s">
        <v>122</v>
      </c>
      <c r="D122" s="412" t="s">
        <v>751</v>
      </c>
      <c r="E122" s="404" t="s">
        <v>752</v>
      </c>
      <c r="F122" s="156">
        <v>1</v>
      </c>
      <c r="G122" s="355" t="s">
        <v>753</v>
      </c>
      <c r="H122" s="356" t="s">
        <v>754</v>
      </c>
      <c r="I122" s="365" t="s">
        <v>126</v>
      </c>
      <c r="J122" s="365"/>
      <c r="K122" s="365"/>
      <c r="L122" s="365"/>
      <c r="M122" s="365"/>
      <c r="N122" s="371" t="s">
        <v>755</v>
      </c>
      <c r="O122" s="367"/>
      <c r="P122" s="370"/>
      <c r="Q122" s="386"/>
      <c r="R122" s="387" t="s">
        <v>132</v>
      </c>
      <c r="S122" s="383"/>
      <c r="T122" s="384"/>
      <c r="U122" s="384"/>
      <c r="V122" s="387" t="s">
        <v>132</v>
      </c>
      <c r="W122" s="387"/>
      <c r="X122" s="343" t="s">
        <v>131</v>
      </c>
      <c r="Y122" s="343" t="s">
        <v>131</v>
      </c>
      <c r="Z122" s="120">
        <f t="shared" ref="Z122:Z143" si="24">ROUNDUP(HOUR(AA122)*60+MINUTE(AA122)+SECOND(AA122)/60,0)</f>
        <v>14</v>
      </c>
      <c r="AA122" s="305" t="str">
        <f t="shared" ref="AA122:AA143" si="25">TEXT((HOUR(AC122)*60+MINUTE(AC122)+IF(SECOND(AC122)&lt;=29,0,1))*60/86400,"hh:mm:ss")</f>
        <v>00:14:00</v>
      </c>
      <c r="AB122" s="120">
        <f t="shared" ref="AB122:AB143" si="26">Z122*60</f>
        <v>840</v>
      </c>
      <c r="AC122" s="402">
        <v>0.00969907407407407</v>
      </c>
      <c r="AD122" s="401">
        <v>169</v>
      </c>
      <c r="AE122" s="401">
        <v>43</v>
      </c>
      <c r="AF122" s="343" t="s">
        <v>133</v>
      </c>
      <c r="AG122" s="3"/>
      <c r="AH122" s="74"/>
      <c r="AI122" s="76"/>
      <c r="AJ122" s="74"/>
      <c r="AK122" s="74"/>
      <c r="AL122" s="3"/>
      <c r="AM122" s="5"/>
      <c r="AN122" s="5"/>
      <c r="AO122" s="5"/>
      <c r="AP122" s="1"/>
      <c r="AQ122" s="1"/>
    </row>
    <row r="123" ht="23.1" customHeight="1" spans="1:32">
      <c r="A123" s="343">
        <v>119</v>
      </c>
      <c r="B123" s="279"/>
      <c r="C123" s="345" t="s">
        <v>122</v>
      </c>
      <c r="D123" s="412"/>
      <c r="E123" s="405"/>
      <c r="F123" s="156">
        <v>2</v>
      </c>
      <c r="G123" s="355" t="s">
        <v>756</v>
      </c>
      <c r="H123" s="356" t="s">
        <v>757</v>
      </c>
      <c r="I123" s="365" t="s">
        <v>126</v>
      </c>
      <c r="J123" s="365"/>
      <c r="K123" s="365"/>
      <c r="L123" s="365"/>
      <c r="M123" s="413"/>
      <c r="N123" s="371" t="s">
        <v>758</v>
      </c>
      <c r="O123" s="367"/>
      <c r="P123" s="370"/>
      <c r="Q123" s="386"/>
      <c r="R123" s="387" t="s">
        <v>132</v>
      </c>
      <c r="S123" s="383"/>
      <c r="T123" s="384"/>
      <c r="U123" s="384"/>
      <c r="V123" s="387" t="s">
        <v>132</v>
      </c>
      <c r="W123" s="387"/>
      <c r="X123" s="343" t="s">
        <v>131</v>
      </c>
      <c r="Y123" s="343" t="s">
        <v>131</v>
      </c>
      <c r="Z123" s="120">
        <f t="shared" si="24"/>
        <v>12</v>
      </c>
      <c r="AA123" s="305" t="str">
        <f t="shared" si="25"/>
        <v>00:12:00</v>
      </c>
      <c r="AB123" s="120">
        <f t="shared" si="26"/>
        <v>720</v>
      </c>
      <c r="AC123" s="402">
        <v>0.00832175925925926</v>
      </c>
      <c r="AD123" s="401">
        <v>169</v>
      </c>
      <c r="AE123" s="401">
        <v>43</v>
      </c>
      <c r="AF123" s="343"/>
    </row>
    <row r="124" ht="23.1" customHeight="1" spans="1:32">
      <c r="A124" s="343">
        <v>120</v>
      </c>
      <c r="B124" s="279"/>
      <c r="C124" s="345" t="s">
        <v>122</v>
      </c>
      <c r="D124" s="412"/>
      <c r="E124" s="405"/>
      <c r="F124" s="156">
        <v>3</v>
      </c>
      <c r="G124" s="355" t="s">
        <v>759</v>
      </c>
      <c r="H124" s="356" t="s">
        <v>760</v>
      </c>
      <c r="I124" s="365" t="s">
        <v>126</v>
      </c>
      <c r="J124" s="365"/>
      <c r="K124" s="365"/>
      <c r="L124" s="365"/>
      <c r="M124" s="413"/>
      <c r="N124" s="371" t="s">
        <v>761</v>
      </c>
      <c r="O124" s="367"/>
      <c r="P124" s="370"/>
      <c r="Q124" s="386"/>
      <c r="R124" s="387" t="s">
        <v>132</v>
      </c>
      <c r="S124" s="383"/>
      <c r="T124" s="384"/>
      <c r="U124" s="384"/>
      <c r="V124" s="387" t="s">
        <v>132</v>
      </c>
      <c r="W124" s="387"/>
      <c r="X124" s="343" t="s">
        <v>131</v>
      </c>
      <c r="Y124" s="343" t="s">
        <v>131</v>
      </c>
      <c r="Z124" s="120">
        <f t="shared" si="24"/>
        <v>15</v>
      </c>
      <c r="AA124" s="305" t="str">
        <f t="shared" si="25"/>
        <v>00:15:00</v>
      </c>
      <c r="AB124" s="120">
        <f t="shared" si="26"/>
        <v>900</v>
      </c>
      <c r="AC124" s="402">
        <v>0.0100925925925926</v>
      </c>
      <c r="AD124" s="401">
        <v>169</v>
      </c>
      <c r="AE124" s="401">
        <v>43</v>
      </c>
      <c r="AF124" s="343"/>
    </row>
    <row r="125" ht="23.1" customHeight="1" spans="1:32">
      <c r="A125" s="343">
        <v>121</v>
      </c>
      <c r="B125" s="279"/>
      <c r="C125" s="345" t="s">
        <v>122</v>
      </c>
      <c r="D125" s="412"/>
      <c r="E125" s="405"/>
      <c r="F125" s="156">
        <v>4</v>
      </c>
      <c r="G125" s="355" t="s">
        <v>762</v>
      </c>
      <c r="H125" s="356" t="s">
        <v>763</v>
      </c>
      <c r="I125" s="365" t="s">
        <v>126</v>
      </c>
      <c r="J125" s="365"/>
      <c r="K125" s="365"/>
      <c r="L125" s="365"/>
      <c r="M125" s="413"/>
      <c r="N125" s="371" t="s">
        <v>764</v>
      </c>
      <c r="O125" s="367"/>
      <c r="P125" s="370"/>
      <c r="Q125" s="386"/>
      <c r="R125" s="387" t="s">
        <v>132</v>
      </c>
      <c r="S125" s="383"/>
      <c r="T125" s="384"/>
      <c r="U125" s="384"/>
      <c r="V125" s="387" t="s">
        <v>132</v>
      </c>
      <c r="W125" s="387"/>
      <c r="X125" s="343" t="s">
        <v>131</v>
      </c>
      <c r="Y125" s="343" t="s">
        <v>131</v>
      </c>
      <c r="Z125" s="120">
        <f t="shared" si="24"/>
        <v>9</v>
      </c>
      <c r="AA125" s="305" t="str">
        <f t="shared" si="25"/>
        <v>00:09:00</v>
      </c>
      <c r="AB125" s="120">
        <f t="shared" si="26"/>
        <v>540</v>
      </c>
      <c r="AC125" s="402">
        <v>0.00636574074074074</v>
      </c>
      <c r="AD125" s="401">
        <v>169</v>
      </c>
      <c r="AE125" s="401">
        <v>43</v>
      </c>
      <c r="AF125" s="343"/>
    </row>
    <row r="126" ht="23.1" customHeight="1" spans="1:32">
      <c r="A126" s="343">
        <v>122</v>
      </c>
      <c r="B126" s="279"/>
      <c r="C126" s="345" t="s">
        <v>122</v>
      </c>
      <c r="D126" s="412"/>
      <c r="E126" s="405"/>
      <c r="F126" s="156">
        <v>5</v>
      </c>
      <c r="G126" s="355" t="s">
        <v>765</v>
      </c>
      <c r="H126" s="356" t="s">
        <v>766</v>
      </c>
      <c r="I126" s="365" t="s">
        <v>126</v>
      </c>
      <c r="J126" s="365"/>
      <c r="K126" s="365"/>
      <c r="L126" s="365"/>
      <c r="M126" s="413"/>
      <c r="N126" s="371" t="s">
        <v>767</v>
      </c>
      <c r="O126" s="367"/>
      <c r="P126" s="370"/>
      <c r="Q126" s="370"/>
      <c r="R126" s="387" t="s">
        <v>132</v>
      </c>
      <c r="S126" s="383"/>
      <c r="T126" s="384"/>
      <c r="U126" s="384"/>
      <c r="V126" s="387" t="s">
        <v>132</v>
      </c>
      <c r="W126" s="387"/>
      <c r="X126" s="343" t="s">
        <v>131</v>
      </c>
      <c r="Y126" s="343" t="s">
        <v>131</v>
      </c>
      <c r="Z126" s="120">
        <f t="shared" si="24"/>
        <v>6</v>
      </c>
      <c r="AA126" s="305" t="str">
        <f t="shared" si="25"/>
        <v>00:06:00</v>
      </c>
      <c r="AB126" s="120">
        <f t="shared" si="26"/>
        <v>360</v>
      </c>
      <c r="AC126" s="418">
        <v>0.00383101851851852</v>
      </c>
      <c r="AD126" s="401">
        <v>169</v>
      </c>
      <c r="AE126" s="401">
        <v>43</v>
      </c>
      <c r="AF126" s="403"/>
    </row>
    <row r="127" ht="23.1" customHeight="1" spans="1:32">
      <c r="A127" s="343">
        <v>123</v>
      </c>
      <c r="B127" s="279"/>
      <c r="C127" s="345" t="s">
        <v>122</v>
      </c>
      <c r="D127" s="412"/>
      <c r="E127" s="405"/>
      <c r="F127" s="156">
        <v>6</v>
      </c>
      <c r="G127" s="355" t="s">
        <v>768</v>
      </c>
      <c r="H127" s="356" t="s">
        <v>769</v>
      </c>
      <c r="I127" s="365" t="s">
        <v>126</v>
      </c>
      <c r="J127" s="365"/>
      <c r="K127" s="365"/>
      <c r="L127" s="365"/>
      <c r="M127" s="413"/>
      <c r="N127" s="371" t="s">
        <v>770</v>
      </c>
      <c r="O127" s="367"/>
      <c r="P127" s="370"/>
      <c r="Q127" s="386"/>
      <c r="R127" s="387" t="s">
        <v>132</v>
      </c>
      <c r="S127" s="383"/>
      <c r="T127" s="384"/>
      <c r="U127" s="384"/>
      <c r="V127" s="387" t="s">
        <v>132</v>
      </c>
      <c r="W127" s="382"/>
      <c r="X127" s="343" t="s">
        <v>131</v>
      </c>
      <c r="Y127" s="343" t="s">
        <v>131</v>
      </c>
      <c r="Z127" s="120">
        <f t="shared" si="24"/>
        <v>4</v>
      </c>
      <c r="AA127" s="419" t="str">
        <f t="shared" si="25"/>
        <v>00:04:00</v>
      </c>
      <c r="AB127" s="120">
        <f t="shared" si="26"/>
        <v>240</v>
      </c>
      <c r="AC127" s="417">
        <v>0.00298611111111111</v>
      </c>
      <c r="AD127" s="401">
        <v>169</v>
      </c>
      <c r="AE127" s="401">
        <v>43</v>
      </c>
      <c r="AF127" s="343"/>
    </row>
    <row r="128" ht="23.1" customHeight="1" spans="1:32">
      <c r="A128" s="343">
        <v>124</v>
      </c>
      <c r="B128" s="279"/>
      <c r="C128" s="345" t="s">
        <v>122</v>
      </c>
      <c r="D128" s="412"/>
      <c r="E128" s="405"/>
      <c r="F128" s="156">
        <v>7</v>
      </c>
      <c r="G128" s="355" t="s">
        <v>771</v>
      </c>
      <c r="H128" s="356" t="s">
        <v>772</v>
      </c>
      <c r="I128" s="365" t="s">
        <v>126</v>
      </c>
      <c r="J128" s="365"/>
      <c r="K128" s="365"/>
      <c r="L128" s="365"/>
      <c r="M128" s="413"/>
      <c r="N128" s="371" t="s">
        <v>773</v>
      </c>
      <c r="O128" s="367"/>
      <c r="P128" s="370"/>
      <c r="Q128" s="386"/>
      <c r="R128" s="387" t="s">
        <v>132</v>
      </c>
      <c r="S128" s="383"/>
      <c r="T128" s="384"/>
      <c r="U128" s="384"/>
      <c r="V128" s="387" t="s">
        <v>132</v>
      </c>
      <c r="W128" s="382"/>
      <c r="X128" s="343" t="s">
        <v>131</v>
      </c>
      <c r="Y128" s="343" t="s">
        <v>131</v>
      </c>
      <c r="Z128" s="120">
        <f t="shared" si="24"/>
        <v>4</v>
      </c>
      <c r="AA128" s="305" t="str">
        <f t="shared" si="25"/>
        <v>00:04:00</v>
      </c>
      <c r="AB128" s="120">
        <f t="shared" si="26"/>
        <v>240</v>
      </c>
      <c r="AC128" s="402">
        <v>0.00268518518518518</v>
      </c>
      <c r="AD128" s="401">
        <v>169</v>
      </c>
      <c r="AE128" s="401">
        <v>43</v>
      </c>
      <c r="AF128" s="343"/>
    </row>
    <row r="129" ht="23.1" customHeight="1" spans="1:32">
      <c r="A129" s="343">
        <v>125</v>
      </c>
      <c r="B129" s="279"/>
      <c r="C129" s="345" t="s">
        <v>122</v>
      </c>
      <c r="D129" s="412"/>
      <c r="E129" s="405"/>
      <c r="F129" s="156">
        <v>8</v>
      </c>
      <c r="G129" s="355" t="s">
        <v>774</v>
      </c>
      <c r="H129" s="356" t="s">
        <v>775</v>
      </c>
      <c r="I129" s="365" t="s">
        <v>126</v>
      </c>
      <c r="J129" s="365"/>
      <c r="K129" s="365"/>
      <c r="L129" s="365"/>
      <c r="M129" s="413"/>
      <c r="N129" s="371" t="s">
        <v>776</v>
      </c>
      <c r="O129" s="367"/>
      <c r="P129" s="370"/>
      <c r="Q129" s="386"/>
      <c r="R129" s="387" t="s">
        <v>132</v>
      </c>
      <c r="S129" s="383"/>
      <c r="T129" s="384"/>
      <c r="U129" s="384"/>
      <c r="V129" s="387" t="s">
        <v>132</v>
      </c>
      <c r="W129" s="387"/>
      <c r="X129" s="343" t="s">
        <v>131</v>
      </c>
      <c r="Y129" s="343" t="s">
        <v>131</v>
      </c>
      <c r="Z129" s="120">
        <f t="shared" si="24"/>
        <v>6</v>
      </c>
      <c r="AA129" s="305" t="str">
        <f t="shared" ref="AA129:AA141" si="27">TEXT((HOUR(AC129)*60+MINUTE(AC129)+IF(SECOND(AC129)&lt;=29,0,1))*60/86400,"hh:mm:ss")</f>
        <v>00:06:00</v>
      </c>
      <c r="AB129" s="120">
        <f t="shared" si="26"/>
        <v>360</v>
      </c>
      <c r="AC129" s="402">
        <v>0.00381944444444444</v>
      </c>
      <c r="AD129" s="401">
        <v>169</v>
      </c>
      <c r="AE129" s="401">
        <v>43</v>
      </c>
      <c r="AF129" s="343"/>
    </row>
    <row r="130" ht="23.1" customHeight="1" spans="1:32">
      <c r="A130" s="343">
        <v>126</v>
      </c>
      <c r="B130" s="279"/>
      <c r="C130" s="345" t="s">
        <v>122</v>
      </c>
      <c r="D130" s="412"/>
      <c r="E130" s="405"/>
      <c r="F130" s="156">
        <v>9</v>
      </c>
      <c r="G130" s="355" t="s">
        <v>777</v>
      </c>
      <c r="H130" s="356" t="s">
        <v>778</v>
      </c>
      <c r="I130" s="365" t="s">
        <v>126</v>
      </c>
      <c r="J130" s="365"/>
      <c r="K130" s="365"/>
      <c r="L130" s="365"/>
      <c r="M130" s="413"/>
      <c r="N130" s="371" t="s">
        <v>779</v>
      </c>
      <c r="O130" s="367"/>
      <c r="P130" s="370"/>
      <c r="Q130" s="386"/>
      <c r="R130" s="387" t="s">
        <v>132</v>
      </c>
      <c r="S130" s="383"/>
      <c r="T130" s="384"/>
      <c r="U130" s="384"/>
      <c r="V130" s="387" t="s">
        <v>132</v>
      </c>
      <c r="W130" s="387"/>
      <c r="X130" s="343" t="s">
        <v>131</v>
      </c>
      <c r="Y130" s="343" t="s">
        <v>131</v>
      </c>
      <c r="Z130" s="120">
        <f t="shared" si="24"/>
        <v>4</v>
      </c>
      <c r="AA130" s="305" t="str">
        <f t="shared" si="27"/>
        <v>00:04:00</v>
      </c>
      <c r="AB130" s="120">
        <f t="shared" si="26"/>
        <v>240</v>
      </c>
      <c r="AC130" s="402">
        <v>0.00262731481481481</v>
      </c>
      <c r="AD130" s="401">
        <v>169</v>
      </c>
      <c r="AE130" s="401">
        <v>43</v>
      </c>
      <c r="AF130" s="343"/>
    </row>
    <row r="131" ht="23.1" customHeight="1" spans="1:32">
      <c r="A131" s="343">
        <v>127</v>
      </c>
      <c r="B131" s="279"/>
      <c r="C131" s="345" t="s">
        <v>122</v>
      </c>
      <c r="D131" s="412"/>
      <c r="E131" s="405"/>
      <c r="F131" s="156">
        <v>10</v>
      </c>
      <c r="G131" s="355" t="s">
        <v>780</v>
      </c>
      <c r="H131" s="356" t="s">
        <v>781</v>
      </c>
      <c r="I131" s="365" t="s">
        <v>126</v>
      </c>
      <c r="J131" s="365"/>
      <c r="K131" s="365"/>
      <c r="L131" s="365"/>
      <c r="M131" s="413"/>
      <c r="N131" s="371" t="s">
        <v>782</v>
      </c>
      <c r="O131" s="367"/>
      <c r="P131" s="370"/>
      <c r="Q131" s="386"/>
      <c r="R131" s="387" t="s">
        <v>132</v>
      </c>
      <c r="S131" s="383"/>
      <c r="T131" s="384"/>
      <c r="U131" s="384"/>
      <c r="V131" s="387" t="s">
        <v>132</v>
      </c>
      <c r="W131" s="387"/>
      <c r="X131" s="343" t="s">
        <v>131</v>
      </c>
      <c r="Y131" s="343" t="s">
        <v>131</v>
      </c>
      <c r="Z131" s="120">
        <f t="shared" ref="Z131:Z141" si="28">ROUNDUP(HOUR(AA131)*60+MINUTE(AA131)+SECOND(AA131)/60,0)</f>
        <v>4</v>
      </c>
      <c r="AA131" s="305" t="str">
        <f t="shared" si="27"/>
        <v>00:04:00</v>
      </c>
      <c r="AB131" s="120">
        <f t="shared" si="26"/>
        <v>240</v>
      </c>
      <c r="AC131" s="402">
        <v>0.00251157407407407</v>
      </c>
      <c r="AD131" s="401">
        <v>169</v>
      </c>
      <c r="AE131" s="401">
        <v>43</v>
      </c>
      <c r="AF131" s="343"/>
    </row>
    <row r="132" ht="23.1" customHeight="1" spans="1:32">
      <c r="A132" s="343">
        <v>128</v>
      </c>
      <c r="B132" s="279"/>
      <c r="C132" s="345" t="s">
        <v>122</v>
      </c>
      <c r="D132" s="412"/>
      <c r="E132" s="405"/>
      <c r="F132" s="156">
        <v>11</v>
      </c>
      <c r="G132" s="355" t="s">
        <v>783</v>
      </c>
      <c r="H132" s="356" t="s">
        <v>784</v>
      </c>
      <c r="I132" s="365" t="s">
        <v>126</v>
      </c>
      <c r="J132" s="365"/>
      <c r="K132" s="365"/>
      <c r="L132" s="365"/>
      <c r="M132" s="413"/>
      <c r="N132" s="371" t="s">
        <v>785</v>
      </c>
      <c r="O132" s="367"/>
      <c r="P132" s="370"/>
      <c r="Q132" s="386"/>
      <c r="R132" s="387" t="s">
        <v>132</v>
      </c>
      <c r="S132" s="383"/>
      <c r="T132" s="384"/>
      <c r="U132" s="384"/>
      <c r="V132" s="387" t="s">
        <v>132</v>
      </c>
      <c r="W132" s="387"/>
      <c r="X132" s="343" t="s">
        <v>131</v>
      </c>
      <c r="Y132" s="343" t="s">
        <v>131</v>
      </c>
      <c r="Z132" s="120">
        <f t="shared" si="28"/>
        <v>4</v>
      </c>
      <c r="AA132" s="305" t="str">
        <f t="shared" si="27"/>
        <v>00:04:00</v>
      </c>
      <c r="AB132" s="120">
        <f t="shared" ref="AB132:AB141" si="29">Z132*60</f>
        <v>240</v>
      </c>
      <c r="AC132" s="402">
        <v>0.00282407407407407</v>
      </c>
      <c r="AD132" s="401">
        <v>169</v>
      </c>
      <c r="AE132" s="401">
        <v>43</v>
      </c>
      <c r="AF132" s="343"/>
    </row>
    <row r="133" ht="23.1" customHeight="1" spans="1:32">
      <c r="A133" s="343">
        <v>129</v>
      </c>
      <c r="B133" s="279"/>
      <c r="C133" s="345" t="s">
        <v>122</v>
      </c>
      <c r="D133" s="412"/>
      <c r="E133" s="405"/>
      <c r="F133" s="156">
        <v>12</v>
      </c>
      <c r="G133" s="355" t="s">
        <v>786</v>
      </c>
      <c r="H133" s="356" t="s">
        <v>787</v>
      </c>
      <c r="I133" s="365" t="s">
        <v>126</v>
      </c>
      <c r="J133" s="365"/>
      <c r="K133" s="365"/>
      <c r="L133" s="365"/>
      <c r="M133" s="413"/>
      <c r="N133" s="371" t="s">
        <v>788</v>
      </c>
      <c r="O133" s="367"/>
      <c r="P133" s="370"/>
      <c r="Q133" s="386"/>
      <c r="R133" s="387" t="s">
        <v>132</v>
      </c>
      <c r="S133" s="383"/>
      <c r="T133" s="384"/>
      <c r="U133" s="384"/>
      <c r="V133" s="387" t="s">
        <v>132</v>
      </c>
      <c r="W133" s="387"/>
      <c r="X133" s="343" t="s">
        <v>131</v>
      </c>
      <c r="Y133" s="343" t="s">
        <v>131</v>
      </c>
      <c r="Z133" s="120">
        <f t="shared" si="28"/>
        <v>4</v>
      </c>
      <c r="AA133" s="305" t="str">
        <f t="shared" si="27"/>
        <v>00:04:00</v>
      </c>
      <c r="AB133" s="120">
        <f t="shared" si="29"/>
        <v>240</v>
      </c>
      <c r="AC133" s="402">
        <v>0.00266203703703704</v>
      </c>
      <c r="AD133" s="401">
        <v>169</v>
      </c>
      <c r="AE133" s="401">
        <v>43</v>
      </c>
      <c r="AF133" s="343"/>
    </row>
    <row r="134" ht="23.1" customHeight="1" spans="1:32">
      <c r="A134" s="343">
        <v>130</v>
      </c>
      <c r="B134" s="279"/>
      <c r="C134" s="345" t="s">
        <v>122</v>
      </c>
      <c r="D134" s="412"/>
      <c r="E134" s="405"/>
      <c r="F134" s="156">
        <v>13</v>
      </c>
      <c r="G134" s="355" t="s">
        <v>789</v>
      </c>
      <c r="H134" s="356" t="s">
        <v>790</v>
      </c>
      <c r="I134" s="365" t="s">
        <v>126</v>
      </c>
      <c r="J134" s="365"/>
      <c r="K134" s="365"/>
      <c r="L134" s="365"/>
      <c r="M134" s="413"/>
      <c r="N134" s="371" t="s">
        <v>791</v>
      </c>
      <c r="O134" s="367"/>
      <c r="P134" s="370"/>
      <c r="Q134" s="386"/>
      <c r="R134" s="387" t="s">
        <v>132</v>
      </c>
      <c r="S134" s="383"/>
      <c r="T134" s="384"/>
      <c r="U134" s="384"/>
      <c r="V134" s="387" t="s">
        <v>132</v>
      </c>
      <c r="W134" s="387"/>
      <c r="X134" s="343" t="s">
        <v>131</v>
      </c>
      <c r="Y134" s="343" t="s">
        <v>131</v>
      </c>
      <c r="Z134" s="120">
        <f t="shared" si="28"/>
        <v>4</v>
      </c>
      <c r="AA134" s="305" t="str">
        <f t="shared" si="27"/>
        <v>00:04:00</v>
      </c>
      <c r="AB134" s="120">
        <f t="shared" si="29"/>
        <v>240</v>
      </c>
      <c r="AC134" s="402">
        <v>0.00253472222222222</v>
      </c>
      <c r="AD134" s="401">
        <v>169</v>
      </c>
      <c r="AE134" s="401">
        <v>43</v>
      </c>
      <c r="AF134" s="343"/>
    </row>
    <row r="135" ht="23.1" customHeight="1" spans="1:32">
      <c r="A135" s="343">
        <v>131</v>
      </c>
      <c r="B135" s="279"/>
      <c r="C135" s="345" t="s">
        <v>122</v>
      </c>
      <c r="D135" s="412"/>
      <c r="E135" s="405"/>
      <c r="F135" s="156">
        <v>14</v>
      </c>
      <c r="G135" s="355" t="s">
        <v>792</v>
      </c>
      <c r="H135" s="356" t="s">
        <v>793</v>
      </c>
      <c r="I135" s="365" t="s">
        <v>126</v>
      </c>
      <c r="J135" s="365"/>
      <c r="K135" s="365"/>
      <c r="L135" s="365"/>
      <c r="M135" s="413"/>
      <c r="N135" s="371" t="s">
        <v>794</v>
      </c>
      <c r="O135" s="367"/>
      <c r="P135" s="370"/>
      <c r="Q135" s="386"/>
      <c r="R135" s="387" t="s">
        <v>132</v>
      </c>
      <c r="S135" s="383"/>
      <c r="T135" s="384"/>
      <c r="U135" s="384"/>
      <c r="V135" s="387" t="s">
        <v>132</v>
      </c>
      <c r="W135" s="387"/>
      <c r="X135" s="343" t="s">
        <v>131</v>
      </c>
      <c r="Y135" s="343" t="s">
        <v>131</v>
      </c>
      <c r="Z135" s="120">
        <f t="shared" si="28"/>
        <v>4</v>
      </c>
      <c r="AA135" s="305" t="str">
        <f t="shared" si="27"/>
        <v>00:04:00</v>
      </c>
      <c r="AB135" s="120">
        <f t="shared" si="29"/>
        <v>240</v>
      </c>
      <c r="AC135" s="402">
        <v>0.0028125</v>
      </c>
      <c r="AD135" s="401">
        <v>169</v>
      </c>
      <c r="AE135" s="401">
        <v>43</v>
      </c>
      <c r="AF135" s="343"/>
    </row>
    <row r="136" ht="23.1" customHeight="1" spans="1:32">
      <c r="A136" s="343">
        <v>132</v>
      </c>
      <c r="B136" s="279"/>
      <c r="C136" s="345" t="s">
        <v>122</v>
      </c>
      <c r="D136" s="412"/>
      <c r="E136" s="405"/>
      <c r="F136" s="156">
        <v>15</v>
      </c>
      <c r="G136" s="355" t="s">
        <v>795</v>
      </c>
      <c r="H136" s="356" t="s">
        <v>796</v>
      </c>
      <c r="I136" s="365" t="s">
        <v>126</v>
      </c>
      <c r="J136" s="365"/>
      <c r="K136" s="365"/>
      <c r="L136" s="365"/>
      <c r="M136" s="413"/>
      <c r="N136" s="371" t="s">
        <v>797</v>
      </c>
      <c r="O136" s="367"/>
      <c r="P136" s="370"/>
      <c r="Q136" s="386"/>
      <c r="R136" s="387" t="s">
        <v>132</v>
      </c>
      <c r="S136" s="383"/>
      <c r="T136" s="384"/>
      <c r="U136" s="384"/>
      <c r="V136" s="387" t="s">
        <v>132</v>
      </c>
      <c r="W136" s="387"/>
      <c r="X136" s="343" t="s">
        <v>131</v>
      </c>
      <c r="Y136" s="343" t="s">
        <v>131</v>
      </c>
      <c r="Z136" s="120">
        <f t="shared" si="28"/>
        <v>5</v>
      </c>
      <c r="AA136" s="305" t="str">
        <f t="shared" si="27"/>
        <v>00:05:00</v>
      </c>
      <c r="AB136" s="120">
        <f t="shared" si="29"/>
        <v>300</v>
      </c>
      <c r="AC136" s="402">
        <v>0.00366898148148148</v>
      </c>
      <c r="AD136" s="401">
        <v>169</v>
      </c>
      <c r="AE136" s="401">
        <v>43</v>
      </c>
      <c r="AF136" s="343"/>
    </row>
    <row r="137" ht="23.1" customHeight="1" spans="1:32">
      <c r="A137" s="343">
        <v>133</v>
      </c>
      <c r="B137" s="279"/>
      <c r="C137" s="345" t="s">
        <v>122</v>
      </c>
      <c r="D137" s="412"/>
      <c r="E137" s="405"/>
      <c r="F137" s="156">
        <v>16</v>
      </c>
      <c r="G137" s="355" t="s">
        <v>798</v>
      </c>
      <c r="H137" s="356" t="s">
        <v>799</v>
      </c>
      <c r="I137" s="365" t="s">
        <v>126</v>
      </c>
      <c r="J137" s="365"/>
      <c r="K137" s="365"/>
      <c r="L137" s="365"/>
      <c r="M137" s="413"/>
      <c r="N137" s="371" t="s">
        <v>800</v>
      </c>
      <c r="O137" s="367"/>
      <c r="P137" s="370"/>
      <c r="Q137" s="386"/>
      <c r="R137" s="387" t="s">
        <v>132</v>
      </c>
      <c r="S137" s="383"/>
      <c r="T137" s="384"/>
      <c r="U137" s="384"/>
      <c r="V137" s="387" t="s">
        <v>132</v>
      </c>
      <c r="W137" s="387"/>
      <c r="X137" s="343" t="s">
        <v>131</v>
      </c>
      <c r="Y137" s="343" t="s">
        <v>131</v>
      </c>
      <c r="Z137" s="120">
        <f t="shared" si="28"/>
        <v>3</v>
      </c>
      <c r="AA137" s="305" t="str">
        <f t="shared" si="27"/>
        <v>00:03:00</v>
      </c>
      <c r="AB137" s="120">
        <f t="shared" si="29"/>
        <v>180</v>
      </c>
      <c r="AC137" s="402">
        <v>0.00231481481481481</v>
      </c>
      <c r="AD137" s="401">
        <v>169</v>
      </c>
      <c r="AE137" s="401">
        <v>43</v>
      </c>
      <c r="AF137" s="343"/>
    </row>
    <row r="138" ht="23.1" customHeight="1" spans="1:32">
      <c r="A138" s="343">
        <v>134</v>
      </c>
      <c r="B138" s="279"/>
      <c r="C138" s="345" t="s">
        <v>122</v>
      </c>
      <c r="D138" s="412"/>
      <c r="E138" s="405"/>
      <c r="F138" s="156">
        <v>17</v>
      </c>
      <c r="G138" s="355" t="s">
        <v>801</v>
      </c>
      <c r="H138" s="356" t="s">
        <v>801</v>
      </c>
      <c r="I138" s="365" t="s">
        <v>126</v>
      </c>
      <c r="J138" s="365"/>
      <c r="K138" s="365"/>
      <c r="L138" s="365"/>
      <c r="M138" s="413"/>
      <c r="N138" s="371" t="s">
        <v>802</v>
      </c>
      <c r="O138" s="367"/>
      <c r="P138" s="370"/>
      <c r="Q138" s="386"/>
      <c r="R138" s="382" t="s">
        <v>138</v>
      </c>
      <c r="S138" s="383"/>
      <c r="T138" s="384"/>
      <c r="U138" s="384"/>
      <c r="V138" s="382" t="s">
        <v>138</v>
      </c>
      <c r="W138" s="387" t="s">
        <v>132</v>
      </c>
      <c r="X138" s="343" t="s">
        <v>131</v>
      </c>
      <c r="Y138" s="343" t="s">
        <v>131</v>
      </c>
      <c r="Z138" s="120">
        <f t="shared" si="28"/>
        <v>4</v>
      </c>
      <c r="AA138" s="305" t="str">
        <f t="shared" si="27"/>
        <v>00:04:00</v>
      </c>
      <c r="AB138" s="120">
        <f t="shared" si="29"/>
        <v>240</v>
      </c>
      <c r="AC138" s="402">
        <v>0.00255787037037037</v>
      </c>
      <c r="AD138" s="401">
        <v>169</v>
      </c>
      <c r="AE138" s="401">
        <v>43</v>
      </c>
      <c r="AF138" s="343"/>
    </row>
    <row r="139" ht="23.1" customHeight="1" spans="1:32">
      <c r="A139" s="343">
        <v>135</v>
      </c>
      <c r="B139" s="279"/>
      <c r="C139" s="345" t="s">
        <v>122</v>
      </c>
      <c r="D139" s="412"/>
      <c r="E139" s="405"/>
      <c r="F139" s="156">
        <v>18</v>
      </c>
      <c r="G139" s="355" t="s">
        <v>803</v>
      </c>
      <c r="H139" s="356" t="s">
        <v>803</v>
      </c>
      <c r="I139" s="365" t="s">
        <v>126</v>
      </c>
      <c r="J139" s="365"/>
      <c r="K139" s="365"/>
      <c r="L139" s="365"/>
      <c r="M139" s="413"/>
      <c r="N139" s="371" t="s">
        <v>804</v>
      </c>
      <c r="O139" s="367"/>
      <c r="P139" s="370"/>
      <c r="Q139" s="386"/>
      <c r="R139" s="387" t="s">
        <v>132</v>
      </c>
      <c r="S139" s="383"/>
      <c r="T139" s="384"/>
      <c r="U139" s="384"/>
      <c r="V139" s="387"/>
      <c r="W139" s="387"/>
      <c r="X139" s="343" t="s">
        <v>131</v>
      </c>
      <c r="Y139" s="343" t="s">
        <v>131</v>
      </c>
      <c r="Z139" s="120">
        <f t="shared" si="28"/>
        <v>4</v>
      </c>
      <c r="AA139" s="305" t="str">
        <f t="shared" si="27"/>
        <v>00:04:00</v>
      </c>
      <c r="AB139" s="120">
        <f t="shared" si="29"/>
        <v>240</v>
      </c>
      <c r="AC139" s="402">
        <v>0.00296296296296296</v>
      </c>
      <c r="AD139" s="401">
        <v>169</v>
      </c>
      <c r="AE139" s="401">
        <v>43</v>
      </c>
      <c r="AF139" s="343"/>
    </row>
    <row r="140" ht="23.1" customHeight="1" spans="1:32">
      <c r="A140" s="343">
        <v>136</v>
      </c>
      <c r="B140" s="279"/>
      <c r="C140" s="345" t="s">
        <v>122</v>
      </c>
      <c r="D140" s="412"/>
      <c r="E140" s="405"/>
      <c r="F140" s="156">
        <v>19</v>
      </c>
      <c r="G140" s="355" t="s">
        <v>805</v>
      </c>
      <c r="H140" s="356" t="s">
        <v>806</v>
      </c>
      <c r="I140" s="365" t="s">
        <v>126</v>
      </c>
      <c r="J140" s="365"/>
      <c r="K140" s="365"/>
      <c r="L140" s="365"/>
      <c r="M140" s="413"/>
      <c r="N140" s="371" t="s">
        <v>807</v>
      </c>
      <c r="O140" s="367"/>
      <c r="P140" s="370"/>
      <c r="Q140" s="386"/>
      <c r="R140" s="387" t="s">
        <v>132</v>
      </c>
      <c r="S140" s="383"/>
      <c r="T140" s="384"/>
      <c r="U140" s="384"/>
      <c r="V140" s="387" t="s">
        <v>132</v>
      </c>
      <c r="W140" s="387"/>
      <c r="X140" s="343" t="s">
        <v>131</v>
      </c>
      <c r="Y140" s="343" t="s">
        <v>131</v>
      </c>
      <c r="Z140" s="120">
        <f t="shared" si="28"/>
        <v>4</v>
      </c>
      <c r="AA140" s="305" t="str">
        <f t="shared" si="27"/>
        <v>00:04:00</v>
      </c>
      <c r="AB140" s="120">
        <f t="shared" si="29"/>
        <v>240</v>
      </c>
      <c r="AC140" s="402">
        <v>0.00280092592592593</v>
      </c>
      <c r="AD140" s="401">
        <v>169</v>
      </c>
      <c r="AE140" s="401">
        <v>43</v>
      </c>
      <c r="AF140" s="343"/>
    </row>
    <row r="141" ht="23.1" customHeight="1" spans="1:32">
      <c r="A141" s="343">
        <v>137</v>
      </c>
      <c r="B141" s="279"/>
      <c r="C141" s="345" t="s">
        <v>122</v>
      </c>
      <c r="D141" s="412"/>
      <c r="E141" s="405"/>
      <c r="F141" s="156">
        <v>20</v>
      </c>
      <c r="G141" s="355" t="s">
        <v>808</v>
      </c>
      <c r="H141" s="356" t="s">
        <v>809</v>
      </c>
      <c r="I141" s="365" t="s">
        <v>126</v>
      </c>
      <c r="J141" s="365"/>
      <c r="K141" s="365"/>
      <c r="L141" s="365"/>
      <c r="M141" s="413"/>
      <c r="N141" s="371" t="s">
        <v>810</v>
      </c>
      <c r="O141" s="367"/>
      <c r="P141" s="370"/>
      <c r="Q141" s="386"/>
      <c r="R141" s="387" t="s">
        <v>132</v>
      </c>
      <c r="S141" s="383"/>
      <c r="T141" s="384"/>
      <c r="U141" s="384"/>
      <c r="V141" s="387" t="s">
        <v>132</v>
      </c>
      <c r="W141" s="387"/>
      <c r="X141" s="343" t="s">
        <v>131</v>
      </c>
      <c r="Y141" s="343" t="s">
        <v>131</v>
      </c>
      <c r="Z141" s="120">
        <f t="shared" si="28"/>
        <v>6</v>
      </c>
      <c r="AA141" s="305" t="str">
        <f t="shared" si="27"/>
        <v>00:06:00</v>
      </c>
      <c r="AB141" s="120">
        <f t="shared" si="29"/>
        <v>360</v>
      </c>
      <c r="AC141" s="402">
        <v>0.00408564814814815</v>
      </c>
      <c r="AD141" s="401">
        <v>169</v>
      </c>
      <c r="AE141" s="401">
        <v>43</v>
      </c>
      <c r="AF141" s="343"/>
    </row>
    <row r="142" ht="23.1" customHeight="1" spans="1:32">
      <c r="A142" s="343">
        <v>138</v>
      </c>
      <c r="B142" s="279"/>
      <c r="C142" s="345" t="s">
        <v>122</v>
      </c>
      <c r="D142" s="412"/>
      <c r="E142" s="411" t="s">
        <v>811</v>
      </c>
      <c r="F142" s="156">
        <v>1</v>
      </c>
      <c r="G142" s="355" t="s">
        <v>812</v>
      </c>
      <c r="H142" s="356" t="s">
        <v>813</v>
      </c>
      <c r="I142" s="365" t="s">
        <v>126</v>
      </c>
      <c r="J142" s="365"/>
      <c r="K142" s="365"/>
      <c r="L142" s="365"/>
      <c r="M142" s="413"/>
      <c r="N142" s="371" t="s">
        <v>814</v>
      </c>
      <c r="O142" s="367"/>
      <c r="P142" s="370"/>
      <c r="Q142" s="386"/>
      <c r="R142" s="387" t="s">
        <v>132</v>
      </c>
      <c r="S142" s="383"/>
      <c r="T142" s="384"/>
      <c r="U142" s="384"/>
      <c r="V142" s="387" t="s">
        <v>132</v>
      </c>
      <c r="W142" s="387"/>
      <c r="X142" s="343" t="s">
        <v>131</v>
      </c>
      <c r="Y142" s="343" t="s">
        <v>131</v>
      </c>
      <c r="Z142" s="120">
        <f t="shared" ref="Z142:Z161" si="30">ROUNDUP(HOUR(AA142)*60+MINUTE(AA142)+SECOND(AA142)/60,0)</f>
        <v>7</v>
      </c>
      <c r="AA142" s="305" t="str">
        <f t="shared" ref="AA142:AA161" si="31">TEXT((HOUR(AC142)*60+MINUTE(AC142)+IF(SECOND(AC142)&lt;=29,0,1))*60/86400,"hh:mm:ss")</f>
        <v>00:07:00</v>
      </c>
      <c r="AB142" s="120">
        <f t="shared" ref="AB142:AB161" si="32">Z142*60</f>
        <v>420</v>
      </c>
      <c r="AC142" s="402">
        <v>0.00509259259259259</v>
      </c>
      <c r="AD142" s="401">
        <v>169</v>
      </c>
      <c r="AE142" s="401">
        <v>43</v>
      </c>
      <c r="AF142" s="343" t="s">
        <v>133</v>
      </c>
    </row>
    <row r="143" ht="23.1" customHeight="1" spans="1:32">
      <c r="A143" s="343">
        <v>139</v>
      </c>
      <c r="B143" s="279"/>
      <c r="C143" s="345" t="s">
        <v>122</v>
      </c>
      <c r="D143" s="412"/>
      <c r="E143" s="411"/>
      <c r="F143" s="156">
        <v>2</v>
      </c>
      <c r="G143" s="355" t="s">
        <v>815</v>
      </c>
      <c r="H143" s="356" t="s">
        <v>816</v>
      </c>
      <c r="I143" s="365" t="s">
        <v>126</v>
      </c>
      <c r="J143" s="365"/>
      <c r="K143" s="365"/>
      <c r="L143" s="365"/>
      <c r="M143" s="413"/>
      <c r="N143" s="371" t="s">
        <v>817</v>
      </c>
      <c r="O143" s="367"/>
      <c r="P143" s="370"/>
      <c r="Q143" s="386"/>
      <c r="R143" s="387" t="s">
        <v>132</v>
      </c>
      <c r="S143" s="383"/>
      <c r="T143" s="384"/>
      <c r="U143" s="384"/>
      <c r="V143" s="387" t="s">
        <v>132</v>
      </c>
      <c r="W143" s="387"/>
      <c r="X143" s="343" t="s">
        <v>131</v>
      </c>
      <c r="Y143" s="343" t="s">
        <v>131</v>
      </c>
      <c r="Z143" s="120">
        <f t="shared" si="30"/>
        <v>9</v>
      </c>
      <c r="AA143" s="305" t="str">
        <f t="shared" si="31"/>
        <v>00:09:00</v>
      </c>
      <c r="AB143" s="120">
        <f t="shared" si="32"/>
        <v>540</v>
      </c>
      <c r="AC143" s="402">
        <v>0.00605324074074074</v>
      </c>
      <c r="AD143" s="401">
        <v>169</v>
      </c>
      <c r="AE143" s="401">
        <v>43</v>
      </c>
      <c r="AF143" s="343"/>
    </row>
    <row r="144" ht="23.1" customHeight="1" spans="1:32">
      <c r="A144" s="343">
        <v>140</v>
      </c>
      <c r="B144" s="279"/>
      <c r="C144" s="345" t="s">
        <v>122</v>
      </c>
      <c r="D144" s="412"/>
      <c r="E144" s="411"/>
      <c r="F144" s="156">
        <v>3</v>
      </c>
      <c r="G144" s="355" t="s">
        <v>818</v>
      </c>
      <c r="H144" s="356" t="s">
        <v>819</v>
      </c>
      <c r="I144" s="365" t="s">
        <v>126</v>
      </c>
      <c r="J144" s="365"/>
      <c r="K144" s="365"/>
      <c r="L144" s="365"/>
      <c r="M144" s="413"/>
      <c r="N144" s="371" t="s">
        <v>820</v>
      </c>
      <c r="O144" s="367"/>
      <c r="P144" s="370"/>
      <c r="Q144" s="386"/>
      <c r="R144" s="387" t="s">
        <v>132</v>
      </c>
      <c r="S144" s="383"/>
      <c r="T144" s="384"/>
      <c r="U144" s="384"/>
      <c r="V144" s="387" t="s">
        <v>132</v>
      </c>
      <c r="W144" s="387"/>
      <c r="X144" s="343" t="s">
        <v>131</v>
      </c>
      <c r="Y144" s="343" t="s">
        <v>131</v>
      </c>
      <c r="Z144" s="120">
        <f t="shared" si="30"/>
        <v>8</v>
      </c>
      <c r="AA144" s="305" t="str">
        <f t="shared" si="31"/>
        <v>00:08:00</v>
      </c>
      <c r="AB144" s="120">
        <f t="shared" si="32"/>
        <v>480</v>
      </c>
      <c r="AC144" s="402">
        <v>0.00565972222222222</v>
      </c>
      <c r="AD144" s="401">
        <v>169</v>
      </c>
      <c r="AE144" s="401">
        <v>43</v>
      </c>
      <c r="AF144" s="343"/>
    </row>
    <row r="145" ht="23.1" customHeight="1" spans="1:32">
      <c r="A145" s="343">
        <v>141</v>
      </c>
      <c r="B145" s="279"/>
      <c r="C145" s="345" t="s">
        <v>122</v>
      </c>
      <c r="D145" s="412"/>
      <c r="E145" s="411"/>
      <c r="F145" s="156">
        <v>4</v>
      </c>
      <c r="G145" s="355" t="s">
        <v>821</v>
      </c>
      <c r="H145" s="356" t="s">
        <v>822</v>
      </c>
      <c r="I145" s="365" t="s">
        <v>126</v>
      </c>
      <c r="J145" s="365"/>
      <c r="K145" s="365"/>
      <c r="L145" s="365"/>
      <c r="M145" s="413"/>
      <c r="N145" s="371" t="s">
        <v>823</v>
      </c>
      <c r="O145" s="367"/>
      <c r="P145" s="370"/>
      <c r="Q145" s="386"/>
      <c r="R145" s="387" t="s">
        <v>132</v>
      </c>
      <c r="S145" s="383"/>
      <c r="T145" s="384"/>
      <c r="U145" s="384"/>
      <c r="V145" s="387" t="s">
        <v>132</v>
      </c>
      <c r="W145" s="387"/>
      <c r="X145" s="343" t="s">
        <v>131</v>
      </c>
      <c r="Y145" s="343" t="s">
        <v>131</v>
      </c>
      <c r="Z145" s="120">
        <f t="shared" si="30"/>
        <v>10</v>
      </c>
      <c r="AA145" s="305" t="str">
        <f t="shared" si="31"/>
        <v>00:10:00</v>
      </c>
      <c r="AB145" s="120">
        <f t="shared" si="32"/>
        <v>600</v>
      </c>
      <c r="AC145" s="402">
        <v>0.00715277777777778</v>
      </c>
      <c r="AD145" s="401">
        <v>169</v>
      </c>
      <c r="AE145" s="401">
        <v>43</v>
      </c>
      <c r="AF145" s="343"/>
    </row>
    <row r="146" ht="23.1" customHeight="1" spans="1:32">
      <c r="A146" s="343">
        <v>142</v>
      </c>
      <c r="B146" s="279"/>
      <c r="C146" s="345" t="s">
        <v>122</v>
      </c>
      <c r="D146" s="412"/>
      <c r="E146" s="411"/>
      <c r="F146" s="156">
        <v>5</v>
      </c>
      <c r="G146" s="355" t="s">
        <v>824</v>
      </c>
      <c r="H146" s="356" t="s">
        <v>825</v>
      </c>
      <c r="I146" s="365" t="s">
        <v>126</v>
      </c>
      <c r="J146" s="365"/>
      <c r="K146" s="365"/>
      <c r="L146" s="365"/>
      <c r="M146" s="413"/>
      <c r="N146" s="371" t="s">
        <v>826</v>
      </c>
      <c r="O146" s="367"/>
      <c r="P146" s="370"/>
      <c r="Q146" s="386"/>
      <c r="R146" s="387" t="s">
        <v>132</v>
      </c>
      <c r="S146" s="383"/>
      <c r="T146" s="384"/>
      <c r="U146" s="384"/>
      <c r="V146" s="387" t="s">
        <v>132</v>
      </c>
      <c r="W146" s="387"/>
      <c r="X146" s="343" t="s">
        <v>131</v>
      </c>
      <c r="Y146" s="343" t="s">
        <v>131</v>
      </c>
      <c r="Z146" s="120">
        <f t="shared" si="30"/>
        <v>10</v>
      </c>
      <c r="AA146" s="305" t="str">
        <f t="shared" si="31"/>
        <v>00:10:00</v>
      </c>
      <c r="AB146" s="120">
        <f t="shared" si="32"/>
        <v>600</v>
      </c>
      <c r="AC146" s="402">
        <v>0.00700231481481481</v>
      </c>
      <c r="AD146" s="401">
        <v>169</v>
      </c>
      <c r="AE146" s="401">
        <v>43</v>
      </c>
      <c r="AF146" s="343"/>
    </row>
    <row r="147" ht="23.1" customHeight="1" spans="1:32">
      <c r="A147" s="343">
        <v>143</v>
      </c>
      <c r="B147" s="279"/>
      <c r="C147" s="345" t="s">
        <v>122</v>
      </c>
      <c r="D147" s="412"/>
      <c r="E147" s="411"/>
      <c r="F147" s="156">
        <v>6</v>
      </c>
      <c r="G147" s="355" t="s">
        <v>827</v>
      </c>
      <c r="H147" s="356" t="s">
        <v>828</v>
      </c>
      <c r="I147" s="365" t="s">
        <v>126</v>
      </c>
      <c r="J147" s="365"/>
      <c r="K147" s="365"/>
      <c r="L147" s="365"/>
      <c r="M147" s="413"/>
      <c r="N147" s="371" t="s">
        <v>829</v>
      </c>
      <c r="O147" s="367"/>
      <c r="P147" s="370"/>
      <c r="Q147" s="386"/>
      <c r="R147" s="387" t="s">
        <v>132</v>
      </c>
      <c r="S147" s="383"/>
      <c r="T147" s="384"/>
      <c r="U147" s="384"/>
      <c r="V147" s="387" t="s">
        <v>132</v>
      </c>
      <c r="W147" s="387"/>
      <c r="X147" s="343" t="s">
        <v>131</v>
      </c>
      <c r="Y147" s="343" t="s">
        <v>131</v>
      </c>
      <c r="Z147" s="120">
        <f t="shared" si="30"/>
        <v>10</v>
      </c>
      <c r="AA147" s="305" t="str">
        <f t="shared" si="31"/>
        <v>00:10:00</v>
      </c>
      <c r="AB147" s="120">
        <f t="shared" si="32"/>
        <v>600</v>
      </c>
      <c r="AC147" s="402">
        <v>0.0069212962962963</v>
      </c>
      <c r="AD147" s="401">
        <v>169</v>
      </c>
      <c r="AE147" s="401">
        <v>43</v>
      </c>
      <c r="AF147" s="343"/>
    </row>
    <row r="148" ht="23.1" customHeight="1" spans="1:32">
      <c r="A148" s="343">
        <v>144</v>
      </c>
      <c r="B148" s="279"/>
      <c r="C148" s="345" t="s">
        <v>122</v>
      </c>
      <c r="D148" s="412"/>
      <c r="E148" s="411"/>
      <c r="F148" s="156">
        <v>7</v>
      </c>
      <c r="G148" s="355" t="s">
        <v>830</v>
      </c>
      <c r="H148" s="356" t="s">
        <v>831</v>
      </c>
      <c r="I148" s="365" t="s">
        <v>126</v>
      </c>
      <c r="J148" s="365"/>
      <c r="K148" s="365"/>
      <c r="L148" s="365"/>
      <c r="M148" s="413"/>
      <c r="N148" s="371" t="s">
        <v>832</v>
      </c>
      <c r="O148" s="367"/>
      <c r="P148" s="370"/>
      <c r="Q148" s="386"/>
      <c r="R148" s="387" t="s">
        <v>132</v>
      </c>
      <c r="S148" s="383"/>
      <c r="T148" s="384"/>
      <c r="U148" s="384"/>
      <c r="V148" s="387" t="s">
        <v>132</v>
      </c>
      <c r="W148" s="387"/>
      <c r="X148" s="343" t="s">
        <v>131</v>
      </c>
      <c r="Y148" s="343" t="s">
        <v>131</v>
      </c>
      <c r="Z148" s="120">
        <f t="shared" si="30"/>
        <v>10</v>
      </c>
      <c r="AA148" s="305" t="str">
        <f t="shared" si="31"/>
        <v>00:10:00</v>
      </c>
      <c r="AB148" s="120">
        <f t="shared" si="32"/>
        <v>600</v>
      </c>
      <c r="AC148" s="402">
        <v>0.00725694444444444</v>
      </c>
      <c r="AD148" s="401">
        <v>169</v>
      </c>
      <c r="AE148" s="401">
        <v>43</v>
      </c>
      <c r="AF148" s="343"/>
    </row>
    <row r="149" ht="23.1" customHeight="1" spans="1:32">
      <c r="A149" s="343">
        <v>145</v>
      </c>
      <c r="B149" s="279"/>
      <c r="C149" s="345" t="s">
        <v>122</v>
      </c>
      <c r="D149" s="412"/>
      <c r="E149" s="411" t="s">
        <v>833</v>
      </c>
      <c r="F149" s="156">
        <v>1</v>
      </c>
      <c r="G149" s="355" t="s">
        <v>834</v>
      </c>
      <c r="H149" s="356" t="s">
        <v>835</v>
      </c>
      <c r="I149" s="365" t="s">
        <v>126</v>
      </c>
      <c r="J149" s="365"/>
      <c r="K149" s="365"/>
      <c r="L149" s="365"/>
      <c r="M149" s="413"/>
      <c r="N149" s="371" t="s">
        <v>836</v>
      </c>
      <c r="O149" s="367"/>
      <c r="P149" s="370"/>
      <c r="Q149" s="386"/>
      <c r="R149" s="387" t="s">
        <v>132</v>
      </c>
      <c r="S149" s="383"/>
      <c r="T149" s="384"/>
      <c r="U149" s="384"/>
      <c r="V149" s="387" t="s">
        <v>132</v>
      </c>
      <c r="W149" s="387"/>
      <c r="X149" s="343" t="s">
        <v>131</v>
      </c>
      <c r="Y149" s="343" t="s">
        <v>131</v>
      </c>
      <c r="Z149" s="120">
        <f t="shared" si="30"/>
        <v>28</v>
      </c>
      <c r="AA149" s="305" t="str">
        <f t="shared" si="31"/>
        <v>00:28:00</v>
      </c>
      <c r="AB149" s="120">
        <f t="shared" si="32"/>
        <v>1680</v>
      </c>
      <c r="AC149" s="402">
        <v>0.0195717592592593</v>
      </c>
      <c r="AD149" s="401">
        <v>169</v>
      </c>
      <c r="AE149" s="401">
        <v>43</v>
      </c>
      <c r="AF149" s="343" t="s">
        <v>133</v>
      </c>
    </row>
    <row r="150" ht="23.1" customHeight="1" spans="1:32">
      <c r="A150" s="343">
        <v>146</v>
      </c>
      <c r="B150" s="279"/>
      <c r="C150" s="345" t="s">
        <v>122</v>
      </c>
      <c r="D150" s="412"/>
      <c r="E150" s="411"/>
      <c r="F150" s="156">
        <v>2</v>
      </c>
      <c r="G150" s="355" t="s">
        <v>837</v>
      </c>
      <c r="H150" s="356" t="s">
        <v>838</v>
      </c>
      <c r="I150" s="365" t="s">
        <v>126</v>
      </c>
      <c r="J150" s="365"/>
      <c r="K150" s="365"/>
      <c r="L150" s="365"/>
      <c r="M150" s="413"/>
      <c r="N150" s="371" t="s">
        <v>839</v>
      </c>
      <c r="O150" s="367"/>
      <c r="P150" s="370"/>
      <c r="Q150" s="386"/>
      <c r="R150" s="387" t="s">
        <v>132</v>
      </c>
      <c r="S150" s="383"/>
      <c r="T150" s="384"/>
      <c r="U150" s="384"/>
      <c r="V150" s="387" t="s">
        <v>132</v>
      </c>
      <c r="W150" s="387"/>
      <c r="X150" s="343" t="s">
        <v>131</v>
      </c>
      <c r="Y150" s="343" t="s">
        <v>131</v>
      </c>
      <c r="Z150" s="120">
        <f t="shared" si="30"/>
        <v>24</v>
      </c>
      <c r="AA150" s="305" t="str">
        <f t="shared" si="31"/>
        <v>00:24:00</v>
      </c>
      <c r="AB150" s="120">
        <f t="shared" si="32"/>
        <v>1440</v>
      </c>
      <c r="AC150" s="402">
        <v>0.0166319444444444</v>
      </c>
      <c r="AD150" s="401">
        <v>169</v>
      </c>
      <c r="AE150" s="401">
        <v>43</v>
      </c>
      <c r="AF150" s="343"/>
    </row>
    <row r="151" ht="23.1" customHeight="1" spans="1:32">
      <c r="A151" s="343">
        <v>147</v>
      </c>
      <c r="B151" s="279"/>
      <c r="C151" s="345" t="s">
        <v>122</v>
      </c>
      <c r="D151" s="412"/>
      <c r="E151" s="411"/>
      <c r="F151" s="156">
        <v>3</v>
      </c>
      <c r="G151" s="355" t="s">
        <v>840</v>
      </c>
      <c r="H151" s="356" t="s">
        <v>841</v>
      </c>
      <c r="I151" s="365" t="s">
        <v>126</v>
      </c>
      <c r="J151" s="365"/>
      <c r="K151" s="365"/>
      <c r="L151" s="365"/>
      <c r="M151" s="413"/>
      <c r="N151" s="371" t="s">
        <v>842</v>
      </c>
      <c r="O151" s="367"/>
      <c r="P151" s="370"/>
      <c r="Q151" s="386"/>
      <c r="R151" s="387" t="s">
        <v>132</v>
      </c>
      <c r="S151" s="383"/>
      <c r="T151" s="384"/>
      <c r="U151" s="384"/>
      <c r="V151" s="387" t="s">
        <v>132</v>
      </c>
      <c r="W151" s="387"/>
      <c r="X151" s="343" t="s">
        <v>131</v>
      </c>
      <c r="Y151" s="343" t="s">
        <v>131</v>
      </c>
      <c r="Z151" s="120">
        <f t="shared" si="30"/>
        <v>3</v>
      </c>
      <c r="AA151" s="305" t="str">
        <f t="shared" si="31"/>
        <v>00:03:00</v>
      </c>
      <c r="AB151" s="120">
        <f t="shared" si="32"/>
        <v>180</v>
      </c>
      <c r="AC151" s="402">
        <v>0.00196759259259259</v>
      </c>
      <c r="AD151" s="401">
        <v>169</v>
      </c>
      <c r="AE151" s="401">
        <v>43</v>
      </c>
      <c r="AF151" s="343"/>
    </row>
    <row r="152" ht="23.1" customHeight="1" spans="1:32">
      <c r="A152" s="343">
        <v>148</v>
      </c>
      <c r="B152" s="279"/>
      <c r="C152" s="345" t="s">
        <v>122</v>
      </c>
      <c r="D152" s="412"/>
      <c r="E152" s="411"/>
      <c r="F152" s="156">
        <v>4</v>
      </c>
      <c r="G152" s="355" t="s">
        <v>843</v>
      </c>
      <c r="H152" s="356" t="s">
        <v>844</v>
      </c>
      <c r="I152" s="365" t="s">
        <v>126</v>
      </c>
      <c r="J152" s="365"/>
      <c r="K152" s="365"/>
      <c r="L152" s="365"/>
      <c r="M152" s="413"/>
      <c r="N152" s="371" t="s">
        <v>845</v>
      </c>
      <c r="O152" s="367"/>
      <c r="P152" s="370"/>
      <c r="Q152" s="386"/>
      <c r="R152" s="387" t="s">
        <v>132</v>
      </c>
      <c r="S152" s="383"/>
      <c r="T152" s="384"/>
      <c r="U152" s="384"/>
      <c r="V152" s="387" t="s">
        <v>132</v>
      </c>
      <c r="W152" s="387"/>
      <c r="X152" s="343" t="s">
        <v>131</v>
      </c>
      <c r="Y152" s="343" t="s">
        <v>131</v>
      </c>
      <c r="Z152" s="120">
        <f t="shared" si="30"/>
        <v>3</v>
      </c>
      <c r="AA152" s="305" t="str">
        <f t="shared" si="31"/>
        <v>00:03:00</v>
      </c>
      <c r="AB152" s="120">
        <f t="shared" si="32"/>
        <v>180</v>
      </c>
      <c r="AC152" s="402">
        <v>0.001875</v>
      </c>
      <c r="AD152" s="401">
        <v>169</v>
      </c>
      <c r="AE152" s="401">
        <v>43</v>
      </c>
      <c r="AF152" s="343"/>
    </row>
    <row r="153" ht="23.1" customHeight="1" spans="1:32">
      <c r="A153" s="343">
        <v>149</v>
      </c>
      <c r="B153" s="279"/>
      <c r="C153" s="345" t="s">
        <v>122</v>
      </c>
      <c r="D153" s="412"/>
      <c r="E153" s="411"/>
      <c r="F153" s="156">
        <v>5</v>
      </c>
      <c r="G153" s="355" t="s">
        <v>846</v>
      </c>
      <c r="H153" s="356" t="s">
        <v>847</v>
      </c>
      <c r="I153" s="365" t="s">
        <v>126</v>
      </c>
      <c r="J153" s="365"/>
      <c r="K153" s="365"/>
      <c r="L153" s="365"/>
      <c r="M153" s="413"/>
      <c r="N153" s="371" t="s">
        <v>848</v>
      </c>
      <c r="O153" s="367"/>
      <c r="P153" s="370"/>
      <c r="Q153" s="386"/>
      <c r="R153" s="387" t="s">
        <v>132</v>
      </c>
      <c r="S153" s="383"/>
      <c r="T153" s="384"/>
      <c r="U153" s="384"/>
      <c r="V153" s="387" t="s">
        <v>132</v>
      </c>
      <c r="W153" s="387" t="s">
        <v>849</v>
      </c>
      <c r="X153" s="343" t="s">
        <v>131</v>
      </c>
      <c r="Y153" s="343" t="s">
        <v>131</v>
      </c>
      <c r="Z153" s="120">
        <f t="shared" si="30"/>
        <v>9</v>
      </c>
      <c r="AA153" s="305" t="str">
        <f t="shared" si="31"/>
        <v>00:09:00</v>
      </c>
      <c r="AB153" s="120">
        <f t="shared" si="32"/>
        <v>540</v>
      </c>
      <c r="AC153" s="402">
        <v>0.00634259259259259</v>
      </c>
      <c r="AD153" s="401">
        <v>169</v>
      </c>
      <c r="AE153" s="401">
        <v>43</v>
      </c>
      <c r="AF153" s="343"/>
    </row>
    <row r="154" ht="23.1" customHeight="1" spans="1:32">
      <c r="A154" s="343">
        <v>150</v>
      </c>
      <c r="B154" s="279"/>
      <c r="C154" s="345" t="s">
        <v>122</v>
      </c>
      <c r="D154" s="412"/>
      <c r="E154" s="411"/>
      <c r="F154" s="156">
        <v>6</v>
      </c>
      <c r="G154" s="355" t="s">
        <v>850</v>
      </c>
      <c r="H154" s="356" t="s">
        <v>851</v>
      </c>
      <c r="I154" s="365" t="s">
        <v>126</v>
      </c>
      <c r="J154" s="365"/>
      <c r="K154" s="365"/>
      <c r="L154" s="365"/>
      <c r="M154" s="413"/>
      <c r="N154" s="371" t="s">
        <v>852</v>
      </c>
      <c r="O154" s="367"/>
      <c r="P154" s="370"/>
      <c r="Q154" s="386"/>
      <c r="R154" s="387" t="s">
        <v>132</v>
      </c>
      <c r="S154" s="383"/>
      <c r="T154" s="384"/>
      <c r="U154" s="384"/>
      <c r="V154" s="382" t="s">
        <v>138</v>
      </c>
      <c r="W154" s="387" t="s">
        <v>132</v>
      </c>
      <c r="X154" s="343" t="s">
        <v>131</v>
      </c>
      <c r="Y154" s="343" t="s">
        <v>131</v>
      </c>
      <c r="Z154" s="120">
        <f t="shared" si="30"/>
        <v>9</v>
      </c>
      <c r="AA154" s="305" t="str">
        <f t="shared" si="31"/>
        <v>00:09:00</v>
      </c>
      <c r="AB154" s="120">
        <f t="shared" si="32"/>
        <v>540</v>
      </c>
      <c r="AC154" s="402">
        <v>0.00605324074074074</v>
      </c>
      <c r="AD154" s="401">
        <v>169</v>
      </c>
      <c r="AE154" s="401">
        <v>43</v>
      </c>
      <c r="AF154" s="343"/>
    </row>
    <row r="155" ht="23.1" customHeight="1" spans="1:32">
      <c r="A155" s="343">
        <v>151</v>
      </c>
      <c r="B155" s="279"/>
      <c r="C155" s="345" t="s">
        <v>122</v>
      </c>
      <c r="D155" s="412"/>
      <c r="E155" s="411"/>
      <c r="F155" s="156">
        <v>7</v>
      </c>
      <c r="G155" s="355" t="s">
        <v>853</v>
      </c>
      <c r="H155" s="356" t="s">
        <v>854</v>
      </c>
      <c r="I155" s="365" t="s">
        <v>126</v>
      </c>
      <c r="J155" s="365"/>
      <c r="K155" s="365"/>
      <c r="L155" s="365"/>
      <c r="M155" s="413"/>
      <c r="N155" s="371" t="s">
        <v>855</v>
      </c>
      <c r="O155" s="367"/>
      <c r="P155" s="370"/>
      <c r="Q155" s="386"/>
      <c r="R155" s="382" t="s">
        <v>138</v>
      </c>
      <c r="S155" s="383"/>
      <c r="T155" s="384"/>
      <c r="U155" s="384"/>
      <c r="V155" s="382" t="s">
        <v>138</v>
      </c>
      <c r="W155" s="387" t="s">
        <v>132</v>
      </c>
      <c r="X155" s="343" t="s">
        <v>131</v>
      </c>
      <c r="Y155" s="343" t="s">
        <v>131</v>
      </c>
      <c r="Z155" s="120">
        <f t="shared" si="30"/>
        <v>6</v>
      </c>
      <c r="AA155" s="305" t="str">
        <f t="shared" si="31"/>
        <v>00:06:00</v>
      </c>
      <c r="AB155" s="120">
        <f t="shared" si="32"/>
        <v>360</v>
      </c>
      <c r="AC155" s="402">
        <v>0.00392361111111111</v>
      </c>
      <c r="AD155" s="401">
        <v>169</v>
      </c>
      <c r="AE155" s="401">
        <v>43</v>
      </c>
      <c r="AF155" s="343"/>
    </row>
    <row r="156" ht="23.1" customHeight="1" spans="1:32">
      <c r="A156" s="343">
        <v>152</v>
      </c>
      <c r="B156" s="279"/>
      <c r="C156" s="345" t="s">
        <v>122</v>
      </c>
      <c r="D156" s="412"/>
      <c r="E156" s="411"/>
      <c r="F156" s="156">
        <v>8</v>
      </c>
      <c r="G156" s="355" t="s">
        <v>856</v>
      </c>
      <c r="H156" s="356" t="s">
        <v>857</v>
      </c>
      <c r="I156" s="365" t="s">
        <v>126</v>
      </c>
      <c r="J156" s="365"/>
      <c r="K156" s="365"/>
      <c r="L156" s="365"/>
      <c r="M156" s="413"/>
      <c r="N156" s="371" t="s">
        <v>858</v>
      </c>
      <c r="O156" s="367"/>
      <c r="P156" s="370"/>
      <c r="Q156" s="386"/>
      <c r="R156" s="387" t="s">
        <v>859</v>
      </c>
      <c r="S156" s="383"/>
      <c r="T156" s="384"/>
      <c r="U156" s="384"/>
      <c r="V156" s="387" t="s">
        <v>132</v>
      </c>
      <c r="W156" s="387" t="s">
        <v>859</v>
      </c>
      <c r="X156" s="343" t="s">
        <v>131</v>
      </c>
      <c r="Y156" s="343" t="s">
        <v>131</v>
      </c>
      <c r="Z156" s="120">
        <f t="shared" si="30"/>
        <v>6</v>
      </c>
      <c r="AA156" s="305" t="str">
        <f t="shared" si="31"/>
        <v>00:06:00</v>
      </c>
      <c r="AB156" s="120">
        <f t="shared" si="32"/>
        <v>360</v>
      </c>
      <c r="AC156" s="402">
        <v>0.00425925925925926</v>
      </c>
      <c r="AD156" s="401">
        <v>169</v>
      </c>
      <c r="AE156" s="401">
        <v>43</v>
      </c>
      <c r="AF156" s="343"/>
    </row>
    <row r="157" ht="23.1" customHeight="1" spans="1:32">
      <c r="A157" s="343">
        <v>153</v>
      </c>
      <c r="B157" s="279"/>
      <c r="C157" s="345" t="s">
        <v>122</v>
      </c>
      <c r="D157" s="412"/>
      <c r="E157" s="411"/>
      <c r="F157" s="156">
        <v>9</v>
      </c>
      <c r="G157" s="355" t="s">
        <v>860</v>
      </c>
      <c r="H157" s="356" t="s">
        <v>861</v>
      </c>
      <c r="I157" s="365" t="s">
        <v>126</v>
      </c>
      <c r="J157" s="365"/>
      <c r="K157" s="365"/>
      <c r="L157" s="365"/>
      <c r="M157" s="413"/>
      <c r="N157" s="371" t="s">
        <v>862</v>
      </c>
      <c r="O157" s="367"/>
      <c r="P157" s="370"/>
      <c r="Q157" s="386"/>
      <c r="R157" s="382" t="s">
        <v>138</v>
      </c>
      <c r="S157" s="383"/>
      <c r="T157" s="384"/>
      <c r="U157" s="384"/>
      <c r="V157" s="382" t="s">
        <v>138</v>
      </c>
      <c r="W157" s="387" t="s">
        <v>132</v>
      </c>
      <c r="X157" s="343" t="s">
        <v>131</v>
      </c>
      <c r="Y157" s="343" t="s">
        <v>131</v>
      </c>
      <c r="Z157" s="120">
        <f t="shared" si="30"/>
        <v>6</v>
      </c>
      <c r="AA157" s="305" t="str">
        <f t="shared" si="31"/>
        <v>00:06:00</v>
      </c>
      <c r="AB157" s="120">
        <f t="shared" si="32"/>
        <v>360</v>
      </c>
      <c r="AC157" s="402">
        <v>0.00431712962962963</v>
      </c>
      <c r="AD157" s="401">
        <v>169</v>
      </c>
      <c r="AE157" s="401">
        <v>43</v>
      </c>
      <c r="AF157" s="343"/>
    </row>
    <row r="158" ht="23.1" customHeight="1" spans="1:32">
      <c r="A158" s="343">
        <v>154</v>
      </c>
      <c r="B158" s="279"/>
      <c r="C158" s="345" t="s">
        <v>122</v>
      </c>
      <c r="D158" s="412"/>
      <c r="E158" s="411"/>
      <c r="F158" s="156">
        <v>10</v>
      </c>
      <c r="G158" s="355" t="s">
        <v>863</v>
      </c>
      <c r="H158" s="356" t="s">
        <v>864</v>
      </c>
      <c r="I158" s="365" t="s">
        <v>126</v>
      </c>
      <c r="J158" s="365"/>
      <c r="K158" s="365"/>
      <c r="L158" s="365"/>
      <c r="M158" s="413"/>
      <c r="N158" s="371" t="s">
        <v>865</v>
      </c>
      <c r="O158" s="367"/>
      <c r="P158" s="370"/>
      <c r="Q158" s="386"/>
      <c r="R158" s="387" t="s">
        <v>849</v>
      </c>
      <c r="S158" s="383"/>
      <c r="T158" s="384"/>
      <c r="U158" s="384"/>
      <c r="V158" s="387" t="s">
        <v>132</v>
      </c>
      <c r="W158" s="387" t="s">
        <v>849</v>
      </c>
      <c r="X158" s="343" t="s">
        <v>131</v>
      </c>
      <c r="Y158" s="343" t="s">
        <v>131</v>
      </c>
      <c r="Z158" s="120">
        <f t="shared" si="30"/>
        <v>9</v>
      </c>
      <c r="AA158" s="305" t="str">
        <f t="shared" si="31"/>
        <v>00:09:00</v>
      </c>
      <c r="AB158" s="120">
        <f t="shared" si="32"/>
        <v>540</v>
      </c>
      <c r="AC158" s="402">
        <v>0.00609953703703704</v>
      </c>
      <c r="AD158" s="401">
        <v>169</v>
      </c>
      <c r="AE158" s="401">
        <v>43</v>
      </c>
      <c r="AF158" s="343"/>
    </row>
    <row r="159" ht="23.1" customHeight="1" spans="1:32">
      <c r="A159" s="343">
        <v>155</v>
      </c>
      <c r="B159" s="279"/>
      <c r="C159" s="345" t="s">
        <v>122</v>
      </c>
      <c r="D159" s="412"/>
      <c r="E159" s="411"/>
      <c r="F159" s="156">
        <v>11</v>
      </c>
      <c r="G159" s="355" t="s">
        <v>866</v>
      </c>
      <c r="H159" s="356" t="s">
        <v>867</v>
      </c>
      <c r="I159" s="365" t="s">
        <v>126</v>
      </c>
      <c r="J159" s="365"/>
      <c r="K159" s="365"/>
      <c r="L159" s="365"/>
      <c r="M159" s="413"/>
      <c r="N159" s="371" t="s">
        <v>868</v>
      </c>
      <c r="O159" s="367"/>
      <c r="P159" s="370"/>
      <c r="Q159" s="386"/>
      <c r="R159" s="387" t="s">
        <v>132</v>
      </c>
      <c r="S159" s="383"/>
      <c r="T159" s="384"/>
      <c r="U159" s="384"/>
      <c r="V159" s="387" t="s">
        <v>132</v>
      </c>
      <c r="W159" s="387" t="s">
        <v>849</v>
      </c>
      <c r="X159" s="343" t="s">
        <v>131</v>
      </c>
      <c r="Y159" s="343" t="s">
        <v>131</v>
      </c>
      <c r="Z159" s="120">
        <f t="shared" si="30"/>
        <v>8</v>
      </c>
      <c r="AA159" s="305" t="str">
        <f t="shared" si="31"/>
        <v>00:08:00</v>
      </c>
      <c r="AB159" s="120">
        <f t="shared" si="32"/>
        <v>480</v>
      </c>
      <c r="AC159" s="402">
        <v>0.00546296296296296</v>
      </c>
      <c r="AD159" s="401">
        <v>169</v>
      </c>
      <c r="AE159" s="401">
        <v>43</v>
      </c>
      <c r="AF159" s="343"/>
    </row>
    <row r="160" ht="23.1" customHeight="1" spans="1:32">
      <c r="A160" s="343">
        <v>156</v>
      </c>
      <c r="B160" s="279"/>
      <c r="C160" s="345" t="s">
        <v>122</v>
      </c>
      <c r="D160" s="412"/>
      <c r="E160" s="411"/>
      <c r="F160" s="156">
        <v>12</v>
      </c>
      <c r="G160" s="355" t="s">
        <v>869</v>
      </c>
      <c r="H160" s="356" t="s">
        <v>870</v>
      </c>
      <c r="I160" s="365" t="s">
        <v>126</v>
      </c>
      <c r="J160" s="365"/>
      <c r="K160" s="365"/>
      <c r="L160" s="365"/>
      <c r="M160" s="413"/>
      <c r="N160" s="371" t="s">
        <v>871</v>
      </c>
      <c r="O160" s="367"/>
      <c r="P160" s="370"/>
      <c r="Q160" s="386"/>
      <c r="R160" s="382" t="s">
        <v>138</v>
      </c>
      <c r="S160" s="383"/>
      <c r="T160" s="384"/>
      <c r="U160" s="384"/>
      <c r="V160" s="382" t="s">
        <v>138</v>
      </c>
      <c r="W160" s="387" t="s">
        <v>132</v>
      </c>
      <c r="X160" s="343" t="s">
        <v>131</v>
      </c>
      <c r="Y160" s="343" t="s">
        <v>131</v>
      </c>
      <c r="Z160" s="120">
        <f t="shared" si="30"/>
        <v>9</v>
      </c>
      <c r="AA160" s="305" t="str">
        <f t="shared" si="31"/>
        <v>00:09:00</v>
      </c>
      <c r="AB160" s="120">
        <f t="shared" si="32"/>
        <v>540</v>
      </c>
      <c r="AC160" s="402">
        <v>0.00645833333333333</v>
      </c>
      <c r="AD160" s="401">
        <v>169</v>
      </c>
      <c r="AE160" s="401">
        <v>43</v>
      </c>
      <c r="AF160" s="343"/>
    </row>
    <row r="161" ht="24.95" customHeight="1" spans="1:32">
      <c r="A161" s="343">
        <v>157</v>
      </c>
      <c r="B161" s="279"/>
      <c r="C161" s="345" t="s">
        <v>122</v>
      </c>
      <c r="D161" s="411" t="s">
        <v>362</v>
      </c>
      <c r="E161" s="411"/>
      <c r="F161" s="420">
        <v>1</v>
      </c>
      <c r="G161" s="421" t="s">
        <v>872</v>
      </c>
      <c r="H161" s="28" t="s">
        <v>873</v>
      </c>
      <c r="I161" s="365" t="s">
        <v>126</v>
      </c>
      <c r="J161" s="365" t="s">
        <v>126</v>
      </c>
      <c r="K161" s="365" t="s">
        <v>126</v>
      </c>
      <c r="L161" s="365" t="s">
        <v>126</v>
      </c>
      <c r="M161" s="365" t="s">
        <v>126</v>
      </c>
      <c r="N161" s="371" t="s">
        <v>874</v>
      </c>
      <c r="O161" s="367" t="s">
        <v>874</v>
      </c>
      <c r="P161" s="422" t="str">
        <f>CONCATENATE("WonderfulNavigation","_",C161,"_","169","_",PROPER(R161),IF(S161="",PROPER(R161),PROPER(S161)),PROPER(T161),PROPER(U161),PROPER(V161),IF(V161&lt;&gt;"","SUB",""),PROPER(W161),IF(W161&lt;&gt;"","SUB",""),"_","Ed","_","M2",".mpg")</f>
        <v>WonderfulNavigation_0125_169_EngEngEngSUBZhoSUB_Ed_M2.mpg</v>
      </c>
      <c r="Q161" s="422"/>
      <c r="R161" s="423" t="s">
        <v>138</v>
      </c>
      <c r="S161" s="424"/>
      <c r="T161" s="424"/>
      <c r="U161" s="424"/>
      <c r="V161" s="425" t="s">
        <v>138</v>
      </c>
      <c r="W161" s="425" t="s">
        <v>132</v>
      </c>
      <c r="X161" s="343" t="s">
        <v>131</v>
      </c>
      <c r="Y161" s="343" t="s">
        <v>131</v>
      </c>
      <c r="Z161" s="120">
        <f t="shared" si="30"/>
        <v>1</v>
      </c>
      <c r="AA161" s="305" t="str">
        <f t="shared" si="31"/>
        <v>00:01:00</v>
      </c>
      <c r="AB161" s="120">
        <f t="shared" si="32"/>
        <v>60</v>
      </c>
      <c r="AC161" s="418">
        <v>0.000694444444444444</v>
      </c>
      <c r="AD161" s="401">
        <v>169</v>
      </c>
      <c r="AE161" s="401">
        <v>43</v>
      </c>
      <c r="AF161" s="426"/>
    </row>
  </sheetData>
  <mergeCells count="65">
    <mergeCell ref="A2:H2"/>
    <mergeCell ref="I2:K2"/>
    <mergeCell ref="L2:M2"/>
    <mergeCell ref="N2:O2"/>
    <mergeCell ref="P2:Q2"/>
    <mergeCell ref="R2:W2"/>
    <mergeCell ref="X2:Y2"/>
    <mergeCell ref="AA2:AB2"/>
    <mergeCell ref="AD2:AE2"/>
    <mergeCell ref="P161:Q161"/>
    <mergeCell ref="A3:A4"/>
    <mergeCell ref="B3:B4"/>
    <mergeCell ref="C3:C4"/>
    <mergeCell ref="D3:D4"/>
    <mergeCell ref="D5:D16"/>
    <mergeCell ref="D17:D24"/>
    <mergeCell ref="D25:D29"/>
    <mergeCell ref="D30:D41"/>
    <mergeCell ref="D42:D55"/>
    <mergeCell ref="D56:D66"/>
    <mergeCell ref="D67:D85"/>
    <mergeCell ref="D86:D99"/>
    <mergeCell ref="D100:D104"/>
    <mergeCell ref="D105:D113"/>
    <mergeCell ref="D114:D121"/>
    <mergeCell ref="D122:D160"/>
    <mergeCell ref="E3:E4"/>
    <mergeCell ref="E5:E16"/>
    <mergeCell ref="E17:E24"/>
    <mergeCell ref="E25:E29"/>
    <mergeCell ref="E30:E41"/>
    <mergeCell ref="E42:E55"/>
    <mergeCell ref="E56:E66"/>
    <mergeCell ref="E67:E85"/>
    <mergeCell ref="E86:E99"/>
    <mergeCell ref="E100:E104"/>
    <mergeCell ref="E105:E113"/>
    <mergeCell ref="E114:E121"/>
    <mergeCell ref="E122:E141"/>
    <mergeCell ref="E142:E148"/>
    <mergeCell ref="E149:E160"/>
    <mergeCell ref="F3:F4"/>
    <mergeCell ref="G3:G4"/>
    <mergeCell ref="H3:H4"/>
    <mergeCell ref="I3:I4"/>
    <mergeCell ref="L3:L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  <mergeCell ref="AE3:AE4"/>
    <mergeCell ref="AF3:AF4"/>
  </mergeCells>
  <pageMargins left="0.75" right="0.75" top="1" bottom="1" header="0.5" footer="0.5"/>
  <pageSetup paperSize="1" orientation="portrait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AK29"/>
  <sheetViews>
    <sheetView zoomScale="80" zoomScaleNormal="80" workbookViewId="0">
      <pane xSplit="6" ySplit="4" topLeftCell="L5" activePane="bottomRight" state="frozen"/>
      <selection/>
      <selection pane="topRight"/>
      <selection pane="bottomLeft"/>
      <selection pane="bottomRight" activeCell="L27" sqref="L27"/>
    </sheetView>
  </sheetViews>
  <sheetFormatPr defaultColWidth="8" defaultRowHeight="13.5"/>
  <cols>
    <col min="1" max="1" width="3.63333333333333" customWidth="1"/>
    <col min="2" max="2" width="5.63333333333333" customWidth="1"/>
    <col min="3" max="3" width="4.38333333333333" customWidth="1"/>
    <col min="4" max="4" width="7" customWidth="1"/>
    <col min="5" max="5" width="3.25833333333333" customWidth="1"/>
    <col min="6" max="7" width="26.2583333333333" customWidth="1"/>
    <col min="8" max="11" width="4.38333333333333" customWidth="1"/>
    <col min="12" max="12" width="23" customWidth="1"/>
    <col min="13" max="13" width="62.3416666666667" customWidth="1"/>
    <col min="14" max="14" width="64.525" customWidth="1"/>
    <col min="15" max="20" width="4.14166666666667" customWidth="1"/>
    <col min="21" max="22" width="5.63333333333333" customWidth="1"/>
    <col min="23" max="23" width="8" customWidth="1"/>
    <col min="24" max="24" width="11.3833333333333" customWidth="1"/>
    <col min="25" max="25" width="11.2583333333333" customWidth="1"/>
    <col min="26" max="26" width="6.14166666666667" customWidth="1"/>
    <col min="27" max="27" width="6.88333333333333" customWidth="1"/>
    <col min="28" max="28" width="17.6333333333333" customWidth="1"/>
    <col min="29" max="34" width="5.14166666666667" customWidth="1"/>
    <col min="35" max="37" width="4.14166666666667" hidden="1" customWidth="1"/>
  </cols>
  <sheetData>
    <row r="1" ht="14.25"/>
    <row r="2" customFormat="1" ht="18.95" customHeight="1" spans="1:37">
      <c r="A2" s="14" t="s">
        <v>374</v>
      </c>
      <c r="B2" s="13"/>
      <c r="C2" s="13"/>
      <c r="D2" s="13"/>
      <c r="E2" s="13"/>
      <c r="F2" s="13"/>
      <c r="G2" s="273"/>
      <c r="H2" s="15" t="s">
        <v>75</v>
      </c>
      <c r="I2" s="35"/>
      <c r="J2" s="15" t="s">
        <v>76</v>
      </c>
      <c r="K2" s="36"/>
      <c r="L2" s="37" t="s">
        <v>77</v>
      </c>
      <c r="M2" s="324" t="s">
        <v>376</v>
      </c>
      <c r="N2" s="325"/>
      <c r="O2" s="164" t="s">
        <v>82</v>
      </c>
      <c r="P2" s="40"/>
      <c r="Q2" s="40"/>
      <c r="R2" s="40"/>
      <c r="S2" s="40"/>
      <c r="T2" s="40"/>
      <c r="U2" s="53" t="s">
        <v>377</v>
      </c>
      <c r="V2" s="54"/>
      <c r="W2" s="55"/>
      <c r="X2" s="65" t="s">
        <v>83</v>
      </c>
      <c r="Y2" s="65"/>
      <c r="Z2" s="266" t="s">
        <v>84</v>
      </c>
      <c r="AA2" s="331"/>
      <c r="AB2" s="2"/>
      <c r="AC2" s="2"/>
      <c r="AD2" s="2"/>
      <c r="AE2" s="2"/>
      <c r="AF2" s="2"/>
      <c r="AG2" s="2"/>
      <c r="AH2" s="2"/>
      <c r="AI2" s="2"/>
      <c r="AJ2" s="2"/>
      <c r="AK2" s="2"/>
    </row>
    <row r="3" customFormat="1" ht="18" customHeight="1" spans="1:37">
      <c r="A3" s="68" t="s">
        <v>87</v>
      </c>
      <c r="B3" s="77" t="s">
        <v>89</v>
      </c>
      <c r="C3" s="78" t="s">
        <v>378</v>
      </c>
      <c r="D3" s="77" t="s">
        <v>88</v>
      </c>
      <c r="E3" s="78" t="s">
        <v>91</v>
      </c>
      <c r="F3" s="78" t="s">
        <v>92</v>
      </c>
      <c r="G3" s="116" t="s">
        <v>93</v>
      </c>
      <c r="H3" s="21" t="s">
        <v>95</v>
      </c>
      <c r="I3" s="27" t="s">
        <v>875</v>
      </c>
      <c r="J3" s="41" t="s">
        <v>98</v>
      </c>
      <c r="K3" s="42" t="s">
        <v>99</v>
      </c>
      <c r="L3" s="201" t="s">
        <v>100</v>
      </c>
      <c r="M3" s="44" t="s">
        <v>382</v>
      </c>
      <c r="N3" s="44" t="s">
        <v>103</v>
      </c>
      <c r="O3" s="45" t="s">
        <v>111</v>
      </c>
      <c r="P3" s="56" t="s">
        <v>112</v>
      </c>
      <c r="Q3" s="57" t="s">
        <v>113</v>
      </c>
      <c r="R3" s="57" t="s">
        <v>114</v>
      </c>
      <c r="S3" s="56" t="s">
        <v>115</v>
      </c>
      <c r="T3" s="56" t="s">
        <v>116</v>
      </c>
      <c r="U3" s="58" t="s">
        <v>109</v>
      </c>
      <c r="V3" s="58" t="s">
        <v>110</v>
      </c>
      <c r="W3" s="24" t="s">
        <v>117</v>
      </c>
      <c r="X3" s="68" t="s">
        <v>118</v>
      </c>
      <c r="Y3" s="69" t="s">
        <v>119</v>
      </c>
      <c r="Z3" s="267" t="s">
        <v>120</v>
      </c>
      <c r="AA3" s="332" t="s">
        <v>876</v>
      </c>
      <c r="AB3" s="2"/>
      <c r="AC3" s="2"/>
      <c r="AD3" s="2"/>
      <c r="AE3" s="2"/>
      <c r="AF3" s="2"/>
      <c r="AG3" s="2"/>
      <c r="AH3" s="2"/>
      <c r="AI3" s="2"/>
      <c r="AJ3" s="2"/>
      <c r="AK3" s="2"/>
    </row>
    <row r="4" customFormat="1" ht="111.95" customHeight="1" spans="1:27">
      <c r="A4" s="68"/>
      <c r="B4" s="79"/>
      <c r="C4" s="80"/>
      <c r="D4" s="79"/>
      <c r="E4" s="80"/>
      <c r="F4" s="80"/>
      <c r="G4" s="116"/>
      <c r="H4" s="244"/>
      <c r="I4" s="244"/>
      <c r="J4" s="253"/>
      <c r="K4" s="253"/>
      <c r="L4" s="326"/>
      <c r="M4" s="99"/>
      <c r="N4" s="99"/>
      <c r="O4" s="45"/>
      <c r="P4" s="56"/>
      <c r="Q4" s="136"/>
      <c r="R4" s="136"/>
      <c r="S4" s="56"/>
      <c r="T4" s="56"/>
      <c r="U4" s="137"/>
      <c r="V4" s="137"/>
      <c r="W4" s="115"/>
      <c r="X4" s="68"/>
      <c r="Y4" s="113"/>
      <c r="Z4" s="269"/>
      <c r="AA4" s="333"/>
    </row>
    <row r="5" s="319" customFormat="1" ht="30" customHeight="1" spans="1:31">
      <c r="A5" s="320">
        <v>1</v>
      </c>
      <c r="B5" s="321" t="s">
        <v>122</v>
      </c>
      <c r="C5" s="322" t="s">
        <v>877</v>
      </c>
      <c r="D5" s="321"/>
      <c r="E5" s="320">
        <v>1</v>
      </c>
      <c r="F5" s="320" t="s">
        <v>878</v>
      </c>
      <c r="G5" s="320" t="s">
        <v>878</v>
      </c>
      <c r="H5" s="323"/>
      <c r="I5" s="323"/>
      <c r="J5" s="323" t="s">
        <v>126</v>
      </c>
      <c r="K5" s="323" t="s">
        <v>126</v>
      </c>
      <c r="L5" s="327"/>
      <c r="M5" s="320" t="s">
        <v>879</v>
      </c>
      <c r="N5" s="320" t="s">
        <v>880</v>
      </c>
      <c r="O5" s="328" t="s">
        <v>132</v>
      </c>
      <c r="P5" s="328"/>
      <c r="Q5" s="328"/>
      <c r="R5" s="328"/>
      <c r="S5" s="328"/>
      <c r="T5" s="328"/>
      <c r="U5" s="328" t="s">
        <v>881</v>
      </c>
      <c r="V5" s="328" t="s">
        <v>881</v>
      </c>
      <c r="W5" s="329"/>
      <c r="X5" s="330">
        <v>3.47222222222222e-5</v>
      </c>
      <c r="Y5" s="334"/>
      <c r="Z5" s="335">
        <v>169</v>
      </c>
      <c r="AA5" s="335">
        <v>43</v>
      </c>
      <c r="AB5" s="336"/>
      <c r="AE5" s="337"/>
    </row>
    <row r="6" customFormat="1" ht="24" customHeight="1" spans="21:23">
      <c r="U6" s="3"/>
      <c r="V6" s="3"/>
      <c r="W6" s="3"/>
    </row>
    <row r="7" customFormat="1" ht="20.25" spans="3:23">
      <c r="C7" s="34"/>
      <c r="D7" s="34"/>
      <c r="U7" s="3"/>
      <c r="V7" s="3"/>
      <c r="W7" s="3"/>
    </row>
    <row r="8" customFormat="1" ht="20.25" spans="3:23">
      <c r="C8" s="34"/>
      <c r="D8" s="34"/>
      <c r="U8" s="3"/>
      <c r="V8" s="3"/>
      <c r="W8" s="3"/>
    </row>
    <row r="9" customFormat="1" spans="21:23">
      <c r="U9" s="3"/>
      <c r="V9" s="3"/>
      <c r="W9" s="3"/>
    </row>
    <row r="10" customFormat="1" spans="21:23">
      <c r="U10" s="3"/>
      <c r="V10" s="3"/>
      <c r="W10" s="3"/>
    </row>
    <row r="11" customFormat="1" spans="21:23">
      <c r="U11" s="3"/>
      <c r="V11" s="3"/>
      <c r="W11" s="3"/>
    </row>
    <row r="12" customFormat="1" spans="21:23">
      <c r="U12" s="3"/>
      <c r="V12" s="3"/>
      <c r="W12" s="3"/>
    </row>
    <row r="13" customFormat="1" spans="21:23">
      <c r="U13" s="3"/>
      <c r="V13" s="3"/>
      <c r="W13" s="3"/>
    </row>
    <row r="14" customFormat="1" spans="21:23">
      <c r="U14" s="3"/>
      <c r="V14" s="3"/>
      <c r="W14" s="3"/>
    </row>
    <row r="15" customFormat="1" spans="21:23">
      <c r="U15" s="3"/>
      <c r="V15" s="3"/>
      <c r="W15" s="3"/>
    </row>
    <row r="16" customFormat="1" spans="21:23">
      <c r="U16" s="3"/>
      <c r="V16" s="3"/>
      <c r="W16" s="3"/>
    </row>
    <row r="17" customFormat="1" spans="21:23">
      <c r="U17" s="3"/>
      <c r="V17" s="3"/>
      <c r="W17" s="3"/>
    </row>
    <row r="18" customFormat="1" spans="21:23">
      <c r="U18" s="3"/>
      <c r="V18" s="3"/>
      <c r="W18" s="3"/>
    </row>
    <row r="19" customFormat="1" spans="21:23">
      <c r="U19" s="3"/>
      <c r="V19" s="3"/>
      <c r="W19" s="3"/>
    </row>
    <row r="20" customFormat="1" spans="21:23">
      <c r="U20" s="3"/>
      <c r="V20" s="3"/>
      <c r="W20" s="3"/>
    </row>
    <row r="21" customFormat="1" spans="21:23">
      <c r="U21" s="3"/>
      <c r="V21" s="3"/>
      <c r="W21" s="3"/>
    </row>
    <row r="22" customFormat="1" spans="21:23">
      <c r="U22" s="3"/>
      <c r="V22" s="3"/>
      <c r="W22" s="3"/>
    </row>
    <row r="23" customFormat="1" spans="21:23">
      <c r="U23" s="3"/>
      <c r="V23" s="3"/>
      <c r="W23" s="3"/>
    </row>
    <row r="24" customFormat="1" spans="21:23">
      <c r="U24" s="3"/>
      <c r="V24" s="3"/>
      <c r="W24" s="3"/>
    </row>
    <row r="25" customFormat="1" spans="21:23">
      <c r="U25" s="3"/>
      <c r="V25" s="3"/>
      <c r="W25" s="3"/>
    </row>
    <row r="26" customFormat="1" ht="15.75" spans="21:23">
      <c r="U26" s="63"/>
      <c r="V26" s="63"/>
      <c r="W26" s="63"/>
    </row>
    <row r="27" customFormat="1" ht="15.75" spans="21:23">
      <c r="U27" s="63"/>
      <c r="V27" s="63"/>
      <c r="W27" s="63"/>
    </row>
    <row r="28" customFormat="1" ht="15.75" spans="21:23">
      <c r="U28" s="64"/>
      <c r="V28" s="64"/>
      <c r="W28" s="64"/>
    </row>
    <row r="29" customFormat="1" ht="15.75" spans="21:23">
      <c r="U29" s="64"/>
      <c r="V29" s="64"/>
      <c r="W29" s="64"/>
    </row>
  </sheetData>
  <mergeCells count="35">
    <mergeCell ref="A2:G2"/>
    <mergeCell ref="H2:I2"/>
    <mergeCell ref="J2:K2"/>
    <mergeCell ref="M2:N2"/>
    <mergeCell ref="O2:T2"/>
    <mergeCell ref="U2:V2"/>
    <mergeCell ref="X2:Y2"/>
    <mergeCell ref="Z2:AA2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</mergeCells>
  <pageMargins left="0.75" right="0.75" top="1" bottom="1" header="0.5" footer="0.5"/>
  <pageSetup paperSize="1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AQ209"/>
  <sheetViews>
    <sheetView zoomScale="80" zoomScaleNormal="80" topLeftCell="H1" workbookViewId="0">
      <pane ySplit="4" topLeftCell="A43" activePane="bottomLeft" state="frozen"/>
      <selection/>
      <selection pane="bottomLeft" activeCell="AC70" sqref="AC70"/>
    </sheetView>
  </sheetViews>
  <sheetFormatPr defaultColWidth="8" defaultRowHeight="26" customHeight="1"/>
  <cols>
    <col min="1" max="1" width="4.38333333333333" style="2" customWidth="1"/>
    <col min="2" max="2" width="6.88333333333333" style="2" customWidth="1"/>
    <col min="3" max="3" width="4.38333333333333" style="3" customWidth="1"/>
    <col min="4" max="4" width="11.1416666666667" style="3" customWidth="1"/>
    <col min="5" max="5" width="4.50833333333333" style="3" customWidth="1"/>
    <col min="6" max="6" width="4.36666666666667" style="3" customWidth="1"/>
    <col min="7" max="7" width="31.4" style="4" customWidth="1"/>
    <col min="8" max="8" width="46.5583333333333" style="3" customWidth="1"/>
    <col min="9" max="9" width="5.63333333333333" style="3" customWidth="1"/>
    <col min="10" max="14" width="4.50833333333333" style="3" customWidth="1"/>
    <col min="15" max="15" width="23.425" style="3" customWidth="1"/>
    <col min="16" max="16" width="23.425" style="3" hidden="1" customWidth="1"/>
    <col min="17" max="17" width="42.8083333333333" style="5" hidden="1" customWidth="1"/>
    <col min="18" max="18" width="106.091666666667" style="5" hidden="1" customWidth="1"/>
    <col min="19" max="19" width="4.14166666666667" style="3" customWidth="1"/>
    <col min="20" max="22" width="4.14166666666667" style="6" customWidth="1"/>
    <col min="23" max="24" width="4.14166666666667" style="3" customWidth="1"/>
    <col min="25" max="26" width="5.63333333333333" style="7" customWidth="1"/>
    <col min="27" max="27" width="8" style="7" customWidth="1"/>
    <col min="28" max="28" width="11.5083333333333" style="3" customWidth="1"/>
    <col min="29" max="29" width="11.3833333333333" style="3" customWidth="1"/>
    <col min="30" max="30" width="11.2583333333333" style="3" customWidth="1"/>
    <col min="31" max="32" width="6.14166666666667" style="3" customWidth="1"/>
    <col min="33" max="33" width="5.14166666666667" style="8" customWidth="1"/>
    <col min="34" max="34" width="64.8833333333333" style="9" customWidth="1"/>
    <col min="35" max="35" width="5.14166666666667" style="10" customWidth="1"/>
    <col min="36" max="36" width="5.14166666666667" style="8" customWidth="1"/>
    <col min="37" max="37" width="5.14166666666667" style="11" customWidth="1"/>
    <col min="38" max="39" width="5.14166666666667" style="8" customWidth="1"/>
    <col min="40" max="40" width="5.14166666666667" style="10" customWidth="1"/>
    <col min="41" max="43" width="4.14166666666667" style="12" hidden="1" customWidth="1"/>
    <col min="44" max="16384" width="8" style="2"/>
  </cols>
  <sheetData>
    <row r="1" ht="15" customHeight="1"/>
    <row r="2" customHeight="1" spans="1:43">
      <c r="A2" s="13" t="s">
        <v>374</v>
      </c>
      <c r="B2" s="13"/>
      <c r="C2" s="13"/>
      <c r="D2" s="13"/>
      <c r="E2" s="13"/>
      <c r="F2" s="13"/>
      <c r="G2" s="13"/>
      <c r="H2" s="273"/>
      <c r="I2" s="204" t="s">
        <v>75</v>
      </c>
      <c r="J2" s="283"/>
      <c r="K2" s="283"/>
      <c r="L2" s="205"/>
      <c r="M2" s="204" t="s">
        <v>76</v>
      </c>
      <c r="N2" s="205"/>
      <c r="O2" s="284" t="s">
        <v>375</v>
      </c>
      <c r="P2" s="284" t="s">
        <v>882</v>
      </c>
      <c r="Q2" s="298" t="s">
        <v>376</v>
      </c>
      <c r="R2" s="299"/>
      <c r="S2" s="164" t="s">
        <v>82</v>
      </c>
      <c r="T2" s="40"/>
      <c r="U2" s="40"/>
      <c r="V2" s="40"/>
      <c r="W2" s="40"/>
      <c r="X2" s="40"/>
      <c r="Y2" s="53" t="s">
        <v>377</v>
      </c>
      <c r="Z2" s="54"/>
      <c r="AA2" s="55"/>
      <c r="AB2" s="218" t="s">
        <v>83</v>
      </c>
      <c r="AC2" s="65" t="s">
        <v>83</v>
      </c>
      <c r="AD2" s="65"/>
      <c r="AE2" s="266" t="s">
        <v>84</v>
      </c>
      <c r="AF2" s="67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customHeight="1" spans="1:43">
      <c r="A3" s="16" t="s">
        <v>87</v>
      </c>
      <c r="B3" s="17" t="s">
        <v>89</v>
      </c>
      <c r="C3" s="18" t="s">
        <v>378</v>
      </c>
      <c r="D3" s="17" t="s">
        <v>88</v>
      </c>
      <c r="E3" s="144" t="s">
        <v>91</v>
      </c>
      <c r="F3" s="274" t="s">
        <v>883</v>
      </c>
      <c r="G3" s="145" t="s">
        <v>92</v>
      </c>
      <c r="H3" s="275" t="s">
        <v>93</v>
      </c>
      <c r="I3" s="285" t="s">
        <v>884</v>
      </c>
      <c r="J3" s="286" t="s">
        <v>885</v>
      </c>
      <c r="K3" s="287" t="s">
        <v>96</v>
      </c>
      <c r="L3" s="21" t="s">
        <v>101</v>
      </c>
      <c r="M3" s="288" t="s">
        <v>98</v>
      </c>
      <c r="N3" s="288" t="s">
        <v>99</v>
      </c>
      <c r="O3" s="289"/>
      <c r="P3" s="289"/>
      <c r="Q3" s="298"/>
      <c r="R3" s="299"/>
      <c r="S3" s="45" t="s">
        <v>111</v>
      </c>
      <c r="T3" s="56" t="s">
        <v>112</v>
      </c>
      <c r="U3" s="57" t="s">
        <v>113</v>
      </c>
      <c r="V3" s="57" t="s">
        <v>114</v>
      </c>
      <c r="W3" s="56" t="s">
        <v>115</v>
      </c>
      <c r="X3" s="56" t="s">
        <v>116</v>
      </c>
      <c r="Y3" s="58" t="s">
        <v>109</v>
      </c>
      <c r="Z3" s="58" t="s">
        <v>110</v>
      </c>
      <c r="AA3" s="69" t="s">
        <v>117</v>
      </c>
      <c r="AB3" s="222" t="s">
        <v>383</v>
      </c>
      <c r="AC3" s="20" t="s">
        <v>118</v>
      </c>
      <c r="AD3" s="69" t="s">
        <v>119</v>
      </c>
      <c r="AE3" s="267" t="s">
        <v>886</v>
      </c>
      <c r="AF3" s="268" t="s">
        <v>887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ht="49" customHeight="1" spans="1:34">
      <c r="A4" s="276"/>
      <c r="B4" s="23"/>
      <c r="C4" s="24"/>
      <c r="D4" s="128"/>
      <c r="E4" s="277"/>
      <c r="F4" s="117"/>
      <c r="G4" s="148"/>
      <c r="H4" s="275"/>
      <c r="I4" s="290"/>
      <c r="J4" s="291"/>
      <c r="K4" s="292"/>
      <c r="L4" s="244"/>
      <c r="M4" s="293"/>
      <c r="N4" s="293"/>
      <c r="O4" s="294"/>
      <c r="P4" s="294"/>
      <c r="Q4" s="300" t="s">
        <v>103</v>
      </c>
      <c r="R4" s="301" t="s">
        <v>382</v>
      </c>
      <c r="S4" s="45"/>
      <c r="T4" s="56"/>
      <c r="U4" s="136"/>
      <c r="V4" s="136"/>
      <c r="W4" s="56"/>
      <c r="X4" s="56"/>
      <c r="Y4" s="137"/>
      <c r="Z4" s="137"/>
      <c r="AA4" s="113"/>
      <c r="AB4" s="304"/>
      <c r="AC4" s="20"/>
      <c r="AD4" s="113"/>
      <c r="AE4" s="269"/>
      <c r="AF4" s="270"/>
      <c r="AH4" s="306"/>
    </row>
    <row r="5" customHeight="1" spans="1:32">
      <c r="A5" s="81">
        <v>1</v>
      </c>
      <c r="B5" s="29" t="s">
        <v>122</v>
      </c>
      <c r="C5" s="278" t="s">
        <v>888</v>
      </c>
      <c r="D5" s="279"/>
      <c r="E5" s="81">
        <v>1</v>
      </c>
      <c r="F5" s="280" t="s">
        <v>889</v>
      </c>
      <c r="G5" s="281" t="s">
        <v>890</v>
      </c>
      <c r="H5" s="28" t="s">
        <v>891</v>
      </c>
      <c r="I5" s="295" t="s">
        <v>126</v>
      </c>
      <c r="J5" s="295" t="s">
        <v>126</v>
      </c>
      <c r="K5" s="295" t="s">
        <v>126</v>
      </c>
      <c r="L5" s="296"/>
      <c r="M5" s="296"/>
      <c r="N5" s="296"/>
      <c r="O5" s="297" t="s">
        <v>892</v>
      </c>
      <c r="P5" s="297"/>
      <c r="Q5" s="302"/>
      <c r="R5" s="302"/>
      <c r="S5" s="61" t="s">
        <v>132</v>
      </c>
      <c r="T5" s="61"/>
      <c r="U5" s="52"/>
      <c r="V5" s="52"/>
      <c r="W5" s="61" t="s">
        <v>138</v>
      </c>
      <c r="X5" s="61" t="s">
        <v>132</v>
      </c>
      <c r="Y5" s="61" t="s">
        <v>131</v>
      </c>
      <c r="Z5" s="61" t="s">
        <v>131</v>
      </c>
      <c r="AA5" s="118">
        <f>ROUNDUP(HOUR(AB5)*60+MINUTE(AB5)+SECOND(AB5)/60,0)</f>
        <v>8</v>
      </c>
      <c r="AB5" s="305" t="str">
        <f>TEXT((HOUR(AC5)*60+MINUTE(AC5)+IF(SECOND(AC5)&lt;=29,0,1))*60/86400,"hh:mm:ss")</f>
        <v>00:08:00</v>
      </c>
      <c r="AC5" s="119">
        <v>0.00523148148148148</v>
      </c>
      <c r="AD5" s="120">
        <f>AA5*60</f>
        <v>480</v>
      </c>
      <c r="AE5" s="141">
        <v>169</v>
      </c>
      <c r="AF5" s="141"/>
    </row>
    <row r="6" customHeight="1" spans="1:32">
      <c r="A6" s="81">
        <v>2</v>
      </c>
      <c r="B6" s="29" t="s">
        <v>122</v>
      </c>
      <c r="C6" s="278"/>
      <c r="D6" s="279"/>
      <c r="E6" s="81">
        <v>2</v>
      </c>
      <c r="F6" s="280"/>
      <c r="G6" s="281" t="s">
        <v>893</v>
      </c>
      <c r="H6" s="28" t="s">
        <v>894</v>
      </c>
      <c r="I6" s="295" t="s">
        <v>126</v>
      </c>
      <c r="J6" s="295" t="s">
        <v>126</v>
      </c>
      <c r="K6" s="295" t="s">
        <v>126</v>
      </c>
      <c r="L6" s="296"/>
      <c r="M6" s="296"/>
      <c r="N6" s="296"/>
      <c r="O6" s="297" t="s">
        <v>895</v>
      </c>
      <c r="P6" s="297"/>
      <c r="Q6" s="302"/>
      <c r="R6" s="302"/>
      <c r="S6" s="61" t="s">
        <v>132</v>
      </c>
      <c r="T6" s="61"/>
      <c r="U6" s="52"/>
      <c r="V6" s="52"/>
      <c r="W6" s="61" t="s">
        <v>138</v>
      </c>
      <c r="X6" s="61" t="s">
        <v>132</v>
      </c>
      <c r="Y6" s="61" t="s">
        <v>131</v>
      </c>
      <c r="Z6" s="61" t="s">
        <v>131</v>
      </c>
      <c r="AA6" s="118">
        <f t="shared" ref="AA6:AA37" si="0">ROUNDUP(HOUR(AB6)*60+MINUTE(AB6)+SECOND(AB6)/60,0)</f>
        <v>10</v>
      </c>
      <c r="AB6" s="305" t="str">
        <f t="shared" ref="AB6:AB37" si="1">TEXT((HOUR(AC6)*60+MINUTE(AC6)+IF(SECOND(AC6)&lt;=29,0,1))*60/86400,"hh:mm:ss")</f>
        <v>00:10:00</v>
      </c>
      <c r="AC6" s="119">
        <v>0.00699074074074074</v>
      </c>
      <c r="AD6" s="120">
        <f t="shared" ref="AD6:AD46" si="2">AA6*60</f>
        <v>600</v>
      </c>
      <c r="AE6" s="141">
        <v>169</v>
      </c>
      <c r="AF6" s="141"/>
    </row>
    <row r="7" customHeight="1" spans="1:32">
      <c r="A7" s="81">
        <v>3</v>
      </c>
      <c r="B7" s="29" t="s">
        <v>122</v>
      </c>
      <c r="C7" s="278"/>
      <c r="D7" s="279"/>
      <c r="E7" s="81">
        <v>3</v>
      </c>
      <c r="F7" s="280"/>
      <c r="G7" s="281" t="s">
        <v>896</v>
      </c>
      <c r="H7" s="28" t="s">
        <v>897</v>
      </c>
      <c r="I7" s="295" t="s">
        <v>126</v>
      </c>
      <c r="J7" s="295" t="s">
        <v>126</v>
      </c>
      <c r="K7" s="295" t="s">
        <v>126</v>
      </c>
      <c r="L7" s="296"/>
      <c r="M7" s="296"/>
      <c r="N7" s="296"/>
      <c r="O7" s="297" t="s">
        <v>898</v>
      </c>
      <c r="P7" s="297"/>
      <c r="Q7" s="302"/>
      <c r="R7" s="302"/>
      <c r="S7" s="61" t="s">
        <v>132</v>
      </c>
      <c r="T7" s="61"/>
      <c r="U7" s="52"/>
      <c r="V7" s="52"/>
      <c r="W7" s="61" t="s">
        <v>138</v>
      </c>
      <c r="X7" s="61" t="s">
        <v>132</v>
      </c>
      <c r="Y7" s="61" t="s">
        <v>131</v>
      </c>
      <c r="Z7" s="61" t="s">
        <v>131</v>
      </c>
      <c r="AA7" s="118">
        <f t="shared" si="0"/>
        <v>10</v>
      </c>
      <c r="AB7" s="305" t="str">
        <f t="shared" si="1"/>
        <v>00:10:00</v>
      </c>
      <c r="AC7" s="119">
        <v>0.00719907407407407</v>
      </c>
      <c r="AD7" s="120">
        <f t="shared" si="2"/>
        <v>600</v>
      </c>
      <c r="AE7" s="141">
        <v>169</v>
      </c>
      <c r="AF7" s="141"/>
    </row>
    <row r="8" customHeight="1" spans="1:32">
      <c r="A8" s="81">
        <v>4</v>
      </c>
      <c r="B8" s="29" t="s">
        <v>122</v>
      </c>
      <c r="C8" s="278"/>
      <c r="D8" s="279"/>
      <c r="E8" s="81">
        <v>4</v>
      </c>
      <c r="F8" s="280"/>
      <c r="G8" s="281" t="s">
        <v>899</v>
      </c>
      <c r="H8" s="28" t="s">
        <v>900</v>
      </c>
      <c r="I8" s="295" t="s">
        <v>126</v>
      </c>
      <c r="J8" s="295" t="s">
        <v>126</v>
      </c>
      <c r="K8" s="295" t="s">
        <v>126</v>
      </c>
      <c r="L8" s="296"/>
      <c r="M8" s="296"/>
      <c r="N8" s="296"/>
      <c r="O8" s="297" t="s">
        <v>901</v>
      </c>
      <c r="P8" s="297"/>
      <c r="Q8" s="302"/>
      <c r="R8" s="302"/>
      <c r="S8" s="61" t="s">
        <v>138</v>
      </c>
      <c r="T8" s="61" t="s">
        <v>132</v>
      </c>
      <c r="U8" s="52"/>
      <c r="V8" s="52"/>
      <c r="W8" s="61" t="s">
        <v>138</v>
      </c>
      <c r="X8" s="61" t="s">
        <v>132</v>
      </c>
      <c r="Y8" s="61" t="s">
        <v>131</v>
      </c>
      <c r="Z8" s="61" t="s">
        <v>131</v>
      </c>
      <c r="AA8" s="118">
        <f t="shared" si="0"/>
        <v>59</v>
      </c>
      <c r="AB8" s="305" t="str">
        <f t="shared" si="1"/>
        <v>00:59:00</v>
      </c>
      <c r="AC8" s="119">
        <v>0.0409375</v>
      </c>
      <c r="AD8" s="120">
        <f t="shared" si="2"/>
        <v>3540</v>
      </c>
      <c r="AE8" s="141">
        <v>169</v>
      </c>
      <c r="AF8" s="141"/>
    </row>
    <row r="9" customHeight="1" spans="1:32">
      <c r="A9" s="81">
        <v>5</v>
      </c>
      <c r="B9" s="29" t="s">
        <v>122</v>
      </c>
      <c r="C9" s="278"/>
      <c r="D9" s="279"/>
      <c r="E9" s="81">
        <v>5</v>
      </c>
      <c r="F9" s="280" t="s">
        <v>902</v>
      </c>
      <c r="G9" s="281" t="s">
        <v>903</v>
      </c>
      <c r="H9" s="28" t="s">
        <v>904</v>
      </c>
      <c r="I9" s="295" t="s">
        <v>126</v>
      </c>
      <c r="J9" s="295" t="s">
        <v>126</v>
      </c>
      <c r="K9" s="295" t="s">
        <v>126</v>
      </c>
      <c r="L9" s="296"/>
      <c r="M9" s="296"/>
      <c r="N9" s="296"/>
      <c r="O9" s="297" t="s">
        <v>905</v>
      </c>
      <c r="P9" s="297"/>
      <c r="Q9" s="302"/>
      <c r="R9" s="302"/>
      <c r="S9" s="61" t="s">
        <v>138</v>
      </c>
      <c r="T9" s="61" t="s">
        <v>132</v>
      </c>
      <c r="U9" s="52"/>
      <c r="V9" s="52"/>
      <c r="W9" s="61" t="s">
        <v>138</v>
      </c>
      <c r="X9" s="61" t="s">
        <v>132</v>
      </c>
      <c r="Y9" s="61" t="s">
        <v>131</v>
      </c>
      <c r="Z9" s="61" t="s">
        <v>131</v>
      </c>
      <c r="AA9" s="118">
        <f t="shared" si="0"/>
        <v>9</v>
      </c>
      <c r="AB9" s="305" t="str">
        <f t="shared" si="1"/>
        <v>00:09:00</v>
      </c>
      <c r="AC9" s="119">
        <v>0.0059837962962963</v>
      </c>
      <c r="AD9" s="120">
        <f t="shared" si="2"/>
        <v>540</v>
      </c>
      <c r="AE9" s="141">
        <v>169</v>
      </c>
      <c r="AF9" s="141"/>
    </row>
    <row r="10" customHeight="1" spans="1:32">
      <c r="A10" s="81">
        <v>6</v>
      </c>
      <c r="B10" s="29" t="s">
        <v>122</v>
      </c>
      <c r="C10" s="278"/>
      <c r="D10" s="279"/>
      <c r="E10" s="81">
        <v>6</v>
      </c>
      <c r="F10" s="280"/>
      <c r="G10" s="281" t="s">
        <v>906</v>
      </c>
      <c r="H10" s="28" t="s">
        <v>907</v>
      </c>
      <c r="I10" s="295" t="s">
        <v>126</v>
      </c>
      <c r="J10" s="295" t="s">
        <v>126</v>
      </c>
      <c r="K10" s="295" t="s">
        <v>126</v>
      </c>
      <c r="L10" s="296"/>
      <c r="M10" s="296"/>
      <c r="N10" s="296"/>
      <c r="O10" s="297" t="s">
        <v>908</v>
      </c>
      <c r="P10" s="297"/>
      <c r="Q10" s="302"/>
      <c r="R10" s="302"/>
      <c r="S10" s="61" t="s">
        <v>138</v>
      </c>
      <c r="T10" s="61" t="s">
        <v>132</v>
      </c>
      <c r="U10" s="52"/>
      <c r="V10" s="52"/>
      <c r="W10" s="61" t="s">
        <v>138</v>
      </c>
      <c r="X10" s="61" t="s">
        <v>132</v>
      </c>
      <c r="Y10" s="61" t="s">
        <v>131</v>
      </c>
      <c r="Z10" s="61" t="s">
        <v>131</v>
      </c>
      <c r="AA10" s="118">
        <f t="shared" si="0"/>
        <v>9</v>
      </c>
      <c r="AB10" s="305" t="str">
        <f t="shared" si="1"/>
        <v>00:09:00</v>
      </c>
      <c r="AC10" s="119">
        <v>0.0062962962962963</v>
      </c>
      <c r="AD10" s="120">
        <f t="shared" si="2"/>
        <v>540</v>
      </c>
      <c r="AE10" s="141">
        <v>169</v>
      </c>
      <c r="AF10" s="141"/>
    </row>
    <row r="11" customHeight="1" spans="1:32">
      <c r="A11" s="81">
        <v>7</v>
      </c>
      <c r="B11" s="29" t="s">
        <v>122</v>
      </c>
      <c r="C11" s="278"/>
      <c r="D11" s="279"/>
      <c r="E11" s="81">
        <v>7</v>
      </c>
      <c r="F11" s="280"/>
      <c r="G11" s="281" t="s">
        <v>909</v>
      </c>
      <c r="H11" s="28" t="s">
        <v>910</v>
      </c>
      <c r="I11" s="295" t="s">
        <v>126</v>
      </c>
      <c r="J11" s="295" t="s">
        <v>126</v>
      </c>
      <c r="K11" s="295" t="s">
        <v>126</v>
      </c>
      <c r="L11" s="296"/>
      <c r="M11" s="296"/>
      <c r="N11" s="296"/>
      <c r="O11" s="297" t="s">
        <v>911</v>
      </c>
      <c r="P11" s="297"/>
      <c r="Q11" s="302"/>
      <c r="R11" s="302"/>
      <c r="S11" s="61" t="s">
        <v>138</v>
      </c>
      <c r="T11" s="61" t="s">
        <v>132</v>
      </c>
      <c r="U11" s="52"/>
      <c r="V11" s="52"/>
      <c r="W11" s="52" t="s">
        <v>138</v>
      </c>
      <c r="X11" s="52" t="s">
        <v>132</v>
      </c>
      <c r="Y11" s="61" t="s">
        <v>131</v>
      </c>
      <c r="Z11" s="61" t="s">
        <v>131</v>
      </c>
      <c r="AA11" s="118">
        <f t="shared" si="0"/>
        <v>9</v>
      </c>
      <c r="AB11" s="305" t="str">
        <f t="shared" si="1"/>
        <v>00:09:00</v>
      </c>
      <c r="AC11" s="119">
        <v>0.00609953703703704</v>
      </c>
      <c r="AD11" s="120">
        <f t="shared" si="2"/>
        <v>540</v>
      </c>
      <c r="AE11" s="141">
        <v>169</v>
      </c>
      <c r="AF11" s="141"/>
    </row>
    <row r="12" customHeight="1" spans="1:32">
      <c r="A12" s="81">
        <v>8</v>
      </c>
      <c r="B12" s="29" t="s">
        <v>122</v>
      </c>
      <c r="C12" s="278"/>
      <c r="D12" s="279"/>
      <c r="E12" s="81">
        <v>8</v>
      </c>
      <c r="F12" s="280"/>
      <c r="G12" s="281" t="s">
        <v>912</v>
      </c>
      <c r="H12" s="28" t="s">
        <v>913</v>
      </c>
      <c r="I12" s="295" t="s">
        <v>126</v>
      </c>
      <c r="J12" s="295" t="s">
        <v>126</v>
      </c>
      <c r="K12" s="295" t="s">
        <v>126</v>
      </c>
      <c r="L12" s="296"/>
      <c r="M12" s="296"/>
      <c r="N12" s="296"/>
      <c r="O12" s="297" t="s">
        <v>914</v>
      </c>
      <c r="P12" s="297"/>
      <c r="Q12" s="302"/>
      <c r="R12" s="302"/>
      <c r="S12" s="61" t="s">
        <v>138</v>
      </c>
      <c r="T12" s="61" t="s">
        <v>132</v>
      </c>
      <c r="U12" s="52"/>
      <c r="V12" s="52"/>
      <c r="W12" s="52" t="s">
        <v>138</v>
      </c>
      <c r="X12" s="52" t="s">
        <v>132</v>
      </c>
      <c r="Y12" s="61" t="s">
        <v>131</v>
      </c>
      <c r="Z12" s="61" t="s">
        <v>131</v>
      </c>
      <c r="AA12" s="118">
        <f t="shared" si="0"/>
        <v>31</v>
      </c>
      <c r="AB12" s="305" t="str">
        <f t="shared" si="1"/>
        <v>00:31:00</v>
      </c>
      <c r="AC12" s="119">
        <v>0.021724537037037</v>
      </c>
      <c r="AD12" s="120">
        <f t="shared" si="2"/>
        <v>1860</v>
      </c>
      <c r="AE12" s="141">
        <v>169</v>
      </c>
      <c r="AF12" s="141"/>
    </row>
    <row r="13" customHeight="1" spans="1:32">
      <c r="A13" s="81">
        <v>9</v>
      </c>
      <c r="B13" s="29" t="s">
        <v>122</v>
      </c>
      <c r="C13" s="278"/>
      <c r="D13" s="279"/>
      <c r="E13" s="81">
        <v>9</v>
      </c>
      <c r="F13" s="280" t="s">
        <v>915</v>
      </c>
      <c r="G13" s="281" t="s">
        <v>916</v>
      </c>
      <c r="H13" s="28" t="s">
        <v>917</v>
      </c>
      <c r="I13" s="295" t="s">
        <v>126</v>
      </c>
      <c r="J13" s="295" t="s">
        <v>126</v>
      </c>
      <c r="K13" s="295" t="s">
        <v>126</v>
      </c>
      <c r="L13" s="296"/>
      <c r="M13" s="296"/>
      <c r="N13" s="296"/>
      <c r="O13" s="297" t="s">
        <v>918</v>
      </c>
      <c r="P13" s="297"/>
      <c r="Q13" s="302"/>
      <c r="R13" s="302"/>
      <c r="S13" s="61" t="s">
        <v>132</v>
      </c>
      <c r="T13" s="61"/>
      <c r="U13" s="52"/>
      <c r="V13" s="52"/>
      <c r="W13" s="52" t="s">
        <v>138</v>
      </c>
      <c r="X13" s="52" t="s">
        <v>132</v>
      </c>
      <c r="Y13" s="61" t="s">
        <v>131</v>
      </c>
      <c r="Z13" s="61" t="s">
        <v>131</v>
      </c>
      <c r="AA13" s="118">
        <f t="shared" si="0"/>
        <v>8</v>
      </c>
      <c r="AB13" s="305" t="str">
        <f t="shared" si="1"/>
        <v>00:08:00</v>
      </c>
      <c r="AC13" s="119">
        <v>0.00520833333333333</v>
      </c>
      <c r="AD13" s="120">
        <f t="shared" si="2"/>
        <v>480</v>
      </c>
      <c r="AE13" s="141">
        <v>169</v>
      </c>
      <c r="AF13" s="141"/>
    </row>
    <row r="14" customHeight="1" spans="1:32">
      <c r="A14" s="81">
        <v>10</v>
      </c>
      <c r="B14" s="29" t="s">
        <v>122</v>
      </c>
      <c r="C14" s="278"/>
      <c r="D14" s="279"/>
      <c r="E14" s="81">
        <v>10</v>
      </c>
      <c r="F14" s="280"/>
      <c r="G14" s="281" t="s">
        <v>919</v>
      </c>
      <c r="H14" s="28" t="s">
        <v>920</v>
      </c>
      <c r="I14" s="295" t="s">
        <v>126</v>
      </c>
      <c r="J14" s="295" t="s">
        <v>126</v>
      </c>
      <c r="K14" s="295" t="s">
        <v>126</v>
      </c>
      <c r="L14" s="296"/>
      <c r="M14" s="296"/>
      <c r="N14" s="296"/>
      <c r="O14" s="297" t="s">
        <v>921</v>
      </c>
      <c r="P14" s="297"/>
      <c r="Q14" s="302"/>
      <c r="R14" s="302"/>
      <c r="S14" s="61" t="s">
        <v>132</v>
      </c>
      <c r="T14" s="61"/>
      <c r="U14" s="52"/>
      <c r="V14" s="52"/>
      <c r="W14" s="52" t="s">
        <v>138</v>
      </c>
      <c r="X14" s="52" t="s">
        <v>132</v>
      </c>
      <c r="Y14" s="61" t="s">
        <v>131</v>
      </c>
      <c r="Z14" s="61" t="s">
        <v>131</v>
      </c>
      <c r="AA14" s="118">
        <f t="shared" si="0"/>
        <v>10</v>
      </c>
      <c r="AB14" s="305" t="str">
        <f t="shared" si="1"/>
        <v>00:10:00</v>
      </c>
      <c r="AC14" s="119">
        <v>0.00667824074074074</v>
      </c>
      <c r="AD14" s="120">
        <f t="shared" si="2"/>
        <v>600</v>
      </c>
      <c r="AE14" s="141">
        <v>169</v>
      </c>
      <c r="AF14" s="141"/>
    </row>
    <row r="15" customHeight="1" spans="1:32">
      <c r="A15" s="81">
        <v>11</v>
      </c>
      <c r="B15" s="29" t="s">
        <v>122</v>
      </c>
      <c r="C15" s="278"/>
      <c r="D15" s="279"/>
      <c r="E15" s="81">
        <v>11</v>
      </c>
      <c r="F15" s="280"/>
      <c r="G15" s="281" t="s">
        <v>922</v>
      </c>
      <c r="H15" s="28" t="s">
        <v>923</v>
      </c>
      <c r="I15" s="295" t="s">
        <v>126</v>
      </c>
      <c r="J15" s="295" t="s">
        <v>126</v>
      </c>
      <c r="K15" s="295" t="s">
        <v>126</v>
      </c>
      <c r="L15" s="296"/>
      <c r="M15" s="296"/>
      <c r="N15" s="296"/>
      <c r="O15" s="297" t="s">
        <v>924</v>
      </c>
      <c r="P15" s="297"/>
      <c r="Q15" s="302"/>
      <c r="R15" s="302"/>
      <c r="S15" s="61" t="s">
        <v>132</v>
      </c>
      <c r="T15" s="61"/>
      <c r="U15" s="52"/>
      <c r="V15" s="52"/>
      <c r="W15" s="61" t="s">
        <v>138</v>
      </c>
      <c r="X15" s="61" t="s">
        <v>132</v>
      </c>
      <c r="Y15" s="61" t="s">
        <v>131</v>
      </c>
      <c r="Z15" s="61" t="s">
        <v>131</v>
      </c>
      <c r="AA15" s="118">
        <f t="shared" si="0"/>
        <v>24</v>
      </c>
      <c r="AB15" s="305" t="str">
        <f t="shared" si="1"/>
        <v>00:24:00</v>
      </c>
      <c r="AC15" s="119">
        <v>0.0165509259259259</v>
      </c>
      <c r="AD15" s="120">
        <f t="shared" si="2"/>
        <v>1440</v>
      </c>
      <c r="AE15" s="141">
        <v>169</v>
      </c>
      <c r="AF15" s="141"/>
    </row>
    <row r="16" customHeight="1" spans="1:32">
      <c r="A16" s="81">
        <v>12</v>
      </c>
      <c r="B16" s="29" t="s">
        <v>122</v>
      </c>
      <c r="C16" s="278"/>
      <c r="D16" s="279"/>
      <c r="E16" s="81">
        <v>12</v>
      </c>
      <c r="F16" s="280"/>
      <c r="G16" s="281" t="s">
        <v>925</v>
      </c>
      <c r="H16" s="28" t="s">
        <v>926</v>
      </c>
      <c r="I16" s="295" t="s">
        <v>126</v>
      </c>
      <c r="J16" s="295" t="s">
        <v>126</v>
      </c>
      <c r="K16" s="295" t="s">
        <v>126</v>
      </c>
      <c r="L16" s="296"/>
      <c r="M16" s="296"/>
      <c r="N16" s="296"/>
      <c r="O16" s="297" t="s">
        <v>927</v>
      </c>
      <c r="P16" s="297"/>
      <c r="Q16" s="302"/>
      <c r="R16" s="302"/>
      <c r="S16" s="61" t="s">
        <v>138</v>
      </c>
      <c r="T16" s="61" t="s">
        <v>132</v>
      </c>
      <c r="U16" s="52"/>
      <c r="V16" s="52"/>
      <c r="W16" s="61" t="s">
        <v>138</v>
      </c>
      <c r="X16" s="61" t="s">
        <v>132</v>
      </c>
      <c r="Y16" s="61" t="s">
        <v>131</v>
      </c>
      <c r="Z16" s="61" t="s">
        <v>131</v>
      </c>
      <c r="AA16" s="118">
        <f t="shared" si="0"/>
        <v>49</v>
      </c>
      <c r="AB16" s="305" t="str">
        <f t="shared" si="1"/>
        <v>00:49:00</v>
      </c>
      <c r="AC16" s="119">
        <v>0.0339814814814815</v>
      </c>
      <c r="AD16" s="120">
        <f t="shared" si="2"/>
        <v>2940</v>
      </c>
      <c r="AE16" s="141">
        <v>169</v>
      </c>
      <c r="AF16" s="141"/>
    </row>
    <row r="17" customHeight="1" spans="1:32">
      <c r="A17" s="81">
        <v>13</v>
      </c>
      <c r="B17" s="29" t="s">
        <v>122</v>
      </c>
      <c r="C17" s="278"/>
      <c r="D17" s="279"/>
      <c r="E17" s="81">
        <v>13</v>
      </c>
      <c r="F17" s="280" t="s">
        <v>928</v>
      </c>
      <c r="G17" s="281" t="s">
        <v>929</v>
      </c>
      <c r="H17" s="28" t="s">
        <v>930</v>
      </c>
      <c r="I17" s="295" t="s">
        <v>126</v>
      </c>
      <c r="J17" s="295" t="s">
        <v>126</v>
      </c>
      <c r="K17" s="295" t="s">
        <v>126</v>
      </c>
      <c r="L17" s="296"/>
      <c r="M17" s="296"/>
      <c r="N17" s="296"/>
      <c r="O17" s="297" t="s">
        <v>931</v>
      </c>
      <c r="P17" s="297"/>
      <c r="Q17" s="302"/>
      <c r="R17" s="302"/>
      <c r="S17" s="61" t="s">
        <v>138</v>
      </c>
      <c r="T17" s="61" t="s">
        <v>132</v>
      </c>
      <c r="U17" s="52"/>
      <c r="V17" s="52"/>
      <c r="W17" s="61" t="s">
        <v>138</v>
      </c>
      <c r="X17" s="61" t="s">
        <v>132</v>
      </c>
      <c r="Y17" s="61" t="s">
        <v>131</v>
      </c>
      <c r="Z17" s="61" t="s">
        <v>131</v>
      </c>
      <c r="AA17" s="118">
        <f t="shared" si="0"/>
        <v>12</v>
      </c>
      <c r="AB17" s="305" t="str">
        <f t="shared" si="1"/>
        <v>00:12:00</v>
      </c>
      <c r="AC17" s="119">
        <v>0.00862268518518518</v>
      </c>
      <c r="AD17" s="120">
        <f t="shared" si="2"/>
        <v>720</v>
      </c>
      <c r="AE17" s="141">
        <v>169</v>
      </c>
      <c r="AF17" s="141"/>
    </row>
    <row r="18" customHeight="1" spans="1:32">
      <c r="A18" s="81">
        <v>14</v>
      </c>
      <c r="B18" s="29" t="s">
        <v>122</v>
      </c>
      <c r="C18" s="278"/>
      <c r="D18" s="279"/>
      <c r="E18" s="81">
        <v>14</v>
      </c>
      <c r="F18" s="280"/>
      <c r="G18" s="281" t="s">
        <v>932</v>
      </c>
      <c r="H18" s="28" t="s">
        <v>933</v>
      </c>
      <c r="I18" s="295" t="s">
        <v>126</v>
      </c>
      <c r="J18" s="295" t="s">
        <v>126</v>
      </c>
      <c r="K18" s="295" t="s">
        <v>126</v>
      </c>
      <c r="L18" s="296"/>
      <c r="M18" s="296"/>
      <c r="N18" s="296"/>
      <c r="O18" s="297" t="s">
        <v>934</v>
      </c>
      <c r="P18" s="297"/>
      <c r="Q18" s="302"/>
      <c r="R18" s="302"/>
      <c r="S18" s="61" t="s">
        <v>138</v>
      </c>
      <c r="T18" s="61" t="s">
        <v>132</v>
      </c>
      <c r="U18" s="52"/>
      <c r="V18" s="52"/>
      <c r="W18" s="61" t="s">
        <v>138</v>
      </c>
      <c r="X18" s="61" t="s">
        <v>132</v>
      </c>
      <c r="Y18" s="61" t="s">
        <v>131</v>
      </c>
      <c r="Z18" s="61" t="s">
        <v>131</v>
      </c>
      <c r="AA18" s="118">
        <f t="shared" si="0"/>
        <v>7</v>
      </c>
      <c r="AB18" s="305" t="str">
        <f t="shared" si="1"/>
        <v>00:07:00</v>
      </c>
      <c r="AC18" s="119">
        <v>0.00513888888888889</v>
      </c>
      <c r="AD18" s="120">
        <f t="shared" si="2"/>
        <v>420</v>
      </c>
      <c r="AE18" s="141">
        <v>169</v>
      </c>
      <c r="AF18" s="141"/>
    </row>
    <row r="19" customHeight="1" spans="1:32">
      <c r="A19" s="81">
        <v>15</v>
      </c>
      <c r="B19" s="29" t="s">
        <v>122</v>
      </c>
      <c r="C19" s="278"/>
      <c r="D19" s="279"/>
      <c r="E19" s="81">
        <v>15</v>
      </c>
      <c r="F19" s="280"/>
      <c r="G19" s="281" t="s">
        <v>935</v>
      </c>
      <c r="H19" s="28" t="s">
        <v>936</v>
      </c>
      <c r="I19" s="295" t="s">
        <v>126</v>
      </c>
      <c r="J19" s="295" t="s">
        <v>126</v>
      </c>
      <c r="K19" s="295" t="s">
        <v>126</v>
      </c>
      <c r="L19" s="296"/>
      <c r="M19" s="296"/>
      <c r="N19" s="296"/>
      <c r="O19" s="297" t="s">
        <v>937</v>
      </c>
      <c r="P19" s="297"/>
      <c r="Q19" s="302"/>
      <c r="R19" s="302"/>
      <c r="S19" s="61" t="s">
        <v>138</v>
      </c>
      <c r="T19" s="61" t="s">
        <v>132</v>
      </c>
      <c r="U19" s="52"/>
      <c r="V19" s="52"/>
      <c r="W19" s="61" t="s">
        <v>138</v>
      </c>
      <c r="X19" s="61" t="s">
        <v>132</v>
      </c>
      <c r="Y19" s="61" t="s">
        <v>131</v>
      </c>
      <c r="Z19" s="61" t="s">
        <v>131</v>
      </c>
      <c r="AA19" s="118">
        <f t="shared" si="0"/>
        <v>9</v>
      </c>
      <c r="AB19" s="305" t="str">
        <f t="shared" si="1"/>
        <v>00:09:00</v>
      </c>
      <c r="AC19" s="119">
        <v>0.00614583333333333</v>
      </c>
      <c r="AD19" s="120">
        <f t="shared" si="2"/>
        <v>540</v>
      </c>
      <c r="AE19" s="141">
        <v>169</v>
      </c>
      <c r="AF19" s="141"/>
    </row>
    <row r="20" customHeight="1" spans="1:32">
      <c r="A20" s="81">
        <v>16</v>
      </c>
      <c r="B20" s="29" t="s">
        <v>122</v>
      </c>
      <c r="C20" s="278"/>
      <c r="D20" s="279"/>
      <c r="E20" s="81">
        <v>16</v>
      </c>
      <c r="F20" s="280"/>
      <c r="G20" s="281" t="s">
        <v>938</v>
      </c>
      <c r="H20" s="28" t="s">
        <v>939</v>
      </c>
      <c r="I20" s="295" t="s">
        <v>126</v>
      </c>
      <c r="J20" s="295" t="s">
        <v>126</v>
      </c>
      <c r="K20" s="295" t="s">
        <v>126</v>
      </c>
      <c r="L20" s="296"/>
      <c r="M20" s="296"/>
      <c r="N20" s="296"/>
      <c r="O20" s="297" t="s">
        <v>940</v>
      </c>
      <c r="P20" s="297"/>
      <c r="Q20" s="302"/>
      <c r="R20" s="302"/>
      <c r="S20" s="61" t="s">
        <v>138</v>
      </c>
      <c r="T20" s="61" t="s">
        <v>132</v>
      </c>
      <c r="U20" s="52"/>
      <c r="V20" s="52"/>
      <c r="W20" s="61" t="s">
        <v>138</v>
      </c>
      <c r="X20" s="61" t="s">
        <v>132</v>
      </c>
      <c r="Y20" s="61" t="s">
        <v>131</v>
      </c>
      <c r="Z20" s="61" t="s">
        <v>131</v>
      </c>
      <c r="AA20" s="118">
        <f t="shared" si="0"/>
        <v>28</v>
      </c>
      <c r="AB20" s="305" t="str">
        <f t="shared" si="1"/>
        <v>00:28:00</v>
      </c>
      <c r="AC20" s="119">
        <v>0.0192939814814815</v>
      </c>
      <c r="AD20" s="120">
        <f t="shared" si="2"/>
        <v>1680</v>
      </c>
      <c r="AE20" s="141">
        <v>169</v>
      </c>
      <c r="AF20" s="141"/>
    </row>
    <row r="21" customHeight="1" spans="1:32">
      <c r="A21" s="81">
        <v>17</v>
      </c>
      <c r="B21" s="29" t="s">
        <v>122</v>
      </c>
      <c r="C21" s="278"/>
      <c r="D21" s="279"/>
      <c r="E21" s="81">
        <v>17</v>
      </c>
      <c r="F21" s="280" t="s">
        <v>941</v>
      </c>
      <c r="G21" s="281" t="s">
        <v>942</v>
      </c>
      <c r="H21" s="28" t="s">
        <v>943</v>
      </c>
      <c r="I21" s="295" t="s">
        <v>126</v>
      </c>
      <c r="J21" s="295" t="s">
        <v>126</v>
      </c>
      <c r="K21" s="295" t="s">
        <v>126</v>
      </c>
      <c r="L21" s="296"/>
      <c r="M21" s="296"/>
      <c r="N21" s="296"/>
      <c r="O21" s="297" t="s">
        <v>944</v>
      </c>
      <c r="P21" s="297"/>
      <c r="Q21" s="302"/>
      <c r="R21" s="302"/>
      <c r="S21" s="61" t="s">
        <v>132</v>
      </c>
      <c r="T21" s="61"/>
      <c r="U21" s="52"/>
      <c r="V21" s="52"/>
      <c r="W21" s="61" t="s">
        <v>132</v>
      </c>
      <c r="X21" s="61"/>
      <c r="Y21" s="61" t="s">
        <v>131</v>
      </c>
      <c r="Z21" s="61" t="s">
        <v>131</v>
      </c>
      <c r="AA21" s="118">
        <f t="shared" si="0"/>
        <v>6</v>
      </c>
      <c r="AB21" s="305" t="str">
        <f t="shared" si="1"/>
        <v>00:06:00</v>
      </c>
      <c r="AC21" s="119">
        <v>0.00400462962962963</v>
      </c>
      <c r="AD21" s="120">
        <f t="shared" si="2"/>
        <v>360</v>
      </c>
      <c r="AE21" s="141">
        <v>169</v>
      </c>
      <c r="AF21" s="141"/>
    </row>
    <row r="22" customHeight="1" spans="1:32">
      <c r="A22" s="81">
        <v>18</v>
      </c>
      <c r="B22" s="29" t="s">
        <v>122</v>
      </c>
      <c r="C22" s="278"/>
      <c r="D22" s="279"/>
      <c r="E22" s="81">
        <v>18</v>
      </c>
      <c r="F22" s="280"/>
      <c r="G22" s="281" t="s">
        <v>945</v>
      </c>
      <c r="H22" s="28" t="s">
        <v>946</v>
      </c>
      <c r="I22" s="295" t="s">
        <v>126</v>
      </c>
      <c r="J22" s="295" t="s">
        <v>126</v>
      </c>
      <c r="K22" s="295" t="s">
        <v>126</v>
      </c>
      <c r="L22" s="296"/>
      <c r="M22" s="296"/>
      <c r="N22" s="296"/>
      <c r="O22" s="297" t="s">
        <v>947</v>
      </c>
      <c r="P22" s="297"/>
      <c r="Q22" s="302"/>
      <c r="R22" s="302"/>
      <c r="S22" s="61" t="s">
        <v>132</v>
      </c>
      <c r="T22" s="61"/>
      <c r="U22" s="52"/>
      <c r="V22" s="52"/>
      <c r="W22" s="61" t="s">
        <v>132</v>
      </c>
      <c r="X22" s="61"/>
      <c r="Y22" s="61" t="s">
        <v>131</v>
      </c>
      <c r="Z22" s="61" t="s">
        <v>131</v>
      </c>
      <c r="AA22" s="118">
        <f t="shared" si="0"/>
        <v>10</v>
      </c>
      <c r="AB22" s="305" t="str">
        <f t="shared" si="1"/>
        <v>00:10:00</v>
      </c>
      <c r="AC22" s="119">
        <v>0.00721064814814815</v>
      </c>
      <c r="AD22" s="120">
        <f t="shared" si="2"/>
        <v>600</v>
      </c>
      <c r="AE22" s="141">
        <v>169</v>
      </c>
      <c r="AF22" s="141"/>
    </row>
    <row r="23" customHeight="1" spans="1:32">
      <c r="A23" s="81">
        <v>19</v>
      </c>
      <c r="B23" s="29" t="s">
        <v>122</v>
      </c>
      <c r="C23" s="278"/>
      <c r="D23" s="279"/>
      <c r="E23" s="81">
        <v>19</v>
      </c>
      <c r="F23" s="280"/>
      <c r="G23" s="281" t="s">
        <v>948</v>
      </c>
      <c r="H23" s="28" t="s">
        <v>949</v>
      </c>
      <c r="I23" s="295" t="s">
        <v>126</v>
      </c>
      <c r="J23" s="295" t="s">
        <v>126</v>
      </c>
      <c r="K23" s="295" t="s">
        <v>126</v>
      </c>
      <c r="L23" s="296"/>
      <c r="M23" s="296"/>
      <c r="N23" s="296"/>
      <c r="O23" s="297" t="s">
        <v>950</v>
      </c>
      <c r="P23" s="297"/>
      <c r="Q23" s="302"/>
      <c r="R23" s="302"/>
      <c r="S23" s="61" t="s">
        <v>132</v>
      </c>
      <c r="T23" s="61"/>
      <c r="U23" s="52"/>
      <c r="V23" s="52"/>
      <c r="W23" s="61" t="s">
        <v>132</v>
      </c>
      <c r="X23" s="61"/>
      <c r="Y23" s="61" t="s">
        <v>131</v>
      </c>
      <c r="Z23" s="61" t="s">
        <v>131</v>
      </c>
      <c r="AA23" s="118">
        <f t="shared" si="0"/>
        <v>9</v>
      </c>
      <c r="AB23" s="305" t="str">
        <f t="shared" si="1"/>
        <v>00:09:00</v>
      </c>
      <c r="AC23" s="119">
        <v>0.00650462962962963</v>
      </c>
      <c r="AD23" s="120">
        <f t="shared" si="2"/>
        <v>540</v>
      </c>
      <c r="AE23" s="141">
        <v>169</v>
      </c>
      <c r="AF23" s="141"/>
    </row>
    <row r="24" customHeight="1" spans="1:32">
      <c r="A24" s="81">
        <v>20</v>
      </c>
      <c r="B24" s="29" t="s">
        <v>122</v>
      </c>
      <c r="C24" s="278"/>
      <c r="D24" s="279"/>
      <c r="E24" s="81">
        <v>20</v>
      </c>
      <c r="F24" s="280"/>
      <c r="G24" s="281" t="s">
        <v>951</v>
      </c>
      <c r="H24" s="28" t="s">
        <v>952</v>
      </c>
      <c r="I24" s="295" t="s">
        <v>126</v>
      </c>
      <c r="J24" s="295" t="s">
        <v>126</v>
      </c>
      <c r="K24" s="295" t="s">
        <v>126</v>
      </c>
      <c r="L24" s="296"/>
      <c r="M24" s="296"/>
      <c r="N24" s="296"/>
      <c r="O24" s="297" t="s">
        <v>953</v>
      </c>
      <c r="P24" s="297"/>
      <c r="Q24" s="302"/>
      <c r="R24" s="302"/>
      <c r="S24" s="61" t="s">
        <v>132</v>
      </c>
      <c r="T24" s="61"/>
      <c r="U24" s="52"/>
      <c r="V24" s="52"/>
      <c r="W24" s="61" t="s">
        <v>132</v>
      </c>
      <c r="X24" s="61"/>
      <c r="Y24" s="61" t="s">
        <v>131</v>
      </c>
      <c r="Z24" s="61" t="s">
        <v>131</v>
      </c>
      <c r="AA24" s="118">
        <f t="shared" si="0"/>
        <v>61</v>
      </c>
      <c r="AB24" s="305" t="str">
        <f t="shared" si="1"/>
        <v>01:01:00</v>
      </c>
      <c r="AC24" s="119">
        <v>0.0422569444444444</v>
      </c>
      <c r="AD24" s="120">
        <f t="shared" si="2"/>
        <v>3660</v>
      </c>
      <c r="AE24" s="141">
        <v>169</v>
      </c>
      <c r="AF24" s="141"/>
    </row>
    <row r="25" customHeight="1" spans="1:32">
      <c r="A25" s="81">
        <v>21</v>
      </c>
      <c r="B25" s="29" t="s">
        <v>122</v>
      </c>
      <c r="C25" s="278"/>
      <c r="D25" s="279"/>
      <c r="E25" s="81">
        <v>21</v>
      </c>
      <c r="F25" s="280" t="s">
        <v>954</v>
      </c>
      <c r="G25" s="281" t="s">
        <v>955</v>
      </c>
      <c r="H25" s="28" t="s">
        <v>956</v>
      </c>
      <c r="I25" s="295" t="s">
        <v>126</v>
      </c>
      <c r="J25" s="295" t="s">
        <v>126</v>
      </c>
      <c r="K25" s="295" t="s">
        <v>126</v>
      </c>
      <c r="L25" s="296"/>
      <c r="M25" s="296"/>
      <c r="N25" s="296"/>
      <c r="O25" s="297" t="s">
        <v>957</v>
      </c>
      <c r="P25" s="297"/>
      <c r="Q25" s="302"/>
      <c r="R25" s="302"/>
      <c r="S25" s="61" t="s">
        <v>132</v>
      </c>
      <c r="T25" s="61"/>
      <c r="U25" s="52"/>
      <c r="V25" s="52"/>
      <c r="W25" s="61" t="s">
        <v>132</v>
      </c>
      <c r="X25" s="61"/>
      <c r="Y25" s="61" t="s">
        <v>131</v>
      </c>
      <c r="Z25" s="61" t="s">
        <v>131</v>
      </c>
      <c r="AA25" s="118">
        <f t="shared" si="0"/>
        <v>11</v>
      </c>
      <c r="AB25" s="305" t="str">
        <f t="shared" si="1"/>
        <v>00:11:00</v>
      </c>
      <c r="AC25" s="119">
        <v>0.00752314814814815</v>
      </c>
      <c r="AD25" s="120">
        <f t="shared" si="2"/>
        <v>660</v>
      </c>
      <c r="AE25" s="141">
        <v>169</v>
      </c>
      <c r="AF25" s="141"/>
    </row>
    <row r="26" customHeight="1" spans="1:32">
      <c r="A26" s="81">
        <v>22</v>
      </c>
      <c r="B26" s="29" t="s">
        <v>122</v>
      </c>
      <c r="C26" s="278"/>
      <c r="D26" s="279"/>
      <c r="E26" s="81">
        <v>22</v>
      </c>
      <c r="F26" s="280"/>
      <c r="G26" s="281" t="s">
        <v>958</v>
      </c>
      <c r="H26" s="28" t="s">
        <v>959</v>
      </c>
      <c r="I26" s="295" t="s">
        <v>126</v>
      </c>
      <c r="J26" s="295" t="s">
        <v>126</v>
      </c>
      <c r="K26" s="295" t="s">
        <v>126</v>
      </c>
      <c r="L26" s="296"/>
      <c r="M26" s="296"/>
      <c r="N26" s="296"/>
      <c r="O26" s="297" t="s">
        <v>960</v>
      </c>
      <c r="P26" s="297"/>
      <c r="Q26" s="302"/>
      <c r="R26" s="302"/>
      <c r="S26" s="61" t="s">
        <v>132</v>
      </c>
      <c r="T26" s="61"/>
      <c r="U26" s="52"/>
      <c r="V26" s="52"/>
      <c r="W26" s="61" t="s">
        <v>132</v>
      </c>
      <c r="X26" s="61"/>
      <c r="Y26" s="61" t="s">
        <v>131</v>
      </c>
      <c r="Z26" s="61" t="s">
        <v>131</v>
      </c>
      <c r="AA26" s="118">
        <f t="shared" si="0"/>
        <v>7</v>
      </c>
      <c r="AB26" s="305" t="str">
        <f t="shared" si="1"/>
        <v>00:07:00</v>
      </c>
      <c r="AC26" s="119">
        <v>0.0047337962962963</v>
      </c>
      <c r="AD26" s="120">
        <f t="shared" si="2"/>
        <v>420</v>
      </c>
      <c r="AE26" s="141">
        <v>169</v>
      </c>
      <c r="AF26" s="141"/>
    </row>
    <row r="27" customHeight="1" spans="1:32">
      <c r="A27" s="81">
        <v>23</v>
      </c>
      <c r="B27" s="29" t="s">
        <v>122</v>
      </c>
      <c r="C27" s="278"/>
      <c r="D27" s="279"/>
      <c r="E27" s="81">
        <v>23</v>
      </c>
      <c r="F27" s="280"/>
      <c r="G27" s="281" t="s">
        <v>961</v>
      </c>
      <c r="H27" s="28" t="s">
        <v>962</v>
      </c>
      <c r="I27" s="295" t="s">
        <v>126</v>
      </c>
      <c r="J27" s="295" t="s">
        <v>126</v>
      </c>
      <c r="K27" s="295" t="s">
        <v>126</v>
      </c>
      <c r="L27" s="296"/>
      <c r="M27" s="296"/>
      <c r="N27" s="296"/>
      <c r="O27" s="297" t="s">
        <v>963</v>
      </c>
      <c r="P27" s="297"/>
      <c r="Q27" s="302"/>
      <c r="R27" s="302"/>
      <c r="S27" s="61" t="s">
        <v>132</v>
      </c>
      <c r="T27" s="61"/>
      <c r="U27" s="52"/>
      <c r="V27" s="52"/>
      <c r="W27" s="61" t="s">
        <v>132</v>
      </c>
      <c r="X27" s="61"/>
      <c r="Y27" s="61" t="s">
        <v>131</v>
      </c>
      <c r="Z27" s="61" t="s">
        <v>131</v>
      </c>
      <c r="AA27" s="118">
        <f t="shared" si="0"/>
        <v>8</v>
      </c>
      <c r="AB27" s="305" t="str">
        <f t="shared" si="1"/>
        <v>00:08:00</v>
      </c>
      <c r="AC27" s="119">
        <v>0.00542824074074074</v>
      </c>
      <c r="AD27" s="120">
        <f t="shared" si="2"/>
        <v>480</v>
      </c>
      <c r="AE27" s="141">
        <v>169</v>
      </c>
      <c r="AF27" s="141"/>
    </row>
    <row r="28" customHeight="1" spans="1:32">
      <c r="A28" s="81">
        <v>24</v>
      </c>
      <c r="B28" s="29" t="s">
        <v>122</v>
      </c>
      <c r="C28" s="278"/>
      <c r="D28" s="279"/>
      <c r="E28" s="81">
        <v>24</v>
      </c>
      <c r="F28" s="280"/>
      <c r="G28" s="281" t="s">
        <v>964</v>
      </c>
      <c r="H28" s="28" t="s">
        <v>965</v>
      </c>
      <c r="I28" s="295" t="s">
        <v>126</v>
      </c>
      <c r="J28" s="295" t="s">
        <v>126</v>
      </c>
      <c r="K28" s="295" t="s">
        <v>126</v>
      </c>
      <c r="L28" s="296"/>
      <c r="M28" s="296"/>
      <c r="N28" s="296"/>
      <c r="O28" s="297" t="s">
        <v>966</v>
      </c>
      <c r="P28" s="297"/>
      <c r="Q28" s="302"/>
      <c r="R28" s="302"/>
      <c r="S28" s="61" t="s">
        <v>132</v>
      </c>
      <c r="T28" s="61"/>
      <c r="U28" s="52"/>
      <c r="V28" s="52"/>
      <c r="W28" s="61" t="s">
        <v>132</v>
      </c>
      <c r="X28" s="61"/>
      <c r="Y28" s="61" t="s">
        <v>131</v>
      </c>
      <c r="Z28" s="61" t="s">
        <v>131</v>
      </c>
      <c r="AA28" s="118">
        <f t="shared" si="0"/>
        <v>30</v>
      </c>
      <c r="AB28" s="305" t="str">
        <f t="shared" si="1"/>
        <v>00:30:00</v>
      </c>
      <c r="AC28" s="119">
        <v>0.0208912037037037</v>
      </c>
      <c r="AD28" s="120">
        <f t="shared" si="2"/>
        <v>1800</v>
      </c>
      <c r="AE28" s="141">
        <v>169</v>
      </c>
      <c r="AF28" s="141"/>
    </row>
    <row r="29" customHeight="1" spans="1:32">
      <c r="A29" s="81">
        <v>25</v>
      </c>
      <c r="B29" s="29" t="s">
        <v>122</v>
      </c>
      <c r="C29" s="278"/>
      <c r="D29" s="279"/>
      <c r="E29" s="81">
        <v>25</v>
      </c>
      <c r="F29" s="280" t="s">
        <v>967</v>
      </c>
      <c r="G29" s="281" t="s">
        <v>968</v>
      </c>
      <c r="H29" s="28" t="s">
        <v>969</v>
      </c>
      <c r="I29" s="295" t="s">
        <v>126</v>
      </c>
      <c r="J29" s="295" t="s">
        <v>126</v>
      </c>
      <c r="K29" s="295" t="s">
        <v>126</v>
      </c>
      <c r="L29" s="296"/>
      <c r="M29" s="296"/>
      <c r="N29" s="296"/>
      <c r="O29" s="297" t="s">
        <v>970</v>
      </c>
      <c r="P29" s="297"/>
      <c r="Q29" s="302"/>
      <c r="R29" s="302"/>
      <c r="S29" s="61" t="s">
        <v>132</v>
      </c>
      <c r="T29" s="61"/>
      <c r="U29" s="52"/>
      <c r="V29" s="52"/>
      <c r="W29" s="61" t="s">
        <v>132</v>
      </c>
      <c r="X29" s="61"/>
      <c r="Y29" s="61" t="s">
        <v>131</v>
      </c>
      <c r="Z29" s="61" t="s">
        <v>131</v>
      </c>
      <c r="AA29" s="118">
        <f t="shared" si="0"/>
        <v>7</v>
      </c>
      <c r="AB29" s="305" t="str">
        <f t="shared" si="1"/>
        <v>00:07:00</v>
      </c>
      <c r="AC29" s="119">
        <v>0.00502314814814815</v>
      </c>
      <c r="AD29" s="120">
        <f t="shared" si="2"/>
        <v>420</v>
      </c>
      <c r="AE29" s="141">
        <v>169</v>
      </c>
      <c r="AF29" s="141"/>
    </row>
    <row r="30" customHeight="1" spans="1:32">
      <c r="A30" s="81">
        <v>26</v>
      </c>
      <c r="B30" s="29" t="s">
        <v>122</v>
      </c>
      <c r="C30" s="278"/>
      <c r="D30" s="279"/>
      <c r="E30" s="81">
        <v>26</v>
      </c>
      <c r="F30" s="280"/>
      <c r="G30" s="281" t="s">
        <v>971</v>
      </c>
      <c r="H30" s="28" t="s">
        <v>972</v>
      </c>
      <c r="I30" s="295" t="s">
        <v>126</v>
      </c>
      <c r="J30" s="295" t="s">
        <v>126</v>
      </c>
      <c r="K30" s="295" t="s">
        <v>126</v>
      </c>
      <c r="L30" s="296"/>
      <c r="M30" s="296"/>
      <c r="N30" s="296"/>
      <c r="O30" s="297" t="s">
        <v>973</v>
      </c>
      <c r="P30" s="297"/>
      <c r="Q30" s="302"/>
      <c r="R30" s="302"/>
      <c r="S30" s="61" t="s">
        <v>132</v>
      </c>
      <c r="T30" s="61"/>
      <c r="U30" s="52"/>
      <c r="V30" s="52"/>
      <c r="W30" s="61" t="s">
        <v>132</v>
      </c>
      <c r="X30" s="61"/>
      <c r="Y30" s="61" t="s">
        <v>131</v>
      </c>
      <c r="Z30" s="61" t="s">
        <v>131</v>
      </c>
      <c r="AA30" s="118">
        <f t="shared" si="0"/>
        <v>10</v>
      </c>
      <c r="AB30" s="305" t="str">
        <f t="shared" si="1"/>
        <v>00:10:00</v>
      </c>
      <c r="AC30" s="119">
        <v>0.00671296296296296</v>
      </c>
      <c r="AD30" s="120">
        <f t="shared" si="2"/>
        <v>600</v>
      </c>
      <c r="AE30" s="141">
        <v>169</v>
      </c>
      <c r="AF30" s="141"/>
    </row>
    <row r="31" customHeight="1" spans="1:32">
      <c r="A31" s="81">
        <v>27</v>
      </c>
      <c r="B31" s="29" t="s">
        <v>122</v>
      </c>
      <c r="C31" s="278"/>
      <c r="D31" s="279"/>
      <c r="E31" s="81">
        <v>27</v>
      </c>
      <c r="F31" s="280"/>
      <c r="G31" s="281" t="s">
        <v>974</v>
      </c>
      <c r="H31" s="28" t="s">
        <v>975</v>
      </c>
      <c r="I31" s="295" t="s">
        <v>126</v>
      </c>
      <c r="J31" s="295" t="s">
        <v>126</v>
      </c>
      <c r="K31" s="295" t="s">
        <v>126</v>
      </c>
      <c r="L31" s="296"/>
      <c r="M31" s="296"/>
      <c r="N31" s="296"/>
      <c r="O31" s="297" t="s">
        <v>976</v>
      </c>
      <c r="P31" s="297"/>
      <c r="Q31" s="302"/>
      <c r="R31" s="302"/>
      <c r="S31" s="61" t="s">
        <v>132</v>
      </c>
      <c r="T31" s="61"/>
      <c r="U31" s="52"/>
      <c r="V31" s="52"/>
      <c r="W31" s="61" t="s">
        <v>132</v>
      </c>
      <c r="X31" s="61"/>
      <c r="Y31" s="61" t="s">
        <v>131</v>
      </c>
      <c r="Z31" s="61" t="s">
        <v>131</v>
      </c>
      <c r="AA31" s="118">
        <f t="shared" si="0"/>
        <v>9</v>
      </c>
      <c r="AB31" s="305" t="str">
        <f t="shared" si="1"/>
        <v>00:09:00</v>
      </c>
      <c r="AC31" s="119">
        <v>0.00636574074074074</v>
      </c>
      <c r="AD31" s="120">
        <f t="shared" si="2"/>
        <v>540</v>
      </c>
      <c r="AE31" s="141">
        <v>169</v>
      </c>
      <c r="AF31" s="141"/>
    </row>
    <row r="32" customHeight="1" spans="1:32">
      <c r="A32" s="81">
        <v>28</v>
      </c>
      <c r="B32" s="29" t="s">
        <v>122</v>
      </c>
      <c r="C32" s="278"/>
      <c r="D32" s="279"/>
      <c r="E32" s="81">
        <v>28</v>
      </c>
      <c r="F32" s="280"/>
      <c r="G32" s="281" t="s">
        <v>977</v>
      </c>
      <c r="H32" s="28" t="s">
        <v>978</v>
      </c>
      <c r="I32" s="295" t="s">
        <v>126</v>
      </c>
      <c r="J32" s="295" t="s">
        <v>126</v>
      </c>
      <c r="K32" s="295" t="s">
        <v>126</v>
      </c>
      <c r="L32" s="296"/>
      <c r="M32" s="296"/>
      <c r="N32" s="296"/>
      <c r="O32" s="297" t="s">
        <v>979</v>
      </c>
      <c r="P32" s="297"/>
      <c r="Q32" s="302"/>
      <c r="R32" s="302"/>
      <c r="S32" s="61" t="s">
        <v>132</v>
      </c>
      <c r="T32" s="61"/>
      <c r="U32" s="52"/>
      <c r="V32" s="52"/>
      <c r="W32" s="61" t="s">
        <v>132</v>
      </c>
      <c r="X32" s="61"/>
      <c r="Y32" s="61" t="s">
        <v>131</v>
      </c>
      <c r="Z32" s="61" t="s">
        <v>131</v>
      </c>
      <c r="AA32" s="118">
        <f t="shared" si="0"/>
        <v>62</v>
      </c>
      <c r="AB32" s="305" t="str">
        <f t="shared" si="1"/>
        <v>01:02:00</v>
      </c>
      <c r="AC32" s="119">
        <v>0.0431018518518518</v>
      </c>
      <c r="AD32" s="120">
        <f t="shared" si="2"/>
        <v>3720</v>
      </c>
      <c r="AE32" s="141">
        <v>169</v>
      </c>
      <c r="AF32" s="141"/>
    </row>
    <row r="33" customHeight="1" spans="1:32">
      <c r="A33" s="81">
        <v>29</v>
      </c>
      <c r="B33" s="29" t="s">
        <v>122</v>
      </c>
      <c r="C33" s="278"/>
      <c r="D33" s="279"/>
      <c r="E33" s="81">
        <v>29</v>
      </c>
      <c r="F33" s="280" t="s">
        <v>980</v>
      </c>
      <c r="G33" s="281" t="s">
        <v>981</v>
      </c>
      <c r="H33" s="28" t="s">
        <v>982</v>
      </c>
      <c r="I33" s="295" t="s">
        <v>126</v>
      </c>
      <c r="J33" s="295" t="s">
        <v>126</v>
      </c>
      <c r="K33" s="295" t="s">
        <v>126</v>
      </c>
      <c r="L33" s="296"/>
      <c r="M33" s="296"/>
      <c r="N33" s="296"/>
      <c r="O33" s="297" t="s">
        <v>983</v>
      </c>
      <c r="P33" s="297"/>
      <c r="Q33" s="302"/>
      <c r="R33" s="302"/>
      <c r="S33" s="61" t="s">
        <v>132</v>
      </c>
      <c r="T33" s="61"/>
      <c r="U33" s="52"/>
      <c r="V33" s="52"/>
      <c r="W33" s="61" t="s">
        <v>132</v>
      </c>
      <c r="X33" s="61"/>
      <c r="Y33" s="61" t="s">
        <v>131</v>
      </c>
      <c r="Z33" s="61" t="s">
        <v>131</v>
      </c>
      <c r="AA33" s="118">
        <f t="shared" si="0"/>
        <v>8</v>
      </c>
      <c r="AB33" s="305" t="str">
        <f t="shared" si="1"/>
        <v>00:08:00</v>
      </c>
      <c r="AC33" s="119">
        <v>0.00576388888888889</v>
      </c>
      <c r="AD33" s="120">
        <f t="shared" si="2"/>
        <v>480</v>
      </c>
      <c r="AE33" s="141">
        <v>169</v>
      </c>
      <c r="AF33" s="141"/>
    </row>
    <row r="34" customHeight="1" spans="1:32">
      <c r="A34" s="81">
        <v>30</v>
      </c>
      <c r="B34" s="29" t="s">
        <v>122</v>
      </c>
      <c r="C34" s="278"/>
      <c r="D34" s="279"/>
      <c r="E34" s="81">
        <v>30</v>
      </c>
      <c r="F34" s="280"/>
      <c r="G34" s="281" t="s">
        <v>984</v>
      </c>
      <c r="H34" s="28" t="s">
        <v>985</v>
      </c>
      <c r="I34" s="295" t="s">
        <v>126</v>
      </c>
      <c r="J34" s="295" t="s">
        <v>126</v>
      </c>
      <c r="K34" s="295" t="s">
        <v>126</v>
      </c>
      <c r="L34" s="296"/>
      <c r="M34" s="296"/>
      <c r="N34" s="296"/>
      <c r="O34" s="297" t="s">
        <v>986</v>
      </c>
      <c r="P34" s="297"/>
      <c r="Q34" s="302"/>
      <c r="R34" s="302"/>
      <c r="S34" s="61" t="s">
        <v>132</v>
      </c>
      <c r="T34" s="61"/>
      <c r="U34" s="52"/>
      <c r="V34" s="52"/>
      <c r="W34" s="61" t="s">
        <v>132</v>
      </c>
      <c r="X34" s="61"/>
      <c r="Y34" s="61" t="s">
        <v>131</v>
      </c>
      <c r="Z34" s="61" t="s">
        <v>131</v>
      </c>
      <c r="AA34" s="118">
        <f t="shared" si="0"/>
        <v>8</v>
      </c>
      <c r="AB34" s="305" t="str">
        <f t="shared" si="1"/>
        <v>00:08:00</v>
      </c>
      <c r="AC34" s="119">
        <v>0.00537037037037037</v>
      </c>
      <c r="AD34" s="120">
        <f t="shared" si="2"/>
        <v>480</v>
      </c>
      <c r="AE34" s="141">
        <v>169</v>
      </c>
      <c r="AF34" s="141"/>
    </row>
    <row r="35" customHeight="1" spans="1:32">
      <c r="A35" s="81">
        <v>31</v>
      </c>
      <c r="B35" s="29" t="s">
        <v>122</v>
      </c>
      <c r="C35" s="278"/>
      <c r="D35" s="279"/>
      <c r="E35" s="81">
        <v>31</v>
      </c>
      <c r="F35" s="280"/>
      <c r="G35" s="281" t="s">
        <v>987</v>
      </c>
      <c r="H35" s="28" t="s">
        <v>988</v>
      </c>
      <c r="I35" s="295" t="s">
        <v>126</v>
      </c>
      <c r="J35" s="295" t="s">
        <v>126</v>
      </c>
      <c r="K35" s="295" t="s">
        <v>126</v>
      </c>
      <c r="L35" s="296"/>
      <c r="M35" s="296"/>
      <c r="N35" s="296"/>
      <c r="O35" s="297" t="s">
        <v>989</v>
      </c>
      <c r="P35" s="297"/>
      <c r="Q35" s="302"/>
      <c r="R35" s="302"/>
      <c r="S35" s="61" t="s">
        <v>132</v>
      </c>
      <c r="T35" s="61"/>
      <c r="U35" s="52"/>
      <c r="V35" s="52"/>
      <c r="W35" s="61" t="s">
        <v>132</v>
      </c>
      <c r="X35" s="61"/>
      <c r="Y35" s="61" t="s">
        <v>131</v>
      </c>
      <c r="Z35" s="61" t="s">
        <v>131</v>
      </c>
      <c r="AA35" s="118">
        <f t="shared" si="0"/>
        <v>9</v>
      </c>
      <c r="AB35" s="305" t="str">
        <f t="shared" si="1"/>
        <v>00:09:00</v>
      </c>
      <c r="AC35" s="119">
        <v>0.00622685185185185</v>
      </c>
      <c r="AD35" s="120">
        <f t="shared" si="2"/>
        <v>540</v>
      </c>
      <c r="AE35" s="141">
        <v>169</v>
      </c>
      <c r="AF35" s="141"/>
    </row>
    <row r="36" customHeight="1" spans="1:32">
      <c r="A36" s="81">
        <v>32</v>
      </c>
      <c r="B36" s="29" t="s">
        <v>122</v>
      </c>
      <c r="C36" s="278"/>
      <c r="D36" s="279"/>
      <c r="E36" s="81">
        <v>32</v>
      </c>
      <c r="F36" s="280"/>
      <c r="G36" s="281" t="s">
        <v>990</v>
      </c>
      <c r="H36" s="28" t="s">
        <v>991</v>
      </c>
      <c r="I36" s="295" t="s">
        <v>126</v>
      </c>
      <c r="J36" s="295" t="s">
        <v>126</v>
      </c>
      <c r="K36" s="295" t="s">
        <v>126</v>
      </c>
      <c r="L36" s="296"/>
      <c r="M36" s="296"/>
      <c r="N36" s="296"/>
      <c r="O36" s="297" t="s">
        <v>992</v>
      </c>
      <c r="P36" s="297"/>
      <c r="Q36" s="302"/>
      <c r="R36" s="302"/>
      <c r="S36" s="61" t="s">
        <v>132</v>
      </c>
      <c r="T36" s="61"/>
      <c r="U36" s="52"/>
      <c r="V36" s="52"/>
      <c r="W36" s="61" t="s">
        <v>132</v>
      </c>
      <c r="X36" s="61"/>
      <c r="Y36" s="61" t="s">
        <v>131</v>
      </c>
      <c r="Z36" s="61" t="s">
        <v>131</v>
      </c>
      <c r="AA36" s="118">
        <f t="shared" si="0"/>
        <v>34</v>
      </c>
      <c r="AB36" s="305" t="str">
        <f t="shared" si="1"/>
        <v>00:34:00</v>
      </c>
      <c r="AC36" s="119">
        <v>0.0236921296296296</v>
      </c>
      <c r="AD36" s="120">
        <f t="shared" si="2"/>
        <v>2040</v>
      </c>
      <c r="AE36" s="141">
        <v>169</v>
      </c>
      <c r="AF36" s="141"/>
    </row>
    <row r="37" customHeight="1" spans="1:32">
      <c r="A37" s="81">
        <v>33</v>
      </c>
      <c r="B37" s="29" t="s">
        <v>122</v>
      </c>
      <c r="C37" s="278"/>
      <c r="D37" s="282"/>
      <c r="E37" s="81">
        <v>33</v>
      </c>
      <c r="F37" s="280" t="s">
        <v>889</v>
      </c>
      <c r="G37" s="281" t="s">
        <v>993</v>
      </c>
      <c r="H37" s="28" t="s">
        <v>994</v>
      </c>
      <c r="I37" s="295" t="s">
        <v>126</v>
      </c>
      <c r="J37" s="295" t="s">
        <v>126</v>
      </c>
      <c r="K37" s="296"/>
      <c r="L37" s="296"/>
      <c r="M37" s="296"/>
      <c r="N37" s="296"/>
      <c r="O37" s="297" t="s">
        <v>995</v>
      </c>
      <c r="P37" s="297"/>
      <c r="Q37" s="302"/>
      <c r="R37" s="303"/>
      <c r="S37" s="61" t="s">
        <v>132</v>
      </c>
      <c r="T37" s="61"/>
      <c r="U37" s="52"/>
      <c r="V37" s="52"/>
      <c r="W37" s="61" t="s">
        <v>138</v>
      </c>
      <c r="X37" s="61" t="s">
        <v>132</v>
      </c>
      <c r="Y37" s="61" t="s">
        <v>131</v>
      </c>
      <c r="Z37" s="61" t="s">
        <v>131</v>
      </c>
      <c r="AA37" s="118">
        <f t="shared" si="0"/>
        <v>7</v>
      </c>
      <c r="AB37" s="305" t="str">
        <f t="shared" si="1"/>
        <v>00:07:00</v>
      </c>
      <c r="AC37" s="119">
        <v>0.00516203703703704</v>
      </c>
      <c r="AD37" s="120">
        <f t="shared" ref="AD37:AD74" si="3">AA37*60</f>
        <v>420</v>
      </c>
      <c r="AE37" s="141">
        <v>169</v>
      </c>
      <c r="AF37" s="141"/>
    </row>
    <row r="38" customHeight="1" spans="1:32">
      <c r="A38" s="81">
        <v>34</v>
      </c>
      <c r="B38" s="29" t="s">
        <v>122</v>
      </c>
      <c r="C38" s="278"/>
      <c r="D38" s="282"/>
      <c r="E38" s="81">
        <v>34</v>
      </c>
      <c r="F38" s="280"/>
      <c r="G38" s="281" t="s">
        <v>996</v>
      </c>
      <c r="H38" s="28" t="s">
        <v>997</v>
      </c>
      <c r="I38" s="295" t="s">
        <v>126</v>
      </c>
      <c r="J38" s="295" t="s">
        <v>126</v>
      </c>
      <c r="K38" s="296"/>
      <c r="L38" s="296"/>
      <c r="M38" s="296"/>
      <c r="N38" s="296"/>
      <c r="O38" s="297" t="s">
        <v>998</v>
      </c>
      <c r="P38" s="297"/>
      <c r="Q38" s="302"/>
      <c r="R38" s="303"/>
      <c r="S38" s="61" t="s">
        <v>132</v>
      </c>
      <c r="T38" s="61"/>
      <c r="U38" s="52"/>
      <c r="V38" s="52"/>
      <c r="W38" s="61" t="s">
        <v>138</v>
      </c>
      <c r="X38" s="61" t="s">
        <v>132</v>
      </c>
      <c r="Y38" s="61" t="s">
        <v>131</v>
      </c>
      <c r="Z38" s="61" t="s">
        <v>131</v>
      </c>
      <c r="AA38" s="118">
        <f t="shared" ref="AA38:AA74" si="4">ROUNDUP(HOUR(AB38)*60+MINUTE(AB38)+SECOND(AB38)/60,0)</f>
        <v>10</v>
      </c>
      <c r="AB38" s="305" t="str">
        <f t="shared" ref="AB38:AB74" si="5">TEXT((HOUR(AC38)*60+MINUTE(AC38)+IF(SECOND(AC38)&lt;=29,0,1))*60/86400,"hh:mm:ss")</f>
        <v>00:10:00</v>
      </c>
      <c r="AC38" s="119">
        <v>0.00699074074074074</v>
      </c>
      <c r="AD38" s="120">
        <f t="shared" si="3"/>
        <v>600</v>
      </c>
      <c r="AE38" s="141">
        <v>169</v>
      </c>
      <c r="AF38" s="141"/>
    </row>
    <row r="39" customHeight="1" spans="1:32">
      <c r="A39" s="81">
        <v>35</v>
      </c>
      <c r="B39" s="29" t="s">
        <v>122</v>
      </c>
      <c r="C39" s="278"/>
      <c r="D39" s="282"/>
      <c r="E39" s="81">
        <v>35</v>
      </c>
      <c r="F39" s="280"/>
      <c r="G39" s="281" t="s">
        <v>999</v>
      </c>
      <c r="H39" s="28" t="s">
        <v>1000</v>
      </c>
      <c r="I39" s="295" t="s">
        <v>126</v>
      </c>
      <c r="J39" s="295" t="s">
        <v>126</v>
      </c>
      <c r="K39" s="296"/>
      <c r="L39" s="296"/>
      <c r="M39" s="296"/>
      <c r="N39" s="296"/>
      <c r="O39" s="297" t="s">
        <v>1001</v>
      </c>
      <c r="P39" s="297"/>
      <c r="Q39" s="302"/>
      <c r="R39" s="303"/>
      <c r="S39" s="61" t="s">
        <v>132</v>
      </c>
      <c r="T39" s="61"/>
      <c r="U39" s="52"/>
      <c r="V39" s="52"/>
      <c r="W39" s="61" t="s">
        <v>138</v>
      </c>
      <c r="X39" s="61" t="s">
        <v>132</v>
      </c>
      <c r="Y39" s="61" t="s">
        <v>131</v>
      </c>
      <c r="Z39" s="61" t="s">
        <v>131</v>
      </c>
      <c r="AA39" s="118">
        <f t="shared" si="4"/>
        <v>10</v>
      </c>
      <c r="AB39" s="305" t="str">
        <f t="shared" si="5"/>
        <v>00:10:00</v>
      </c>
      <c r="AC39" s="119">
        <v>0.00719907407407407</v>
      </c>
      <c r="AD39" s="120">
        <f t="shared" si="3"/>
        <v>600</v>
      </c>
      <c r="AE39" s="141">
        <v>169</v>
      </c>
      <c r="AF39" s="141"/>
    </row>
    <row r="40" customHeight="1" spans="1:32">
      <c r="A40" s="81">
        <v>36</v>
      </c>
      <c r="B40" s="29" t="s">
        <v>122</v>
      </c>
      <c r="C40" s="278"/>
      <c r="D40" s="282"/>
      <c r="E40" s="81">
        <v>36</v>
      </c>
      <c r="F40" s="280"/>
      <c r="G40" s="281" t="s">
        <v>1002</v>
      </c>
      <c r="H40" s="28" t="s">
        <v>1003</v>
      </c>
      <c r="I40" s="295" t="s">
        <v>126</v>
      </c>
      <c r="J40" s="295" t="s">
        <v>126</v>
      </c>
      <c r="K40" s="296"/>
      <c r="L40" s="296"/>
      <c r="M40" s="296"/>
      <c r="N40" s="296"/>
      <c r="O40" s="297" t="s">
        <v>1004</v>
      </c>
      <c r="P40" s="297"/>
      <c r="Q40" s="302"/>
      <c r="R40" s="303"/>
      <c r="S40" s="61" t="s">
        <v>138</v>
      </c>
      <c r="T40" s="61" t="s">
        <v>132</v>
      </c>
      <c r="U40" s="52"/>
      <c r="V40" s="52"/>
      <c r="W40" s="61" t="s">
        <v>138</v>
      </c>
      <c r="X40" s="61" t="s">
        <v>132</v>
      </c>
      <c r="Y40" s="61" t="s">
        <v>131</v>
      </c>
      <c r="Z40" s="61" t="s">
        <v>131</v>
      </c>
      <c r="AA40" s="118">
        <f t="shared" si="4"/>
        <v>59</v>
      </c>
      <c r="AB40" s="305" t="str">
        <f t="shared" si="5"/>
        <v>00:59:00</v>
      </c>
      <c r="AC40" s="119">
        <v>0.0409375</v>
      </c>
      <c r="AD40" s="120">
        <f t="shared" si="3"/>
        <v>3540</v>
      </c>
      <c r="AE40" s="141">
        <v>169</v>
      </c>
      <c r="AF40" s="141"/>
    </row>
    <row r="41" customHeight="1" spans="1:32">
      <c r="A41" s="81">
        <v>37</v>
      </c>
      <c r="B41" s="29" t="s">
        <v>122</v>
      </c>
      <c r="C41" s="278"/>
      <c r="D41" s="282"/>
      <c r="E41" s="81">
        <v>37</v>
      </c>
      <c r="F41" s="280" t="s">
        <v>902</v>
      </c>
      <c r="G41" s="281" t="s">
        <v>1005</v>
      </c>
      <c r="H41" s="28" t="s">
        <v>1006</v>
      </c>
      <c r="I41" s="295" t="s">
        <v>126</v>
      </c>
      <c r="J41" s="295" t="s">
        <v>126</v>
      </c>
      <c r="K41" s="296"/>
      <c r="L41" s="296"/>
      <c r="M41" s="296"/>
      <c r="N41" s="296"/>
      <c r="O41" s="297" t="s">
        <v>1007</v>
      </c>
      <c r="P41" s="297"/>
      <c r="Q41" s="302"/>
      <c r="R41" s="303"/>
      <c r="S41" s="61" t="s">
        <v>138</v>
      </c>
      <c r="T41" s="61" t="s">
        <v>132</v>
      </c>
      <c r="U41" s="52"/>
      <c r="V41" s="52"/>
      <c r="W41" s="61" t="s">
        <v>138</v>
      </c>
      <c r="X41" s="61" t="s">
        <v>132</v>
      </c>
      <c r="Y41" s="61" t="s">
        <v>131</v>
      </c>
      <c r="Z41" s="61" t="s">
        <v>131</v>
      </c>
      <c r="AA41" s="118">
        <f t="shared" si="4"/>
        <v>9</v>
      </c>
      <c r="AB41" s="305" t="str">
        <f t="shared" si="5"/>
        <v>00:09:00</v>
      </c>
      <c r="AC41" s="119">
        <v>0.00591435185185185</v>
      </c>
      <c r="AD41" s="120">
        <f t="shared" si="3"/>
        <v>540</v>
      </c>
      <c r="AE41" s="141">
        <v>169</v>
      </c>
      <c r="AF41" s="141"/>
    </row>
    <row r="42" customHeight="1" spans="1:32">
      <c r="A42" s="81">
        <v>38</v>
      </c>
      <c r="B42" s="29" t="s">
        <v>122</v>
      </c>
      <c r="C42" s="278"/>
      <c r="D42" s="282"/>
      <c r="E42" s="81">
        <v>38</v>
      </c>
      <c r="F42" s="280"/>
      <c r="G42" s="281" t="s">
        <v>1008</v>
      </c>
      <c r="H42" s="28" t="s">
        <v>1009</v>
      </c>
      <c r="I42" s="295" t="s">
        <v>126</v>
      </c>
      <c r="J42" s="295" t="s">
        <v>126</v>
      </c>
      <c r="K42" s="296"/>
      <c r="L42" s="296"/>
      <c r="M42" s="296"/>
      <c r="N42" s="296"/>
      <c r="O42" s="297" t="s">
        <v>1010</v>
      </c>
      <c r="P42" s="297"/>
      <c r="Q42" s="302"/>
      <c r="R42" s="303"/>
      <c r="S42" s="61" t="s">
        <v>138</v>
      </c>
      <c r="T42" s="61" t="s">
        <v>132</v>
      </c>
      <c r="U42" s="52"/>
      <c r="V42" s="52"/>
      <c r="W42" s="61" t="s">
        <v>138</v>
      </c>
      <c r="X42" s="61" t="s">
        <v>132</v>
      </c>
      <c r="Y42" s="61" t="s">
        <v>131</v>
      </c>
      <c r="Z42" s="61" t="s">
        <v>131</v>
      </c>
      <c r="AA42" s="118">
        <f t="shared" si="4"/>
        <v>9</v>
      </c>
      <c r="AB42" s="305" t="str">
        <f t="shared" si="5"/>
        <v>00:09:00</v>
      </c>
      <c r="AC42" s="119">
        <v>0.0062962962962963</v>
      </c>
      <c r="AD42" s="120">
        <f t="shared" si="3"/>
        <v>540</v>
      </c>
      <c r="AE42" s="141">
        <v>169</v>
      </c>
      <c r="AF42" s="141"/>
    </row>
    <row r="43" customHeight="1" spans="1:32">
      <c r="A43" s="81">
        <v>39</v>
      </c>
      <c r="B43" s="29" t="s">
        <v>122</v>
      </c>
      <c r="C43" s="278"/>
      <c r="D43" s="282"/>
      <c r="E43" s="81">
        <v>39</v>
      </c>
      <c r="F43" s="280"/>
      <c r="G43" s="281" t="s">
        <v>1011</v>
      </c>
      <c r="H43" s="28" t="s">
        <v>1012</v>
      </c>
      <c r="I43" s="295" t="s">
        <v>126</v>
      </c>
      <c r="J43" s="295" t="s">
        <v>126</v>
      </c>
      <c r="K43" s="296"/>
      <c r="L43" s="296"/>
      <c r="M43" s="296"/>
      <c r="N43" s="296"/>
      <c r="O43" s="297" t="s">
        <v>1013</v>
      </c>
      <c r="P43" s="297"/>
      <c r="Q43" s="302"/>
      <c r="R43" s="303"/>
      <c r="S43" s="61" t="s">
        <v>138</v>
      </c>
      <c r="T43" s="61" t="s">
        <v>132</v>
      </c>
      <c r="U43" s="52"/>
      <c r="V43" s="52"/>
      <c r="W43" s="52" t="s">
        <v>138</v>
      </c>
      <c r="X43" s="52" t="s">
        <v>132</v>
      </c>
      <c r="Y43" s="61" t="s">
        <v>131</v>
      </c>
      <c r="Z43" s="61" t="s">
        <v>131</v>
      </c>
      <c r="AA43" s="118">
        <f t="shared" si="4"/>
        <v>9</v>
      </c>
      <c r="AB43" s="305" t="str">
        <f t="shared" si="5"/>
        <v>00:09:00</v>
      </c>
      <c r="AC43" s="119">
        <v>0.00609953703703704</v>
      </c>
      <c r="AD43" s="120">
        <f t="shared" si="3"/>
        <v>540</v>
      </c>
      <c r="AE43" s="141">
        <v>169</v>
      </c>
      <c r="AF43" s="141"/>
    </row>
    <row r="44" customHeight="1" spans="1:32">
      <c r="A44" s="81">
        <v>40</v>
      </c>
      <c r="B44" s="29" t="s">
        <v>122</v>
      </c>
      <c r="C44" s="278"/>
      <c r="D44" s="282"/>
      <c r="E44" s="81">
        <v>40</v>
      </c>
      <c r="F44" s="280"/>
      <c r="G44" s="281" t="s">
        <v>1014</v>
      </c>
      <c r="H44" s="28" t="s">
        <v>1015</v>
      </c>
      <c r="I44" s="295" t="s">
        <v>126</v>
      </c>
      <c r="J44" s="295" t="s">
        <v>126</v>
      </c>
      <c r="K44" s="296"/>
      <c r="L44" s="296"/>
      <c r="M44" s="296"/>
      <c r="N44" s="296"/>
      <c r="O44" s="297" t="s">
        <v>1016</v>
      </c>
      <c r="P44" s="297"/>
      <c r="Q44" s="302"/>
      <c r="R44" s="303"/>
      <c r="S44" s="61" t="s">
        <v>138</v>
      </c>
      <c r="T44" s="61" t="s">
        <v>132</v>
      </c>
      <c r="U44" s="52"/>
      <c r="V44" s="52"/>
      <c r="W44" s="52" t="s">
        <v>138</v>
      </c>
      <c r="X44" s="52" t="s">
        <v>132</v>
      </c>
      <c r="Y44" s="61" t="s">
        <v>131</v>
      </c>
      <c r="Z44" s="61" t="s">
        <v>131</v>
      </c>
      <c r="AA44" s="118">
        <f t="shared" si="4"/>
        <v>31</v>
      </c>
      <c r="AB44" s="305" t="str">
        <f t="shared" si="5"/>
        <v>00:31:00</v>
      </c>
      <c r="AC44" s="119">
        <v>0.021724537037037</v>
      </c>
      <c r="AD44" s="120">
        <f t="shared" si="3"/>
        <v>1860</v>
      </c>
      <c r="AE44" s="141">
        <v>169</v>
      </c>
      <c r="AF44" s="141"/>
    </row>
    <row r="45" customHeight="1" spans="1:32">
      <c r="A45" s="81">
        <v>41</v>
      </c>
      <c r="B45" s="29" t="s">
        <v>122</v>
      </c>
      <c r="C45" s="278"/>
      <c r="D45" s="282"/>
      <c r="E45" s="81">
        <v>41</v>
      </c>
      <c r="F45" s="280" t="s">
        <v>915</v>
      </c>
      <c r="G45" s="281" t="s">
        <v>1017</v>
      </c>
      <c r="H45" s="28" t="s">
        <v>1018</v>
      </c>
      <c r="I45" s="295" t="s">
        <v>126</v>
      </c>
      <c r="J45" s="295" t="s">
        <v>126</v>
      </c>
      <c r="K45" s="296"/>
      <c r="L45" s="296"/>
      <c r="M45" s="296"/>
      <c r="N45" s="296"/>
      <c r="O45" s="297" t="s">
        <v>1019</v>
      </c>
      <c r="P45" s="297"/>
      <c r="Q45" s="302"/>
      <c r="R45" s="303"/>
      <c r="S45" s="61" t="s">
        <v>132</v>
      </c>
      <c r="T45" s="61"/>
      <c r="U45" s="52"/>
      <c r="V45" s="52"/>
      <c r="W45" s="52" t="s">
        <v>138</v>
      </c>
      <c r="X45" s="52" t="s">
        <v>132</v>
      </c>
      <c r="Y45" s="61" t="s">
        <v>131</v>
      </c>
      <c r="Z45" s="61" t="s">
        <v>131</v>
      </c>
      <c r="AA45" s="118">
        <f t="shared" si="4"/>
        <v>7</v>
      </c>
      <c r="AB45" s="305" t="str">
        <f t="shared" si="5"/>
        <v>00:07:00</v>
      </c>
      <c r="AC45" s="119">
        <v>0.00513888888888889</v>
      </c>
      <c r="AD45" s="120">
        <f t="shared" si="3"/>
        <v>420</v>
      </c>
      <c r="AE45" s="141">
        <v>169</v>
      </c>
      <c r="AF45" s="141"/>
    </row>
    <row r="46" customHeight="1" spans="1:32">
      <c r="A46" s="81">
        <v>42</v>
      </c>
      <c r="B46" s="29" t="s">
        <v>122</v>
      </c>
      <c r="C46" s="278"/>
      <c r="D46" s="282"/>
      <c r="E46" s="81">
        <v>42</v>
      </c>
      <c r="F46" s="280"/>
      <c r="G46" s="281" t="s">
        <v>1020</v>
      </c>
      <c r="H46" s="28" t="s">
        <v>1021</v>
      </c>
      <c r="I46" s="295" t="s">
        <v>126</v>
      </c>
      <c r="J46" s="295" t="s">
        <v>126</v>
      </c>
      <c r="K46" s="296"/>
      <c r="L46" s="296"/>
      <c r="M46" s="296"/>
      <c r="N46" s="296"/>
      <c r="O46" s="297" t="s">
        <v>1022</v>
      </c>
      <c r="P46" s="297"/>
      <c r="Q46" s="302"/>
      <c r="R46" s="303"/>
      <c r="S46" s="61" t="s">
        <v>132</v>
      </c>
      <c r="T46" s="61"/>
      <c r="U46" s="52"/>
      <c r="V46" s="52"/>
      <c r="W46" s="52" t="s">
        <v>138</v>
      </c>
      <c r="X46" s="52" t="s">
        <v>132</v>
      </c>
      <c r="Y46" s="61" t="s">
        <v>131</v>
      </c>
      <c r="Z46" s="61" t="s">
        <v>131</v>
      </c>
      <c r="AA46" s="118">
        <f t="shared" si="4"/>
        <v>10</v>
      </c>
      <c r="AB46" s="305" t="str">
        <f t="shared" si="5"/>
        <v>00:10:00</v>
      </c>
      <c r="AC46" s="119">
        <v>0.00667824074074074</v>
      </c>
      <c r="AD46" s="120">
        <f t="shared" si="3"/>
        <v>600</v>
      </c>
      <c r="AE46" s="141">
        <v>169</v>
      </c>
      <c r="AF46" s="141"/>
    </row>
    <row r="47" customHeight="1" spans="1:32">
      <c r="A47" s="81">
        <v>43</v>
      </c>
      <c r="B47" s="29" t="s">
        <v>122</v>
      </c>
      <c r="C47" s="278"/>
      <c r="D47" s="282"/>
      <c r="E47" s="81">
        <v>43</v>
      </c>
      <c r="F47" s="280"/>
      <c r="G47" s="281" t="s">
        <v>1023</v>
      </c>
      <c r="H47" s="28" t="s">
        <v>1024</v>
      </c>
      <c r="I47" s="295" t="s">
        <v>126</v>
      </c>
      <c r="J47" s="295" t="s">
        <v>126</v>
      </c>
      <c r="K47" s="296"/>
      <c r="L47" s="296"/>
      <c r="M47" s="296"/>
      <c r="N47" s="296"/>
      <c r="O47" s="297" t="s">
        <v>1025</v>
      </c>
      <c r="P47" s="297"/>
      <c r="Q47" s="302"/>
      <c r="R47" s="303"/>
      <c r="S47" s="61" t="s">
        <v>132</v>
      </c>
      <c r="T47" s="61"/>
      <c r="U47" s="52"/>
      <c r="V47" s="52"/>
      <c r="W47" s="61" t="s">
        <v>138</v>
      </c>
      <c r="X47" s="61" t="s">
        <v>132</v>
      </c>
      <c r="Y47" s="61" t="s">
        <v>131</v>
      </c>
      <c r="Z47" s="61" t="s">
        <v>131</v>
      </c>
      <c r="AA47" s="118">
        <f t="shared" si="4"/>
        <v>24</v>
      </c>
      <c r="AB47" s="305" t="str">
        <f t="shared" si="5"/>
        <v>00:24:00</v>
      </c>
      <c r="AC47" s="119">
        <v>0.0165509259259259</v>
      </c>
      <c r="AD47" s="120">
        <f t="shared" si="3"/>
        <v>1440</v>
      </c>
      <c r="AE47" s="141">
        <v>169</v>
      </c>
      <c r="AF47" s="141"/>
    </row>
    <row r="48" customHeight="1" spans="1:32">
      <c r="A48" s="81">
        <v>44</v>
      </c>
      <c r="B48" s="29" t="s">
        <v>122</v>
      </c>
      <c r="C48" s="278"/>
      <c r="D48" s="282"/>
      <c r="E48" s="81">
        <v>44</v>
      </c>
      <c r="F48" s="280"/>
      <c r="G48" s="281" t="s">
        <v>1026</v>
      </c>
      <c r="H48" s="28" t="s">
        <v>1027</v>
      </c>
      <c r="I48" s="295" t="s">
        <v>126</v>
      </c>
      <c r="J48" s="295" t="s">
        <v>126</v>
      </c>
      <c r="K48" s="296"/>
      <c r="L48" s="296"/>
      <c r="M48" s="296"/>
      <c r="N48" s="296"/>
      <c r="O48" s="297" t="s">
        <v>1028</v>
      </c>
      <c r="P48" s="297"/>
      <c r="Q48" s="302"/>
      <c r="R48" s="303"/>
      <c r="S48" s="61" t="s">
        <v>138</v>
      </c>
      <c r="T48" s="61" t="s">
        <v>132</v>
      </c>
      <c r="U48" s="52"/>
      <c r="V48" s="52"/>
      <c r="W48" s="61" t="s">
        <v>138</v>
      </c>
      <c r="X48" s="61" t="s">
        <v>132</v>
      </c>
      <c r="Y48" s="61" t="s">
        <v>131</v>
      </c>
      <c r="Z48" s="61" t="s">
        <v>131</v>
      </c>
      <c r="AA48" s="118">
        <f t="shared" si="4"/>
        <v>49</v>
      </c>
      <c r="AB48" s="305" t="str">
        <f t="shared" si="5"/>
        <v>00:49:00</v>
      </c>
      <c r="AC48" s="119">
        <v>0.0339814814814815</v>
      </c>
      <c r="AD48" s="120">
        <f t="shared" si="3"/>
        <v>2940</v>
      </c>
      <c r="AE48" s="141">
        <v>169</v>
      </c>
      <c r="AF48" s="141"/>
    </row>
    <row r="49" customHeight="1" spans="1:32">
      <c r="A49" s="81">
        <v>45</v>
      </c>
      <c r="B49" s="29" t="s">
        <v>122</v>
      </c>
      <c r="C49" s="278"/>
      <c r="D49" s="282"/>
      <c r="E49" s="81">
        <v>45</v>
      </c>
      <c r="F49" s="280" t="s">
        <v>928</v>
      </c>
      <c r="G49" s="281" t="s">
        <v>1029</v>
      </c>
      <c r="H49" s="28" t="s">
        <v>1030</v>
      </c>
      <c r="I49" s="295" t="s">
        <v>126</v>
      </c>
      <c r="J49" s="295" t="s">
        <v>126</v>
      </c>
      <c r="K49" s="296"/>
      <c r="L49" s="296"/>
      <c r="M49" s="296"/>
      <c r="N49" s="296"/>
      <c r="O49" s="297" t="s">
        <v>1031</v>
      </c>
      <c r="P49" s="297"/>
      <c r="Q49" s="302"/>
      <c r="R49" s="303"/>
      <c r="S49" s="61" t="s">
        <v>138</v>
      </c>
      <c r="T49" s="61" t="s">
        <v>132</v>
      </c>
      <c r="U49" s="52"/>
      <c r="V49" s="52"/>
      <c r="W49" s="61" t="s">
        <v>138</v>
      </c>
      <c r="X49" s="61" t="s">
        <v>132</v>
      </c>
      <c r="Y49" s="61" t="s">
        <v>131</v>
      </c>
      <c r="Z49" s="61" t="s">
        <v>131</v>
      </c>
      <c r="AA49" s="118">
        <f t="shared" si="4"/>
        <v>12</v>
      </c>
      <c r="AB49" s="305" t="str">
        <f t="shared" si="5"/>
        <v>00:12:00</v>
      </c>
      <c r="AC49" s="119">
        <v>0.00855324074074074</v>
      </c>
      <c r="AD49" s="120">
        <f t="shared" si="3"/>
        <v>720</v>
      </c>
      <c r="AE49" s="141">
        <v>169</v>
      </c>
      <c r="AF49" s="141"/>
    </row>
    <row r="50" customHeight="1" spans="1:32">
      <c r="A50" s="81">
        <v>46</v>
      </c>
      <c r="B50" s="29" t="s">
        <v>122</v>
      </c>
      <c r="C50" s="278"/>
      <c r="D50" s="282"/>
      <c r="E50" s="81">
        <v>46</v>
      </c>
      <c r="F50" s="280"/>
      <c r="G50" s="281" t="s">
        <v>1032</v>
      </c>
      <c r="H50" s="28" t="s">
        <v>1033</v>
      </c>
      <c r="I50" s="295" t="s">
        <v>126</v>
      </c>
      <c r="J50" s="295" t="s">
        <v>126</v>
      </c>
      <c r="K50" s="296"/>
      <c r="L50" s="296"/>
      <c r="M50" s="296"/>
      <c r="N50" s="296"/>
      <c r="O50" s="297" t="s">
        <v>1034</v>
      </c>
      <c r="P50" s="297"/>
      <c r="Q50" s="302"/>
      <c r="R50" s="303"/>
      <c r="S50" s="61" t="s">
        <v>138</v>
      </c>
      <c r="T50" s="61" t="s">
        <v>132</v>
      </c>
      <c r="U50" s="52"/>
      <c r="V50" s="52"/>
      <c r="W50" s="61" t="s">
        <v>138</v>
      </c>
      <c r="X50" s="61" t="s">
        <v>132</v>
      </c>
      <c r="Y50" s="61" t="s">
        <v>131</v>
      </c>
      <c r="Z50" s="61" t="s">
        <v>131</v>
      </c>
      <c r="AA50" s="118">
        <f t="shared" si="4"/>
        <v>7</v>
      </c>
      <c r="AB50" s="305" t="str">
        <f t="shared" si="5"/>
        <v>00:07:00</v>
      </c>
      <c r="AC50" s="119">
        <v>0.00513888888888889</v>
      </c>
      <c r="AD50" s="120">
        <f t="shared" si="3"/>
        <v>420</v>
      </c>
      <c r="AE50" s="141">
        <v>169</v>
      </c>
      <c r="AF50" s="141"/>
    </row>
    <row r="51" customHeight="1" spans="1:32">
      <c r="A51" s="81">
        <v>47</v>
      </c>
      <c r="B51" s="29" t="s">
        <v>122</v>
      </c>
      <c r="C51" s="278"/>
      <c r="D51" s="282"/>
      <c r="E51" s="81">
        <v>47</v>
      </c>
      <c r="F51" s="280"/>
      <c r="G51" s="281" t="s">
        <v>1035</v>
      </c>
      <c r="H51" s="28" t="s">
        <v>1036</v>
      </c>
      <c r="I51" s="295" t="s">
        <v>126</v>
      </c>
      <c r="J51" s="295" t="s">
        <v>126</v>
      </c>
      <c r="K51" s="296"/>
      <c r="L51" s="296"/>
      <c r="M51" s="296"/>
      <c r="N51" s="296"/>
      <c r="O51" s="297" t="s">
        <v>1037</v>
      </c>
      <c r="P51" s="297"/>
      <c r="Q51" s="302"/>
      <c r="R51" s="303"/>
      <c r="S51" s="61" t="s">
        <v>138</v>
      </c>
      <c r="T51" s="61" t="s">
        <v>132</v>
      </c>
      <c r="U51" s="52"/>
      <c r="V51" s="52"/>
      <c r="W51" s="61" t="s">
        <v>138</v>
      </c>
      <c r="X51" s="61" t="s">
        <v>132</v>
      </c>
      <c r="Y51" s="61" t="s">
        <v>131</v>
      </c>
      <c r="Z51" s="61" t="s">
        <v>131</v>
      </c>
      <c r="AA51" s="118">
        <f t="shared" si="4"/>
        <v>9</v>
      </c>
      <c r="AB51" s="305" t="str">
        <f t="shared" si="5"/>
        <v>00:09:00</v>
      </c>
      <c r="AC51" s="119">
        <v>0.00614583333333333</v>
      </c>
      <c r="AD51" s="120">
        <f t="shared" si="3"/>
        <v>540</v>
      </c>
      <c r="AE51" s="141">
        <v>169</v>
      </c>
      <c r="AF51" s="141"/>
    </row>
    <row r="52" customHeight="1" spans="1:32">
      <c r="A52" s="81">
        <v>48</v>
      </c>
      <c r="B52" s="29" t="s">
        <v>122</v>
      </c>
      <c r="C52" s="278"/>
      <c r="D52" s="282"/>
      <c r="E52" s="81">
        <v>48</v>
      </c>
      <c r="F52" s="280"/>
      <c r="G52" s="281" t="s">
        <v>1038</v>
      </c>
      <c r="H52" s="28" t="s">
        <v>1039</v>
      </c>
      <c r="I52" s="295" t="s">
        <v>126</v>
      </c>
      <c r="J52" s="295" t="s">
        <v>126</v>
      </c>
      <c r="K52" s="296"/>
      <c r="L52" s="296"/>
      <c r="M52" s="296"/>
      <c r="N52" s="296"/>
      <c r="O52" s="297" t="s">
        <v>1040</v>
      </c>
      <c r="P52" s="297"/>
      <c r="Q52" s="302"/>
      <c r="R52" s="303"/>
      <c r="S52" s="61" t="s">
        <v>138</v>
      </c>
      <c r="T52" s="61" t="s">
        <v>132</v>
      </c>
      <c r="U52" s="52"/>
      <c r="V52" s="52"/>
      <c r="W52" s="61" t="s">
        <v>138</v>
      </c>
      <c r="X52" s="61" t="s">
        <v>132</v>
      </c>
      <c r="Y52" s="61" t="s">
        <v>131</v>
      </c>
      <c r="Z52" s="61" t="s">
        <v>131</v>
      </c>
      <c r="AA52" s="118">
        <f t="shared" si="4"/>
        <v>28</v>
      </c>
      <c r="AB52" s="305" t="str">
        <f t="shared" si="5"/>
        <v>00:28:00</v>
      </c>
      <c r="AC52" s="119">
        <v>0.0192939814814815</v>
      </c>
      <c r="AD52" s="120">
        <f t="shared" si="3"/>
        <v>1680</v>
      </c>
      <c r="AE52" s="141">
        <v>169</v>
      </c>
      <c r="AF52" s="141"/>
    </row>
    <row r="53" customHeight="1" spans="1:32">
      <c r="A53" s="81">
        <v>49</v>
      </c>
      <c r="B53" s="29" t="s">
        <v>122</v>
      </c>
      <c r="C53" s="278"/>
      <c r="D53" s="282"/>
      <c r="E53" s="81">
        <v>49</v>
      </c>
      <c r="F53" s="280" t="s">
        <v>941</v>
      </c>
      <c r="G53" s="281" t="s">
        <v>1041</v>
      </c>
      <c r="H53" s="28" t="s">
        <v>1042</v>
      </c>
      <c r="I53" s="295" t="s">
        <v>126</v>
      </c>
      <c r="J53" s="295" t="s">
        <v>126</v>
      </c>
      <c r="K53" s="296"/>
      <c r="L53" s="296"/>
      <c r="M53" s="296"/>
      <c r="N53" s="296"/>
      <c r="O53" s="297" t="s">
        <v>1043</v>
      </c>
      <c r="P53" s="297"/>
      <c r="Q53" s="302"/>
      <c r="R53" s="303"/>
      <c r="S53" s="61" t="s">
        <v>132</v>
      </c>
      <c r="T53" s="61"/>
      <c r="U53" s="52"/>
      <c r="V53" s="52"/>
      <c r="W53" s="61" t="s">
        <v>132</v>
      </c>
      <c r="X53" s="61"/>
      <c r="Y53" s="61" t="s">
        <v>131</v>
      </c>
      <c r="Z53" s="61" t="s">
        <v>131</v>
      </c>
      <c r="AA53" s="118">
        <f t="shared" si="4"/>
        <v>6</v>
      </c>
      <c r="AB53" s="305" t="str">
        <f t="shared" si="5"/>
        <v>00:06:00</v>
      </c>
      <c r="AC53" s="119">
        <v>0.00393518518518518</v>
      </c>
      <c r="AD53" s="120">
        <f t="shared" si="3"/>
        <v>360</v>
      </c>
      <c r="AE53" s="141">
        <v>169</v>
      </c>
      <c r="AF53" s="141"/>
    </row>
    <row r="54" customHeight="1" spans="1:32">
      <c r="A54" s="81">
        <v>50</v>
      </c>
      <c r="B54" s="29" t="s">
        <v>122</v>
      </c>
      <c r="C54" s="278"/>
      <c r="D54" s="282"/>
      <c r="E54" s="81">
        <v>50</v>
      </c>
      <c r="F54" s="280"/>
      <c r="G54" s="281" t="s">
        <v>1044</v>
      </c>
      <c r="H54" s="28" t="s">
        <v>1045</v>
      </c>
      <c r="I54" s="295" t="s">
        <v>126</v>
      </c>
      <c r="J54" s="295" t="s">
        <v>126</v>
      </c>
      <c r="K54" s="296"/>
      <c r="L54" s="296"/>
      <c r="M54" s="296"/>
      <c r="N54" s="296"/>
      <c r="O54" s="297" t="s">
        <v>1046</v>
      </c>
      <c r="P54" s="297"/>
      <c r="Q54" s="302"/>
      <c r="R54" s="303"/>
      <c r="S54" s="61" t="s">
        <v>132</v>
      </c>
      <c r="T54" s="61"/>
      <c r="U54" s="52"/>
      <c r="V54" s="52"/>
      <c r="W54" s="61" t="s">
        <v>132</v>
      </c>
      <c r="X54" s="61"/>
      <c r="Y54" s="61" t="s">
        <v>131</v>
      </c>
      <c r="Z54" s="61" t="s">
        <v>131</v>
      </c>
      <c r="AA54" s="118">
        <f t="shared" si="4"/>
        <v>10</v>
      </c>
      <c r="AB54" s="305" t="str">
        <f t="shared" si="5"/>
        <v>00:10:00</v>
      </c>
      <c r="AC54" s="119">
        <v>0.00721064814814815</v>
      </c>
      <c r="AD54" s="120">
        <f t="shared" si="3"/>
        <v>600</v>
      </c>
      <c r="AE54" s="141">
        <v>169</v>
      </c>
      <c r="AF54" s="141"/>
    </row>
    <row r="55" customHeight="1" spans="1:32">
      <c r="A55" s="81">
        <v>51</v>
      </c>
      <c r="B55" s="29" t="s">
        <v>122</v>
      </c>
      <c r="C55" s="278"/>
      <c r="D55" s="282"/>
      <c r="E55" s="81">
        <v>51</v>
      </c>
      <c r="F55" s="280"/>
      <c r="G55" s="281" t="s">
        <v>1047</v>
      </c>
      <c r="H55" s="28" t="s">
        <v>1048</v>
      </c>
      <c r="I55" s="295" t="s">
        <v>126</v>
      </c>
      <c r="J55" s="295" t="s">
        <v>126</v>
      </c>
      <c r="K55" s="296"/>
      <c r="L55" s="296"/>
      <c r="M55" s="296"/>
      <c r="N55" s="296"/>
      <c r="O55" s="297" t="s">
        <v>1049</v>
      </c>
      <c r="P55" s="297"/>
      <c r="Q55" s="302"/>
      <c r="R55" s="303"/>
      <c r="S55" s="61" t="s">
        <v>132</v>
      </c>
      <c r="T55" s="61"/>
      <c r="U55" s="52"/>
      <c r="V55" s="52"/>
      <c r="W55" s="61" t="s">
        <v>132</v>
      </c>
      <c r="X55" s="61"/>
      <c r="Y55" s="61" t="s">
        <v>131</v>
      </c>
      <c r="Z55" s="61" t="s">
        <v>131</v>
      </c>
      <c r="AA55" s="118">
        <f t="shared" si="4"/>
        <v>9</v>
      </c>
      <c r="AB55" s="305" t="str">
        <f t="shared" si="5"/>
        <v>00:09:00</v>
      </c>
      <c r="AC55" s="119">
        <v>0.00650462962962963</v>
      </c>
      <c r="AD55" s="120">
        <f t="shared" si="3"/>
        <v>540</v>
      </c>
      <c r="AE55" s="141">
        <v>169</v>
      </c>
      <c r="AF55" s="141"/>
    </row>
    <row r="56" customHeight="1" spans="1:32">
      <c r="A56" s="81">
        <v>52</v>
      </c>
      <c r="B56" s="29" t="s">
        <v>122</v>
      </c>
      <c r="C56" s="278"/>
      <c r="D56" s="282"/>
      <c r="E56" s="81">
        <v>52</v>
      </c>
      <c r="F56" s="280"/>
      <c r="G56" s="281" t="s">
        <v>1050</v>
      </c>
      <c r="H56" s="28" t="s">
        <v>1051</v>
      </c>
      <c r="I56" s="295" t="s">
        <v>126</v>
      </c>
      <c r="J56" s="295" t="s">
        <v>126</v>
      </c>
      <c r="K56" s="296"/>
      <c r="L56" s="296"/>
      <c r="M56" s="296"/>
      <c r="N56" s="296"/>
      <c r="O56" s="297" t="s">
        <v>1052</v>
      </c>
      <c r="P56" s="297"/>
      <c r="Q56" s="302"/>
      <c r="R56" s="303"/>
      <c r="S56" s="61" t="s">
        <v>132</v>
      </c>
      <c r="T56" s="61"/>
      <c r="U56" s="52"/>
      <c r="V56" s="52"/>
      <c r="W56" s="61" t="s">
        <v>132</v>
      </c>
      <c r="X56" s="61"/>
      <c r="Y56" s="61" t="s">
        <v>131</v>
      </c>
      <c r="Z56" s="61" t="s">
        <v>131</v>
      </c>
      <c r="AA56" s="118">
        <f t="shared" si="4"/>
        <v>61</v>
      </c>
      <c r="AB56" s="305" t="str">
        <f t="shared" si="5"/>
        <v>01:01:00</v>
      </c>
      <c r="AC56" s="119">
        <v>0.0422569444444444</v>
      </c>
      <c r="AD56" s="120">
        <f t="shared" si="3"/>
        <v>3660</v>
      </c>
      <c r="AE56" s="141">
        <v>169</v>
      </c>
      <c r="AF56" s="141"/>
    </row>
    <row r="57" customHeight="1" spans="1:32">
      <c r="A57" s="81">
        <v>53</v>
      </c>
      <c r="B57" s="29" t="s">
        <v>122</v>
      </c>
      <c r="C57" s="278"/>
      <c r="D57" s="282"/>
      <c r="E57" s="81">
        <v>53</v>
      </c>
      <c r="F57" s="280" t="s">
        <v>954</v>
      </c>
      <c r="G57" s="281" t="s">
        <v>1053</v>
      </c>
      <c r="H57" s="28" t="s">
        <v>1054</v>
      </c>
      <c r="I57" s="295" t="s">
        <v>126</v>
      </c>
      <c r="J57" s="295" t="s">
        <v>126</v>
      </c>
      <c r="K57" s="296"/>
      <c r="L57" s="296"/>
      <c r="M57" s="296"/>
      <c r="N57" s="296"/>
      <c r="O57" s="297" t="s">
        <v>1055</v>
      </c>
      <c r="P57" s="297"/>
      <c r="Q57" s="302"/>
      <c r="R57" s="303"/>
      <c r="S57" s="61" t="s">
        <v>132</v>
      </c>
      <c r="T57" s="61"/>
      <c r="U57" s="52"/>
      <c r="V57" s="52"/>
      <c r="W57" s="61" t="s">
        <v>132</v>
      </c>
      <c r="X57" s="61"/>
      <c r="Y57" s="61" t="s">
        <v>131</v>
      </c>
      <c r="Z57" s="61" t="s">
        <v>131</v>
      </c>
      <c r="AA57" s="118">
        <f t="shared" si="4"/>
        <v>11</v>
      </c>
      <c r="AB57" s="305" t="str">
        <f t="shared" si="5"/>
        <v>00:11:00</v>
      </c>
      <c r="AC57" s="119">
        <v>0.0074537037037037</v>
      </c>
      <c r="AD57" s="120">
        <f t="shared" si="3"/>
        <v>660</v>
      </c>
      <c r="AE57" s="141">
        <v>169</v>
      </c>
      <c r="AF57" s="141"/>
    </row>
    <row r="58" customHeight="1" spans="1:32">
      <c r="A58" s="81">
        <v>54</v>
      </c>
      <c r="B58" s="29" t="s">
        <v>122</v>
      </c>
      <c r="C58" s="278"/>
      <c r="D58" s="282"/>
      <c r="E58" s="81">
        <v>54</v>
      </c>
      <c r="F58" s="280"/>
      <c r="G58" s="281" t="s">
        <v>1056</v>
      </c>
      <c r="H58" s="28" t="s">
        <v>1057</v>
      </c>
      <c r="I58" s="295" t="s">
        <v>126</v>
      </c>
      <c r="J58" s="295" t="s">
        <v>126</v>
      </c>
      <c r="K58" s="296"/>
      <c r="L58" s="296"/>
      <c r="M58" s="296"/>
      <c r="N58" s="296"/>
      <c r="O58" s="297" t="s">
        <v>1058</v>
      </c>
      <c r="P58" s="297"/>
      <c r="Q58" s="302"/>
      <c r="R58" s="303"/>
      <c r="S58" s="61" t="s">
        <v>132</v>
      </c>
      <c r="T58" s="61"/>
      <c r="U58" s="52"/>
      <c r="V58" s="52"/>
      <c r="W58" s="61" t="s">
        <v>132</v>
      </c>
      <c r="X58" s="61"/>
      <c r="Y58" s="61" t="s">
        <v>131</v>
      </c>
      <c r="Z58" s="61" t="s">
        <v>131</v>
      </c>
      <c r="AA58" s="118">
        <f t="shared" si="4"/>
        <v>7</v>
      </c>
      <c r="AB58" s="305" t="str">
        <f t="shared" si="5"/>
        <v>00:07:00</v>
      </c>
      <c r="AC58" s="119">
        <v>0.0047337962962963</v>
      </c>
      <c r="AD58" s="120">
        <f t="shared" si="3"/>
        <v>420</v>
      </c>
      <c r="AE58" s="141">
        <v>169</v>
      </c>
      <c r="AF58" s="141"/>
    </row>
    <row r="59" customHeight="1" spans="1:32">
      <c r="A59" s="81">
        <v>55</v>
      </c>
      <c r="B59" s="29" t="s">
        <v>122</v>
      </c>
      <c r="C59" s="278"/>
      <c r="D59" s="282"/>
      <c r="E59" s="81">
        <v>55</v>
      </c>
      <c r="F59" s="280"/>
      <c r="G59" s="281" t="s">
        <v>1059</v>
      </c>
      <c r="H59" s="28" t="s">
        <v>1060</v>
      </c>
      <c r="I59" s="295" t="s">
        <v>126</v>
      </c>
      <c r="J59" s="295" t="s">
        <v>126</v>
      </c>
      <c r="K59" s="296"/>
      <c r="L59" s="296"/>
      <c r="M59" s="296"/>
      <c r="N59" s="296"/>
      <c r="O59" s="297" t="s">
        <v>1061</v>
      </c>
      <c r="P59" s="297"/>
      <c r="Q59" s="302"/>
      <c r="R59" s="303"/>
      <c r="S59" s="61" t="s">
        <v>132</v>
      </c>
      <c r="T59" s="61"/>
      <c r="U59" s="52"/>
      <c r="V59" s="52"/>
      <c r="W59" s="61" t="s">
        <v>132</v>
      </c>
      <c r="X59" s="61"/>
      <c r="Y59" s="61" t="s">
        <v>131</v>
      </c>
      <c r="Z59" s="61" t="s">
        <v>131</v>
      </c>
      <c r="AA59" s="118">
        <f t="shared" si="4"/>
        <v>8</v>
      </c>
      <c r="AB59" s="305" t="str">
        <f t="shared" si="5"/>
        <v>00:08:00</v>
      </c>
      <c r="AC59" s="119">
        <v>0.00542824074074074</v>
      </c>
      <c r="AD59" s="120">
        <f t="shared" si="3"/>
        <v>480</v>
      </c>
      <c r="AE59" s="141">
        <v>169</v>
      </c>
      <c r="AF59" s="141"/>
    </row>
    <row r="60" customHeight="1" spans="1:32">
      <c r="A60" s="81">
        <v>56</v>
      </c>
      <c r="B60" s="29" t="s">
        <v>122</v>
      </c>
      <c r="C60" s="278"/>
      <c r="D60" s="282"/>
      <c r="E60" s="81">
        <v>56</v>
      </c>
      <c r="F60" s="280"/>
      <c r="G60" s="281" t="s">
        <v>1062</v>
      </c>
      <c r="H60" s="28" t="s">
        <v>1063</v>
      </c>
      <c r="I60" s="295" t="s">
        <v>126</v>
      </c>
      <c r="J60" s="295" t="s">
        <v>126</v>
      </c>
      <c r="K60" s="296"/>
      <c r="L60" s="296"/>
      <c r="M60" s="296"/>
      <c r="N60" s="296"/>
      <c r="O60" s="297" t="s">
        <v>1064</v>
      </c>
      <c r="P60" s="297"/>
      <c r="Q60" s="302"/>
      <c r="R60" s="303"/>
      <c r="S60" s="61" t="s">
        <v>132</v>
      </c>
      <c r="T60" s="61"/>
      <c r="U60" s="52"/>
      <c r="V60" s="52"/>
      <c r="W60" s="61" t="s">
        <v>132</v>
      </c>
      <c r="X60" s="61"/>
      <c r="Y60" s="61" t="s">
        <v>131</v>
      </c>
      <c r="Z60" s="61" t="s">
        <v>131</v>
      </c>
      <c r="AA60" s="118">
        <f t="shared" si="4"/>
        <v>30</v>
      </c>
      <c r="AB60" s="305" t="str">
        <f t="shared" si="5"/>
        <v>00:30:00</v>
      </c>
      <c r="AC60" s="119">
        <v>0.0208912037037037</v>
      </c>
      <c r="AD60" s="120">
        <f t="shared" si="3"/>
        <v>1800</v>
      </c>
      <c r="AE60" s="141">
        <v>169</v>
      </c>
      <c r="AF60" s="141"/>
    </row>
    <row r="61" customHeight="1" spans="1:32">
      <c r="A61" s="81">
        <v>57</v>
      </c>
      <c r="B61" s="29" t="s">
        <v>122</v>
      </c>
      <c r="C61" s="278"/>
      <c r="D61" s="282"/>
      <c r="E61" s="81">
        <v>57</v>
      </c>
      <c r="F61" s="280" t="s">
        <v>967</v>
      </c>
      <c r="G61" s="281" t="s">
        <v>1065</v>
      </c>
      <c r="H61" s="28" t="s">
        <v>1066</v>
      </c>
      <c r="I61" s="295" t="s">
        <v>126</v>
      </c>
      <c r="J61" s="295" t="s">
        <v>126</v>
      </c>
      <c r="K61" s="296"/>
      <c r="L61" s="296"/>
      <c r="M61" s="296"/>
      <c r="N61" s="296"/>
      <c r="O61" s="297" t="s">
        <v>1067</v>
      </c>
      <c r="P61" s="297"/>
      <c r="Q61" s="302"/>
      <c r="R61" s="303"/>
      <c r="S61" s="61" t="s">
        <v>132</v>
      </c>
      <c r="T61" s="61"/>
      <c r="U61" s="52"/>
      <c r="V61" s="52"/>
      <c r="W61" s="61" t="s">
        <v>132</v>
      </c>
      <c r="X61" s="61"/>
      <c r="Y61" s="61" t="s">
        <v>131</v>
      </c>
      <c r="Z61" s="61" t="s">
        <v>131</v>
      </c>
      <c r="AA61" s="118">
        <f t="shared" si="4"/>
        <v>7</v>
      </c>
      <c r="AB61" s="305" t="str">
        <f t="shared" si="5"/>
        <v>00:07:00</v>
      </c>
      <c r="AC61" s="119">
        <v>0.0049537037037037</v>
      </c>
      <c r="AD61" s="120">
        <f t="shared" si="3"/>
        <v>420</v>
      </c>
      <c r="AE61" s="141">
        <v>169</v>
      </c>
      <c r="AF61" s="141"/>
    </row>
    <row r="62" customHeight="1" spans="1:32">
      <c r="A62" s="81">
        <v>58</v>
      </c>
      <c r="B62" s="29" t="s">
        <v>122</v>
      </c>
      <c r="C62" s="278"/>
      <c r="D62" s="282"/>
      <c r="E62" s="81">
        <v>58</v>
      </c>
      <c r="F62" s="280"/>
      <c r="G62" s="281" t="s">
        <v>1068</v>
      </c>
      <c r="H62" s="28" t="s">
        <v>1069</v>
      </c>
      <c r="I62" s="295" t="s">
        <v>126</v>
      </c>
      <c r="J62" s="295" t="s">
        <v>126</v>
      </c>
      <c r="K62" s="296"/>
      <c r="L62" s="296"/>
      <c r="M62" s="296"/>
      <c r="N62" s="296"/>
      <c r="O62" s="297" t="s">
        <v>1070</v>
      </c>
      <c r="P62" s="297"/>
      <c r="Q62" s="302"/>
      <c r="R62" s="303"/>
      <c r="S62" s="61" t="s">
        <v>132</v>
      </c>
      <c r="T62" s="61"/>
      <c r="U62" s="52"/>
      <c r="V62" s="52"/>
      <c r="W62" s="61" t="s">
        <v>132</v>
      </c>
      <c r="X62" s="61"/>
      <c r="Y62" s="61" t="s">
        <v>131</v>
      </c>
      <c r="Z62" s="61" t="s">
        <v>131</v>
      </c>
      <c r="AA62" s="118">
        <f t="shared" si="4"/>
        <v>10</v>
      </c>
      <c r="AB62" s="305" t="str">
        <f t="shared" si="5"/>
        <v>00:10:00</v>
      </c>
      <c r="AC62" s="119">
        <v>0.00671296296296296</v>
      </c>
      <c r="AD62" s="120">
        <f t="shared" si="3"/>
        <v>600</v>
      </c>
      <c r="AE62" s="141">
        <v>169</v>
      </c>
      <c r="AF62" s="141"/>
    </row>
    <row r="63" customHeight="1" spans="1:32">
      <c r="A63" s="81">
        <v>59</v>
      </c>
      <c r="B63" s="29" t="s">
        <v>122</v>
      </c>
      <c r="C63" s="278"/>
      <c r="D63" s="282"/>
      <c r="E63" s="81">
        <v>59</v>
      </c>
      <c r="F63" s="280"/>
      <c r="G63" s="281" t="s">
        <v>1071</v>
      </c>
      <c r="H63" s="28" t="s">
        <v>1072</v>
      </c>
      <c r="I63" s="295" t="s">
        <v>126</v>
      </c>
      <c r="J63" s="295" t="s">
        <v>126</v>
      </c>
      <c r="K63" s="296"/>
      <c r="L63" s="296"/>
      <c r="M63" s="296"/>
      <c r="N63" s="296"/>
      <c r="O63" s="297" t="s">
        <v>1073</v>
      </c>
      <c r="P63" s="297"/>
      <c r="Q63" s="302"/>
      <c r="R63" s="303"/>
      <c r="S63" s="61" t="s">
        <v>132</v>
      </c>
      <c r="T63" s="61"/>
      <c r="U63" s="52"/>
      <c r="V63" s="52"/>
      <c r="W63" s="61" t="s">
        <v>132</v>
      </c>
      <c r="X63" s="61"/>
      <c r="Y63" s="61" t="s">
        <v>131</v>
      </c>
      <c r="Z63" s="61" t="s">
        <v>131</v>
      </c>
      <c r="AA63" s="118">
        <f t="shared" si="4"/>
        <v>9</v>
      </c>
      <c r="AB63" s="305" t="str">
        <f t="shared" si="5"/>
        <v>00:09:00</v>
      </c>
      <c r="AC63" s="119">
        <v>0.00636574074074074</v>
      </c>
      <c r="AD63" s="120">
        <f t="shared" si="3"/>
        <v>540</v>
      </c>
      <c r="AE63" s="141">
        <v>169</v>
      </c>
      <c r="AF63" s="141"/>
    </row>
    <row r="64" customHeight="1" spans="1:32">
      <c r="A64" s="81">
        <v>60</v>
      </c>
      <c r="B64" s="29" t="s">
        <v>122</v>
      </c>
      <c r="C64" s="278"/>
      <c r="D64" s="282"/>
      <c r="E64" s="81">
        <v>60</v>
      </c>
      <c r="F64" s="280"/>
      <c r="G64" s="281" t="s">
        <v>1074</v>
      </c>
      <c r="H64" s="28" t="s">
        <v>1075</v>
      </c>
      <c r="I64" s="295" t="s">
        <v>126</v>
      </c>
      <c r="J64" s="295" t="s">
        <v>126</v>
      </c>
      <c r="K64" s="296"/>
      <c r="L64" s="296"/>
      <c r="M64" s="296"/>
      <c r="N64" s="296"/>
      <c r="O64" s="297" t="s">
        <v>1076</v>
      </c>
      <c r="P64" s="297"/>
      <c r="Q64" s="302"/>
      <c r="R64" s="303"/>
      <c r="S64" s="61" t="s">
        <v>132</v>
      </c>
      <c r="T64" s="61"/>
      <c r="U64" s="52"/>
      <c r="V64" s="52"/>
      <c r="W64" s="61" t="s">
        <v>132</v>
      </c>
      <c r="X64" s="61"/>
      <c r="Y64" s="61" t="s">
        <v>131</v>
      </c>
      <c r="Z64" s="61" t="s">
        <v>131</v>
      </c>
      <c r="AA64" s="118">
        <f t="shared" si="4"/>
        <v>62</v>
      </c>
      <c r="AB64" s="305" t="str">
        <f t="shared" si="5"/>
        <v>01:02:00</v>
      </c>
      <c r="AC64" s="119">
        <v>0.0431018518518518</v>
      </c>
      <c r="AD64" s="120">
        <f t="shared" si="3"/>
        <v>3720</v>
      </c>
      <c r="AE64" s="141">
        <v>169</v>
      </c>
      <c r="AF64" s="141"/>
    </row>
    <row r="65" customHeight="1" spans="1:32">
      <c r="A65" s="81">
        <v>61</v>
      </c>
      <c r="B65" s="29" t="s">
        <v>122</v>
      </c>
      <c r="C65" s="278"/>
      <c r="D65" s="282"/>
      <c r="E65" s="81">
        <v>61</v>
      </c>
      <c r="F65" s="280" t="s">
        <v>980</v>
      </c>
      <c r="G65" s="281" t="s">
        <v>1077</v>
      </c>
      <c r="H65" s="28" t="s">
        <v>1078</v>
      </c>
      <c r="I65" s="295" t="s">
        <v>126</v>
      </c>
      <c r="J65" s="295" t="s">
        <v>126</v>
      </c>
      <c r="K65" s="296"/>
      <c r="L65" s="296"/>
      <c r="M65" s="296"/>
      <c r="N65" s="296"/>
      <c r="O65" s="297" t="s">
        <v>1079</v>
      </c>
      <c r="P65" s="297"/>
      <c r="Q65" s="302"/>
      <c r="R65" s="303"/>
      <c r="S65" s="61" t="s">
        <v>132</v>
      </c>
      <c r="T65" s="61"/>
      <c r="U65" s="52"/>
      <c r="V65" s="52"/>
      <c r="W65" s="61" t="s">
        <v>132</v>
      </c>
      <c r="X65" s="61"/>
      <c r="Y65" s="61" t="s">
        <v>131</v>
      </c>
      <c r="Z65" s="61" t="s">
        <v>131</v>
      </c>
      <c r="AA65" s="118">
        <f t="shared" si="4"/>
        <v>8</v>
      </c>
      <c r="AB65" s="305" t="str">
        <f t="shared" si="5"/>
        <v>00:08:00</v>
      </c>
      <c r="AC65" s="119">
        <v>0.00569444444444444</v>
      </c>
      <c r="AD65" s="120">
        <f t="shared" si="3"/>
        <v>480</v>
      </c>
      <c r="AE65" s="141">
        <v>169</v>
      </c>
      <c r="AF65" s="141"/>
    </row>
    <row r="66" customHeight="1" spans="1:32">
      <c r="A66" s="81">
        <v>62</v>
      </c>
      <c r="B66" s="29" t="s">
        <v>122</v>
      </c>
      <c r="C66" s="278"/>
      <c r="D66" s="282"/>
      <c r="E66" s="81">
        <v>62</v>
      </c>
      <c r="F66" s="280"/>
      <c r="G66" s="281" t="s">
        <v>1080</v>
      </c>
      <c r="H66" s="28" t="s">
        <v>1081</v>
      </c>
      <c r="I66" s="295" t="s">
        <v>126</v>
      </c>
      <c r="J66" s="295" t="s">
        <v>126</v>
      </c>
      <c r="K66" s="296"/>
      <c r="L66" s="296"/>
      <c r="M66" s="296"/>
      <c r="N66" s="296"/>
      <c r="O66" s="297" t="s">
        <v>1082</v>
      </c>
      <c r="P66" s="297"/>
      <c r="Q66" s="302"/>
      <c r="R66" s="303"/>
      <c r="S66" s="61" t="s">
        <v>132</v>
      </c>
      <c r="T66" s="61"/>
      <c r="U66" s="52"/>
      <c r="V66" s="52"/>
      <c r="W66" s="61" t="s">
        <v>132</v>
      </c>
      <c r="X66" s="61"/>
      <c r="Y66" s="61" t="s">
        <v>131</v>
      </c>
      <c r="Z66" s="61" t="s">
        <v>131</v>
      </c>
      <c r="AA66" s="118">
        <f t="shared" si="4"/>
        <v>8</v>
      </c>
      <c r="AB66" s="305" t="str">
        <f t="shared" si="5"/>
        <v>00:08:00</v>
      </c>
      <c r="AC66" s="119">
        <v>0.00537037037037037</v>
      </c>
      <c r="AD66" s="120">
        <f t="shared" si="3"/>
        <v>480</v>
      </c>
      <c r="AE66" s="141">
        <v>169</v>
      </c>
      <c r="AF66" s="141"/>
    </row>
    <row r="67" customHeight="1" spans="1:32">
      <c r="A67" s="81">
        <v>63</v>
      </c>
      <c r="B67" s="29" t="s">
        <v>122</v>
      </c>
      <c r="C67" s="278"/>
      <c r="D67" s="282"/>
      <c r="E67" s="81">
        <v>63</v>
      </c>
      <c r="F67" s="280"/>
      <c r="G67" s="281" t="s">
        <v>1083</v>
      </c>
      <c r="H67" s="28" t="s">
        <v>1084</v>
      </c>
      <c r="I67" s="295" t="s">
        <v>126</v>
      </c>
      <c r="J67" s="295" t="s">
        <v>126</v>
      </c>
      <c r="K67" s="296"/>
      <c r="L67" s="296"/>
      <c r="M67" s="296"/>
      <c r="N67" s="296"/>
      <c r="O67" s="297" t="s">
        <v>1085</v>
      </c>
      <c r="P67" s="297"/>
      <c r="Q67" s="302"/>
      <c r="R67" s="303"/>
      <c r="S67" s="61" t="s">
        <v>132</v>
      </c>
      <c r="T67" s="61"/>
      <c r="U67" s="52"/>
      <c r="V67" s="52"/>
      <c r="W67" s="61" t="s">
        <v>132</v>
      </c>
      <c r="X67" s="61"/>
      <c r="Y67" s="61" t="s">
        <v>131</v>
      </c>
      <c r="Z67" s="61" t="s">
        <v>131</v>
      </c>
      <c r="AA67" s="118">
        <f t="shared" si="4"/>
        <v>9</v>
      </c>
      <c r="AB67" s="305" t="str">
        <f t="shared" si="5"/>
        <v>00:09:00</v>
      </c>
      <c r="AC67" s="119">
        <v>0.00622685185185185</v>
      </c>
      <c r="AD67" s="120">
        <f t="shared" si="3"/>
        <v>540</v>
      </c>
      <c r="AE67" s="141">
        <v>169</v>
      </c>
      <c r="AF67" s="141"/>
    </row>
    <row r="68" customHeight="1" spans="1:32">
      <c r="A68" s="81">
        <v>64</v>
      </c>
      <c r="B68" s="29" t="s">
        <v>122</v>
      </c>
      <c r="C68" s="278"/>
      <c r="D68" s="282"/>
      <c r="E68" s="81">
        <v>64</v>
      </c>
      <c r="F68" s="280"/>
      <c r="G68" s="281" t="s">
        <v>1086</v>
      </c>
      <c r="H68" s="28" t="s">
        <v>1087</v>
      </c>
      <c r="I68" s="295" t="s">
        <v>126</v>
      </c>
      <c r="J68" s="295" t="s">
        <v>126</v>
      </c>
      <c r="K68" s="296"/>
      <c r="L68" s="296"/>
      <c r="M68" s="296"/>
      <c r="N68" s="296"/>
      <c r="O68" s="297" t="s">
        <v>1088</v>
      </c>
      <c r="P68" s="297"/>
      <c r="Q68" s="302"/>
      <c r="R68" s="303"/>
      <c r="S68" s="61" t="s">
        <v>132</v>
      </c>
      <c r="T68" s="61"/>
      <c r="U68" s="52"/>
      <c r="V68" s="52"/>
      <c r="W68" s="61" t="s">
        <v>132</v>
      </c>
      <c r="X68" s="61"/>
      <c r="Y68" s="61" t="s">
        <v>131</v>
      </c>
      <c r="Z68" s="61" t="s">
        <v>131</v>
      </c>
      <c r="AA68" s="118">
        <f t="shared" si="4"/>
        <v>34</v>
      </c>
      <c r="AB68" s="305" t="str">
        <f t="shared" si="5"/>
        <v>00:34:00</v>
      </c>
      <c r="AC68" s="119">
        <v>0.0236921296296296</v>
      </c>
      <c r="AD68" s="120">
        <f t="shared" si="3"/>
        <v>2040</v>
      </c>
      <c r="AE68" s="141">
        <v>169</v>
      </c>
      <c r="AF68" s="141"/>
    </row>
    <row r="69" customHeight="1" spans="1:32">
      <c r="A69" s="81">
        <v>65</v>
      </c>
      <c r="B69" s="29" t="s">
        <v>122</v>
      </c>
      <c r="C69" s="278"/>
      <c r="D69" s="307"/>
      <c r="E69" s="81">
        <v>65</v>
      </c>
      <c r="F69" s="245" t="s">
        <v>877</v>
      </c>
      <c r="G69" s="28" t="s">
        <v>1089</v>
      </c>
      <c r="H69" s="28" t="s">
        <v>1089</v>
      </c>
      <c r="I69" s="295" t="s">
        <v>126</v>
      </c>
      <c r="J69" s="295" t="s">
        <v>126</v>
      </c>
      <c r="K69" s="295" t="s">
        <v>126</v>
      </c>
      <c r="L69" s="296"/>
      <c r="M69" s="296"/>
      <c r="N69" s="296"/>
      <c r="O69" s="310" t="s">
        <v>1090</v>
      </c>
      <c r="P69" s="311"/>
      <c r="Q69" s="302"/>
      <c r="R69" s="303"/>
      <c r="S69" s="61" t="s">
        <v>132</v>
      </c>
      <c r="T69" s="61"/>
      <c r="U69" s="52"/>
      <c r="V69" s="52"/>
      <c r="W69" s="61" t="s">
        <v>132</v>
      </c>
      <c r="X69" s="61"/>
      <c r="Y69" s="61" t="s">
        <v>131</v>
      </c>
      <c r="Z69" s="61" t="s">
        <v>131</v>
      </c>
      <c r="AA69" s="118">
        <f t="shared" si="4"/>
        <v>2</v>
      </c>
      <c r="AB69" s="305" t="str">
        <f t="shared" si="5"/>
        <v>00:02:00</v>
      </c>
      <c r="AC69" s="119">
        <v>0.00148148148148148</v>
      </c>
      <c r="AD69" s="120">
        <f t="shared" si="3"/>
        <v>120</v>
      </c>
      <c r="AE69" s="141">
        <v>169</v>
      </c>
      <c r="AF69" s="141"/>
    </row>
    <row r="70" customHeight="1" spans="1:32">
      <c r="A70" s="81">
        <v>66</v>
      </c>
      <c r="B70" s="29" t="s">
        <v>122</v>
      </c>
      <c r="C70" s="278"/>
      <c r="D70" s="307"/>
      <c r="E70" s="81">
        <v>66</v>
      </c>
      <c r="F70" s="245"/>
      <c r="G70" s="28" t="s">
        <v>1091</v>
      </c>
      <c r="H70" s="28" t="s">
        <v>1092</v>
      </c>
      <c r="I70" s="295" t="s">
        <v>126</v>
      </c>
      <c r="J70" s="295" t="s">
        <v>126</v>
      </c>
      <c r="K70" s="295" t="s">
        <v>126</v>
      </c>
      <c r="L70" s="296"/>
      <c r="M70" s="296"/>
      <c r="N70" s="296"/>
      <c r="O70" s="312"/>
      <c r="P70" s="297"/>
      <c r="Q70" s="302"/>
      <c r="R70" s="303"/>
      <c r="S70" s="61"/>
      <c r="T70" s="61"/>
      <c r="U70" s="52"/>
      <c r="V70" s="52"/>
      <c r="W70" s="61"/>
      <c r="X70" s="61"/>
      <c r="Y70" s="61" t="s">
        <v>131</v>
      </c>
      <c r="Z70" s="61" t="s">
        <v>131</v>
      </c>
      <c r="AA70" s="118">
        <f t="shared" si="4"/>
        <v>0</v>
      </c>
      <c r="AB70" s="305" t="str">
        <f t="shared" si="5"/>
        <v>00:00:00</v>
      </c>
      <c r="AC70" s="119"/>
      <c r="AD70" s="120">
        <f t="shared" si="3"/>
        <v>0</v>
      </c>
      <c r="AE70" s="141">
        <v>169</v>
      </c>
      <c r="AF70" s="141"/>
    </row>
    <row r="71" customHeight="1" spans="1:32">
      <c r="A71" s="81">
        <v>67</v>
      </c>
      <c r="B71" s="29" t="s">
        <v>122</v>
      </c>
      <c r="C71" s="278"/>
      <c r="D71" s="307"/>
      <c r="E71" s="81">
        <v>67</v>
      </c>
      <c r="F71" s="245"/>
      <c r="G71" s="28" t="s">
        <v>1093</v>
      </c>
      <c r="H71" s="28" t="s">
        <v>1094</v>
      </c>
      <c r="I71" s="295" t="s">
        <v>126</v>
      </c>
      <c r="J71" s="295" t="s">
        <v>126</v>
      </c>
      <c r="K71" s="295" t="s">
        <v>126</v>
      </c>
      <c r="L71" s="296"/>
      <c r="M71" s="296"/>
      <c r="N71" s="296"/>
      <c r="O71" s="312"/>
      <c r="P71" s="297"/>
      <c r="Q71" s="302"/>
      <c r="R71" s="303"/>
      <c r="S71" s="61"/>
      <c r="T71" s="61"/>
      <c r="U71" s="52"/>
      <c r="V71" s="52"/>
      <c r="W71" s="61"/>
      <c r="X71" s="61"/>
      <c r="Y71" s="61" t="s">
        <v>131</v>
      </c>
      <c r="Z71" s="61" t="s">
        <v>131</v>
      </c>
      <c r="AA71" s="118">
        <f t="shared" si="4"/>
        <v>0</v>
      </c>
      <c r="AB71" s="305" t="str">
        <f t="shared" si="5"/>
        <v>00:00:00</v>
      </c>
      <c r="AC71" s="119"/>
      <c r="AD71" s="120">
        <f t="shared" si="3"/>
        <v>0</v>
      </c>
      <c r="AE71" s="141">
        <v>169</v>
      </c>
      <c r="AF71" s="141"/>
    </row>
    <row r="72" customHeight="1" spans="1:32">
      <c r="A72" s="81">
        <v>68</v>
      </c>
      <c r="B72" s="29" t="s">
        <v>122</v>
      </c>
      <c r="C72" s="278"/>
      <c r="D72" s="307"/>
      <c r="E72" s="81">
        <v>68</v>
      </c>
      <c r="F72" s="245"/>
      <c r="G72" s="308" t="s">
        <v>1095</v>
      </c>
      <c r="H72" s="28" t="s">
        <v>1096</v>
      </c>
      <c r="I72" s="313" t="s">
        <v>126</v>
      </c>
      <c r="J72" s="313" t="s">
        <v>126</v>
      </c>
      <c r="K72" s="314" t="s">
        <v>126</v>
      </c>
      <c r="L72" s="31"/>
      <c r="M72" s="315"/>
      <c r="N72" s="315"/>
      <c r="O72" s="316"/>
      <c r="P72" s="297"/>
      <c r="Q72" s="302"/>
      <c r="R72" s="303"/>
      <c r="S72" s="61"/>
      <c r="T72" s="61"/>
      <c r="U72" s="52"/>
      <c r="V72" s="52"/>
      <c r="W72" s="61"/>
      <c r="X72" s="317"/>
      <c r="Y72" s="317" t="s">
        <v>131</v>
      </c>
      <c r="Z72" s="317" t="s">
        <v>131</v>
      </c>
      <c r="AA72" s="118">
        <f t="shared" si="4"/>
        <v>0</v>
      </c>
      <c r="AB72" s="305" t="str">
        <f t="shared" si="5"/>
        <v>00:00:00</v>
      </c>
      <c r="AC72" s="318"/>
      <c r="AD72" s="118">
        <f t="shared" si="3"/>
        <v>0</v>
      </c>
      <c r="AE72" s="181">
        <v>169</v>
      </c>
      <c r="AF72" s="181"/>
    </row>
    <row r="73" customHeight="1" spans="1:32">
      <c r="A73" s="81">
        <v>69</v>
      </c>
      <c r="B73" s="29" t="s">
        <v>122</v>
      </c>
      <c r="C73" s="278"/>
      <c r="D73" s="29"/>
      <c r="E73" s="81">
        <v>69</v>
      </c>
      <c r="F73" s="156"/>
      <c r="G73" s="309" t="s">
        <v>1097</v>
      </c>
      <c r="H73" s="309" t="s">
        <v>1098</v>
      </c>
      <c r="I73" s="31" t="s">
        <v>126</v>
      </c>
      <c r="J73" s="31" t="s">
        <v>126</v>
      </c>
      <c r="K73" s="314" t="s">
        <v>126</v>
      </c>
      <c r="L73" s="31"/>
      <c r="M73" s="31"/>
      <c r="N73" s="31"/>
      <c r="O73" s="312"/>
      <c r="P73" s="297"/>
      <c r="Q73" s="302"/>
      <c r="R73" s="303"/>
      <c r="S73" s="61"/>
      <c r="T73" s="61"/>
      <c r="U73" s="52"/>
      <c r="V73" s="52"/>
      <c r="W73" s="61"/>
      <c r="X73" s="61"/>
      <c r="Y73" s="61" t="s">
        <v>131</v>
      </c>
      <c r="Z73" s="61" t="s">
        <v>131</v>
      </c>
      <c r="AA73" s="118">
        <f t="shared" si="4"/>
        <v>0</v>
      </c>
      <c r="AB73" s="229" t="str">
        <f t="shared" si="5"/>
        <v>00:00:00</v>
      </c>
      <c r="AC73" s="119"/>
      <c r="AD73" s="118">
        <f t="shared" si="3"/>
        <v>0</v>
      </c>
      <c r="AE73" s="181">
        <v>169</v>
      </c>
      <c r="AF73" s="181"/>
    </row>
    <row r="74" customHeight="1" spans="28:28">
      <c r="AB74" s="233"/>
    </row>
    <row r="75" customHeight="1" spans="28:28">
      <c r="AB75" s="233"/>
    </row>
    <row r="76" customHeight="1" spans="28:28">
      <c r="AB76" s="233"/>
    </row>
    <row r="77" customHeight="1" spans="28:28">
      <c r="AB77" s="233"/>
    </row>
    <row r="78" customHeight="1" spans="28:28">
      <c r="AB78" s="233"/>
    </row>
    <row r="79" customHeight="1" spans="28:28">
      <c r="AB79" s="233"/>
    </row>
    <row r="80" customHeight="1" spans="28:28">
      <c r="AB80" s="233"/>
    </row>
    <row r="81" customHeight="1" spans="28:28">
      <c r="AB81" s="233"/>
    </row>
    <row r="82" customHeight="1" spans="28:28">
      <c r="AB82" s="233"/>
    </row>
    <row r="83" customHeight="1" spans="28:28">
      <c r="AB83" s="233"/>
    </row>
    <row r="84" customHeight="1" spans="28:28">
      <c r="AB84" s="233"/>
    </row>
    <row r="85" customHeight="1" spans="28:28">
      <c r="AB85" s="233"/>
    </row>
    <row r="86" customHeight="1" spans="28:28">
      <c r="AB86" s="233"/>
    </row>
    <row r="87" customHeight="1" spans="28:28">
      <c r="AB87" s="233"/>
    </row>
    <row r="88" customHeight="1" spans="28:28">
      <c r="AB88" s="233"/>
    </row>
    <row r="89" customHeight="1" spans="28:28">
      <c r="AB89" s="233"/>
    </row>
    <row r="90" customHeight="1" spans="28:28">
      <c r="AB90" s="233"/>
    </row>
    <row r="91" customHeight="1" spans="28:28">
      <c r="AB91" s="233"/>
    </row>
    <row r="92" customHeight="1" spans="28:28">
      <c r="AB92" s="233"/>
    </row>
    <row r="93" customHeight="1" spans="28:28">
      <c r="AB93" s="233"/>
    </row>
    <row r="94" customHeight="1" spans="28:28">
      <c r="AB94" s="233"/>
    </row>
    <row r="95" customHeight="1" spans="28:28">
      <c r="AB95" s="233"/>
    </row>
    <row r="96" customHeight="1" spans="28:28">
      <c r="AB96" s="233"/>
    </row>
    <row r="97" customHeight="1" spans="28:28">
      <c r="AB97" s="233"/>
    </row>
    <row r="98" customHeight="1" spans="28:28">
      <c r="AB98" s="233"/>
    </row>
    <row r="99" customHeight="1" spans="28:28">
      <c r="AB99" s="233"/>
    </row>
    <row r="100" customHeight="1" spans="28:28">
      <c r="AB100" s="233"/>
    </row>
    <row r="101" customHeight="1" spans="28:28">
      <c r="AB101" s="233"/>
    </row>
    <row r="102" customHeight="1" spans="28:28">
      <c r="AB102" s="233"/>
    </row>
    <row r="103" customHeight="1" spans="28:28">
      <c r="AB103" s="233"/>
    </row>
    <row r="104" customHeight="1" spans="28:28">
      <c r="AB104" s="233"/>
    </row>
    <row r="105" customHeight="1" spans="28:28">
      <c r="AB105" s="233"/>
    </row>
    <row r="106" customHeight="1" spans="28:28">
      <c r="AB106" s="233"/>
    </row>
    <row r="107" customHeight="1" spans="28:28">
      <c r="AB107" s="233"/>
    </row>
    <row r="108" customHeight="1" spans="28:28">
      <c r="AB108" s="233"/>
    </row>
    <row r="109" customHeight="1" spans="28:28">
      <c r="AB109" s="233"/>
    </row>
    <row r="110" customHeight="1" spans="28:28">
      <c r="AB110" s="233"/>
    </row>
    <row r="111" customHeight="1" spans="28:28">
      <c r="AB111" s="233"/>
    </row>
    <row r="112" customHeight="1" spans="28:28">
      <c r="AB112" s="233"/>
    </row>
    <row r="113" customHeight="1" spans="28:28">
      <c r="AB113" s="233"/>
    </row>
    <row r="114" customHeight="1" spans="28:28">
      <c r="AB114" s="233"/>
    </row>
    <row r="115" customHeight="1" spans="28:28">
      <c r="AB115" s="233"/>
    </row>
    <row r="116" customHeight="1" spans="28:28">
      <c r="AB116" s="233"/>
    </row>
    <row r="117" customHeight="1" spans="28:28">
      <c r="AB117" s="233"/>
    </row>
    <row r="118" customHeight="1" spans="28:28">
      <c r="AB118" s="233"/>
    </row>
    <row r="119" customHeight="1" spans="28:28">
      <c r="AB119" s="233"/>
    </row>
    <row r="120" customHeight="1" spans="28:28">
      <c r="AB120" s="233"/>
    </row>
    <row r="121" customHeight="1" spans="28:28">
      <c r="AB121" s="233"/>
    </row>
    <row r="122" customHeight="1" spans="28:28">
      <c r="AB122" s="233"/>
    </row>
    <row r="123" customHeight="1" spans="28:28">
      <c r="AB123" s="233"/>
    </row>
    <row r="124" customHeight="1" spans="28:28">
      <c r="AB124" s="233"/>
    </row>
    <row r="125" customHeight="1" spans="28:28">
      <c r="AB125" s="233"/>
    </row>
    <row r="126" customHeight="1" spans="28:28">
      <c r="AB126" s="233"/>
    </row>
    <row r="127" customHeight="1" spans="28:28">
      <c r="AB127" s="233"/>
    </row>
    <row r="128" customHeight="1" spans="28:28">
      <c r="AB128" s="233"/>
    </row>
    <row r="129" customHeight="1" spans="28:28">
      <c r="AB129" s="233"/>
    </row>
    <row r="130" customHeight="1" spans="28:28">
      <c r="AB130" s="233"/>
    </row>
    <row r="131" customHeight="1" spans="28:28">
      <c r="AB131" s="233"/>
    </row>
    <row r="132" customHeight="1" spans="28:28">
      <c r="AB132" s="233"/>
    </row>
    <row r="133" customHeight="1" spans="28:28">
      <c r="AB133" s="233"/>
    </row>
    <row r="134" customHeight="1" spans="28:28">
      <c r="AB134" s="233"/>
    </row>
    <row r="135" customHeight="1" spans="28:28">
      <c r="AB135" s="233"/>
    </row>
    <row r="136" customHeight="1" spans="28:28">
      <c r="AB136" s="233"/>
    </row>
    <row r="137" customHeight="1" spans="28:28">
      <c r="AB137" s="233"/>
    </row>
    <row r="138" customHeight="1" spans="28:28">
      <c r="AB138" s="233"/>
    </row>
    <row r="139" customHeight="1" spans="28:28">
      <c r="AB139" s="233"/>
    </row>
    <row r="140" customHeight="1" spans="28:28">
      <c r="AB140" s="233"/>
    </row>
    <row r="141" customHeight="1" spans="28:28">
      <c r="AB141" s="233"/>
    </row>
    <row r="142" customHeight="1" spans="28:28">
      <c r="AB142" s="233"/>
    </row>
    <row r="143" customHeight="1" spans="28:28">
      <c r="AB143" s="233"/>
    </row>
    <row r="144" customHeight="1" spans="28:28">
      <c r="AB144" s="233"/>
    </row>
    <row r="145" customHeight="1" spans="28:28">
      <c r="AB145" s="233"/>
    </row>
    <row r="146" customHeight="1" spans="28:28">
      <c r="AB146" s="233"/>
    </row>
    <row r="147" customHeight="1" spans="28:28">
      <c r="AB147" s="233"/>
    </row>
    <row r="148" customHeight="1" spans="28:28">
      <c r="AB148" s="233"/>
    </row>
    <row r="149" customHeight="1" spans="28:28">
      <c r="AB149" s="233"/>
    </row>
    <row r="150" customHeight="1" spans="28:28">
      <c r="AB150" s="233"/>
    </row>
    <row r="151" customHeight="1" spans="28:28">
      <c r="AB151" s="233"/>
    </row>
    <row r="152" customHeight="1" spans="28:28">
      <c r="AB152" s="233"/>
    </row>
    <row r="153" customHeight="1" spans="28:28">
      <c r="AB153" s="233"/>
    </row>
    <row r="154" customHeight="1" spans="28:28">
      <c r="AB154" s="233"/>
    </row>
    <row r="155" customHeight="1" spans="28:28">
      <c r="AB155" s="233"/>
    </row>
    <row r="156" customHeight="1" spans="28:28">
      <c r="AB156" s="233"/>
    </row>
    <row r="157" customHeight="1" spans="28:28">
      <c r="AB157" s="233"/>
    </row>
    <row r="158" customHeight="1" spans="28:28">
      <c r="AB158" s="233"/>
    </row>
    <row r="159" customHeight="1" spans="28:28">
      <c r="AB159" s="233"/>
    </row>
    <row r="160" customHeight="1" spans="28:28">
      <c r="AB160" s="233"/>
    </row>
    <row r="161" customHeight="1" spans="28:28">
      <c r="AB161" s="233"/>
    </row>
    <row r="162" customHeight="1" spans="28:28">
      <c r="AB162" s="233"/>
    </row>
    <row r="163" customHeight="1" spans="28:28">
      <c r="AB163" s="233"/>
    </row>
    <row r="164" customHeight="1" spans="28:28">
      <c r="AB164" s="233"/>
    </row>
    <row r="165" customHeight="1" spans="28:28">
      <c r="AB165" s="233"/>
    </row>
    <row r="166" customHeight="1" spans="28:28">
      <c r="AB166" s="233"/>
    </row>
    <row r="167" customHeight="1" spans="28:28">
      <c r="AB167" s="233"/>
    </row>
    <row r="168" customHeight="1" spans="28:28">
      <c r="AB168" s="233"/>
    </row>
    <row r="169" customHeight="1" spans="28:28">
      <c r="AB169" s="233"/>
    </row>
    <row r="170" customHeight="1" spans="28:28">
      <c r="AB170" s="233"/>
    </row>
    <row r="171" customHeight="1" spans="28:28">
      <c r="AB171" s="233"/>
    </row>
    <row r="172" customHeight="1" spans="28:28">
      <c r="AB172" s="233"/>
    </row>
    <row r="173" customHeight="1" spans="28:28">
      <c r="AB173" s="233"/>
    </row>
    <row r="174" customHeight="1" spans="28:28">
      <c r="AB174" s="233"/>
    </row>
    <row r="175" customHeight="1" spans="28:28">
      <c r="AB175" s="233"/>
    </row>
    <row r="176" customHeight="1" spans="28:28">
      <c r="AB176" s="233"/>
    </row>
    <row r="177" customHeight="1" spans="28:28">
      <c r="AB177" s="233"/>
    </row>
    <row r="178" customHeight="1" spans="28:28">
      <c r="AB178" s="233"/>
    </row>
    <row r="179" customHeight="1" spans="28:28">
      <c r="AB179" s="233"/>
    </row>
    <row r="180" customHeight="1" spans="28:28">
      <c r="AB180" s="233"/>
    </row>
    <row r="181" customHeight="1" spans="28:28">
      <c r="AB181" s="233"/>
    </row>
    <row r="182" customHeight="1" spans="28:28">
      <c r="AB182" s="233"/>
    </row>
    <row r="183" customHeight="1" spans="28:28">
      <c r="AB183" s="233"/>
    </row>
    <row r="184" customHeight="1" spans="28:28">
      <c r="AB184" s="233"/>
    </row>
    <row r="185" customHeight="1" spans="28:28">
      <c r="AB185" s="233"/>
    </row>
    <row r="186" customHeight="1" spans="28:28">
      <c r="AB186" s="233"/>
    </row>
    <row r="187" customHeight="1" spans="28:28">
      <c r="AB187" s="233"/>
    </row>
    <row r="188" customHeight="1" spans="28:28">
      <c r="AB188" s="233"/>
    </row>
    <row r="189" customHeight="1" spans="28:28">
      <c r="AB189" s="233"/>
    </row>
    <row r="190" customHeight="1" spans="28:28">
      <c r="AB190" s="233"/>
    </row>
    <row r="191" customHeight="1" spans="28:28">
      <c r="AB191" s="233"/>
    </row>
    <row r="192" customHeight="1" spans="28:28">
      <c r="AB192" s="233"/>
    </row>
    <row r="193" customHeight="1" spans="28:28">
      <c r="AB193" s="233"/>
    </row>
    <row r="194" customHeight="1" spans="28:28">
      <c r="AB194" s="233"/>
    </row>
    <row r="195" customHeight="1" spans="28:28">
      <c r="AB195" s="233"/>
    </row>
    <row r="196" customHeight="1" spans="28:28">
      <c r="AB196" s="233"/>
    </row>
    <row r="197" customHeight="1" spans="28:28">
      <c r="AB197" s="233"/>
    </row>
    <row r="198" customHeight="1" spans="28:28">
      <c r="AB198" s="233"/>
    </row>
    <row r="199" customHeight="1" spans="28:28">
      <c r="AB199" s="233"/>
    </row>
    <row r="200" customHeight="1" spans="28:28">
      <c r="AB200" s="233"/>
    </row>
    <row r="201" customHeight="1" spans="28:28">
      <c r="AB201" s="233"/>
    </row>
    <row r="202" customHeight="1" spans="28:28">
      <c r="AB202" s="233"/>
    </row>
    <row r="203" customHeight="1" spans="28:28">
      <c r="AB203" s="233"/>
    </row>
    <row r="204" customHeight="1" spans="28:28">
      <c r="AB204" s="233"/>
    </row>
    <row r="205" customHeight="1" spans="28:28">
      <c r="AB205" s="233"/>
    </row>
    <row r="206" customHeight="1" spans="28:28">
      <c r="AB206" s="233"/>
    </row>
    <row r="207" customHeight="1" spans="28:28">
      <c r="AB207" s="233"/>
    </row>
    <row r="208" customHeight="1" spans="28:28">
      <c r="AB208" s="233"/>
    </row>
    <row r="209" customHeight="1" spans="28:28">
      <c r="AB209" s="233"/>
    </row>
  </sheetData>
  <autoFilter xmlns:etc="http://www.wps.cn/officeDocument/2017/etCustomData" ref="A4:AQ73" etc:filterBottomFollowUsedRange="0">
    <extLst/>
  </autoFilter>
  <mergeCells count="56">
    <mergeCell ref="A2:H2"/>
    <mergeCell ref="I2:L2"/>
    <mergeCell ref="M2:N2"/>
    <mergeCell ref="Q2:R2"/>
    <mergeCell ref="S2:X2"/>
    <mergeCell ref="Y2:Z2"/>
    <mergeCell ref="AC2:AD2"/>
    <mergeCell ref="AE2:AF2"/>
    <mergeCell ref="Q3:R3"/>
    <mergeCell ref="A3:A4"/>
    <mergeCell ref="B3:B4"/>
    <mergeCell ref="C3:C4"/>
    <mergeCell ref="C5:C73"/>
    <mergeCell ref="D3:D4"/>
    <mergeCell ref="E3:E4"/>
    <mergeCell ref="F3:F4"/>
    <mergeCell ref="F5:F8"/>
    <mergeCell ref="F9:F12"/>
    <mergeCell ref="F13:F16"/>
    <mergeCell ref="F17:F20"/>
    <mergeCell ref="F21:F24"/>
    <mergeCell ref="F25:F28"/>
    <mergeCell ref="F29:F32"/>
    <mergeCell ref="F33:F36"/>
    <mergeCell ref="F37:F40"/>
    <mergeCell ref="F41:F44"/>
    <mergeCell ref="F45:F48"/>
    <mergeCell ref="F49:F52"/>
    <mergeCell ref="F53:F56"/>
    <mergeCell ref="F57:F60"/>
    <mergeCell ref="F61:F64"/>
    <mergeCell ref="F65:F68"/>
    <mergeCell ref="G3:G4"/>
    <mergeCell ref="H3:H4"/>
    <mergeCell ref="I3:I4"/>
    <mergeCell ref="J3:J4"/>
    <mergeCell ref="K3:K4"/>
    <mergeCell ref="L3:L4"/>
    <mergeCell ref="M3:M4"/>
    <mergeCell ref="N3:N4"/>
    <mergeCell ref="O2:O4"/>
    <mergeCell ref="P2:P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  <mergeCell ref="AE3:AE4"/>
    <mergeCell ref="AF3:AF4"/>
  </mergeCell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AO36"/>
  <sheetViews>
    <sheetView zoomScale="90" zoomScaleNormal="90" workbookViewId="0">
      <selection activeCell="G22" sqref="G22"/>
    </sheetView>
  </sheetViews>
  <sheetFormatPr defaultColWidth="8" defaultRowHeight="12.75"/>
  <cols>
    <col min="1" max="1" width="4.38333333333333" style="2" customWidth="1"/>
    <col min="2" max="2" width="6.88333333333333" style="2" customWidth="1"/>
    <col min="3" max="3" width="4.38333333333333" style="3" customWidth="1"/>
    <col min="4" max="4" width="11.1416666666667" style="3" customWidth="1"/>
    <col min="5" max="5" width="3.25833333333333" style="3" customWidth="1"/>
    <col min="6" max="6" width="35.5583333333333" style="4" customWidth="1"/>
    <col min="7" max="7" width="36.5083333333333" style="3" customWidth="1"/>
    <col min="8" max="9" width="4" style="3" customWidth="1"/>
    <col min="10" max="10" width="4" style="3" hidden="1" customWidth="1"/>
    <col min="11" max="12" width="4" style="3" customWidth="1"/>
    <col min="13" max="14" width="20.3833333333333" style="3" customWidth="1"/>
    <col min="15" max="15" width="20.3833333333333" style="3" hidden="1" customWidth="1"/>
    <col min="16" max="16" width="52.9083333333333" style="3" customWidth="1"/>
    <col min="17" max="17" width="45.4166666666667" style="5" customWidth="1"/>
    <col min="18" max="18" width="4.14166666666667" style="3" customWidth="1"/>
    <col min="19" max="21" width="4.14166666666667" style="6" customWidth="1"/>
    <col min="22" max="23" width="4.14166666666667" style="3" customWidth="1"/>
    <col min="24" max="25" width="5.63333333333333" style="7" customWidth="1"/>
    <col min="26" max="26" width="8" style="7" customWidth="1"/>
    <col min="27" max="27" width="11.3833333333333" style="3" customWidth="1"/>
    <col min="28" max="28" width="11.2583333333333" style="3" customWidth="1"/>
    <col min="29" max="29" width="6.14166666666667" style="3" customWidth="1"/>
    <col min="30" max="30" width="7.63333333333333" style="217" customWidth="1"/>
    <col min="31" max="31" width="5.14166666666667" style="8" customWidth="1"/>
    <col min="32" max="32" width="17.6333333333333" style="9" customWidth="1"/>
    <col min="33" max="33" width="5.14166666666667" style="10" customWidth="1"/>
    <col min="34" max="34" width="5.14166666666667" style="8" customWidth="1"/>
    <col min="35" max="35" width="5.14166666666667" style="11" customWidth="1"/>
    <col min="36" max="37" width="5.14166666666667" style="8" customWidth="1"/>
    <col min="38" max="38" width="5.14166666666667" style="10" customWidth="1"/>
    <col min="39" max="41" width="4.14166666666667" style="12" hidden="1" customWidth="1"/>
    <col min="42" max="16384" width="8" style="2"/>
  </cols>
  <sheetData>
    <row r="1" ht="13.5"/>
    <row r="2" ht="18.95" customHeight="1" spans="1:41">
      <c r="A2" s="186" t="s">
        <v>374</v>
      </c>
      <c r="B2" s="187"/>
      <c r="C2" s="187"/>
      <c r="D2" s="187"/>
      <c r="E2" s="187"/>
      <c r="F2" s="187"/>
      <c r="G2" s="188"/>
      <c r="H2" s="15" t="s">
        <v>75</v>
      </c>
      <c r="I2" s="35"/>
      <c r="J2" s="36"/>
      <c r="K2" s="15" t="s">
        <v>76</v>
      </c>
      <c r="L2" s="36"/>
      <c r="M2" s="198" t="s">
        <v>77</v>
      </c>
      <c r="N2" s="199"/>
      <c r="O2" s="252"/>
      <c r="P2" s="252"/>
      <c r="Q2" s="262" t="s">
        <v>376</v>
      </c>
      <c r="R2" s="164" t="s">
        <v>82</v>
      </c>
      <c r="S2" s="40"/>
      <c r="T2" s="40"/>
      <c r="U2" s="40"/>
      <c r="V2" s="40"/>
      <c r="W2" s="40"/>
      <c r="X2" s="53" t="s">
        <v>377</v>
      </c>
      <c r="Y2" s="54"/>
      <c r="Z2" s="55"/>
      <c r="AA2" s="65" t="s">
        <v>83</v>
      </c>
      <c r="AB2" s="65"/>
      <c r="AC2" s="266" t="s">
        <v>84</v>
      </c>
      <c r="AD2" s="67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  <row r="3" ht="18" customHeight="1" spans="1:41">
      <c r="A3" s="115" t="s">
        <v>87</v>
      </c>
      <c r="B3" s="23" t="s">
        <v>89</v>
      </c>
      <c r="C3" s="115" t="s">
        <v>378</v>
      </c>
      <c r="D3" s="23" t="s">
        <v>88</v>
      </c>
      <c r="E3" s="115" t="s">
        <v>91</v>
      </c>
      <c r="F3" s="115" t="s">
        <v>92</v>
      </c>
      <c r="G3" s="115" t="s">
        <v>93</v>
      </c>
      <c r="H3" s="21" t="s">
        <v>95</v>
      </c>
      <c r="I3" s="27" t="s">
        <v>875</v>
      </c>
      <c r="J3" s="27" t="s">
        <v>101</v>
      </c>
      <c r="K3" s="41" t="s">
        <v>98</v>
      </c>
      <c r="L3" s="42" t="s">
        <v>99</v>
      </c>
      <c r="M3" s="201" t="s">
        <v>1099</v>
      </c>
      <c r="N3" s="44" t="s">
        <v>875</v>
      </c>
      <c r="O3" s="44" t="s">
        <v>101</v>
      </c>
      <c r="P3" s="44"/>
      <c r="Q3" s="163" t="s">
        <v>1100</v>
      </c>
      <c r="R3" s="45" t="s">
        <v>111</v>
      </c>
      <c r="S3" s="56" t="s">
        <v>112</v>
      </c>
      <c r="T3" s="57" t="s">
        <v>113</v>
      </c>
      <c r="U3" s="57" t="s">
        <v>114</v>
      </c>
      <c r="V3" s="56" t="s">
        <v>115</v>
      </c>
      <c r="W3" s="56" t="s">
        <v>116</v>
      </c>
      <c r="X3" s="58" t="s">
        <v>109</v>
      </c>
      <c r="Y3" s="58" t="s">
        <v>110</v>
      </c>
      <c r="Z3" s="24" t="s">
        <v>117</v>
      </c>
      <c r="AA3" s="68" t="s">
        <v>118</v>
      </c>
      <c r="AB3" s="69" t="s">
        <v>119</v>
      </c>
      <c r="AC3" s="267" t="s">
        <v>120</v>
      </c>
      <c r="AD3" s="268" t="s">
        <v>887</v>
      </c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ht="111.95" customHeight="1" spans="1:30">
      <c r="A4" s="68"/>
      <c r="B4" s="79"/>
      <c r="C4" s="80"/>
      <c r="D4" s="79"/>
      <c r="E4" s="80"/>
      <c r="F4" s="80"/>
      <c r="G4" s="68"/>
      <c r="H4" s="244"/>
      <c r="I4" s="244"/>
      <c r="J4" s="244"/>
      <c r="K4" s="253"/>
      <c r="L4" s="253"/>
      <c r="M4" s="99"/>
      <c r="N4" s="99"/>
      <c r="O4" s="99"/>
      <c r="P4" s="99" t="s">
        <v>1101</v>
      </c>
      <c r="Q4" s="168"/>
      <c r="R4" s="45"/>
      <c r="S4" s="56"/>
      <c r="T4" s="136"/>
      <c r="U4" s="136"/>
      <c r="V4" s="56"/>
      <c r="W4" s="56"/>
      <c r="X4" s="137"/>
      <c r="Y4" s="137"/>
      <c r="Z4" s="115"/>
      <c r="AA4" s="68"/>
      <c r="AB4" s="113"/>
      <c r="AC4" s="269"/>
      <c r="AD4" s="270"/>
    </row>
    <row r="5" s="183" customFormat="1" ht="21" customHeight="1" spans="1:41">
      <c r="A5" s="245">
        <v>1</v>
      </c>
      <c r="B5" s="246" t="s">
        <v>1102</v>
      </c>
      <c r="C5" s="193" t="s">
        <v>1103</v>
      </c>
      <c r="D5" s="246"/>
      <c r="E5" s="245">
        <v>1</v>
      </c>
      <c r="F5" s="247" t="s">
        <v>1104</v>
      </c>
      <c r="G5" s="156" t="s">
        <v>1105</v>
      </c>
      <c r="H5" s="248"/>
      <c r="I5" s="248"/>
      <c r="J5" s="248"/>
      <c r="K5" s="250" t="s">
        <v>126</v>
      </c>
      <c r="L5" s="250" t="s">
        <v>126</v>
      </c>
      <c r="M5" s="254"/>
      <c r="N5" s="254"/>
      <c r="O5" s="255"/>
      <c r="P5" s="256" t="str">
        <f>CONCATENATE(SUBSTITUTE(SUBSTITUTE(SUBSTITUTE(SUBSTITUTE(SUBSTITUTE(SUBSTITUTE(SUBSTITUTE(SUBSTITUTE(SUBSTITUTE(SUBSTITUTE(SUBSTITUTE(SUBSTITUTE(SUBSTITUTE(SUBSTITUTE(SUBSTITUTE(SUBSTITUTE(SUBSTITUTE(SUBSTITUTE(SUBSTITUTE(SUBSTITUTE(SUBSTITUTE(SUBSTITUTE(G5,":","")," '",""),",",""),".",""),"&amp;",""),"(",""),")",""),"%",""),"/",""),"*",""),"？",""),"?",""),"！",""),"!",""),"-",""),"（",""),"）","")," ",""),"：",""),"'",""),"π","PI"),"，",""),"_",B5,"_",AD5,"_",PROPER(R5),IF(S5="",PROPER(R5),PROPER(S5)),PROPER(T5),PROPER(U5),PROPER(V5),IF(V5&lt;&gt;"","SUB",""),PROPER(W5),IF(W5&lt;&gt;"","SUB",""),"_","Ed","_","M1",".mpg")</f>
        <v>A330_200_Eng0622SafetyVideoOwg_0622_43__Ed_M1.mpg</v>
      </c>
      <c r="Q5" s="256" t="str">
        <f t="shared" ref="Q5:Q7" si="0">CONCATENATE(SUBSTITUTE(SUBSTITUTE(SUBSTITUTE(SUBSTITUTE(SUBSTITUTE(SUBSTITUTE(SUBSTITUTE(SUBSTITUTE(SUBSTITUTE(SUBSTITUTE(SUBSTITUTE(SUBSTITUTE(SUBSTITUTE(SUBSTITUTE(SUBSTITUTE(SUBSTITUTE(SUBSTITUTE(SUBSTITUTE(SUBSTITUTE(SUBSTITUTE(SUBSTITUTE(SUBSTITUTE(G5,":","")," '",""),",",""),".",""),"&amp;",""),"(",""),")",""),"%",""),"/",""),"*",""),"？",""),"?",""),"！",""),"!",""),"-",""),"（",""),"）","")," ",""),"：",""),"'",""),"π","PI"),"，",""),"_",B5,"_",AC5,"_",PROPER(R5),IF(S5="",PROPER(R5),PROPER(S5)),PROPER(T5),PROPER(U5),PROPER(V5),IF(V5&lt;&gt;"","SUB",""),PROPER(W5),IF(W5&lt;&gt;"","SUB",""),"_","Ed","_","M2",".mpg")</f>
        <v>A330_200_Eng0622SafetyVideoOwg_0622_169__Ed_M2.mpg</v>
      </c>
      <c r="R5" s="263"/>
      <c r="S5" s="264"/>
      <c r="T5" s="265"/>
      <c r="U5" s="265"/>
      <c r="V5" s="263"/>
      <c r="W5" s="263"/>
      <c r="X5" s="172" t="s">
        <v>131</v>
      </c>
      <c r="Y5" s="172" t="s">
        <v>131</v>
      </c>
      <c r="Z5" s="228">
        <f t="shared" ref="Z5:Z13" si="1">ROUNDUP(HOUR(AA5)*60+MINUTE(AA5)+SECOND(AA5)/60,0)</f>
        <v>0</v>
      </c>
      <c r="AA5" s="230"/>
      <c r="AB5" s="271">
        <f t="shared" ref="AB5:AB13" si="2">Z5*60</f>
        <v>0</v>
      </c>
      <c r="AC5" s="272">
        <v>169</v>
      </c>
      <c r="AD5" s="272">
        <v>43</v>
      </c>
      <c r="AE5" s="234"/>
      <c r="AF5" s="235"/>
      <c r="AG5" s="236"/>
      <c r="AH5" s="234"/>
      <c r="AI5" s="237"/>
      <c r="AJ5" s="234"/>
      <c r="AK5" s="234"/>
      <c r="AL5" s="236"/>
      <c r="AM5" s="242"/>
      <c r="AN5" s="242"/>
      <c r="AO5" s="242"/>
    </row>
    <row r="6" s="183" customFormat="1" ht="21" customHeight="1" spans="1:41">
      <c r="A6" s="245">
        <v>2</v>
      </c>
      <c r="B6" s="246" t="s">
        <v>1102</v>
      </c>
      <c r="C6" s="249" t="s">
        <v>1106</v>
      </c>
      <c r="D6" s="246"/>
      <c r="E6" s="245">
        <v>2</v>
      </c>
      <c r="F6" s="247" t="s">
        <v>1107</v>
      </c>
      <c r="G6" s="247" t="s">
        <v>1108</v>
      </c>
      <c r="H6" s="248"/>
      <c r="I6" s="248"/>
      <c r="J6" s="248"/>
      <c r="K6" s="250" t="s">
        <v>126</v>
      </c>
      <c r="L6" s="250" t="s">
        <v>126</v>
      </c>
      <c r="M6" s="49"/>
      <c r="N6" s="254"/>
      <c r="O6" s="255"/>
      <c r="P6" s="256" t="str">
        <f>CONCATENATE(SUBSTITUTE(SUBSTITUTE(SUBSTITUTE(SUBSTITUTE(SUBSTITUTE(SUBSTITUTE(SUBSTITUTE(SUBSTITUTE(SUBSTITUTE(SUBSTITUTE(SUBSTITUTE(SUBSTITUTE(SUBSTITUTE(SUBSTITUTE(SUBSTITUTE(SUBSTITUTE(SUBSTITUTE(SUBSTITUTE(SUBSTITUTE(SUBSTITUTE(SUBSTITUTE(SUBSTITUTE(G6,":","")," '",""),",",""),".",""),"&amp;",""),"(",""),")",""),"%",""),"/",""),"*",""),"？",""),"?",""),"！",""),"!",""),"-",""),"（",""),"）","")," ",""),"：",""),"'",""),"π","PI"),"，",""),"_",B6,"_",AD6,"_",PROPER(R6),IF(S6="",PROPER(R6),PROPER(S6)),PROPER(T6),PROPER(U6),PROPER(V6),IF(V6&lt;&gt;"","SUB",""),PROPER(W6),IF(W6&lt;&gt;"","SUB",""),"_","Ed","_","M1",".mpg")</f>
        <v>A330_300_Eng0622SafetyVideoOwg_0622_43__Ed_M1.mpg</v>
      </c>
      <c r="Q6" s="256" t="str">
        <f t="shared" si="0"/>
        <v>A330_300_Eng0622SafetyVideoOwg_0622_169__Ed_M2.mpg</v>
      </c>
      <c r="R6" s="263"/>
      <c r="S6" s="264"/>
      <c r="T6" s="265"/>
      <c r="U6" s="265"/>
      <c r="V6" s="263"/>
      <c r="W6" s="263"/>
      <c r="X6" s="172" t="s">
        <v>131</v>
      </c>
      <c r="Y6" s="172" t="s">
        <v>131</v>
      </c>
      <c r="Z6" s="228">
        <f t="shared" si="1"/>
        <v>0</v>
      </c>
      <c r="AA6" s="230"/>
      <c r="AB6" s="271">
        <f t="shared" si="2"/>
        <v>0</v>
      </c>
      <c r="AC6" s="272">
        <v>169</v>
      </c>
      <c r="AD6" s="272">
        <v>43</v>
      </c>
      <c r="AE6" s="234"/>
      <c r="AF6" s="235"/>
      <c r="AG6" s="236"/>
      <c r="AH6" s="234"/>
      <c r="AI6" s="237"/>
      <c r="AJ6" s="234"/>
      <c r="AK6" s="234"/>
      <c r="AL6" s="236"/>
      <c r="AM6" s="242"/>
      <c r="AN6" s="242"/>
      <c r="AO6" s="242"/>
    </row>
    <row r="7" s="183" customFormat="1" ht="21" customHeight="1" spans="1:41">
      <c r="A7" s="245">
        <v>3</v>
      </c>
      <c r="B7" s="246" t="s">
        <v>1102</v>
      </c>
      <c r="C7" s="249" t="s">
        <v>1109</v>
      </c>
      <c r="D7" s="246"/>
      <c r="E7" s="245">
        <v>3</v>
      </c>
      <c r="F7" s="247" t="s">
        <v>1110</v>
      </c>
      <c r="G7" s="247" t="s">
        <v>1111</v>
      </c>
      <c r="H7" s="248"/>
      <c r="I7" s="248"/>
      <c r="J7" s="248"/>
      <c r="K7" s="250" t="s">
        <v>126</v>
      </c>
      <c r="L7" s="257"/>
      <c r="M7" s="49"/>
      <c r="N7" s="254"/>
      <c r="O7" s="255"/>
      <c r="P7" s="256"/>
      <c r="Q7" s="256" t="str">
        <f t="shared" si="0"/>
        <v>B777300_Eng0622SafetyVideoOwg_0622_169__Ed_M2.mpg</v>
      </c>
      <c r="R7" s="263"/>
      <c r="S7" s="264"/>
      <c r="T7" s="265"/>
      <c r="U7" s="265"/>
      <c r="V7" s="263"/>
      <c r="W7" s="263"/>
      <c r="X7" s="172" t="s">
        <v>131</v>
      </c>
      <c r="Y7" s="172" t="s">
        <v>131</v>
      </c>
      <c r="Z7" s="228">
        <f t="shared" si="1"/>
        <v>0</v>
      </c>
      <c r="AA7" s="230"/>
      <c r="AB7" s="271">
        <f t="shared" si="2"/>
        <v>0</v>
      </c>
      <c r="AC7" s="272">
        <v>169</v>
      </c>
      <c r="AD7" s="272">
        <v>43</v>
      </c>
      <c r="AE7" s="234"/>
      <c r="AF7" s="235"/>
      <c r="AG7" s="236"/>
      <c r="AH7" s="234"/>
      <c r="AI7" s="237"/>
      <c r="AJ7" s="234"/>
      <c r="AK7" s="234"/>
      <c r="AL7" s="236"/>
      <c r="AM7" s="242"/>
      <c r="AN7" s="242"/>
      <c r="AO7" s="242"/>
    </row>
    <row r="8" s="183" customFormat="1" ht="21" customHeight="1" spans="1:41">
      <c r="A8" s="245">
        <v>4</v>
      </c>
      <c r="B8" s="246" t="s">
        <v>1102</v>
      </c>
      <c r="C8" s="249" t="s">
        <v>1109</v>
      </c>
      <c r="D8" s="246"/>
      <c r="E8" s="245">
        <v>4</v>
      </c>
      <c r="F8" s="247" t="s">
        <v>1112</v>
      </c>
      <c r="G8" s="247" t="s">
        <v>1113</v>
      </c>
      <c r="H8" s="250" t="s">
        <v>126</v>
      </c>
      <c r="I8" s="248"/>
      <c r="J8" s="248"/>
      <c r="K8" s="258"/>
      <c r="L8" s="259"/>
      <c r="M8" s="49" t="s">
        <v>1114</v>
      </c>
      <c r="N8" s="254"/>
      <c r="O8" s="255"/>
      <c r="P8" s="256"/>
      <c r="Q8" s="256"/>
      <c r="R8" s="263"/>
      <c r="S8" s="264"/>
      <c r="T8" s="265"/>
      <c r="U8" s="265"/>
      <c r="V8" s="263"/>
      <c r="W8" s="263"/>
      <c r="X8" s="172" t="s">
        <v>131</v>
      </c>
      <c r="Y8" s="172" t="s">
        <v>131</v>
      </c>
      <c r="Z8" s="228">
        <f t="shared" si="1"/>
        <v>0</v>
      </c>
      <c r="AA8" s="230"/>
      <c r="AB8" s="271">
        <f t="shared" si="2"/>
        <v>0</v>
      </c>
      <c r="AC8" s="272">
        <v>169</v>
      </c>
      <c r="AD8" s="272">
        <v>43</v>
      </c>
      <c r="AE8" s="234"/>
      <c r="AF8" s="235"/>
      <c r="AG8" s="236"/>
      <c r="AH8" s="234"/>
      <c r="AI8" s="237"/>
      <c r="AJ8" s="234"/>
      <c r="AK8" s="234"/>
      <c r="AL8" s="236"/>
      <c r="AM8" s="242"/>
      <c r="AN8" s="242"/>
      <c r="AO8" s="242"/>
    </row>
    <row r="9" s="183" customFormat="1" ht="21" customHeight="1" spans="1:41">
      <c r="A9" s="245">
        <v>5</v>
      </c>
      <c r="B9" s="246" t="s">
        <v>1102</v>
      </c>
      <c r="C9" s="249" t="s">
        <v>1109</v>
      </c>
      <c r="D9" s="246"/>
      <c r="E9" s="245">
        <v>5</v>
      </c>
      <c r="F9" s="247" t="s">
        <v>1115</v>
      </c>
      <c r="G9" s="247" t="s">
        <v>1116</v>
      </c>
      <c r="H9" s="250" t="s">
        <v>126</v>
      </c>
      <c r="I9" s="248"/>
      <c r="J9" s="248"/>
      <c r="K9" s="258"/>
      <c r="L9" s="259"/>
      <c r="M9" s="49" t="s">
        <v>1117</v>
      </c>
      <c r="N9" s="254"/>
      <c r="O9" s="255"/>
      <c r="P9" s="256"/>
      <c r="Q9" s="256"/>
      <c r="R9" s="263"/>
      <c r="S9" s="264"/>
      <c r="T9" s="265"/>
      <c r="U9" s="265"/>
      <c r="V9" s="263"/>
      <c r="W9" s="263"/>
      <c r="X9" s="172" t="s">
        <v>131</v>
      </c>
      <c r="Y9" s="172" t="s">
        <v>131</v>
      </c>
      <c r="Z9" s="228">
        <f t="shared" si="1"/>
        <v>0</v>
      </c>
      <c r="AA9" s="230"/>
      <c r="AB9" s="271">
        <f t="shared" si="2"/>
        <v>0</v>
      </c>
      <c r="AC9" s="272">
        <v>169</v>
      </c>
      <c r="AD9" s="272">
        <v>43</v>
      </c>
      <c r="AE9" s="234"/>
      <c r="AF9" s="235"/>
      <c r="AG9" s="236"/>
      <c r="AH9" s="234"/>
      <c r="AI9" s="237"/>
      <c r="AJ9" s="234"/>
      <c r="AK9" s="234"/>
      <c r="AL9" s="236"/>
      <c r="AM9" s="242"/>
      <c r="AN9" s="242"/>
      <c r="AO9" s="242"/>
    </row>
    <row r="10" s="183" customFormat="1" ht="21" customHeight="1" spans="1:41">
      <c r="A10" s="245">
        <v>6</v>
      </c>
      <c r="B10" s="246" t="s">
        <v>1102</v>
      </c>
      <c r="C10" s="249" t="s">
        <v>1109</v>
      </c>
      <c r="D10" s="246"/>
      <c r="E10" s="245">
        <v>6</v>
      </c>
      <c r="F10" s="247" t="s">
        <v>1118</v>
      </c>
      <c r="G10" s="247" t="s">
        <v>1119</v>
      </c>
      <c r="H10" s="250" t="s">
        <v>126</v>
      </c>
      <c r="I10" s="248"/>
      <c r="J10" s="248"/>
      <c r="K10" s="258"/>
      <c r="L10" s="259"/>
      <c r="M10" s="49" t="s">
        <v>1120</v>
      </c>
      <c r="N10" s="254"/>
      <c r="O10" s="255"/>
      <c r="P10" s="256"/>
      <c r="Q10" s="256"/>
      <c r="R10" s="263"/>
      <c r="S10" s="264"/>
      <c r="T10" s="265"/>
      <c r="U10" s="265"/>
      <c r="V10" s="263"/>
      <c r="W10" s="263"/>
      <c r="X10" s="172" t="s">
        <v>131</v>
      </c>
      <c r="Y10" s="172" t="s">
        <v>131</v>
      </c>
      <c r="Z10" s="228">
        <f t="shared" si="1"/>
        <v>0</v>
      </c>
      <c r="AA10" s="230"/>
      <c r="AB10" s="271">
        <f t="shared" si="2"/>
        <v>0</v>
      </c>
      <c r="AC10" s="272">
        <v>169</v>
      </c>
      <c r="AD10" s="272">
        <v>43</v>
      </c>
      <c r="AE10" s="234"/>
      <c r="AF10" s="235"/>
      <c r="AG10" s="236"/>
      <c r="AH10" s="234"/>
      <c r="AI10" s="237"/>
      <c r="AJ10" s="234"/>
      <c r="AK10" s="234"/>
      <c r="AL10" s="236"/>
      <c r="AM10" s="242"/>
      <c r="AN10" s="242"/>
      <c r="AO10" s="242"/>
    </row>
    <row r="11" s="183" customFormat="1" ht="21" customHeight="1" spans="1:41">
      <c r="A11" s="245">
        <v>7</v>
      </c>
      <c r="B11" s="246" t="s">
        <v>1102</v>
      </c>
      <c r="C11" s="249" t="s">
        <v>1121</v>
      </c>
      <c r="D11" s="246"/>
      <c r="E11" s="245">
        <v>7</v>
      </c>
      <c r="F11" s="251" t="s">
        <v>1122</v>
      </c>
      <c r="G11" s="247" t="s">
        <v>1123</v>
      </c>
      <c r="H11" s="250" t="s">
        <v>126</v>
      </c>
      <c r="I11" s="250" t="s">
        <v>126</v>
      </c>
      <c r="J11" s="250"/>
      <c r="K11" s="250" t="s">
        <v>126</v>
      </c>
      <c r="L11" s="250" t="s">
        <v>126</v>
      </c>
      <c r="M11" s="49" t="s">
        <v>1124</v>
      </c>
      <c r="N11" s="49" t="s">
        <v>1125</v>
      </c>
      <c r="O11" s="255" t="s">
        <v>1126</v>
      </c>
      <c r="P11" s="256" t="s">
        <v>1127</v>
      </c>
      <c r="Q11" s="256" t="s">
        <v>1127</v>
      </c>
      <c r="R11" s="263"/>
      <c r="S11" s="264"/>
      <c r="T11" s="265"/>
      <c r="U11" s="265"/>
      <c r="V11" s="263"/>
      <c r="W11" s="263"/>
      <c r="X11" s="172" t="s">
        <v>131</v>
      </c>
      <c r="Y11" s="172" t="s">
        <v>131</v>
      </c>
      <c r="Z11" s="228">
        <f t="shared" si="1"/>
        <v>0</v>
      </c>
      <c r="AA11" s="230"/>
      <c r="AB11" s="271">
        <f t="shared" si="2"/>
        <v>0</v>
      </c>
      <c r="AC11" s="272">
        <v>169</v>
      </c>
      <c r="AD11" s="272">
        <v>43</v>
      </c>
      <c r="AE11" s="234"/>
      <c r="AF11" s="235"/>
      <c r="AG11" s="236"/>
      <c r="AH11" s="234"/>
      <c r="AI11" s="237"/>
      <c r="AJ11" s="234"/>
      <c r="AK11" s="234"/>
      <c r="AL11" s="236"/>
      <c r="AM11" s="242"/>
      <c r="AN11" s="242"/>
      <c r="AO11" s="242"/>
    </row>
    <row r="12" s="183" customFormat="1" ht="21" customHeight="1" spans="1:41">
      <c r="A12" s="245">
        <v>8</v>
      </c>
      <c r="B12" s="246" t="s">
        <v>1102</v>
      </c>
      <c r="C12" s="249" t="s">
        <v>1109</v>
      </c>
      <c r="D12" s="246"/>
      <c r="E12" s="245">
        <v>8</v>
      </c>
      <c r="F12" s="247" t="s">
        <v>1128</v>
      </c>
      <c r="G12" s="156" t="s">
        <v>1129</v>
      </c>
      <c r="H12" s="248"/>
      <c r="I12" s="250" t="s">
        <v>126</v>
      </c>
      <c r="J12" s="248"/>
      <c r="K12" s="248"/>
      <c r="L12" s="258"/>
      <c r="M12" s="49"/>
      <c r="N12" s="49" t="s">
        <v>1130</v>
      </c>
      <c r="O12" s="260"/>
      <c r="P12" s="256"/>
      <c r="Q12" s="256"/>
      <c r="R12" s="263"/>
      <c r="S12" s="264"/>
      <c r="T12" s="265"/>
      <c r="U12" s="265"/>
      <c r="V12" s="263"/>
      <c r="W12" s="263"/>
      <c r="X12" s="172" t="s">
        <v>131</v>
      </c>
      <c r="Y12" s="172" t="s">
        <v>131</v>
      </c>
      <c r="Z12" s="228">
        <f t="shared" si="1"/>
        <v>0</v>
      </c>
      <c r="AA12" s="230"/>
      <c r="AB12" s="271">
        <f t="shared" si="2"/>
        <v>0</v>
      </c>
      <c r="AC12" s="272">
        <v>169</v>
      </c>
      <c r="AD12" s="272">
        <v>43</v>
      </c>
      <c r="AE12" s="234"/>
      <c r="AF12" s="235"/>
      <c r="AG12" s="236"/>
      <c r="AH12" s="234"/>
      <c r="AI12" s="237"/>
      <c r="AJ12" s="234"/>
      <c r="AK12" s="234"/>
      <c r="AL12" s="236"/>
      <c r="AM12" s="242"/>
      <c r="AN12" s="242"/>
      <c r="AO12" s="242"/>
    </row>
    <row r="13" s="183" customFormat="1" ht="21" customHeight="1" spans="1:41">
      <c r="A13" s="245">
        <v>9</v>
      </c>
      <c r="B13" s="246" t="s">
        <v>1102</v>
      </c>
      <c r="C13" s="249" t="s">
        <v>1109</v>
      </c>
      <c r="D13" s="246"/>
      <c r="E13" s="245">
        <v>9</v>
      </c>
      <c r="F13" s="156" t="s">
        <v>1131</v>
      </c>
      <c r="G13" s="156" t="s">
        <v>1132</v>
      </c>
      <c r="H13" s="248"/>
      <c r="I13" s="248" t="s">
        <v>126</v>
      </c>
      <c r="J13" s="248"/>
      <c r="K13" s="248"/>
      <c r="L13" s="258"/>
      <c r="M13" s="49"/>
      <c r="N13" s="49" t="s">
        <v>1133</v>
      </c>
      <c r="O13" s="260"/>
      <c r="P13" s="256"/>
      <c r="Q13" s="256"/>
      <c r="R13" s="263"/>
      <c r="S13" s="264"/>
      <c r="T13" s="265"/>
      <c r="U13" s="265"/>
      <c r="V13" s="263"/>
      <c r="W13" s="263"/>
      <c r="X13" s="172" t="s">
        <v>131</v>
      </c>
      <c r="Y13" s="172" t="s">
        <v>131</v>
      </c>
      <c r="Z13" s="228">
        <f t="shared" si="1"/>
        <v>0</v>
      </c>
      <c r="AA13" s="230"/>
      <c r="AB13" s="271">
        <f t="shared" si="2"/>
        <v>0</v>
      </c>
      <c r="AC13" s="272">
        <v>169</v>
      </c>
      <c r="AD13" s="272">
        <v>43</v>
      </c>
      <c r="AE13" s="234"/>
      <c r="AF13" s="235"/>
      <c r="AG13" s="236"/>
      <c r="AH13" s="234"/>
      <c r="AI13" s="237"/>
      <c r="AJ13" s="234"/>
      <c r="AK13" s="234"/>
      <c r="AL13" s="236"/>
      <c r="AM13" s="242"/>
      <c r="AN13" s="242"/>
      <c r="AO13" s="242"/>
    </row>
    <row r="14" spans="15:26">
      <c r="O14" s="261"/>
      <c r="P14" s="261"/>
      <c r="X14" s="3"/>
      <c r="Y14" s="3"/>
      <c r="Z14" s="3"/>
    </row>
    <row r="15" spans="15:26">
      <c r="O15" s="261"/>
      <c r="P15" s="261"/>
      <c r="X15" s="3"/>
      <c r="Y15" s="3"/>
      <c r="Z15" s="3"/>
    </row>
    <row r="16" spans="15:26">
      <c r="O16" s="261"/>
      <c r="P16" s="261"/>
      <c r="X16" s="3"/>
      <c r="Y16" s="3"/>
      <c r="Z16" s="3"/>
    </row>
    <row r="17" spans="15:26">
      <c r="O17" s="261"/>
      <c r="P17" s="261"/>
      <c r="X17" s="3"/>
      <c r="Y17" s="3"/>
      <c r="Z17" s="3"/>
    </row>
    <row r="18" spans="15:26">
      <c r="O18" s="261"/>
      <c r="P18" s="261"/>
      <c r="X18" s="3"/>
      <c r="Y18" s="3"/>
      <c r="Z18" s="3"/>
    </row>
    <row r="19" spans="15:26">
      <c r="O19" s="261"/>
      <c r="P19" s="261"/>
      <c r="X19" s="3"/>
      <c r="Y19" s="3"/>
      <c r="Z19" s="3"/>
    </row>
    <row r="20" spans="15:26">
      <c r="O20" s="261"/>
      <c r="P20" s="261"/>
      <c r="X20" s="3"/>
      <c r="Y20" s="3"/>
      <c r="Z20" s="3"/>
    </row>
    <row r="21" spans="15:26">
      <c r="O21" s="261"/>
      <c r="P21" s="261"/>
      <c r="X21" s="3"/>
      <c r="Y21" s="3"/>
      <c r="Z21" s="3"/>
    </row>
    <row r="22" spans="15:26">
      <c r="O22" s="261"/>
      <c r="P22" s="261"/>
      <c r="X22" s="3"/>
      <c r="Y22" s="3"/>
      <c r="Z22" s="3"/>
    </row>
    <row r="23" spans="15:26">
      <c r="O23" s="261"/>
      <c r="P23" s="261"/>
      <c r="X23" s="3"/>
      <c r="Y23" s="3"/>
      <c r="Z23" s="3"/>
    </row>
    <row r="24" spans="15:26">
      <c r="O24" s="261"/>
      <c r="P24" s="261"/>
      <c r="X24" s="3"/>
      <c r="Y24" s="3"/>
      <c r="Z24" s="3"/>
    </row>
    <row r="25" spans="15:26">
      <c r="O25" s="261"/>
      <c r="P25" s="261"/>
      <c r="X25" s="3"/>
      <c r="Y25" s="3"/>
      <c r="Z25" s="3"/>
    </row>
    <row r="26" spans="15:26">
      <c r="O26" s="261"/>
      <c r="P26" s="261"/>
      <c r="X26" s="3"/>
      <c r="Y26" s="3"/>
      <c r="Z26" s="3"/>
    </row>
    <row r="27" ht="15.75" spans="15:26">
      <c r="O27" s="261"/>
      <c r="P27" s="261"/>
      <c r="X27" s="63"/>
      <c r="Y27" s="63"/>
      <c r="Z27" s="63"/>
    </row>
    <row r="28" ht="15.75" spans="15:26">
      <c r="O28" s="261"/>
      <c r="P28" s="261"/>
      <c r="X28" s="63"/>
      <c r="Y28" s="63"/>
      <c r="Z28" s="63"/>
    </row>
    <row r="29" ht="15.75" spans="15:26">
      <c r="O29" s="7"/>
      <c r="P29" s="7"/>
      <c r="X29" s="64"/>
      <c r="Y29" s="64"/>
      <c r="Z29" s="64"/>
    </row>
    <row r="30" ht="15.75" spans="15:26">
      <c r="O30" s="7"/>
      <c r="P30" s="7"/>
      <c r="X30" s="64"/>
      <c r="Y30" s="64"/>
      <c r="Z30" s="64"/>
    </row>
    <row r="31" spans="15:16">
      <c r="O31" s="7"/>
      <c r="P31" s="7"/>
    </row>
    <row r="32" spans="15:16">
      <c r="O32" s="7"/>
      <c r="P32" s="7"/>
    </row>
    <row r="33" spans="15:16">
      <c r="O33" s="7"/>
      <c r="P33" s="7"/>
    </row>
    <row r="34" spans="15:16">
      <c r="O34" s="7"/>
      <c r="P34" s="7"/>
    </row>
    <row r="35" spans="15:16">
      <c r="O35" s="7"/>
      <c r="P35" s="7"/>
    </row>
    <row r="36" spans="15:16">
      <c r="O36" s="7"/>
      <c r="P36" s="7"/>
    </row>
  </sheetData>
  <mergeCells count="37">
    <mergeCell ref="A2:G2"/>
    <mergeCell ref="H2:J2"/>
    <mergeCell ref="K2:L2"/>
    <mergeCell ref="M2:O2"/>
    <mergeCell ref="R2:W2"/>
    <mergeCell ref="X2:Y2"/>
    <mergeCell ref="AA2:AB2"/>
    <mergeCell ref="AC2:AD2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</mergeCell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DM186"/>
  <sheetViews>
    <sheetView zoomScale="85" zoomScaleNormal="85" workbookViewId="0">
      <pane ySplit="4" topLeftCell="A5" activePane="bottomLeft" state="frozen"/>
      <selection/>
      <selection pane="bottomLeft" activeCell="Y24" sqref="Y24"/>
    </sheetView>
  </sheetViews>
  <sheetFormatPr defaultColWidth="9" defaultRowHeight="19" customHeight="1"/>
  <cols>
    <col min="1" max="1" width="4.625" customWidth="1"/>
    <col min="2" max="2" width="6.25833333333333" customWidth="1"/>
    <col min="3" max="3" width="6.875" customWidth="1"/>
    <col min="4" max="4" width="7.375" customWidth="1"/>
    <col min="5" max="5" width="4.75833333333333" customWidth="1"/>
    <col min="6" max="6" width="43.125" customWidth="1"/>
    <col min="7" max="7" width="41.25" customWidth="1"/>
    <col min="8" max="13" width="4.00833333333333" customWidth="1"/>
    <col min="14" max="14" width="36.0916666666667" customWidth="1"/>
    <col min="15" max="15" width="27.4916666666667" customWidth="1"/>
    <col min="16" max="16" width="21.875" customWidth="1"/>
    <col min="17" max="17" width="85.775" customWidth="1"/>
    <col min="18" max="18" width="83.125" customWidth="1"/>
    <col min="19" max="24" width="5.30833333333333" customWidth="1"/>
    <col min="25" max="26" width="6.4" customWidth="1"/>
    <col min="28" max="28" width="11.5083333333333" style="3" customWidth="1"/>
  </cols>
  <sheetData>
    <row r="1" s="2" customFormat="1" customHeight="1" spans="3:43">
      <c r="C1" s="3"/>
      <c r="D1" s="3"/>
      <c r="E1" s="3"/>
      <c r="F1" s="4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5"/>
      <c r="S1" s="3"/>
      <c r="T1" s="6"/>
      <c r="U1" s="6"/>
      <c r="V1" s="6"/>
      <c r="W1" s="3"/>
      <c r="X1" s="3"/>
      <c r="Y1" s="7"/>
      <c r="Z1" s="7"/>
      <c r="AA1" s="7"/>
      <c r="AB1" s="3"/>
      <c r="AC1" s="3"/>
      <c r="AD1" s="3"/>
      <c r="AE1" s="3"/>
      <c r="AF1" s="217"/>
      <c r="AG1" s="8"/>
      <c r="AH1" s="9"/>
      <c r="AI1" s="10"/>
      <c r="AJ1" s="8"/>
      <c r="AK1" s="11"/>
      <c r="AL1" s="8"/>
      <c r="AM1" s="8"/>
      <c r="AN1" s="10"/>
      <c r="AO1" s="12"/>
      <c r="AP1" s="12"/>
      <c r="AQ1" s="12"/>
    </row>
    <row r="2" s="2" customFormat="1" customHeight="1" spans="1:32">
      <c r="A2" s="186" t="s">
        <v>374</v>
      </c>
      <c r="B2" s="187"/>
      <c r="C2" s="187"/>
      <c r="D2" s="187"/>
      <c r="E2" s="187"/>
      <c r="F2" s="187"/>
      <c r="G2" s="188"/>
      <c r="H2" s="189" t="s">
        <v>75</v>
      </c>
      <c r="I2" s="196"/>
      <c r="J2" s="196"/>
      <c r="K2" s="197"/>
      <c r="L2" s="189" t="s">
        <v>76</v>
      </c>
      <c r="M2" s="197"/>
      <c r="N2" s="198" t="s">
        <v>77</v>
      </c>
      <c r="O2" s="199"/>
      <c r="P2" s="199"/>
      <c r="Q2" s="204" t="s">
        <v>376</v>
      </c>
      <c r="R2" s="205"/>
      <c r="S2" s="164" t="s">
        <v>82</v>
      </c>
      <c r="T2" s="40"/>
      <c r="U2" s="40"/>
      <c r="V2" s="40"/>
      <c r="W2" s="40"/>
      <c r="X2" s="40"/>
      <c r="Y2" s="53" t="s">
        <v>377</v>
      </c>
      <c r="Z2" s="54"/>
      <c r="AA2" s="55"/>
      <c r="AB2" s="218" t="s">
        <v>83</v>
      </c>
      <c r="AC2" s="65" t="s">
        <v>83</v>
      </c>
      <c r="AD2" s="65"/>
      <c r="AE2" s="219" t="s">
        <v>84</v>
      </c>
      <c r="AF2" s="220"/>
    </row>
    <row r="3" s="2" customFormat="1" ht="53" customHeight="1" spans="1:32">
      <c r="A3" s="115" t="s">
        <v>87</v>
      </c>
      <c r="B3" s="23" t="s">
        <v>89</v>
      </c>
      <c r="C3" s="115" t="s">
        <v>378</v>
      </c>
      <c r="D3" s="23" t="s">
        <v>88</v>
      </c>
      <c r="E3" s="115" t="s">
        <v>91</v>
      </c>
      <c r="F3" s="115" t="s">
        <v>92</v>
      </c>
      <c r="G3" s="115" t="s">
        <v>93</v>
      </c>
      <c r="H3" s="190" t="s">
        <v>1134</v>
      </c>
      <c r="I3" s="190"/>
      <c r="J3" s="190" t="s">
        <v>875</v>
      </c>
      <c r="K3" s="190" t="s">
        <v>101</v>
      </c>
      <c r="L3" s="200" t="s">
        <v>98</v>
      </c>
      <c r="M3" s="200" t="s">
        <v>99</v>
      </c>
      <c r="N3" s="201" t="s">
        <v>1135</v>
      </c>
      <c r="O3" s="44" t="s">
        <v>875</v>
      </c>
      <c r="P3" s="201" t="s">
        <v>101</v>
      </c>
      <c r="Q3" s="47"/>
      <c r="R3" s="206" t="s">
        <v>1100</v>
      </c>
      <c r="S3" s="207" t="s">
        <v>111</v>
      </c>
      <c r="T3" s="208" t="s">
        <v>112</v>
      </c>
      <c r="U3" s="209" t="s">
        <v>113</v>
      </c>
      <c r="V3" s="209" t="s">
        <v>114</v>
      </c>
      <c r="W3" s="208" t="s">
        <v>115</v>
      </c>
      <c r="X3" s="208" t="s">
        <v>116</v>
      </c>
      <c r="Y3" s="221" t="s">
        <v>109</v>
      </c>
      <c r="Z3" s="221" t="s">
        <v>110</v>
      </c>
      <c r="AA3" s="24" t="s">
        <v>117</v>
      </c>
      <c r="AB3" s="222" t="s">
        <v>383</v>
      </c>
      <c r="AC3" s="68" t="s">
        <v>118</v>
      </c>
      <c r="AD3" s="69" t="s">
        <v>119</v>
      </c>
      <c r="AE3" s="223" t="s">
        <v>886</v>
      </c>
      <c r="AF3" s="224" t="s">
        <v>887</v>
      </c>
    </row>
    <row r="4" s="2" customFormat="1" ht="53" customHeight="1" spans="1:43">
      <c r="A4" s="24"/>
      <c r="B4" s="23"/>
      <c r="C4" s="24"/>
      <c r="D4" s="23"/>
      <c r="E4" s="24"/>
      <c r="F4" s="24"/>
      <c r="G4" s="24"/>
      <c r="H4" s="191"/>
      <c r="I4" s="191" t="s">
        <v>885</v>
      </c>
      <c r="J4" s="191"/>
      <c r="K4" s="191"/>
      <c r="L4" s="202"/>
      <c r="M4" s="202"/>
      <c r="N4" s="47"/>
      <c r="O4" s="47"/>
      <c r="P4" s="47"/>
      <c r="Q4" s="47" t="s">
        <v>1101</v>
      </c>
      <c r="R4" s="210"/>
      <c r="S4" s="211"/>
      <c r="T4" s="209"/>
      <c r="U4" s="212"/>
      <c r="V4" s="212"/>
      <c r="W4" s="209"/>
      <c r="X4" s="209"/>
      <c r="Y4" s="225"/>
      <c r="Z4" s="225"/>
      <c r="AA4" s="23"/>
      <c r="AB4" s="226"/>
      <c r="AC4" s="24"/>
      <c r="AD4" s="71"/>
      <c r="AE4" s="223"/>
      <c r="AF4" s="224"/>
      <c r="AG4" s="8"/>
      <c r="AH4" s="9"/>
      <c r="AI4" s="10"/>
      <c r="AJ4" s="8"/>
      <c r="AK4" s="11"/>
      <c r="AL4" s="8"/>
      <c r="AM4" s="8"/>
      <c r="AN4" s="10"/>
      <c r="AO4" s="12"/>
      <c r="AP4" s="12"/>
      <c r="AQ4" s="12"/>
    </row>
    <row r="5" s="183" customFormat="1" ht="22" customHeight="1" spans="1:44">
      <c r="A5" s="156">
        <v>1</v>
      </c>
      <c r="B5" s="192" t="s">
        <v>122</v>
      </c>
      <c r="C5" s="193" t="s">
        <v>1109</v>
      </c>
      <c r="D5" s="192"/>
      <c r="E5" s="156">
        <v>1</v>
      </c>
      <c r="F5" s="156" t="s">
        <v>1136</v>
      </c>
      <c r="G5" s="156" t="s">
        <v>1137</v>
      </c>
      <c r="H5" s="194" t="s">
        <v>126</v>
      </c>
      <c r="I5" s="194" t="s">
        <v>126</v>
      </c>
      <c r="J5" s="194"/>
      <c r="K5" s="194"/>
      <c r="L5" s="194"/>
      <c r="M5" s="194"/>
      <c r="N5" s="49" t="s">
        <v>1138</v>
      </c>
      <c r="O5" s="49"/>
      <c r="P5" s="50"/>
      <c r="Q5" s="213"/>
      <c r="R5" s="213"/>
      <c r="S5" s="214" t="s">
        <v>132</v>
      </c>
      <c r="T5" s="214"/>
      <c r="U5" s="215"/>
      <c r="V5" s="215"/>
      <c r="W5" s="215" t="s">
        <v>138</v>
      </c>
      <c r="X5" s="214" t="s">
        <v>132</v>
      </c>
      <c r="Y5" s="227" t="s">
        <v>131</v>
      </c>
      <c r="Z5" s="227" t="s">
        <v>131</v>
      </c>
      <c r="AA5" s="228">
        <f>ROUNDUP(HOUR(AB5)*60+MINUTE(AB5)+SECOND(AB5)/60,0)</f>
        <v>7</v>
      </c>
      <c r="AB5" s="229" t="str">
        <f t="shared" ref="AB5:AB37" si="0">TEXT((HOUR(AC5)*60+MINUTE(AC5)+IF(SECOND(AC5)&lt;=29,0,1))*60/86400,"hh:mm:ss")</f>
        <v>00:07:00</v>
      </c>
      <c r="AC5" s="230">
        <v>0.00501157407407407</v>
      </c>
      <c r="AD5" s="228">
        <f>AA5*60</f>
        <v>420</v>
      </c>
      <c r="AE5" s="231">
        <v>169</v>
      </c>
      <c r="AF5" s="231">
        <v>43</v>
      </c>
      <c r="AH5" s="234"/>
      <c r="AI5" s="235"/>
      <c r="AJ5" s="236"/>
      <c r="AK5" s="234"/>
      <c r="AL5" s="237"/>
      <c r="AM5" s="234"/>
      <c r="AN5" s="234"/>
      <c r="AO5" s="236"/>
      <c r="AP5" s="242"/>
      <c r="AQ5" s="242"/>
      <c r="AR5" s="242"/>
    </row>
    <row r="6" s="183" customFormat="1" ht="22" customHeight="1" spans="1:44">
      <c r="A6" s="156">
        <v>2</v>
      </c>
      <c r="B6" s="192" t="s">
        <v>122</v>
      </c>
      <c r="C6" s="193" t="s">
        <v>1109</v>
      </c>
      <c r="D6" s="192"/>
      <c r="E6" s="156">
        <v>2</v>
      </c>
      <c r="F6" s="156" t="s">
        <v>1139</v>
      </c>
      <c r="G6" s="156" t="s">
        <v>1140</v>
      </c>
      <c r="H6" s="194" t="s">
        <v>126</v>
      </c>
      <c r="I6" s="194" t="s">
        <v>126</v>
      </c>
      <c r="J6" s="194"/>
      <c r="K6" s="194"/>
      <c r="L6" s="194"/>
      <c r="M6" s="194"/>
      <c r="N6" s="49" t="s">
        <v>1141</v>
      </c>
      <c r="O6" s="49"/>
      <c r="P6" s="50"/>
      <c r="Q6" s="213"/>
      <c r="R6" s="213"/>
      <c r="S6" s="214" t="s">
        <v>132</v>
      </c>
      <c r="T6" s="214"/>
      <c r="U6" s="215"/>
      <c r="V6" s="215"/>
      <c r="W6" s="215" t="s">
        <v>138</v>
      </c>
      <c r="X6" s="214" t="s">
        <v>132</v>
      </c>
      <c r="Y6" s="227" t="s">
        <v>131</v>
      </c>
      <c r="Z6" s="227" t="s">
        <v>131</v>
      </c>
      <c r="AA6" s="228">
        <f t="shared" ref="AA6:AA36" si="1">ROUNDUP(HOUR(AB6)*60+MINUTE(AB6)+SECOND(AB6)/60,0)</f>
        <v>4</v>
      </c>
      <c r="AB6" s="229" t="str">
        <f t="shared" si="0"/>
        <v>00:04:00</v>
      </c>
      <c r="AC6" s="230">
        <v>0.00292824074074074</v>
      </c>
      <c r="AD6" s="228">
        <f>AA6*60</f>
        <v>240</v>
      </c>
      <c r="AE6" s="231">
        <v>169</v>
      </c>
      <c r="AF6" s="231">
        <v>43</v>
      </c>
      <c r="AH6" s="234"/>
      <c r="AI6" s="235"/>
      <c r="AJ6" s="236"/>
      <c r="AK6" s="234"/>
      <c r="AL6" s="237"/>
      <c r="AM6" s="234"/>
      <c r="AN6" s="234"/>
      <c r="AO6" s="236"/>
      <c r="AP6" s="242"/>
      <c r="AQ6" s="242"/>
      <c r="AR6" s="242"/>
    </row>
    <row r="7" s="184" customFormat="1" ht="22" customHeight="1" spans="1:117">
      <c r="A7" s="156">
        <v>3</v>
      </c>
      <c r="B7" s="192" t="s">
        <v>122</v>
      </c>
      <c r="C7" s="193" t="s">
        <v>1109</v>
      </c>
      <c r="D7" s="192"/>
      <c r="E7" s="156">
        <v>3</v>
      </c>
      <c r="F7" s="156" t="s">
        <v>1142</v>
      </c>
      <c r="G7" s="156" t="s">
        <v>1143</v>
      </c>
      <c r="H7" s="194" t="s">
        <v>126</v>
      </c>
      <c r="I7" s="194" t="s">
        <v>126</v>
      </c>
      <c r="J7" s="194"/>
      <c r="K7" s="194"/>
      <c r="L7" s="194"/>
      <c r="M7" s="194"/>
      <c r="N7" s="49" t="s">
        <v>1144</v>
      </c>
      <c r="O7" s="49"/>
      <c r="P7" s="50"/>
      <c r="Q7" s="216"/>
      <c r="R7" s="216"/>
      <c r="S7" s="214" t="s">
        <v>132</v>
      </c>
      <c r="T7" s="214"/>
      <c r="U7" s="215"/>
      <c r="V7" s="215"/>
      <c r="W7" s="214" t="s">
        <v>132</v>
      </c>
      <c r="X7" s="214" t="s">
        <v>1145</v>
      </c>
      <c r="Y7" s="227" t="s">
        <v>131</v>
      </c>
      <c r="Z7" s="227" t="s">
        <v>131</v>
      </c>
      <c r="AA7" s="228">
        <f t="shared" si="1"/>
        <v>7</v>
      </c>
      <c r="AB7" s="229" t="str">
        <f t="shared" si="0"/>
        <v>00:07:00</v>
      </c>
      <c r="AC7" s="230">
        <v>0.00501157407407407</v>
      </c>
      <c r="AD7" s="228">
        <f>AA7*60</f>
        <v>420</v>
      </c>
      <c r="AE7" s="231">
        <v>169</v>
      </c>
      <c r="AF7" s="231">
        <v>43</v>
      </c>
      <c r="AG7" s="235"/>
      <c r="AH7" s="235"/>
      <c r="AI7" s="235"/>
      <c r="AJ7" s="235"/>
      <c r="AK7" s="235"/>
      <c r="AL7" s="235"/>
      <c r="AM7" s="235"/>
      <c r="AN7" s="235"/>
      <c r="AO7" s="235"/>
      <c r="AP7" s="235"/>
      <c r="AQ7" s="235"/>
      <c r="AR7" s="235"/>
      <c r="AS7" s="235"/>
      <c r="AT7" s="235"/>
      <c r="AU7" s="235"/>
      <c r="AV7" s="235"/>
      <c r="AW7" s="235"/>
      <c r="AX7" s="235"/>
      <c r="AY7" s="235"/>
      <c r="AZ7" s="235"/>
      <c r="BA7" s="235"/>
      <c r="BB7" s="235"/>
      <c r="BC7" s="235"/>
      <c r="BD7" s="235"/>
      <c r="BE7" s="235"/>
      <c r="BF7" s="235"/>
      <c r="BG7" s="235"/>
      <c r="BH7" s="235"/>
      <c r="BI7" s="235"/>
      <c r="BJ7" s="235"/>
      <c r="BK7" s="235"/>
      <c r="BL7" s="235"/>
      <c r="BM7" s="235"/>
      <c r="BN7" s="235"/>
      <c r="BO7" s="235"/>
      <c r="BP7" s="235"/>
      <c r="BQ7" s="235"/>
      <c r="BR7" s="235"/>
      <c r="BS7" s="235"/>
      <c r="BT7" s="235"/>
      <c r="BU7" s="235"/>
      <c r="BV7" s="235"/>
      <c r="BW7" s="235"/>
      <c r="BX7" s="235"/>
      <c r="BY7" s="235"/>
      <c r="BZ7" s="235"/>
      <c r="CA7" s="235"/>
      <c r="CB7" s="235"/>
      <c r="CC7" s="235"/>
      <c r="CD7" s="235"/>
      <c r="CE7" s="235"/>
      <c r="CF7" s="235"/>
      <c r="CG7" s="235"/>
      <c r="CH7" s="235"/>
      <c r="CI7" s="235"/>
      <c r="CJ7" s="235"/>
      <c r="CK7" s="235"/>
      <c r="CL7" s="235"/>
      <c r="CM7" s="235"/>
      <c r="CN7" s="235"/>
      <c r="CO7" s="235"/>
      <c r="CP7" s="235"/>
      <c r="CQ7" s="235"/>
      <c r="CR7" s="235"/>
      <c r="CS7" s="235"/>
      <c r="CT7" s="235"/>
      <c r="CU7" s="235"/>
      <c r="CV7" s="235"/>
      <c r="CW7" s="235"/>
      <c r="CX7" s="235"/>
      <c r="CY7" s="235"/>
      <c r="CZ7" s="235"/>
      <c r="DA7" s="235"/>
      <c r="DB7" s="235"/>
      <c r="DC7" s="235"/>
      <c r="DD7" s="235"/>
      <c r="DE7" s="235"/>
      <c r="DF7" s="235"/>
      <c r="DG7" s="235"/>
      <c r="DH7" s="235"/>
      <c r="DI7" s="235"/>
      <c r="DJ7" s="235"/>
      <c r="DK7" s="235"/>
      <c r="DL7" s="235"/>
      <c r="DM7" s="235"/>
    </row>
    <row r="8" s="185" customFormat="1" ht="22" customHeight="1" spans="1:117">
      <c r="A8" s="156">
        <v>4</v>
      </c>
      <c r="B8" s="192" t="s">
        <v>122</v>
      </c>
      <c r="C8" s="193" t="s">
        <v>1109</v>
      </c>
      <c r="D8" s="192"/>
      <c r="E8" s="156">
        <v>4</v>
      </c>
      <c r="F8" s="156" t="s">
        <v>1146</v>
      </c>
      <c r="G8" s="156" t="s">
        <v>1147</v>
      </c>
      <c r="H8" s="195" t="s">
        <v>126</v>
      </c>
      <c r="I8" s="194" t="s">
        <v>126</v>
      </c>
      <c r="J8" s="195"/>
      <c r="K8" s="195"/>
      <c r="L8" s="195"/>
      <c r="M8" s="203"/>
      <c r="N8" s="49" t="s">
        <v>1148</v>
      </c>
      <c r="O8" s="49"/>
      <c r="P8" s="50"/>
      <c r="Q8" s="216"/>
      <c r="R8" s="216"/>
      <c r="S8" s="214" t="s">
        <v>132</v>
      </c>
      <c r="T8" s="214"/>
      <c r="U8" s="215"/>
      <c r="V8" s="215"/>
      <c r="W8" s="214" t="s">
        <v>138</v>
      </c>
      <c r="X8" s="214" t="s">
        <v>132</v>
      </c>
      <c r="Y8" s="227" t="s">
        <v>131</v>
      </c>
      <c r="Z8" s="227" t="s">
        <v>131</v>
      </c>
      <c r="AA8" s="228">
        <f t="shared" si="1"/>
        <v>7</v>
      </c>
      <c r="AB8" s="229" t="str">
        <f t="shared" si="0"/>
        <v>00:07:00</v>
      </c>
      <c r="AC8" s="230">
        <v>0.00501157407407407</v>
      </c>
      <c r="AD8" s="228">
        <f t="shared" ref="AD8:AD37" si="2">AA8*60</f>
        <v>420</v>
      </c>
      <c r="AE8" s="231">
        <v>169</v>
      </c>
      <c r="AF8" s="231">
        <v>43</v>
      </c>
      <c r="AG8" s="238"/>
      <c r="AH8" s="238"/>
      <c r="AI8" s="238"/>
      <c r="AJ8" s="238"/>
      <c r="AK8" s="238"/>
      <c r="AL8" s="238"/>
      <c r="AM8" s="238"/>
      <c r="AN8" s="238"/>
      <c r="AO8" s="238"/>
      <c r="AP8" s="238"/>
      <c r="AQ8" s="238"/>
      <c r="AR8" s="238"/>
      <c r="AS8" s="238"/>
      <c r="AT8" s="238"/>
      <c r="AU8" s="238"/>
      <c r="AV8" s="238"/>
      <c r="AW8" s="238"/>
      <c r="AX8" s="238"/>
      <c r="AY8" s="238"/>
      <c r="AZ8" s="238"/>
      <c r="BA8" s="238"/>
      <c r="BB8" s="238"/>
      <c r="BC8" s="238"/>
      <c r="BD8" s="238"/>
      <c r="BE8" s="238"/>
      <c r="BF8" s="238"/>
      <c r="BG8" s="238"/>
      <c r="BH8" s="238"/>
      <c r="BI8" s="238"/>
      <c r="BJ8" s="238"/>
      <c r="BK8" s="238"/>
      <c r="BL8" s="238"/>
      <c r="BM8" s="238"/>
      <c r="BN8" s="238"/>
      <c r="BO8" s="238"/>
      <c r="BP8" s="238"/>
      <c r="BQ8" s="238"/>
      <c r="BR8" s="238"/>
      <c r="BS8" s="238"/>
      <c r="BT8" s="238"/>
      <c r="BU8" s="238"/>
      <c r="BV8" s="238"/>
      <c r="BW8" s="238"/>
      <c r="BX8" s="238"/>
      <c r="BY8" s="238"/>
      <c r="BZ8" s="238"/>
      <c r="CA8" s="238"/>
      <c r="CB8" s="238"/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238"/>
      <c r="DB8" s="238"/>
      <c r="DC8" s="238"/>
      <c r="DD8" s="238"/>
      <c r="DE8" s="238"/>
      <c r="DF8" s="238"/>
      <c r="DG8" s="238"/>
      <c r="DH8" s="238"/>
      <c r="DI8" s="238"/>
      <c r="DJ8" s="238"/>
      <c r="DK8" s="238"/>
      <c r="DL8" s="238"/>
      <c r="DM8" s="238"/>
    </row>
    <row r="9" s="185" customFormat="1" ht="22" customHeight="1" spans="1:117">
      <c r="A9" s="156">
        <v>5</v>
      </c>
      <c r="B9" s="192" t="s">
        <v>122</v>
      </c>
      <c r="C9" s="193" t="s">
        <v>1109</v>
      </c>
      <c r="D9" s="192"/>
      <c r="E9" s="156">
        <v>5</v>
      </c>
      <c r="F9" s="156" t="s">
        <v>1149</v>
      </c>
      <c r="G9" s="156" t="s">
        <v>1150</v>
      </c>
      <c r="H9" s="195" t="s">
        <v>126</v>
      </c>
      <c r="I9" s="195" t="s">
        <v>126</v>
      </c>
      <c r="J9" s="195"/>
      <c r="K9" s="195"/>
      <c r="L9" s="195"/>
      <c r="M9" s="194"/>
      <c r="N9" s="49" t="s">
        <v>1151</v>
      </c>
      <c r="O9" s="49"/>
      <c r="P9" s="50"/>
      <c r="Q9" s="216"/>
      <c r="R9" s="216"/>
      <c r="S9" s="214" t="s">
        <v>132</v>
      </c>
      <c r="T9" s="214"/>
      <c r="U9" s="215"/>
      <c r="V9" s="215"/>
      <c r="W9" s="214" t="s">
        <v>138</v>
      </c>
      <c r="X9" s="214" t="s">
        <v>132</v>
      </c>
      <c r="Y9" s="227" t="s">
        <v>131</v>
      </c>
      <c r="Z9" s="227" t="s">
        <v>131</v>
      </c>
      <c r="AA9" s="228">
        <f t="shared" si="1"/>
        <v>4</v>
      </c>
      <c r="AB9" s="229" t="str">
        <f t="shared" si="0"/>
        <v>00:04:00</v>
      </c>
      <c r="AC9" s="230">
        <v>0.00292824074074074</v>
      </c>
      <c r="AD9" s="228">
        <f t="shared" si="2"/>
        <v>240</v>
      </c>
      <c r="AE9" s="231">
        <v>169</v>
      </c>
      <c r="AF9" s="231">
        <v>43</v>
      </c>
      <c r="AG9" s="238"/>
      <c r="AH9" s="238"/>
      <c r="AI9" s="238"/>
      <c r="AJ9" s="238"/>
      <c r="AK9" s="238"/>
      <c r="AL9" s="238"/>
      <c r="AM9" s="238"/>
      <c r="AN9" s="238"/>
      <c r="AO9" s="238"/>
      <c r="AP9" s="238"/>
      <c r="AQ9" s="238"/>
      <c r="AR9" s="238"/>
      <c r="AS9" s="238"/>
      <c r="AT9" s="238"/>
      <c r="AU9" s="238"/>
      <c r="AV9" s="238"/>
      <c r="AW9" s="238"/>
      <c r="AX9" s="238"/>
      <c r="AY9" s="238"/>
      <c r="AZ9" s="238"/>
      <c r="BA9" s="238"/>
      <c r="BB9" s="238"/>
      <c r="BC9" s="238"/>
      <c r="BD9" s="238"/>
      <c r="BE9" s="238"/>
      <c r="BF9" s="238"/>
      <c r="BG9" s="238"/>
      <c r="BH9" s="238"/>
      <c r="BI9" s="238"/>
      <c r="BJ9" s="238"/>
      <c r="BK9" s="238"/>
      <c r="BL9" s="238"/>
      <c r="BM9" s="238"/>
      <c r="BN9" s="238"/>
      <c r="BO9" s="238"/>
      <c r="BP9" s="238"/>
      <c r="BQ9" s="238"/>
      <c r="BR9" s="238"/>
      <c r="BS9" s="238"/>
      <c r="BT9" s="238"/>
      <c r="BU9" s="238"/>
      <c r="BV9" s="238"/>
      <c r="BW9" s="238"/>
      <c r="BX9" s="238"/>
      <c r="BY9" s="238"/>
      <c r="BZ9" s="238"/>
      <c r="CA9" s="238"/>
      <c r="CB9" s="238"/>
      <c r="CC9" s="238"/>
      <c r="CD9" s="238"/>
      <c r="CE9" s="238"/>
      <c r="CF9" s="238"/>
      <c r="CG9" s="238"/>
      <c r="CH9" s="238"/>
      <c r="CI9" s="238"/>
      <c r="CJ9" s="238"/>
      <c r="CK9" s="238"/>
      <c r="CL9" s="238"/>
      <c r="CM9" s="238"/>
      <c r="CN9" s="238"/>
      <c r="CO9" s="238"/>
      <c r="CP9" s="238"/>
      <c r="CQ9" s="238"/>
      <c r="CR9" s="238"/>
      <c r="CS9" s="238"/>
      <c r="CT9" s="238"/>
      <c r="CU9" s="238"/>
      <c r="CV9" s="238"/>
      <c r="CW9" s="238"/>
      <c r="CX9" s="238"/>
      <c r="CY9" s="238"/>
      <c r="CZ9" s="238"/>
      <c r="DA9" s="238"/>
      <c r="DB9" s="238"/>
      <c r="DC9" s="238"/>
      <c r="DD9" s="238"/>
      <c r="DE9" s="238"/>
      <c r="DF9" s="238"/>
      <c r="DG9" s="238"/>
      <c r="DH9" s="238"/>
      <c r="DI9" s="238"/>
      <c r="DJ9" s="238"/>
      <c r="DK9" s="238"/>
      <c r="DL9" s="238"/>
      <c r="DM9" s="238"/>
    </row>
    <row r="10" s="185" customFormat="1" ht="22" customHeight="1" spans="1:117">
      <c r="A10" s="156">
        <v>6</v>
      </c>
      <c r="B10" s="192" t="s">
        <v>122</v>
      </c>
      <c r="C10" s="193" t="s">
        <v>1109</v>
      </c>
      <c r="D10" s="192"/>
      <c r="E10" s="156">
        <v>6</v>
      </c>
      <c r="F10" s="156" t="s">
        <v>1152</v>
      </c>
      <c r="G10" s="156" t="s">
        <v>1153</v>
      </c>
      <c r="H10" s="194" t="s">
        <v>126</v>
      </c>
      <c r="I10" s="194" t="s">
        <v>126</v>
      </c>
      <c r="J10" s="194"/>
      <c r="K10" s="194"/>
      <c r="L10" s="194"/>
      <c r="M10" s="194"/>
      <c r="N10" s="49" t="s">
        <v>1154</v>
      </c>
      <c r="O10" s="49"/>
      <c r="P10" s="50"/>
      <c r="Q10" s="216"/>
      <c r="R10" s="216"/>
      <c r="S10" s="214" t="s">
        <v>132</v>
      </c>
      <c r="T10" s="214"/>
      <c r="U10" s="215"/>
      <c r="V10" s="215"/>
      <c r="W10" s="214" t="s">
        <v>132</v>
      </c>
      <c r="X10" s="214" t="s">
        <v>1145</v>
      </c>
      <c r="Y10" s="227" t="s">
        <v>131</v>
      </c>
      <c r="Z10" s="227" t="s">
        <v>131</v>
      </c>
      <c r="AA10" s="228">
        <f t="shared" si="1"/>
        <v>7</v>
      </c>
      <c r="AB10" s="229" t="str">
        <f t="shared" si="0"/>
        <v>00:07:00</v>
      </c>
      <c r="AC10" s="230">
        <v>0.00501157407407407</v>
      </c>
      <c r="AD10" s="228">
        <f t="shared" si="2"/>
        <v>420</v>
      </c>
      <c r="AE10" s="231">
        <v>169</v>
      </c>
      <c r="AF10" s="231">
        <v>43</v>
      </c>
      <c r="AG10" s="238"/>
      <c r="AH10" s="238"/>
      <c r="AI10" s="238"/>
      <c r="AJ10" s="238"/>
      <c r="AK10" s="238"/>
      <c r="AL10" s="238"/>
      <c r="AM10" s="238"/>
      <c r="AN10" s="238"/>
      <c r="AO10" s="238"/>
      <c r="AP10" s="238"/>
      <c r="AQ10" s="238"/>
      <c r="AR10" s="238"/>
      <c r="AS10" s="238"/>
      <c r="AT10" s="238"/>
      <c r="AU10" s="238"/>
      <c r="AV10" s="238"/>
      <c r="AW10" s="238"/>
      <c r="AX10" s="238"/>
      <c r="AY10" s="238"/>
      <c r="AZ10" s="238"/>
      <c r="BA10" s="238"/>
      <c r="BB10" s="238"/>
      <c r="BC10" s="238"/>
      <c r="BD10" s="238"/>
      <c r="BE10" s="238"/>
      <c r="BF10" s="238"/>
      <c r="BG10" s="238"/>
      <c r="BH10" s="238"/>
      <c r="BI10" s="238"/>
      <c r="BJ10" s="238"/>
      <c r="BK10" s="238"/>
      <c r="BL10" s="238"/>
      <c r="BM10" s="238"/>
      <c r="BN10" s="238"/>
      <c r="BO10" s="238"/>
      <c r="BP10" s="238"/>
      <c r="BQ10" s="238"/>
      <c r="BR10" s="238"/>
      <c r="BS10" s="238"/>
      <c r="BT10" s="238"/>
      <c r="BU10" s="238"/>
      <c r="BV10" s="238"/>
      <c r="BW10" s="238"/>
      <c r="BX10" s="238"/>
      <c r="BY10" s="238"/>
      <c r="BZ10" s="238"/>
      <c r="CA10" s="238"/>
      <c r="CB10" s="238"/>
      <c r="CC10" s="238"/>
      <c r="CD10" s="238"/>
      <c r="CE10" s="238"/>
      <c r="CF10" s="238"/>
      <c r="CG10" s="238"/>
      <c r="CH10" s="238"/>
      <c r="CI10" s="238"/>
      <c r="CJ10" s="238"/>
      <c r="CK10" s="238"/>
      <c r="CL10" s="238"/>
      <c r="CM10" s="238"/>
      <c r="CN10" s="238"/>
      <c r="CO10" s="238"/>
      <c r="CP10" s="238"/>
      <c r="CQ10" s="238"/>
      <c r="CR10" s="238"/>
      <c r="CS10" s="238"/>
      <c r="CT10" s="238"/>
      <c r="CU10" s="238"/>
      <c r="CV10" s="238"/>
      <c r="CW10" s="238"/>
      <c r="CX10" s="238"/>
      <c r="CY10" s="238"/>
      <c r="CZ10" s="238"/>
      <c r="DA10" s="238"/>
      <c r="DB10" s="238"/>
      <c r="DC10" s="238"/>
      <c r="DD10" s="238"/>
      <c r="DE10" s="238"/>
      <c r="DF10" s="238"/>
      <c r="DG10" s="238"/>
      <c r="DH10" s="238"/>
      <c r="DI10" s="238"/>
      <c r="DJ10" s="238"/>
      <c r="DK10" s="238"/>
      <c r="DL10" s="238"/>
      <c r="DM10" s="238"/>
    </row>
    <row r="11" s="185" customFormat="1" ht="22" customHeight="1" spans="1:117">
      <c r="A11" s="156">
        <v>7</v>
      </c>
      <c r="B11" s="192" t="s">
        <v>122</v>
      </c>
      <c r="C11" s="193" t="s">
        <v>1109</v>
      </c>
      <c r="D11" s="192"/>
      <c r="E11" s="156">
        <v>7</v>
      </c>
      <c r="F11" s="156" t="s">
        <v>1155</v>
      </c>
      <c r="G11" s="156" t="s">
        <v>1156</v>
      </c>
      <c r="H11" s="194" t="s">
        <v>126</v>
      </c>
      <c r="I11" s="195" t="s">
        <v>126</v>
      </c>
      <c r="J11" s="195"/>
      <c r="K11" s="195"/>
      <c r="L11" s="195"/>
      <c r="M11" s="203"/>
      <c r="N11" s="49" t="s">
        <v>1157</v>
      </c>
      <c r="O11" s="49"/>
      <c r="P11" s="50"/>
      <c r="Q11" s="216"/>
      <c r="R11" s="216"/>
      <c r="S11" s="214" t="s">
        <v>132</v>
      </c>
      <c r="T11" s="214"/>
      <c r="U11" s="215"/>
      <c r="V11" s="215"/>
      <c r="W11" s="214" t="s">
        <v>138</v>
      </c>
      <c r="X11" s="214" t="s">
        <v>132</v>
      </c>
      <c r="Y11" s="227" t="s">
        <v>131</v>
      </c>
      <c r="Z11" s="227" t="s">
        <v>131</v>
      </c>
      <c r="AA11" s="228">
        <f t="shared" si="1"/>
        <v>7</v>
      </c>
      <c r="AB11" s="229" t="str">
        <f t="shared" si="0"/>
        <v>00:07:00</v>
      </c>
      <c r="AC11" s="230">
        <v>0.00501157407407407</v>
      </c>
      <c r="AD11" s="228">
        <f t="shared" si="2"/>
        <v>420</v>
      </c>
      <c r="AE11" s="231">
        <v>169</v>
      </c>
      <c r="AF11" s="231">
        <v>43</v>
      </c>
      <c r="AG11" s="238"/>
      <c r="AH11" s="238"/>
      <c r="AI11" s="238"/>
      <c r="AJ11" s="238"/>
      <c r="AK11" s="238"/>
      <c r="AL11" s="238"/>
      <c r="AM11" s="238"/>
      <c r="AN11" s="238"/>
      <c r="AO11" s="238"/>
      <c r="AP11" s="238"/>
      <c r="AQ11" s="238"/>
      <c r="AR11" s="238"/>
      <c r="AS11" s="238"/>
      <c r="AT11" s="238"/>
      <c r="AU11" s="238"/>
      <c r="AV11" s="238"/>
      <c r="AW11" s="238"/>
      <c r="AX11" s="238"/>
      <c r="AY11" s="238"/>
      <c r="AZ11" s="238"/>
      <c r="BA11" s="238"/>
      <c r="BB11" s="238"/>
      <c r="BC11" s="238"/>
      <c r="BD11" s="238"/>
      <c r="BE11" s="238"/>
      <c r="BF11" s="238"/>
      <c r="BG11" s="238"/>
      <c r="BH11" s="238"/>
      <c r="BI11" s="238"/>
      <c r="BJ11" s="238"/>
      <c r="BK11" s="238"/>
      <c r="BL11" s="238"/>
      <c r="BM11" s="238"/>
      <c r="BN11" s="238"/>
      <c r="BO11" s="238"/>
      <c r="BP11" s="238"/>
      <c r="BQ11" s="238"/>
      <c r="BR11" s="238"/>
      <c r="BS11" s="238"/>
      <c r="BT11" s="238"/>
      <c r="BU11" s="238"/>
      <c r="BV11" s="238"/>
      <c r="BW11" s="238"/>
      <c r="BX11" s="238"/>
      <c r="BY11" s="238"/>
      <c r="BZ11" s="238"/>
      <c r="CA11" s="238"/>
      <c r="CB11" s="238"/>
      <c r="CC11" s="238"/>
      <c r="CD11" s="238"/>
      <c r="CE11" s="238"/>
      <c r="CF11" s="238"/>
      <c r="CG11" s="238"/>
      <c r="CH11" s="238"/>
      <c r="CI11" s="238"/>
      <c r="CJ11" s="238"/>
      <c r="CK11" s="238"/>
      <c r="CL11" s="238"/>
      <c r="CM11" s="238"/>
      <c r="CN11" s="238"/>
      <c r="CO11" s="238"/>
      <c r="CP11" s="238"/>
      <c r="CQ11" s="238"/>
      <c r="CR11" s="238"/>
      <c r="CS11" s="238"/>
      <c r="CT11" s="238"/>
      <c r="CU11" s="238"/>
      <c r="CV11" s="238"/>
      <c r="CW11" s="238"/>
      <c r="CX11" s="238"/>
      <c r="CY11" s="238"/>
      <c r="CZ11" s="238"/>
      <c r="DA11" s="238"/>
      <c r="DB11" s="238"/>
      <c r="DC11" s="238"/>
      <c r="DD11" s="238"/>
      <c r="DE11" s="238"/>
      <c r="DF11" s="238"/>
      <c r="DG11" s="238"/>
      <c r="DH11" s="238"/>
      <c r="DI11" s="238"/>
      <c r="DJ11" s="238"/>
      <c r="DK11" s="238"/>
      <c r="DL11" s="238"/>
      <c r="DM11" s="238"/>
    </row>
    <row r="12" s="185" customFormat="1" ht="22" customHeight="1" spans="1:117">
      <c r="A12" s="156">
        <v>8</v>
      </c>
      <c r="B12" s="192" t="s">
        <v>122</v>
      </c>
      <c r="C12" s="193" t="s">
        <v>1109</v>
      </c>
      <c r="D12" s="192"/>
      <c r="E12" s="156">
        <v>8</v>
      </c>
      <c r="F12" s="156" t="s">
        <v>1158</v>
      </c>
      <c r="G12" s="156" t="s">
        <v>1159</v>
      </c>
      <c r="H12" s="194" t="s">
        <v>126</v>
      </c>
      <c r="I12" s="194" t="s">
        <v>126</v>
      </c>
      <c r="J12" s="194"/>
      <c r="K12" s="194"/>
      <c r="L12" s="194"/>
      <c r="M12" s="194"/>
      <c r="N12" s="49" t="s">
        <v>1160</v>
      </c>
      <c r="O12" s="49"/>
      <c r="P12" s="50"/>
      <c r="Q12" s="216"/>
      <c r="R12" s="216"/>
      <c r="S12" s="214" t="s">
        <v>132</v>
      </c>
      <c r="T12" s="214"/>
      <c r="U12" s="215"/>
      <c r="V12" s="215"/>
      <c r="W12" s="214" t="s">
        <v>138</v>
      </c>
      <c r="X12" s="214" t="s">
        <v>132</v>
      </c>
      <c r="Y12" s="227" t="s">
        <v>131</v>
      </c>
      <c r="Z12" s="227" t="s">
        <v>131</v>
      </c>
      <c r="AA12" s="228">
        <f t="shared" si="1"/>
        <v>4</v>
      </c>
      <c r="AB12" s="229" t="str">
        <f t="shared" si="0"/>
        <v>00:04:00</v>
      </c>
      <c r="AC12" s="230">
        <v>0.00292824074074074</v>
      </c>
      <c r="AD12" s="228">
        <f t="shared" si="2"/>
        <v>240</v>
      </c>
      <c r="AE12" s="231">
        <v>169</v>
      </c>
      <c r="AF12" s="231">
        <v>43</v>
      </c>
      <c r="AG12" s="238"/>
      <c r="AH12" s="238"/>
      <c r="AI12" s="238"/>
      <c r="AJ12" s="238"/>
      <c r="AK12" s="238"/>
      <c r="AL12" s="238"/>
      <c r="AM12" s="238"/>
      <c r="AN12" s="238"/>
      <c r="AO12" s="238"/>
      <c r="AP12" s="238"/>
      <c r="AQ12" s="238"/>
      <c r="AR12" s="238"/>
      <c r="AS12" s="238"/>
      <c r="AT12" s="238"/>
      <c r="AU12" s="238"/>
      <c r="AV12" s="238"/>
      <c r="AW12" s="238"/>
      <c r="AX12" s="238"/>
      <c r="AY12" s="238"/>
      <c r="AZ12" s="238"/>
      <c r="BA12" s="238"/>
      <c r="BB12" s="238"/>
      <c r="BC12" s="238"/>
      <c r="BD12" s="238"/>
      <c r="BE12" s="238"/>
      <c r="BF12" s="238"/>
      <c r="BG12" s="238"/>
      <c r="BH12" s="238"/>
      <c r="BI12" s="238"/>
      <c r="BJ12" s="238"/>
      <c r="BK12" s="238"/>
      <c r="BL12" s="238"/>
      <c r="BM12" s="238"/>
      <c r="BN12" s="238"/>
      <c r="BO12" s="238"/>
      <c r="BP12" s="238"/>
      <c r="BQ12" s="238"/>
      <c r="BR12" s="238"/>
      <c r="BS12" s="238"/>
      <c r="BT12" s="238"/>
      <c r="BU12" s="238"/>
      <c r="BV12" s="238"/>
      <c r="BW12" s="238"/>
      <c r="BX12" s="238"/>
      <c r="BY12" s="238"/>
      <c r="BZ12" s="238"/>
      <c r="CA12" s="238"/>
      <c r="CB12" s="238"/>
      <c r="CC12" s="238"/>
      <c r="CD12" s="238"/>
      <c r="CE12" s="238"/>
      <c r="CF12" s="238"/>
      <c r="CG12" s="238"/>
      <c r="CH12" s="238"/>
      <c r="CI12" s="238"/>
      <c r="CJ12" s="238"/>
      <c r="CK12" s="238"/>
      <c r="CL12" s="238"/>
      <c r="CM12" s="238"/>
      <c r="CN12" s="238"/>
      <c r="CO12" s="238"/>
      <c r="CP12" s="238"/>
      <c r="CQ12" s="238"/>
      <c r="CR12" s="238"/>
      <c r="CS12" s="238"/>
      <c r="CT12" s="238"/>
      <c r="CU12" s="238"/>
      <c r="CV12" s="238"/>
      <c r="CW12" s="238"/>
      <c r="CX12" s="238"/>
      <c r="CY12" s="238"/>
      <c r="CZ12" s="238"/>
      <c r="DA12" s="238"/>
      <c r="DB12" s="238"/>
      <c r="DC12" s="238"/>
      <c r="DD12" s="238"/>
      <c r="DE12" s="238"/>
      <c r="DF12" s="238"/>
      <c r="DG12" s="238"/>
      <c r="DH12" s="238"/>
      <c r="DI12" s="238"/>
      <c r="DJ12" s="238"/>
      <c r="DK12" s="238"/>
      <c r="DL12" s="238"/>
      <c r="DM12" s="238"/>
    </row>
    <row r="13" s="185" customFormat="1" ht="22" customHeight="1" spans="1:117">
      <c r="A13" s="156">
        <v>9</v>
      </c>
      <c r="B13" s="192" t="s">
        <v>122</v>
      </c>
      <c r="C13" s="193" t="s">
        <v>1109</v>
      </c>
      <c r="D13" s="192"/>
      <c r="E13" s="156">
        <v>9</v>
      </c>
      <c r="F13" s="156" t="s">
        <v>1161</v>
      </c>
      <c r="G13" s="156" t="s">
        <v>1162</v>
      </c>
      <c r="H13" s="194" t="s">
        <v>126</v>
      </c>
      <c r="I13" s="194" t="s">
        <v>126</v>
      </c>
      <c r="J13" s="194"/>
      <c r="K13" s="194"/>
      <c r="L13" s="194"/>
      <c r="M13" s="194"/>
      <c r="N13" s="49" t="s">
        <v>1163</v>
      </c>
      <c r="O13" s="49"/>
      <c r="P13" s="50"/>
      <c r="Q13" s="216"/>
      <c r="R13" s="216"/>
      <c r="S13" s="214" t="s">
        <v>132</v>
      </c>
      <c r="T13" s="214"/>
      <c r="U13" s="215"/>
      <c r="V13" s="215"/>
      <c r="W13" s="214" t="s">
        <v>132</v>
      </c>
      <c r="X13" s="214" t="s">
        <v>1145</v>
      </c>
      <c r="Y13" s="227" t="s">
        <v>131</v>
      </c>
      <c r="Z13" s="227" t="s">
        <v>131</v>
      </c>
      <c r="AA13" s="228">
        <f t="shared" si="1"/>
        <v>7</v>
      </c>
      <c r="AB13" s="229" t="str">
        <f t="shared" si="0"/>
        <v>00:07:00</v>
      </c>
      <c r="AC13" s="230">
        <v>0.00501157407407407</v>
      </c>
      <c r="AD13" s="228">
        <f t="shared" si="2"/>
        <v>420</v>
      </c>
      <c r="AE13" s="231">
        <v>169</v>
      </c>
      <c r="AF13" s="231">
        <v>43</v>
      </c>
      <c r="AG13" s="238"/>
      <c r="AH13" s="238"/>
      <c r="AI13" s="238"/>
      <c r="AJ13" s="238"/>
      <c r="AK13" s="238"/>
      <c r="AL13" s="238"/>
      <c r="AM13" s="238"/>
      <c r="AN13" s="238"/>
      <c r="AO13" s="238"/>
      <c r="AP13" s="238"/>
      <c r="AQ13" s="238"/>
      <c r="AR13" s="238"/>
      <c r="AS13" s="238"/>
      <c r="AT13" s="238"/>
      <c r="AU13" s="238"/>
      <c r="AV13" s="238"/>
      <c r="AW13" s="238"/>
      <c r="AX13" s="238"/>
      <c r="AY13" s="238"/>
      <c r="AZ13" s="238"/>
      <c r="BA13" s="238"/>
      <c r="BB13" s="238"/>
      <c r="BC13" s="238"/>
      <c r="BD13" s="238"/>
      <c r="BE13" s="238"/>
      <c r="BF13" s="238"/>
      <c r="BG13" s="238"/>
      <c r="BH13" s="238"/>
      <c r="BI13" s="238"/>
      <c r="BJ13" s="238"/>
      <c r="BK13" s="238"/>
      <c r="BL13" s="238"/>
      <c r="BM13" s="238"/>
      <c r="BN13" s="238"/>
      <c r="BO13" s="238"/>
      <c r="BP13" s="238"/>
      <c r="BQ13" s="238"/>
      <c r="BR13" s="238"/>
      <c r="BS13" s="238"/>
      <c r="BT13" s="238"/>
      <c r="BU13" s="238"/>
      <c r="BV13" s="238"/>
      <c r="BW13" s="238"/>
      <c r="BX13" s="238"/>
      <c r="BY13" s="238"/>
      <c r="BZ13" s="238"/>
      <c r="CA13" s="238"/>
      <c r="CB13" s="238"/>
      <c r="CC13" s="238"/>
      <c r="CD13" s="238"/>
      <c r="CE13" s="238"/>
      <c r="CF13" s="238"/>
      <c r="CG13" s="238"/>
      <c r="CH13" s="238"/>
      <c r="CI13" s="238"/>
      <c r="CJ13" s="238"/>
      <c r="CK13" s="238"/>
      <c r="CL13" s="238"/>
      <c r="CM13" s="238"/>
      <c r="CN13" s="238"/>
      <c r="CO13" s="238"/>
      <c r="CP13" s="238"/>
      <c r="CQ13" s="238"/>
      <c r="CR13" s="238"/>
      <c r="CS13" s="238"/>
      <c r="CT13" s="238"/>
      <c r="CU13" s="238"/>
      <c r="CV13" s="238"/>
      <c r="CW13" s="238"/>
      <c r="CX13" s="238"/>
      <c r="CY13" s="238"/>
      <c r="CZ13" s="238"/>
      <c r="DA13" s="238"/>
      <c r="DB13" s="238"/>
      <c r="DC13" s="238"/>
      <c r="DD13" s="238"/>
      <c r="DE13" s="238"/>
      <c r="DF13" s="238"/>
      <c r="DG13" s="238"/>
      <c r="DH13" s="238"/>
      <c r="DI13" s="238"/>
      <c r="DJ13" s="238"/>
      <c r="DK13" s="238"/>
      <c r="DL13" s="238"/>
      <c r="DM13" s="238"/>
    </row>
    <row r="14" s="1" customFormat="1" ht="22" customHeight="1" spans="1:44">
      <c r="A14" s="156">
        <v>10</v>
      </c>
      <c r="B14" s="192" t="s">
        <v>122</v>
      </c>
      <c r="C14" s="193" t="s">
        <v>1109</v>
      </c>
      <c r="D14" s="192"/>
      <c r="E14" s="156">
        <v>10</v>
      </c>
      <c r="F14" s="156" t="s">
        <v>1164</v>
      </c>
      <c r="G14" s="156" t="s">
        <v>1165</v>
      </c>
      <c r="H14" s="194"/>
      <c r="I14" s="194"/>
      <c r="J14" s="194"/>
      <c r="K14" s="194"/>
      <c r="L14" s="194" t="s">
        <v>126</v>
      </c>
      <c r="M14" s="194" t="s">
        <v>126</v>
      </c>
      <c r="N14" s="49"/>
      <c r="O14" s="49"/>
      <c r="P14" s="50"/>
      <c r="Q14" s="216" t="str">
        <f t="shared" ref="Q14:Q19" si="3">CONCATENATE(SUBSTITUTE(SUBSTITUTE(SUBSTITUTE(SUBSTITUTE(SUBSTITUTE(SUBSTITUTE(SUBSTITUTE(SUBSTITUTE(SUBSTITUTE(SUBSTITUTE(SUBSTITUTE(SUBSTITUTE(SUBSTITUTE(SUBSTITUTE(SUBSTITUTE(SUBSTITUTE(SUBSTITUTE(SUBSTITUTE(SUBSTITUTE(SUBSTITUTE(SUBSTITUTE(SUBSTITUTE(G14,":","")," '",""),",",""),".",""),"&amp;",""),"(",""),")",""),"%",""),"/",""),"*",""),"？",""),"?",""),"！",""),"!",""),"-",""),"（",""),"）","")," ",""),"：",""),"'",""),"π","PI"),"，",""),"_CA",B14,"_i4K_",AF14,"_",PROPER(S14),IF(T14="",PROPER(S14),PROPER(T14)),PROPER(U14),PROPER(V14),PROPER(W14),IF(W14&lt;&gt;"","SUB",""),PROPER(X14),IF(X14&lt;&gt;"","SUB",""),"_","Ed","_","M1",".mpg")</f>
        <v>A330200_Eng0125SafetyVideo2023_CA0125_i4K_43_ZhoZhoEngSUBZhoSUB_Ed_M1.mpg</v>
      </c>
      <c r="R14" s="216" t="str">
        <f>CONCATENATE(SUBSTITUTE(SUBSTITUTE(SUBSTITUTE(SUBSTITUTE(SUBSTITUTE(SUBSTITUTE(SUBSTITUTE(SUBSTITUTE(SUBSTITUTE(SUBSTITUTE(SUBSTITUTE(SUBSTITUTE(SUBSTITUTE(SUBSTITUTE(SUBSTITUTE(SUBSTITUTE(SUBSTITUTE(SUBSTITUTE(SUBSTITUTE(SUBSTITUTE(SUBSTITUTE(SUBSTITUTE(G14,":","")," '",""),",",""),".",""),"&amp;",""),"(",""),")",""),"%",""),"/",""),"*",""),"？",""),"?",""),"！",""),"!",""),"-",""),"（",""),"）","")," ",""),"：",""),"'",""),"π","PI"),"，",""),"_CA",B14,"_i5K_",AE14,"_",PROPER(S14),IF(T14="",PROPER(S14),PROPER(T14)),PROPER(U14),PROPER(V14),PROPER(W14),IF(W14&lt;&gt;"","SUB",""),PROPER(X14),IF(X14&lt;&gt;"","SUB",""),"_","Ed","_","M2",".mpg")</f>
        <v>A330200_Eng0125SafetyVideo2023_CA0125_i5K_169_ZhoZhoEngSUBZhoSUB_Ed_M2.mpg</v>
      </c>
      <c r="S14" s="214" t="s">
        <v>132</v>
      </c>
      <c r="T14" s="214"/>
      <c r="U14" s="215"/>
      <c r="V14" s="215"/>
      <c r="W14" s="215" t="s">
        <v>138</v>
      </c>
      <c r="X14" s="214" t="s">
        <v>132</v>
      </c>
      <c r="Y14" s="227" t="s">
        <v>131</v>
      </c>
      <c r="Z14" s="227" t="s">
        <v>131</v>
      </c>
      <c r="AA14" s="228">
        <f t="shared" si="1"/>
        <v>7</v>
      </c>
      <c r="AB14" s="229" t="str">
        <f t="shared" si="0"/>
        <v>00:07:00</v>
      </c>
      <c r="AC14" s="230">
        <v>0.00501157407407407</v>
      </c>
      <c r="AD14" s="228">
        <f t="shared" si="2"/>
        <v>420</v>
      </c>
      <c r="AE14" s="231">
        <v>169</v>
      </c>
      <c r="AF14" s="231">
        <v>43</v>
      </c>
      <c r="AH14" s="74"/>
      <c r="AI14" s="75"/>
      <c r="AJ14" s="3"/>
      <c r="AK14" s="74"/>
      <c r="AL14" s="76"/>
      <c r="AM14" s="74"/>
      <c r="AN14" s="74"/>
      <c r="AO14" s="3"/>
      <c r="AP14" s="5"/>
      <c r="AQ14" s="5"/>
      <c r="AR14" s="5"/>
    </row>
    <row r="15" s="1" customFormat="1" ht="22" customHeight="1" spans="1:44">
      <c r="A15" s="156">
        <v>11</v>
      </c>
      <c r="B15" s="192" t="s">
        <v>122</v>
      </c>
      <c r="C15" s="193" t="s">
        <v>1109</v>
      </c>
      <c r="D15" s="192"/>
      <c r="E15" s="156">
        <v>11</v>
      </c>
      <c r="F15" s="156" t="s">
        <v>1166</v>
      </c>
      <c r="G15" s="156" t="s">
        <v>1167</v>
      </c>
      <c r="H15" s="194"/>
      <c r="I15" s="194"/>
      <c r="J15" s="194"/>
      <c r="K15" s="194"/>
      <c r="L15" s="194" t="s">
        <v>126</v>
      </c>
      <c r="M15" s="194" t="s">
        <v>126</v>
      </c>
      <c r="N15" s="49"/>
      <c r="O15" s="49"/>
      <c r="P15" s="50"/>
      <c r="Q15" s="216" t="str">
        <f t="shared" si="3"/>
        <v>A330200_Zho0125SafetyVideo2023_CA0125_i4K_43_ZhoZhoEngSUBZhoSUB_Ed_M1.mpg</v>
      </c>
      <c r="R15" s="216" t="str">
        <f t="shared" ref="R15:R22" si="4">CONCATENATE(SUBSTITUTE(SUBSTITUTE(SUBSTITUTE(SUBSTITUTE(SUBSTITUTE(SUBSTITUTE(SUBSTITUTE(SUBSTITUTE(SUBSTITUTE(SUBSTITUTE(SUBSTITUTE(SUBSTITUTE(SUBSTITUTE(SUBSTITUTE(SUBSTITUTE(SUBSTITUTE(SUBSTITUTE(SUBSTITUTE(SUBSTITUTE(SUBSTITUTE(SUBSTITUTE(SUBSTITUTE(G15,":","")," '",""),",",""),".",""),"&amp;",""),"(",""),")",""),"%",""),"/",""),"*",""),"？",""),"?",""),"！",""),"!",""),"-",""),"（",""),"）","")," ",""),"：",""),"'",""),"π","PI"),"，",""),"_CA",B15,"_i5K_",AE15,"_",PROPER(S15),IF(T15="",PROPER(S15),PROPER(T15)),PROPER(U15),PROPER(V15),PROPER(W15),IF(W15&lt;&gt;"","SUB",""),PROPER(X15),IF(X15&lt;&gt;"","SUB",""),"_","Ed","_","M2",".mpg")</f>
        <v>A330200_Zho0125SafetyVideo2023_CA0125_i5K_169_ZhoZhoEngSUBZhoSUB_Ed_M2.mpg</v>
      </c>
      <c r="S15" s="214" t="s">
        <v>132</v>
      </c>
      <c r="T15" s="214"/>
      <c r="U15" s="215"/>
      <c r="V15" s="215"/>
      <c r="W15" s="215" t="s">
        <v>138</v>
      </c>
      <c r="X15" s="214" t="s">
        <v>132</v>
      </c>
      <c r="Y15" s="227" t="s">
        <v>131</v>
      </c>
      <c r="Z15" s="227" t="s">
        <v>131</v>
      </c>
      <c r="AA15" s="228">
        <f t="shared" si="1"/>
        <v>4</v>
      </c>
      <c r="AB15" s="229" t="str">
        <f t="shared" si="0"/>
        <v>00:04:00</v>
      </c>
      <c r="AC15" s="230">
        <v>0.00292824074074074</v>
      </c>
      <c r="AD15" s="228">
        <f t="shared" si="2"/>
        <v>240</v>
      </c>
      <c r="AE15" s="231">
        <v>169</v>
      </c>
      <c r="AF15" s="231">
        <v>43</v>
      </c>
      <c r="AH15" s="74"/>
      <c r="AI15" s="75"/>
      <c r="AJ15" s="3"/>
      <c r="AK15" s="74"/>
      <c r="AL15" s="76"/>
      <c r="AM15" s="74"/>
      <c r="AN15" s="74"/>
      <c r="AO15" s="3"/>
      <c r="AP15" s="5"/>
      <c r="AQ15" s="5"/>
      <c r="AR15" s="5"/>
    </row>
    <row r="16" s="1" customFormat="1" ht="22" customHeight="1" spans="1:44">
      <c r="A16" s="156">
        <v>12</v>
      </c>
      <c r="B16" s="192" t="s">
        <v>122</v>
      </c>
      <c r="C16" s="193" t="s">
        <v>1109</v>
      </c>
      <c r="D16" s="192"/>
      <c r="E16" s="156">
        <v>12</v>
      </c>
      <c r="F16" s="156"/>
      <c r="G16" s="156" t="s">
        <v>1168</v>
      </c>
      <c r="H16" s="194"/>
      <c r="I16" s="194"/>
      <c r="J16" s="194"/>
      <c r="K16" s="194"/>
      <c r="L16" s="194" t="s">
        <v>126</v>
      </c>
      <c r="M16" s="194" t="s">
        <v>126</v>
      </c>
      <c r="N16" s="49"/>
      <c r="O16" s="49"/>
      <c r="P16" s="50"/>
      <c r="Q16" s="216" t="str">
        <f t="shared" si="3"/>
        <v>A330200_Can0125SafetyVideo2023_CA0125_i4K_43_ZhoZhoZhoSUBCanSUB_Ed_M1.mpg</v>
      </c>
      <c r="R16" s="216" t="str">
        <f t="shared" si="4"/>
        <v>A330200_Can0125SafetyVideo2023_CA0125_i5K_169_ZhoZhoZhoSUBCanSUB_Ed_M2.mpg</v>
      </c>
      <c r="S16" s="214" t="s">
        <v>132</v>
      </c>
      <c r="T16" s="214"/>
      <c r="U16" s="215"/>
      <c r="V16" s="215"/>
      <c r="W16" s="215" t="s">
        <v>132</v>
      </c>
      <c r="X16" s="214" t="s">
        <v>1145</v>
      </c>
      <c r="Y16" s="227" t="s">
        <v>131</v>
      </c>
      <c r="Z16" s="227" t="s">
        <v>131</v>
      </c>
      <c r="AA16" s="228">
        <f t="shared" si="1"/>
        <v>7</v>
      </c>
      <c r="AB16" s="229" t="str">
        <f t="shared" si="0"/>
        <v>00:07:00</v>
      </c>
      <c r="AC16" s="230">
        <v>0.00501157407407407</v>
      </c>
      <c r="AD16" s="228">
        <f t="shared" si="2"/>
        <v>420</v>
      </c>
      <c r="AE16" s="231">
        <v>169</v>
      </c>
      <c r="AF16" s="231">
        <v>43</v>
      </c>
      <c r="AH16" s="74"/>
      <c r="AI16" s="75"/>
      <c r="AJ16" s="3"/>
      <c r="AK16" s="74"/>
      <c r="AL16" s="76"/>
      <c r="AM16" s="74"/>
      <c r="AN16" s="74"/>
      <c r="AO16" s="3"/>
      <c r="AP16" s="5"/>
      <c r="AQ16" s="5"/>
      <c r="AR16" s="5"/>
    </row>
    <row r="17" s="1" customFormat="1" ht="22" customHeight="1" spans="1:44">
      <c r="A17" s="156">
        <v>13</v>
      </c>
      <c r="B17" s="192" t="s">
        <v>122</v>
      </c>
      <c r="C17" s="193" t="s">
        <v>1109</v>
      </c>
      <c r="D17" s="192"/>
      <c r="E17" s="156">
        <v>13</v>
      </c>
      <c r="F17" s="156" t="s">
        <v>1169</v>
      </c>
      <c r="G17" s="156" t="s">
        <v>1170</v>
      </c>
      <c r="H17" s="194"/>
      <c r="I17" s="194"/>
      <c r="J17" s="194"/>
      <c r="K17" s="194"/>
      <c r="L17" s="194" t="s">
        <v>126</v>
      </c>
      <c r="M17" s="194" t="s">
        <v>126</v>
      </c>
      <c r="N17" s="49"/>
      <c r="O17" s="49"/>
      <c r="P17" s="50"/>
      <c r="Q17" s="216" t="str">
        <f t="shared" si="3"/>
        <v>A330300_Eng0125SafetyVideo2023_CA0125_i4K_43_ZhoZhoEngSUBZhoSUB_Ed_M1.mpg</v>
      </c>
      <c r="R17" s="216" t="str">
        <f t="shared" si="4"/>
        <v>A330300_Eng0125SafetyVideo2023_CA0125_i5K_169_ZhoZhoEngSUBZhoSUB_Ed_M2.mpg</v>
      </c>
      <c r="S17" s="214" t="s">
        <v>132</v>
      </c>
      <c r="T17" s="214"/>
      <c r="U17" s="215"/>
      <c r="V17" s="215"/>
      <c r="W17" s="215" t="s">
        <v>138</v>
      </c>
      <c r="X17" s="214" t="s">
        <v>132</v>
      </c>
      <c r="Y17" s="227" t="s">
        <v>131</v>
      </c>
      <c r="Z17" s="227" t="s">
        <v>131</v>
      </c>
      <c r="AA17" s="228">
        <f t="shared" si="1"/>
        <v>7</v>
      </c>
      <c r="AB17" s="229" t="str">
        <f t="shared" si="0"/>
        <v>00:07:00</v>
      </c>
      <c r="AC17" s="230">
        <v>0.00501157407407407</v>
      </c>
      <c r="AD17" s="228">
        <f t="shared" si="2"/>
        <v>420</v>
      </c>
      <c r="AE17" s="231">
        <v>169</v>
      </c>
      <c r="AF17" s="231">
        <v>43</v>
      </c>
      <c r="AH17" s="74"/>
      <c r="AI17" s="75"/>
      <c r="AJ17" s="3"/>
      <c r="AK17" s="74"/>
      <c r="AL17" s="76"/>
      <c r="AM17" s="74"/>
      <c r="AN17" s="74"/>
      <c r="AO17" s="3"/>
      <c r="AP17" s="5"/>
      <c r="AQ17" s="5"/>
      <c r="AR17" s="5"/>
    </row>
    <row r="18" s="1" customFormat="1" ht="22" customHeight="1" spans="1:44">
      <c r="A18" s="156">
        <v>14</v>
      </c>
      <c r="B18" s="192" t="s">
        <v>122</v>
      </c>
      <c r="C18" s="193" t="s">
        <v>1109</v>
      </c>
      <c r="D18" s="192"/>
      <c r="E18" s="156">
        <v>14</v>
      </c>
      <c r="F18" s="156" t="s">
        <v>1171</v>
      </c>
      <c r="G18" s="156" t="s">
        <v>1172</v>
      </c>
      <c r="H18" s="194"/>
      <c r="I18" s="194"/>
      <c r="J18" s="194"/>
      <c r="K18" s="194"/>
      <c r="L18" s="194" t="s">
        <v>126</v>
      </c>
      <c r="M18" s="194" t="s">
        <v>126</v>
      </c>
      <c r="N18" s="49"/>
      <c r="O18" s="49"/>
      <c r="P18" s="50"/>
      <c r="Q18" s="216" t="str">
        <f t="shared" si="3"/>
        <v>A330300_Zho0125SafetyVideo2023_CA0125_i4K_43_ZhoZhoEngSUBZhoSUB_Ed_M1.mpg</v>
      </c>
      <c r="R18" s="216" t="str">
        <f t="shared" si="4"/>
        <v>A330300_Zho0125SafetyVideo2023_CA0125_i5K_169_ZhoZhoEngSUBZhoSUB_Ed_M2.mpg</v>
      </c>
      <c r="S18" s="214" t="s">
        <v>132</v>
      </c>
      <c r="T18" s="214"/>
      <c r="U18" s="215"/>
      <c r="V18" s="215"/>
      <c r="W18" s="215" t="s">
        <v>138</v>
      </c>
      <c r="X18" s="214" t="s">
        <v>132</v>
      </c>
      <c r="Y18" s="227" t="s">
        <v>131</v>
      </c>
      <c r="Z18" s="227" t="s">
        <v>131</v>
      </c>
      <c r="AA18" s="228">
        <f t="shared" si="1"/>
        <v>4</v>
      </c>
      <c r="AB18" s="229" t="str">
        <f t="shared" si="0"/>
        <v>00:04:00</v>
      </c>
      <c r="AC18" s="230">
        <v>0.00292824074074074</v>
      </c>
      <c r="AD18" s="228">
        <f t="shared" si="2"/>
        <v>240</v>
      </c>
      <c r="AE18" s="231">
        <v>169</v>
      </c>
      <c r="AF18" s="231">
        <v>43</v>
      </c>
      <c r="AH18" s="74"/>
      <c r="AI18" s="75"/>
      <c r="AJ18" s="3"/>
      <c r="AK18" s="74"/>
      <c r="AL18" s="76"/>
      <c r="AM18" s="74"/>
      <c r="AN18" s="74"/>
      <c r="AO18" s="3"/>
      <c r="AP18" s="5"/>
      <c r="AQ18" s="5"/>
      <c r="AR18" s="5"/>
    </row>
    <row r="19" s="1" customFormat="1" ht="22" customHeight="1" spans="1:44">
      <c r="A19" s="156">
        <v>15</v>
      </c>
      <c r="B19" s="192" t="s">
        <v>122</v>
      </c>
      <c r="C19" s="193" t="s">
        <v>1109</v>
      </c>
      <c r="D19" s="192"/>
      <c r="E19" s="156">
        <v>15</v>
      </c>
      <c r="F19" s="156"/>
      <c r="G19" s="156" t="s">
        <v>1173</v>
      </c>
      <c r="H19" s="194"/>
      <c r="I19" s="194"/>
      <c r="J19" s="194"/>
      <c r="K19" s="194"/>
      <c r="L19" s="194" t="s">
        <v>126</v>
      </c>
      <c r="M19" s="194" t="s">
        <v>126</v>
      </c>
      <c r="N19" s="49"/>
      <c r="O19" s="49"/>
      <c r="P19" s="50"/>
      <c r="Q19" s="216" t="str">
        <f t="shared" si="3"/>
        <v>A330300_Can0125SafetyVideo2023_CA0125_i4K_43_ZhoZhoZhoSUBCanSUB_Ed_M1.mpg</v>
      </c>
      <c r="R19" s="216" t="str">
        <f t="shared" si="4"/>
        <v>A330300_Can0125SafetyVideo2023_CA0125_i5K_169_ZhoZhoZhoSUBCanSUB_Ed_M2.mpg</v>
      </c>
      <c r="S19" s="214" t="s">
        <v>132</v>
      </c>
      <c r="T19" s="214"/>
      <c r="U19" s="215"/>
      <c r="V19" s="215"/>
      <c r="W19" s="215" t="s">
        <v>132</v>
      </c>
      <c r="X19" s="214" t="s">
        <v>1145</v>
      </c>
      <c r="Y19" s="227" t="s">
        <v>131</v>
      </c>
      <c r="Z19" s="227" t="s">
        <v>131</v>
      </c>
      <c r="AA19" s="228">
        <f t="shared" si="1"/>
        <v>7</v>
      </c>
      <c r="AB19" s="229" t="str">
        <f t="shared" si="0"/>
        <v>00:07:00</v>
      </c>
      <c r="AC19" s="230">
        <v>0.00501157407407407</v>
      </c>
      <c r="AD19" s="228">
        <f t="shared" si="2"/>
        <v>420</v>
      </c>
      <c r="AE19" s="231">
        <v>169</v>
      </c>
      <c r="AF19" s="231">
        <v>43</v>
      </c>
      <c r="AH19" s="74"/>
      <c r="AI19" s="75"/>
      <c r="AJ19" s="3"/>
      <c r="AK19" s="74"/>
      <c r="AL19" s="76"/>
      <c r="AM19" s="74"/>
      <c r="AN19" s="74"/>
      <c r="AO19" s="3"/>
      <c r="AP19" s="5"/>
      <c r="AQ19" s="5"/>
      <c r="AR19" s="5"/>
    </row>
    <row r="20" s="1" customFormat="1" ht="22" customHeight="1" spans="1:44">
      <c r="A20" s="156">
        <v>16</v>
      </c>
      <c r="B20" s="192" t="s">
        <v>122</v>
      </c>
      <c r="C20" s="193" t="s">
        <v>1109</v>
      </c>
      <c r="D20" s="192"/>
      <c r="E20" s="156">
        <v>16</v>
      </c>
      <c r="F20" s="156" t="s">
        <v>1174</v>
      </c>
      <c r="G20" s="156" t="s">
        <v>1175</v>
      </c>
      <c r="H20" s="194"/>
      <c r="I20" s="194"/>
      <c r="J20" s="194"/>
      <c r="K20" s="194"/>
      <c r="L20" s="194" t="s">
        <v>126</v>
      </c>
      <c r="M20" s="194"/>
      <c r="N20" s="49"/>
      <c r="O20" s="49"/>
      <c r="P20" s="50"/>
      <c r="Q20" s="216"/>
      <c r="R20" s="216" t="str">
        <f t="shared" si="4"/>
        <v>B777300_Eng0125SafetyVideo2023_CA0125_i5K_169_ZhoZhoEngSUBZhoSUB_Ed_M2.mpg</v>
      </c>
      <c r="S20" s="214" t="s">
        <v>132</v>
      </c>
      <c r="T20" s="214"/>
      <c r="U20" s="215"/>
      <c r="V20" s="215"/>
      <c r="W20" s="215" t="s">
        <v>138</v>
      </c>
      <c r="X20" s="214" t="s">
        <v>132</v>
      </c>
      <c r="Y20" s="227" t="s">
        <v>131</v>
      </c>
      <c r="Z20" s="227" t="s">
        <v>131</v>
      </c>
      <c r="AA20" s="228">
        <f t="shared" si="1"/>
        <v>7</v>
      </c>
      <c r="AB20" s="229" t="str">
        <f t="shared" si="0"/>
        <v>00:07:00</v>
      </c>
      <c r="AC20" s="230">
        <v>0.00501157407407407</v>
      </c>
      <c r="AD20" s="228">
        <f t="shared" si="2"/>
        <v>420</v>
      </c>
      <c r="AE20" s="231">
        <v>169</v>
      </c>
      <c r="AF20" s="231">
        <v>43</v>
      </c>
      <c r="AH20" s="74"/>
      <c r="AI20" s="75"/>
      <c r="AJ20" s="3"/>
      <c r="AK20" s="74"/>
      <c r="AL20" s="76"/>
      <c r="AM20" s="74"/>
      <c r="AN20" s="74"/>
      <c r="AO20" s="3"/>
      <c r="AP20" s="5"/>
      <c r="AQ20" s="5"/>
      <c r="AR20" s="5"/>
    </row>
    <row r="21" s="1" customFormat="1" ht="22" customHeight="1" spans="1:44">
      <c r="A21" s="156">
        <v>17</v>
      </c>
      <c r="B21" s="192" t="s">
        <v>122</v>
      </c>
      <c r="C21" s="193" t="s">
        <v>1109</v>
      </c>
      <c r="D21" s="192"/>
      <c r="E21" s="156">
        <v>17</v>
      </c>
      <c r="F21" s="156" t="s">
        <v>1176</v>
      </c>
      <c r="G21" s="156" t="s">
        <v>1177</v>
      </c>
      <c r="H21" s="194"/>
      <c r="I21" s="194"/>
      <c r="J21" s="194"/>
      <c r="K21" s="194"/>
      <c r="L21" s="194" t="s">
        <v>126</v>
      </c>
      <c r="M21" s="194"/>
      <c r="N21" s="49"/>
      <c r="O21" s="49"/>
      <c r="P21" s="50"/>
      <c r="Q21" s="216"/>
      <c r="R21" s="216" t="str">
        <f t="shared" si="4"/>
        <v>B777300_Zho0125SafetyVideo2023_CA0125_i5K_169_ZhoZhoEngSUBZhoSUB_Ed_M2.mpg</v>
      </c>
      <c r="S21" s="214" t="s">
        <v>132</v>
      </c>
      <c r="T21" s="214"/>
      <c r="U21" s="215"/>
      <c r="V21" s="215"/>
      <c r="W21" s="215" t="s">
        <v>138</v>
      </c>
      <c r="X21" s="214" t="s">
        <v>132</v>
      </c>
      <c r="Y21" s="227" t="s">
        <v>131</v>
      </c>
      <c r="Z21" s="227" t="s">
        <v>131</v>
      </c>
      <c r="AA21" s="228">
        <f t="shared" si="1"/>
        <v>4</v>
      </c>
      <c r="AB21" s="229" t="str">
        <f t="shared" si="0"/>
        <v>00:04:00</v>
      </c>
      <c r="AC21" s="230">
        <v>0.00292824074074074</v>
      </c>
      <c r="AD21" s="228">
        <f t="shared" si="2"/>
        <v>240</v>
      </c>
      <c r="AE21" s="231">
        <v>169</v>
      </c>
      <c r="AF21" s="231">
        <v>43</v>
      </c>
      <c r="AH21" s="74"/>
      <c r="AI21" s="75"/>
      <c r="AJ21" s="3"/>
      <c r="AK21" s="74"/>
      <c r="AL21" s="76"/>
      <c r="AM21" s="74"/>
      <c r="AN21" s="74"/>
      <c r="AO21" s="3"/>
      <c r="AP21" s="5"/>
      <c r="AQ21" s="5"/>
      <c r="AR21" s="5"/>
    </row>
    <row r="22" s="1" customFormat="1" ht="22" customHeight="1" spans="1:44">
      <c r="A22" s="156">
        <v>18</v>
      </c>
      <c r="B22" s="192" t="s">
        <v>122</v>
      </c>
      <c r="C22" s="193" t="s">
        <v>1109</v>
      </c>
      <c r="D22" s="192"/>
      <c r="E22" s="156">
        <v>18</v>
      </c>
      <c r="F22" s="156"/>
      <c r="G22" s="156" t="s">
        <v>1178</v>
      </c>
      <c r="H22" s="194"/>
      <c r="I22" s="194"/>
      <c r="J22" s="194"/>
      <c r="K22" s="194"/>
      <c r="L22" s="194" t="s">
        <v>126</v>
      </c>
      <c r="M22" s="194"/>
      <c r="N22" s="49"/>
      <c r="O22" s="49"/>
      <c r="P22" s="50"/>
      <c r="Q22" s="216"/>
      <c r="R22" s="216" t="str">
        <f t="shared" si="4"/>
        <v>B777300_Can0125SafetyVideo2023_CA0125_i5K_169_ZhoZhoZhoSUBCanSUB_Ed_M2.mpg</v>
      </c>
      <c r="S22" s="214" t="s">
        <v>132</v>
      </c>
      <c r="T22" s="214"/>
      <c r="U22" s="215"/>
      <c r="V22" s="215"/>
      <c r="W22" s="215" t="s">
        <v>132</v>
      </c>
      <c r="X22" s="214" t="s">
        <v>1145</v>
      </c>
      <c r="Y22" s="227" t="s">
        <v>131</v>
      </c>
      <c r="Z22" s="227" t="s">
        <v>131</v>
      </c>
      <c r="AA22" s="228">
        <f t="shared" si="1"/>
        <v>7</v>
      </c>
      <c r="AB22" s="229" t="str">
        <f t="shared" si="0"/>
        <v>00:07:00</v>
      </c>
      <c r="AC22" s="230">
        <v>0.00501157407407407</v>
      </c>
      <c r="AD22" s="228">
        <f t="shared" si="2"/>
        <v>420</v>
      </c>
      <c r="AE22" s="231">
        <v>169</v>
      </c>
      <c r="AF22" s="231">
        <v>43</v>
      </c>
      <c r="AH22" s="74"/>
      <c r="AI22" s="75"/>
      <c r="AJ22" s="3"/>
      <c r="AK22" s="74"/>
      <c r="AL22" s="76"/>
      <c r="AM22" s="74"/>
      <c r="AN22" s="74"/>
      <c r="AO22" s="3"/>
      <c r="AP22" s="5"/>
      <c r="AQ22" s="5"/>
      <c r="AR22" s="5"/>
    </row>
    <row r="23" s="1" customFormat="1" ht="22" customHeight="1" spans="1:44">
      <c r="A23" s="156">
        <v>19</v>
      </c>
      <c r="B23" s="192" t="s">
        <v>122</v>
      </c>
      <c r="C23" s="193" t="s">
        <v>1109</v>
      </c>
      <c r="D23" s="192"/>
      <c r="E23" s="156">
        <v>19</v>
      </c>
      <c r="F23" s="156" t="s">
        <v>1179</v>
      </c>
      <c r="G23" s="156" t="s">
        <v>1180</v>
      </c>
      <c r="H23" s="194"/>
      <c r="I23" s="194"/>
      <c r="J23" s="194" t="s">
        <v>126</v>
      </c>
      <c r="K23" s="194"/>
      <c r="L23" s="194"/>
      <c r="M23" s="194"/>
      <c r="N23" s="49"/>
      <c r="O23" s="49" t="s">
        <v>1181</v>
      </c>
      <c r="P23" s="50"/>
      <c r="Q23" s="216"/>
      <c r="R23" s="216"/>
      <c r="S23" s="214" t="s">
        <v>132</v>
      </c>
      <c r="T23" s="214"/>
      <c r="U23" s="215"/>
      <c r="V23" s="215"/>
      <c r="W23" s="215" t="s">
        <v>138</v>
      </c>
      <c r="X23" s="214" t="s">
        <v>132</v>
      </c>
      <c r="Y23" s="227" t="s">
        <v>131</v>
      </c>
      <c r="Z23" s="227" t="s">
        <v>131</v>
      </c>
      <c r="AA23" s="228">
        <f t="shared" si="1"/>
        <v>7</v>
      </c>
      <c r="AB23" s="229" t="str">
        <f t="shared" si="0"/>
        <v>00:07:00</v>
      </c>
      <c r="AC23" s="230">
        <v>0.00501157407407407</v>
      </c>
      <c r="AD23" s="228">
        <f t="shared" si="2"/>
        <v>420</v>
      </c>
      <c r="AE23" s="231">
        <v>169</v>
      </c>
      <c r="AF23" s="231">
        <v>43</v>
      </c>
      <c r="AH23" s="74"/>
      <c r="AI23" s="75"/>
      <c r="AJ23" s="3"/>
      <c r="AK23" s="74"/>
      <c r="AL23" s="76"/>
      <c r="AM23" s="74"/>
      <c r="AN23" s="74"/>
      <c r="AO23" s="3"/>
      <c r="AP23" s="5"/>
      <c r="AQ23" s="5"/>
      <c r="AR23" s="5"/>
    </row>
    <row r="24" s="1" customFormat="1" ht="22" customHeight="1" spans="1:44">
      <c r="A24" s="156">
        <v>20</v>
      </c>
      <c r="B24" s="192" t="s">
        <v>122</v>
      </c>
      <c r="C24" s="193" t="s">
        <v>1109</v>
      </c>
      <c r="D24" s="192"/>
      <c r="E24" s="156">
        <v>20</v>
      </c>
      <c r="F24" s="156" t="s">
        <v>1182</v>
      </c>
      <c r="G24" s="156" t="s">
        <v>1183</v>
      </c>
      <c r="H24" s="194"/>
      <c r="I24" s="194"/>
      <c r="J24" s="194" t="s">
        <v>126</v>
      </c>
      <c r="K24" s="194"/>
      <c r="L24" s="194"/>
      <c r="M24" s="194"/>
      <c r="N24" s="49"/>
      <c r="O24" s="49" t="s">
        <v>1184</v>
      </c>
      <c r="P24" s="50"/>
      <c r="Q24" s="216"/>
      <c r="R24" s="216"/>
      <c r="S24" s="214" t="s">
        <v>132</v>
      </c>
      <c r="T24" s="214"/>
      <c r="U24" s="215"/>
      <c r="V24" s="215"/>
      <c r="W24" s="215" t="s">
        <v>138</v>
      </c>
      <c r="X24" s="214" t="s">
        <v>132</v>
      </c>
      <c r="Y24" s="227" t="s">
        <v>131</v>
      </c>
      <c r="Z24" s="227" t="s">
        <v>131</v>
      </c>
      <c r="AA24" s="228">
        <f t="shared" si="1"/>
        <v>4</v>
      </c>
      <c r="AB24" s="229" t="str">
        <f t="shared" si="0"/>
        <v>00:04:00</v>
      </c>
      <c r="AC24" s="230">
        <v>0.00292824074074074</v>
      </c>
      <c r="AD24" s="228">
        <f t="shared" si="2"/>
        <v>240</v>
      </c>
      <c r="AE24" s="231">
        <v>169</v>
      </c>
      <c r="AF24" s="231">
        <v>43</v>
      </c>
      <c r="AH24" s="74"/>
      <c r="AI24" s="75"/>
      <c r="AJ24" s="3"/>
      <c r="AK24" s="74"/>
      <c r="AL24" s="76"/>
      <c r="AM24" s="74"/>
      <c r="AN24" s="74"/>
      <c r="AO24" s="3"/>
      <c r="AP24" s="5"/>
      <c r="AQ24" s="5"/>
      <c r="AR24" s="5"/>
    </row>
    <row r="25" s="1" customFormat="1" ht="22" customHeight="1" spans="1:44">
      <c r="A25" s="156">
        <v>21</v>
      </c>
      <c r="B25" s="192" t="s">
        <v>122</v>
      </c>
      <c r="C25" s="193" t="s">
        <v>1109</v>
      </c>
      <c r="D25" s="192"/>
      <c r="E25" s="156">
        <v>21</v>
      </c>
      <c r="F25" s="156" t="s">
        <v>1185</v>
      </c>
      <c r="G25" s="156" t="s">
        <v>1186</v>
      </c>
      <c r="H25" s="194"/>
      <c r="I25" s="194"/>
      <c r="J25" s="194" t="s">
        <v>126</v>
      </c>
      <c r="K25" s="194"/>
      <c r="L25" s="194"/>
      <c r="M25" s="194"/>
      <c r="N25" s="49"/>
      <c r="O25" s="49" t="s">
        <v>1187</v>
      </c>
      <c r="P25" s="50"/>
      <c r="Q25" s="216"/>
      <c r="R25" s="216"/>
      <c r="S25" s="214" t="s">
        <v>132</v>
      </c>
      <c r="T25" s="214"/>
      <c r="U25" s="215"/>
      <c r="V25" s="215"/>
      <c r="W25" s="215" t="s">
        <v>138</v>
      </c>
      <c r="X25" s="214" t="s">
        <v>132</v>
      </c>
      <c r="Y25" s="227" t="s">
        <v>131</v>
      </c>
      <c r="Z25" s="227" t="s">
        <v>131</v>
      </c>
      <c r="AA25" s="228">
        <f t="shared" si="1"/>
        <v>7</v>
      </c>
      <c r="AB25" s="229" t="str">
        <f t="shared" si="0"/>
        <v>00:07:00</v>
      </c>
      <c r="AC25" s="230">
        <v>0.00501157407407407</v>
      </c>
      <c r="AD25" s="228">
        <f t="shared" si="2"/>
        <v>420</v>
      </c>
      <c r="AE25" s="231">
        <v>169</v>
      </c>
      <c r="AF25" s="231">
        <v>43</v>
      </c>
      <c r="AH25" s="74"/>
      <c r="AI25" s="75"/>
      <c r="AJ25" s="3"/>
      <c r="AK25" s="74"/>
      <c r="AL25" s="76"/>
      <c r="AM25" s="74"/>
      <c r="AN25" s="74"/>
      <c r="AO25" s="3"/>
      <c r="AP25" s="5"/>
      <c r="AQ25" s="5"/>
      <c r="AR25" s="5"/>
    </row>
    <row r="26" s="1" customFormat="1" ht="22" customHeight="1" spans="1:44">
      <c r="A26" s="156">
        <v>22</v>
      </c>
      <c r="B26" s="192" t="s">
        <v>122</v>
      </c>
      <c r="C26" s="193" t="s">
        <v>1109</v>
      </c>
      <c r="D26" s="192"/>
      <c r="E26" s="156">
        <v>22</v>
      </c>
      <c r="F26" s="156" t="s">
        <v>1188</v>
      </c>
      <c r="G26" s="156" t="s">
        <v>1189</v>
      </c>
      <c r="H26" s="194"/>
      <c r="I26" s="194"/>
      <c r="J26" s="194" t="s">
        <v>126</v>
      </c>
      <c r="K26" s="194"/>
      <c r="L26" s="194"/>
      <c r="M26" s="194"/>
      <c r="N26" s="49"/>
      <c r="O26" s="49" t="s">
        <v>1190</v>
      </c>
      <c r="P26" s="50"/>
      <c r="Q26" s="216"/>
      <c r="R26" s="216"/>
      <c r="S26" s="214" t="s">
        <v>132</v>
      </c>
      <c r="T26" s="214"/>
      <c r="U26" s="215"/>
      <c r="V26" s="215"/>
      <c r="W26" s="215" t="s">
        <v>138</v>
      </c>
      <c r="X26" s="214" t="s">
        <v>132</v>
      </c>
      <c r="Y26" s="227" t="s">
        <v>131</v>
      </c>
      <c r="Z26" s="227" t="s">
        <v>131</v>
      </c>
      <c r="AA26" s="228">
        <f t="shared" si="1"/>
        <v>4</v>
      </c>
      <c r="AB26" s="229" t="str">
        <f t="shared" si="0"/>
        <v>00:04:00</v>
      </c>
      <c r="AC26" s="230">
        <v>0.00292824074074074</v>
      </c>
      <c r="AD26" s="228">
        <f t="shared" si="2"/>
        <v>240</v>
      </c>
      <c r="AE26" s="231">
        <v>169</v>
      </c>
      <c r="AF26" s="231">
        <v>43</v>
      </c>
      <c r="AH26" s="74"/>
      <c r="AI26" s="75"/>
      <c r="AJ26" s="3"/>
      <c r="AK26" s="74"/>
      <c r="AL26" s="76"/>
      <c r="AM26" s="74"/>
      <c r="AN26" s="74"/>
      <c r="AO26" s="3"/>
      <c r="AP26" s="5"/>
      <c r="AQ26" s="5"/>
      <c r="AR26" s="5"/>
    </row>
    <row r="27" s="1" customFormat="1" ht="22" customHeight="1" spans="1:44">
      <c r="A27" s="156">
        <v>23</v>
      </c>
      <c r="B27" s="192" t="s">
        <v>122</v>
      </c>
      <c r="C27" s="193" t="s">
        <v>1109</v>
      </c>
      <c r="D27" s="192"/>
      <c r="E27" s="156">
        <v>23</v>
      </c>
      <c r="F27" s="156" t="s">
        <v>1191</v>
      </c>
      <c r="G27" s="156" t="s">
        <v>1192</v>
      </c>
      <c r="H27" s="194"/>
      <c r="I27" s="194"/>
      <c r="J27" s="194" t="s">
        <v>126</v>
      </c>
      <c r="K27" s="194"/>
      <c r="L27" s="194"/>
      <c r="M27" s="194"/>
      <c r="N27" s="49"/>
      <c r="O27" s="49" t="s">
        <v>1193</v>
      </c>
      <c r="P27" s="50"/>
      <c r="Q27" s="216"/>
      <c r="R27" s="216"/>
      <c r="S27" s="214" t="s">
        <v>132</v>
      </c>
      <c r="T27" s="214"/>
      <c r="U27" s="215"/>
      <c r="V27" s="215"/>
      <c r="W27" s="215" t="s">
        <v>132</v>
      </c>
      <c r="X27" s="214" t="s">
        <v>1145</v>
      </c>
      <c r="Y27" s="227" t="s">
        <v>131</v>
      </c>
      <c r="Z27" s="227" t="s">
        <v>131</v>
      </c>
      <c r="AA27" s="228">
        <f t="shared" si="1"/>
        <v>7</v>
      </c>
      <c r="AB27" s="229" t="str">
        <f t="shared" si="0"/>
        <v>00:07:00</v>
      </c>
      <c r="AC27" s="230">
        <v>0.00501157407407407</v>
      </c>
      <c r="AD27" s="228">
        <f t="shared" si="2"/>
        <v>420</v>
      </c>
      <c r="AE27" s="231">
        <v>169</v>
      </c>
      <c r="AF27" s="231">
        <v>43</v>
      </c>
      <c r="AH27" s="74"/>
      <c r="AI27" s="75"/>
      <c r="AJ27" s="3"/>
      <c r="AK27" s="74"/>
      <c r="AL27" s="76"/>
      <c r="AM27" s="74"/>
      <c r="AN27" s="74"/>
      <c r="AO27" s="3"/>
      <c r="AP27" s="5"/>
      <c r="AQ27" s="5"/>
      <c r="AR27" s="5"/>
    </row>
    <row r="28" s="185" customFormat="1" ht="22" customHeight="1" spans="1:44">
      <c r="A28" s="156">
        <v>24</v>
      </c>
      <c r="B28" s="192" t="s">
        <v>122</v>
      </c>
      <c r="C28" s="193" t="s">
        <v>1109</v>
      </c>
      <c r="D28" s="192"/>
      <c r="E28" s="156">
        <v>24</v>
      </c>
      <c r="F28" s="156" t="s">
        <v>1194</v>
      </c>
      <c r="G28" s="156" t="s">
        <v>1195</v>
      </c>
      <c r="H28" s="194"/>
      <c r="I28" s="194"/>
      <c r="J28" s="194" t="s">
        <v>126</v>
      </c>
      <c r="K28" s="194"/>
      <c r="L28" s="194"/>
      <c r="M28" s="194"/>
      <c r="N28" s="49"/>
      <c r="O28" s="49" t="s">
        <v>1196</v>
      </c>
      <c r="P28" s="50"/>
      <c r="Q28" s="216"/>
      <c r="R28" s="216"/>
      <c r="S28" s="214" t="s">
        <v>132</v>
      </c>
      <c r="T28" s="214"/>
      <c r="U28" s="215"/>
      <c r="V28" s="215"/>
      <c r="W28" s="214" t="s">
        <v>132</v>
      </c>
      <c r="X28" s="214" t="s">
        <v>1145</v>
      </c>
      <c r="Y28" s="227" t="s">
        <v>131</v>
      </c>
      <c r="Z28" s="227" t="s">
        <v>131</v>
      </c>
      <c r="AA28" s="228">
        <f t="shared" si="1"/>
        <v>7</v>
      </c>
      <c r="AB28" s="229" t="str">
        <f t="shared" si="0"/>
        <v>00:07:00</v>
      </c>
      <c r="AC28" s="230">
        <v>0.00501157407407407</v>
      </c>
      <c r="AD28" s="228">
        <f t="shared" si="2"/>
        <v>420</v>
      </c>
      <c r="AE28" s="231">
        <v>169</v>
      </c>
      <c r="AF28" s="231">
        <v>43</v>
      </c>
      <c r="AH28" s="239"/>
      <c r="AI28" s="238"/>
      <c r="AJ28" s="240"/>
      <c r="AK28" s="239"/>
      <c r="AL28" s="241"/>
      <c r="AM28" s="239"/>
      <c r="AN28" s="239"/>
      <c r="AO28" s="240"/>
      <c r="AP28" s="243"/>
      <c r="AQ28" s="243"/>
      <c r="AR28" s="243"/>
    </row>
    <row r="29" customHeight="1" spans="1:32">
      <c r="A29" s="156">
        <v>25</v>
      </c>
      <c r="B29" s="192" t="s">
        <v>122</v>
      </c>
      <c r="C29" s="193" t="s">
        <v>1109</v>
      </c>
      <c r="D29" s="192"/>
      <c r="E29" s="156">
        <v>25</v>
      </c>
      <c r="F29" s="156" t="s">
        <v>1197</v>
      </c>
      <c r="G29" s="156" t="s">
        <v>1197</v>
      </c>
      <c r="H29" s="194"/>
      <c r="I29" s="194"/>
      <c r="J29" s="194" t="s">
        <v>126</v>
      </c>
      <c r="K29" s="194"/>
      <c r="L29" s="194"/>
      <c r="M29" s="194"/>
      <c r="N29" s="49"/>
      <c r="O29" s="49" t="s">
        <v>1198</v>
      </c>
      <c r="P29" s="50"/>
      <c r="Q29" s="216"/>
      <c r="R29" s="216"/>
      <c r="S29" s="214" t="s">
        <v>132</v>
      </c>
      <c r="T29" s="214"/>
      <c r="U29" s="214"/>
      <c r="V29" s="214"/>
      <c r="W29" s="215" t="s">
        <v>138</v>
      </c>
      <c r="X29" s="214" t="s">
        <v>132</v>
      </c>
      <c r="Y29" s="232" t="s">
        <v>131</v>
      </c>
      <c r="Z29" s="232" t="s">
        <v>131</v>
      </c>
      <c r="AA29" s="228">
        <f t="shared" si="1"/>
        <v>7</v>
      </c>
      <c r="AB29" s="229" t="str">
        <f t="shared" si="0"/>
        <v>00:07:00</v>
      </c>
      <c r="AC29" s="230">
        <v>0.00498842592592593</v>
      </c>
      <c r="AD29" s="228">
        <f t="shared" si="2"/>
        <v>420</v>
      </c>
      <c r="AE29" s="231">
        <v>169</v>
      </c>
      <c r="AF29" s="231">
        <v>43</v>
      </c>
    </row>
    <row r="30" customHeight="1" spans="1:32">
      <c r="A30" s="156">
        <v>26</v>
      </c>
      <c r="B30" s="192" t="s">
        <v>122</v>
      </c>
      <c r="C30" s="193" t="s">
        <v>1109</v>
      </c>
      <c r="D30" s="192"/>
      <c r="E30" s="156">
        <v>26</v>
      </c>
      <c r="F30" s="156" t="s">
        <v>1199</v>
      </c>
      <c r="G30" s="156" t="s">
        <v>1199</v>
      </c>
      <c r="H30" s="194"/>
      <c r="I30" s="194"/>
      <c r="J30" s="194" t="s">
        <v>126</v>
      </c>
      <c r="K30" s="194"/>
      <c r="L30" s="194"/>
      <c r="M30" s="194"/>
      <c r="N30" s="49"/>
      <c r="O30" s="49" t="s">
        <v>1200</v>
      </c>
      <c r="P30" s="50"/>
      <c r="Q30" s="216"/>
      <c r="R30" s="216"/>
      <c r="S30" s="214" t="s">
        <v>132</v>
      </c>
      <c r="T30" s="214"/>
      <c r="U30" s="214"/>
      <c r="V30" s="214"/>
      <c r="W30" s="215" t="s">
        <v>138</v>
      </c>
      <c r="X30" s="214" t="s">
        <v>132</v>
      </c>
      <c r="Y30" s="232" t="s">
        <v>131</v>
      </c>
      <c r="Z30" s="232" t="s">
        <v>131</v>
      </c>
      <c r="AA30" s="228">
        <f t="shared" si="1"/>
        <v>4</v>
      </c>
      <c r="AB30" s="229" t="str">
        <f t="shared" si="0"/>
        <v>00:04:00</v>
      </c>
      <c r="AC30" s="230">
        <v>0.00292824074074074</v>
      </c>
      <c r="AD30" s="228">
        <f t="shared" si="2"/>
        <v>240</v>
      </c>
      <c r="AE30" s="231">
        <v>169</v>
      </c>
      <c r="AF30" s="231">
        <v>43</v>
      </c>
    </row>
    <row r="31" customFormat="1" customHeight="1" spans="1:32">
      <c r="A31" s="156">
        <v>27</v>
      </c>
      <c r="B31" s="192" t="s">
        <v>122</v>
      </c>
      <c r="C31" s="193" t="s">
        <v>1109</v>
      </c>
      <c r="D31" s="192"/>
      <c r="E31" s="156">
        <v>27</v>
      </c>
      <c r="F31" s="156" t="s">
        <v>1201</v>
      </c>
      <c r="G31" s="156" t="s">
        <v>1202</v>
      </c>
      <c r="H31" s="194"/>
      <c r="I31" s="194"/>
      <c r="J31" s="194"/>
      <c r="K31" s="194" t="s">
        <v>126</v>
      </c>
      <c r="L31" s="194"/>
      <c r="M31" s="194"/>
      <c r="N31" s="49"/>
      <c r="O31" s="49"/>
      <c r="P31" s="50" t="s">
        <v>1203</v>
      </c>
      <c r="Q31" s="216"/>
      <c r="R31" s="216"/>
      <c r="S31" s="214" t="s">
        <v>132</v>
      </c>
      <c r="T31" s="214"/>
      <c r="U31" s="214"/>
      <c r="V31" s="214"/>
      <c r="W31" s="215" t="s">
        <v>138</v>
      </c>
      <c r="X31" s="214" t="s">
        <v>132</v>
      </c>
      <c r="Y31" s="232" t="s">
        <v>131</v>
      </c>
      <c r="Z31" s="232" t="s">
        <v>131</v>
      </c>
      <c r="AA31" s="228">
        <f t="shared" si="1"/>
        <v>7</v>
      </c>
      <c r="AB31" s="229" t="str">
        <f t="shared" si="0"/>
        <v>00:07:00</v>
      </c>
      <c r="AC31" s="230">
        <v>0.00501157407407407</v>
      </c>
      <c r="AD31" s="228">
        <f t="shared" si="2"/>
        <v>420</v>
      </c>
      <c r="AE31" s="231">
        <v>169</v>
      </c>
      <c r="AF31" s="231">
        <v>43</v>
      </c>
    </row>
    <row r="32" customFormat="1" customHeight="1" spans="1:32">
      <c r="A32" s="156">
        <v>28</v>
      </c>
      <c r="B32" s="192" t="s">
        <v>122</v>
      </c>
      <c r="C32" s="193" t="s">
        <v>1109</v>
      </c>
      <c r="D32" s="192"/>
      <c r="E32" s="156">
        <v>28</v>
      </c>
      <c r="F32" s="156" t="s">
        <v>1204</v>
      </c>
      <c r="G32" s="156" t="s">
        <v>1205</v>
      </c>
      <c r="H32" s="194"/>
      <c r="I32" s="194"/>
      <c r="J32" s="194"/>
      <c r="K32" s="194" t="s">
        <v>126</v>
      </c>
      <c r="L32" s="194"/>
      <c r="M32" s="194"/>
      <c r="N32" s="49"/>
      <c r="O32" s="49"/>
      <c r="P32" s="50" t="s">
        <v>1206</v>
      </c>
      <c r="Q32" s="216"/>
      <c r="R32" s="216"/>
      <c r="S32" s="214" t="s">
        <v>132</v>
      </c>
      <c r="T32" s="214"/>
      <c r="U32" s="214"/>
      <c r="V32" s="214"/>
      <c r="W32" s="215" t="s">
        <v>138</v>
      </c>
      <c r="X32" s="214" t="s">
        <v>132</v>
      </c>
      <c r="Y32" s="232" t="s">
        <v>131</v>
      </c>
      <c r="Z32" s="232" t="s">
        <v>131</v>
      </c>
      <c r="AA32" s="228">
        <f t="shared" si="1"/>
        <v>4</v>
      </c>
      <c r="AB32" s="229" t="str">
        <f t="shared" si="0"/>
        <v>00:04:00</v>
      </c>
      <c r="AC32" s="230">
        <v>0.00292824074074074</v>
      </c>
      <c r="AD32" s="228">
        <f t="shared" si="2"/>
        <v>240</v>
      </c>
      <c r="AE32" s="231">
        <v>169</v>
      </c>
      <c r="AF32" s="231">
        <v>43</v>
      </c>
    </row>
    <row r="33" s="185" customFormat="1" ht="22" customHeight="1" spans="1:44">
      <c r="A33" s="156">
        <v>29</v>
      </c>
      <c r="B33" s="192" t="s">
        <v>122</v>
      </c>
      <c r="C33" s="193" t="s">
        <v>1207</v>
      </c>
      <c r="D33" s="192"/>
      <c r="E33" s="156">
        <v>29</v>
      </c>
      <c r="F33" s="153" t="s">
        <v>1208</v>
      </c>
      <c r="G33" s="156" t="s">
        <v>1209</v>
      </c>
      <c r="H33" s="194" t="s">
        <v>126</v>
      </c>
      <c r="I33" s="194" t="s">
        <v>126</v>
      </c>
      <c r="J33" s="194" t="s">
        <v>126</v>
      </c>
      <c r="K33" s="194" t="s">
        <v>126</v>
      </c>
      <c r="L33" s="194" t="s">
        <v>126</v>
      </c>
      <c r="M33" s="194" t="s">
        <v>126</v>
      </c>
      <c r="N33" s="49" t="s">
        <v>1210</v>
      </c>
      <c r="O33" s="49" t="s">
        <v>1211</v>
      </c>
      <c r="P33" s="50" t="s">
        <v>1212</v>
      </c>
      <c r="Q33" s="216"/>
      <c r="R33" s="216"/>
      <c r="S33" s="214" t="s">
        <v>132</v>
      </c>
      <c r="T33" s="214"/>
      <c r="U33" s="214"/>
      <c r="V33" s="214"/>
      <c r="W33" s="215" t="s">
        <v>138</v>
      </c>
      <c r="X33" s="214" t="s">
        <v>132</v>
      </c>
      <c r="Y33" s="227" t="s">
        <v>131</v>
      </c>
      <c r="Z33" s="227" t="s">
        <v>131</v>
      </c>
      <c r="AA33" s="228">
        <f t="shared" si="1"/>
        <v>7</v>
      </c>
      <c r="AB33" s="229" t="str">
        <f t="shared" si="0"/>
        <v>00:07:00</v>
      </c>
      <c r="AC33" s="230">
        <v>0.00501157407407407</v>
      </c>
      <c r="AD33" s="228">
        <f t="shared" si="2"/>
        <v>420</v>
      </c>
      <c r="AE33" s="231">
        <v>169</v>
      </c>
      <c r="AF33" s="231">
        <v>43</v>
      </c>
      <c r="AH33" s="239"/>
      <c r="AI33" s="238"/>
      <c r="AJ33" s="240"/>
      <c r="AK33" s="239"/>
      <c r="AL33" s="241"/>
      <c r="AM33" s="239"/>
      <c r="AN33" s="239"/>
      <c r="AO33" s="240"/>
      <c r="AP33" s="243"/>
      <c r="AQ33" s="243"/>
      <c r="AR33" s="243"/>
    </row>
    <row r="34" s="185" customFormat="1" ht="22" customHeight="1" spans="1:44">
      <c r="A34" s="156">
        <v>30</v>
      </c>
      <c r="B34" s="192" t="s">
        <v>122</v>
      </c>
      <c r="C34" s="193" t="s">
        <v>1207</v>
      </c>
      <c r="D34" s="192"/>
      <c r="E34" s="156">
        <v>30</v>
      </c>
      <c r="F34" s="153" t="s">
        <v>1213</v>
      </c>
      <c r="G34" s="156" t="s">
        <v>1214</v>
      </c>
      <c r="H34" s="194"/>
      <c r="I34" s="194"/>
      <c r="J34" s="194" t="s">
        <v>126</v>
      </c>
      <c r="K34" s="194"/>
      <c r="L34" s="194"/>
      <c r="M34" s="194"/>
      <c r="N34" s="49"/>
      <c r="O34" s="49" t="s">
        <v>1215</v>
      </c>
      <c r="P34" s="50"/>
      <c r="Q34" s="216"/>
      <c r="R34" s="216"/>
      <c r="S34" s="214" t="s">
        <v>132</v>
      </c>
      <c r="T34" s="214"/>
      <c r="U34" s="214"/>
      <c r="V34" s="214"/>
      <c r="W34" s="215" t="s">
        <v>138</v>
      </c>
      <c r="X34" s="214" t="s">
        <v>132</v>
      </c>
      <c r="Y34" s="227" t="s">
        <v>131</v>
      </c>
      <c r="Z34" s="227" t="s">
        <v>131</v>
      </c>
      <c r="AA34" s="228">
        <f t="shared" si="1"/>
        <v>4</v>
      </c>
      <c r="AB34" s="229" t="str">
        <f t="shared" si="0"/>
        <v>00:04:00</v>
      </c>
      <c r="AC34" s="230">
        <v>0.00292824074074074</v>
      </c>
      <c r="AD34" s="228">
        <f t="shared" si="2"/>
        <v>240</v>
      </c>
      <c r="AE34" s="231">
        <v>169</v>
      </c>
      <c r="AF34" s="231">
        <v>43</v>
      </c>
      <c r="AH34" s="239"/>
      <c r="AI34" s="238"/>
      <c r="AJ34" s="240"/>
      <c r="AK34" s="239"/>
      <c r="AL34" s="241"/>
      <c r="AM34" s="239"/>
      <c r="AN34" s="239"/>
      <c r="AO34" s="240"/>
      <c r="AP34" s="243"/>
      <c r="AQ34" s="243"/>
      <c r="AR34" s="243"/>
    </row>
    <row r="35" customHeight="1" spans="28:28">
      <c r="AB35" s="233"/>
    </row>
    <row r="36" customHeight="1" spans="28:28">
      <c r="AB36" s="233"/>
    </row>
    <row r="37" customHeight="1" spans="28:28">
      <c r="AB37" s="233"/>
    </row>
    <row r="38" customHeight="1" spans="28:28">
      <c r="AB38" s="233"/>
    </row>
    <row r="39" customHeight="1" spans="28:28">
      <c r="AB39" s="233"/>
    </row>
    <row r="40" customHeight="1" spans="28:28">
      <c r="AB40" s="233"/>
    </row>
    <row r="41" customHeight="1" spans="28:28">
      <c r="AB41" s="233"/>
    </row>
    <row r="42" customHeight="1" spans="28:28">
      <c r="AB42" s="233"/>
    </row>
    <row r="43" customHeight="1" spans="28:28">
      <c r="AB43" s="233"/>
    </row>
    <row r="44" customHeight="1" spans="28:28">
      <c r="AB44" s="233"/>
    </row>
    <row r="45" customHeight="1" spans="28:28">
      <c r="AB45" s="233"/>
    </row>
    <row r="46" customHeight="1" spans="28:28">
      <c r="AB46" s="233"/>
    </row>
    <row r="47" customHeight="1" spans="28:28">
      <c r="AB47" s="233"/>
    </row>
    <row r="48" customHeight="1" spans="28:28">
      <c r="AB48" s="233"/>
    </row>
    <row r="49" customHeight="1" spans="28:28">
      <c r="AB49" s="233"/>
    </row>
    <row r="50" customHeight="1" spans="28:28">
      <c r="AB50" s="233"/>
    </row>
    <row r="51" customHeight="1" spans="28:28">
      <c r="AB51" s="233"/>
    </row>
    <row r="52" customHeight="1" spans="28:28">
      <c r="AB52" s="233"/>
    </row>
    <row r="53" customHeight="1" spans="28:28">
      <c r="AB53" s="233"/>
    </row>
    <row r="54" customHeight="1" spans="28:28">
      <c r="AB54" s="233"/>
    </row>
    <row r="55" customHeight="1" spans="28:28">
      <c r="AB55" s="233"/>
    </row>
    <row r="56" customHeight="1" spans="28:28">
      <c r="AB56" s="233"/>
    </row>
    <row r="57" customHeight="1" spans="28:28">
      <c r="AB57" s="233"/>
    </row>
    <row r="58" customHeight="1" spans="28:28">
      <c r="AB58" s="233"/>
    </row>
    <row r="59" customHeight="1" spans="28:28">
      <c r="AB59" s="233"/>
    </row>
    <row r="60" customHeight="1" spans="28:28">
      <c r="AB60" s="233"/>
    </row>
    <row r="61" customHeight="1" spans="28:28">
      <c r="AB61" s="233"/>
    </row>
    <row r="62" customHeight="1" spans="28:28">
      <c r="AB62" s="233"/>
    </row>
    <row r="63" customHeight="1" spans="28:28">
      <c r="AB63" s="233"/>
    </row>
    <row r="64" customHeight="1" spans="28:28">
      <c r="AB64" s="233"/>
    </row>
    <row r="65" customHeight="1" spans="28:28">
      <c r="AB65" s="233"/>
    </row>
    <row r="66" customHeight="1" spans="28:28">
      <c r="AB66" s="233"/>
    </row>
    <row r="67" customHeight="1" spans="28:28">
      <c r="AB67" s="233"/>
    </row>
    <row r="68" customHeight="1" spans="28:28">
      <c r="AB68" s="233"/>
    </row>
    <row r="69" customHeight="1" spans="28:28">
      <c r="AB69" s="233"/>
    </row>
    <row r="70" customHeight="1" spans="28:28">
      <c r="AB70" s="233"/>
    </row>
    <row r="71" customHeight="1" spans="28:28">
      <c r="AB71" s="233"/>
    </row>
    <row r="72" customHeight="1" spans="28:28">
      <c r="AB72" s="233"/>
    </row>
    <row r="73" customHeight="1" spans="28:28">
      <c r="AB73" s="233"/>
    </row>
    <row r="74" customHeight="1" spans="28:28">
      <c r="AB74" s="233"/>
    </row>
    <row r="75" customHeight="1" spans="28:28">
      <c r="AB75" s="233"/>
    </row>
    <row r="76" customHeight="1" spans="28:28">
      <c r="AB76" s="233"/>
    </row>
    <row r="77" customHeight="1" spans="28:28">
      <c r="AB77" s="233"/>
    </row>
    <row r="78" customHeight="1" spans="28:28">
      <c r="AB78" s="233"/>
    </row>
    <row r="79" customHeight="1" spans="28:28">
      <c r="AB79" s="233"/>
    </row>
    <row r="80" customHeight="1" spans="28:28">
      <c r="AB80" s="233"/>
    </row>
    <row r="81" customHeight="1" spans="28:28">
      <c r="AB81" s="233"/>
    </row>
    <row r="82" customHeight="1" spans="28:28">
      <c r="AB82" s="233"/>
    </row>
    <row r="83" customHeight="1" spans="28:28">
      <c r="AB83" s="233"/>
    </row>
    <row r="84" customHeight="1" spans="28:28">
      <c r="AB84" s="233"/>
    </row>
    <row r="85" customHeight="1" spans="28:28">
      <c r="AB85" s="233"/>
    </row>
    <row r="86" customHeight="1" spans="28:28">
      <c r="AB86" s="233"/>
    </row>
    <row r="87" customHeight="1" spans="28:28">
      <c r="AB87" s="233"/>
    </row>
    <row r="88" customHeight="1" spans="28:28">
      <c r="AB88" s="233"/>
    </row>
    <row r="89" customHeight="1" spans="28:28">
      <c r="AB89" s="233"/>
    </row>
    <row r="90" customHeight="1" spans="28:28">
      <c r="AB90" s="233"/>
    </row>
    <row r="91" customHeight="1" spans="28:28">
      <c r="AB91" s="233"/>
    </row>
    <row r="92" customHeight="1" spans="28:28">
      <c r="AB92" s="233"/>
    </row>
    <row r="93" customHeight="1" spans="28:28">
      <c r="AB93" s="233"/>
    </row>
    <row r="94" customHeight="1" spans="28:28">
      <c r="AB94" s="233"/>
    </row>
    <row r="95" customHeight="1" spans="28:28">
      <c r="AB95" s="233"/>
    </row>
    <row r="96" customHeight="1" spans="28:28">
      <c r="AB96" s="233"/>
    </row>
    <row r="97" customHeight="1" spans="28:28">
      <c r="AB97" s="233"/>
    </row>
    <row r="98" customHeight="1" spans="28:28">
      <c r="AB98" s="233"/>
    </row>
    <row r="99" customHeight="1" spans="28:28">
      <c r="AB99" s="233"/>
    </row>
    <row r="100" customHeight="1" spans="28:28">
      <c r="AB100" s="233"/>
    </row>
    <row r="101" customHeight="1" spans="28:28">
      <c r="AB101" s="233"/>
    </row>
    <row r="102" customHeight="1" spans="28:28">
      <c r="AB102" s="233"/>
    </row>
    <row r="103" customHeight="1" spans="28:28">
      <c r="AB103" s="233"/>
    </row>
    <row r="104" customHeight="1" spans="28:28">
      <c r="AB104" s="233"/>
    </row>
    <row r="105" customHeight="1" spans="28:28">
      <c r="AB105" s="233"/>
    </row>
    <row r="106" customHeight="1" spans="28:28">
      <c r="AB106" s="233"/>
    </row>
    <row r="107" customHeight="1" spans="28:28">
      <c r="AB107" s="233"/>
    </row>
    <row r="108" customHeight="1" spans="28:28">
      <c r="AB108" s="233"/>
    </row>
    <row r="109" customHeight="1" spans="28:28">
      <c r="AB109" s="233"/>
    </row>
    <row r="110" customHeight="1" spans="28:28">
      <c r="AB110" s="233"/>
    </row>
    <row r="111" customHeight="1" spans="28:28">
      <c r="AB111" s="233"/>
    </row>
    <row r="112" customHeight="1" spans="28:28">
      <c r="AB112" s="233"/>
    </row>
    <row r="113" customHeight="1" spans="28:28">
      <c r="AB113" s="233"/>
    </row>
    <row r="114" customHeight="1" spans="28:28">
      <c r="AB114" s="233"/>
    </row>
    <row r="115" customHeight="1" spans="28:28">
      <c r="AB115" s="233"/>
    </row>
    <row r="116" customHeight="1" spans="28:28">
      <c r="AB116" s="233"/>
    </row>
    <row r="117" customHeight="1" spans="28:28">
      <c r="AB117" s="233"/>
    </row>
    <row r="118" customHeight="1" spans="28:28">
      <c r="AB118" s="233"/>
    </row>
    <row r="119" customHeight="1" spans="28:28">
      <c r="AB119" s="233"/>
    </row>
    <row r="120" customHeight="1" spans="28:28">
      <c r="AB120" s="233"/>
    </row>
    <row r="121" customHeight="1" spans="28:28">
      <c r="AB121" s="233"/>
    </row>
    <row r="122" customHeight="1" spans="28:28">
      <c r="AB122" s="233"/>
    </row>
    <row r="123" customHeight="1" spans="28:28">
      <c r="AB123" s="233"/>
    </row>
    <row r="124" customHeight="1" spans="28:28">
      <c r="AB124" s="233"/>
    </row>
    <row r="125" customHeight="1" spans="28:28">
      <c r="AB125" s="233"/>
    </row>
    <row r="126" customHeight="1" spans="28:28">
      <c r="AB126" s="233"/>
    </row>
    <row r="127" customHeight="1" spans="28:28">
      <c r="AB127" s="233"/>
    </row>
    <row r="128" customHeight="1" spans="28:28">
      <c r="AB128" s="233"/>
    </row>
    <row r="129" customHeight="1" spans="28:28">
      <c r="AB129" s="233"/>
    </row>
    <row r="130" customHeight="1" spans="28:28">
      <c r="AB130" s="233"/>
    </row>
    <row r="131" customHeight="1" spans="28:28">
      <c r="AB131" s="233"/>
    </row>
    <row r="132" customHeight="1" spans="28:28">
      <c r="AB132" s="233"/>
    </row>
    <row r="133" customHeight="1" spans="28:28">
      <c r="AB133" s="233"/>
    </row>
    <row r="134" customHeight="1" spans="28:28">
      <c r="AB134" s="233"/>
    </row>
    <row r="135" customHeight="1" spans="28:28">
      <c r="AB135" s="233"/>
    </row>
    <row r="136" customHeight="1" spans="28:28">
      <c r="AB136" s="233"/>
    </row>
    <row r="137" customHeight="1" spans="28:28">
      <c r="AB137" s="233"/>
    </row>
    <row r="138" customHeight="1" spans="28:28">
      <c r="AB138" s="233"/>
    </row>
    <row r="139" customHeight="1" spans="28:28">
      <c r="AB139" s="233"/>
    </row>
    <row r="140" customHeight="1" spans="28:28">
      <c r="AB140" s="233"/>
    </row>
    <row r="141" customHeight="1" spans="28:28">
      <c r="AB141" s="233"/>
    </row>
    <row r="142" customHeight="1" spans="28:28">
      <c r="AB142" s="233"/>
    </row>
    <row r="143" customHeight="1" spans="28:28">
      <c r="AB143" s="233"/>
    </row>
    <row r="144" customHeight="1" spans="28:28">
      <c r="AB144" s="233"/>
    </row>
    <row r="145" customHeight="1" spans="28:28">
      <c r="AB145" s="233"/>
    </row>
    <row r="146" customHeight="1" spans="28:28">
      <c r="AB146" s="233"/>
    </row>
    <row r="147" customHeight="1" spans="28:28">
      <c r="AB147" s="233"/>
    </row>
    <row r="148" customHeight="1" spans="28:28">
      <c r="AB148" s="233"/>
    </row>
    <row r="149" customHeight="1" spans="28:28">
      <c r="AB149" s="233"/>
    </row>
    <row r="150" customHeight="1" spans="28:28">
      <c r="AB150" s="233"/>
    </row>
    <row r="151" customHeight="1" spans="28:28">
      <c r="AB151" s="233"/>
    </row>
    <row r="152" customHeight="1" spans="28:28">
      <c r="AB152" s="233"/>
    </row>
    <row r="153" customHeight="1" spans="28:28">
      <c r="AB153" s="233"/>
    </row>
    <row r="154" customHeight="1" spans="28:28">
      <c r="AB154" s="233"/>
    </row>
    <row r="155" customHeight="1" spans="28:28">
      <c r="AB155" s="233"/>
    </row>
    <row r="156" customHeight="1" spans="28:28">
      <c r="AB156" s="233"/>
    </row>
    <row r="157" customHeight="1" spans="28:28">
      <c r="AB157" s="233"/>
    </row>
    <row r="158" customHeight="1" spans="28:28">
      <c r="AB158" s="233"/>
    </row>
    <row r="159" customHeight="1" spans="28:28">
      <c r="AB159" s="233"/>
    </row>
    <row r="160" customHeight="1" spans="28:28">
      <c r="AB160" s="233"/>
    </row>
    <row r="161" customHeight="1" spans="28:28">
      <c r="AB161" s="233"/>
    </row>
    <row r="162" customHeight="1" spans="28:28">
      <c r="AB162" s="233"/>
    </row>
    <row r="163" customHeight="1" spans="28:28">
      <c r="AB163" s="233"/>
    </row>
    <row r="164" customHeight="1" spans="28:28">
      <c r="AB164" s="233"/>
    </row>
    <row r="165" customHeight="1" spans="28:28">
      <c r="AB165" s="233"/>
    </row>
    <row r="166" customHeight="1" spans="28:28">
      <c r="AB166" s="233"/>
    </row>
    <row r="167" customHeight="1" spans="28:28">
      <c r="AB167" s="233"/>
    </row>
    <row r="168" customHeight="1" spans="28:28">
      <c r="AB168" s="233"/>
    </row>
    <row r="169" customHeight="1" spans="28:28">
      <c r="AB169" s="233"/>
    </row>
    <row r="170" customHeight="1" spans="28:28">
      <c r="AB170" s="233"/>
    </row>
    <row r="171" customHeight="1" spans="28:28">
      <c r="AB171" s="233"/>
    </row>
    <row r="172" customHeight="1" spans="28:28">
      <c r="AB172" s="233"/>
    </row>
    <row r="173" customHeight="1" spans="28:28">
      <c r="AB173" s="233"/>
    </row>
    <row r="174" customHeight="1" spans="28:28">
      <c r="AB174" s="233"/>
    </row>
    <row r="175" customHeight="1" spans="28:28">
      <c r="AB175" s="233"/>
    </row>
    <row r="176" customHeight="1" spans="28:28">
      <c r="AB176" s="233"/>
    </row>
    <row r="177" customHeight="1" spans="28:28">
      <c r="AB177" s="233"/>
    </row>
    <row r="178" customHeight="1" spans="28:28">
      <c r="AB178" s="233"/>
    </row>
    <row r="179" customHeight="1" spans="28:28">
      <c r="AB179" s="233"/>
    </row>
    <row r="180" customHeight="1" spans="28:28">
      <c r="AB180" s="233"/>
    </row>
    <row r="181" customHeight="1" spans="28:28">
      <c r="AB181" s="233"/>
    </row>
    <row r="182" customHeight="1" spans="28:28">
      <c r="AB182" s="233"/>
    </row>
    <row r="183" customHeight="1" spans="28:28">
      <c r="AB183" s="233"/>
    </row>
    <row r="184" customHeight="1" spans="28:28">
      <c r="AB184" s="233"/>
    </row>
    <row r="185" customHeight="1" spans="28:28">
      <c r="AB185" s="233"/>
    </row>
    <row r="186" customHeight="1" spans="28:28">
      <c r="AB186" s="233"/>
    </row>
  </sheetData>
  <autoFilter xmlns:etc="http://www.wps.cn/officeDocument/2017/etCustomData" ref="A4:DM34" etc:filterBottomFollowUsedRange="0">
    <extLst/>
  </autoFilter>
  <mergeCells count="39">
    <mergeCell ref="A2:G2"/>
    <mergeCell ref="H2:K2"/>
    <mergeCell ref="L2:M2"/>
    <mergeCell ref="N2:P2"/>
    <mergeCell ref="Q2:R2"/>
    <mergeCell ref="S2:X2"/>
    <mergeCell ref="Y2:Z2"/>
    <mergeCell ref="AC2:AD2"/>
    <mergeCell ref="AE2:AF2"/>
    <mergeCell ref="A3:A4"/>
    <mergeCell ref="B3:B4"/>
    <mergeCell ref="C3:C4"/>
    <mergeCell ref="D3:D4"/>
    <mergeCell ref="E3:E4"/>
    <mergeCell ref="F3:F4"/>
    <mergeCell ref="G3:G4"/>
    <mergeCell ref="H3:H4"/>
    <mergeCell ref="J3:J4"/>
    <mergeCell ref="K3:K4"/>
    <mergeCell ref="L3:L4"/>
    <mergeCell ref="M3:M4"/>
    <mergeCell ref="N3:N4"/>
    <mergeCell ref="O3:O4"/>
    <mergeCell ref="P3:P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  <mergeCell ref="AE3:AE4"/>
    <mergeCell ref="AF3:AF4"/>
  </mergeCells>
  <pageMargins left="0.75" right="0.75" top="1" bottom="1" header="0.5" footer="0.5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16"/>
  <sheetViews>
    <sheetView zoomScale="90" zoomScaleNormal="90" topLeftCell="J1" workbookViewId="0">
      <selection activeCell="T5" sqref="T5:T8"/>
    </sheetView>
  </sheetViews>
  <sheetFormatPr defaultColWidth="8" defaultRowHeight="12.75"/>
  <cols>
    <col min="1" max="1" width="4.38333333333333" style="2" customWidth="1"/>
    <col min="2" max="2" width="6.88333333333333" style="2" customWidth="1"/>
    <col min="3" max="4" width="4.38333333333333" style="3" customWidth="1"/>
    <col min="5" max="5" width="5.88333333333333" style="3" customWidth="1"/>
    <col min="6" max="6" width="28.3833333333333" style="4" customWidth="1"/>
    <col min="7" max="7" width="39.3" style="3" customWidth="1"/>
    <col min="8" max="8" width="5" style="3" customWidth="1"/>
    <col min="9" max="9" width="4.50833333333333" style="3" customWidth="1"/>
    <col min="10" max="10" width="86.6666666666667" style="3" customWidth="1"/>
    <col min="11" max="19" width="4.63333333333333" style="121" customWidth="1"/>
    <col min="20" max="20" width="9.75833333333333" style="121" customWidth="1"/>
    <col min="21" max="21" width="6.75833333333333" style="121" customWidth="1"/>
    <col min="22" max="22" width="4.63333333333333" style="121" customWidth="1"/>
    <col min="23" max="16384" width="8" style="121"/>
  </cols>
  <sheetData>
    <row r="1" ht="13.5"/>
    <row r="2" ht="17.25" spans="1:22">
      <c r="A2" s="14" t="s">
        <v>374</v>
      </c>
      <c r="B2" s="13"/>
      <c r="C2" s="13"/>
      <c r="D2" s="13"/>
      <c r="E2" s="13"/>
      <c r="F2" s="13"/>
      <c r="G2" s="143"/>
      <c r="H2" s="15" t="s">
        <v>1216</v>
      </c>
      <c r="I2" s="35"/>
      <c r="J2" s="163" t="s">
        <v>1217</v>
      </c>
      <c r="K2" s="164" t="s">
        <v>82</v>
      </c>
      <c r="L2" s="40"/>
      <c r="M2" s="40"/>
      <c r="N2" s="40"/>
      <c r="O2" s="40"/>
      <c r="P2" s="40"/>
      <c r="Q2" s="53" t="s">
        <v>377</v>
      </c>
      <c r="R2" s="54"/>
      <c r="S2" s="55"/>
      <c r="T2" s="65" t="s">
        <v>83</v>
      </c>
      <c r="U2" s="65"/>
      <c r="V2" s="177" t="s">
        <v>84</v>
      </c>
    </row>
    <row r="3" ht="14.25" spans="1:22">
      <c r="A3" s="116" t="s">
        <v>87</v>
      </c>
      <c r="B3" s="123" t="s">
        <v>89</v>
      </c>
      <c r="C3" s="144" t="s">
        <v>378</v>
      </c>
      <c r="D3" s="144" t="s">
        <v>1218</v>
      </c>
      <c r="E3" s="124" t="s">
        <v>91</v>
      </c>
      <c r="F3" s="124" t="s">
        <v>92</v>
      </c>
      <c r="G3" s="145" t="s">
        <v>93</v>
      </c>
      <c r="H3" s="146" t="s">
        <v>1219</v>
      </c>
      <c r="I3" s="165" t="s">
        <v>382</v>
      </c>
      <c r="J3" s="166"/>
      <c r="K3" s="45" t="s">
        <v>111</v>
      </c>
      <c r="L3" s="56" t="s">
        <v>112</v>
      </c>
      <c r="M3" s="57" t="s">
        <v>113</v>
      </c>
      <c r="N3" s="57" t="s">
        <v>114</v>
      </c>
      <c r="O3" s="56" t="s">
        <v>115</v>
      </c>
      <c r="P3" s="56" t="s">
        <v>116</v>
      </c>
      <c r="Q3" s="58" t="s">
        <v>109</v>
      </c>
      <c r="R3" s="58" t="s">
        <v>110</v>
      </c>
      <c r="S3" s="24" t="s">
        <v>117</v>
      </c>
      <c r="T3" s="68" t="s">
        <v>118</v>
      </c>
      <c r="U3" s="69" t="s">
        <v>119</v>
      </c>
      <c r="V3" s="178"/>
    </row>
    <row r="4" ht="90.95" customHeight="1" spans="1:35">
      <c r="A4" s="69"/>
      <c r="B4" s="147"/>
      <c r="C4" s="69"/>
      <c r="D4" s="69"/>
      <c r="E4" s="130"/>
      <c r="F4" s="130"/>
      <c r="G4" s="148"/>
      <c r="H4" s="149"/>
      <c r="I4" s="167"/>
      <c r="J4" s="168"/>
      <c r="K4" s="45"/>
      <c r="L4" s="56"/>
      <c r="M4" s="136"/>
      <c r="N4" s="136"/>
      <c r="O4" s="56"/>
      <c r="P4" s="56"/>
      <c r="Q4" s="137"/>
      <c r="R4" s="137"/>
      <c r="S4" s="115"/>
      <c r="T4" s="68"/>
      <c r="U4" s="113"/>
      <c r="V4" s="179"/>
      <c r="W4" s="180"/>
      <c r="X4" s="180"/>
      <c r="Y4" s="180"/>
      <c r="Z4" s="180"/>
      <c r="AA4" s="180"/>
      <c r="AB4" s="180"/>
      <c r="AC4" s="180"/>
      <c r="AD4" s="180"/>
      <c r="AE4" s="180"/>
      <c r="AF4" s="180"/>
      <c r="AG4" s="180"/>
      <c r="AH4" s="180"/>
      <c r="AI4" s="180"/>
    </row>
    <row r="5" s="142" customFormat="1" ht="27" customHeight="1" spans="1:36">
      <c r="A5" s="28">
        <v>1</v>
      </c>
      <c r="B5" s="150" t="s">
        <v>122</v>
      </c>
      <c r="C5" s="151" t="s">
        <v>1220</v>
      </c>
      <c r="D5" s="151" t="s">
        <v>1221</v>
      </c>
      <c r="E5" s="152">
        <v>1</v>
      </c>
      <c r="F5" s="153" t="s">
        <v>509</v>
      </c>
      <c r="G5" s="81" t="s">
        <v>1222</v>
      </c>
      <c r="H5" s="154"/>
      <c r="I5" s="157" t="s">
        <v>126</v>
      </c>
      <c r="J5" s="169" t="str">
        <f>CONCATENATE(RemovePunctuation(G5),"_",B5,"_","i4K","_",V5,"_",PROPER(K5),IF(L5="",PROPER(K5),PROPER(L5)),PROPER(M5),PROPER(N5),PROPER(O5),IF(O5&lt;&gt;"","SUB",""),PROPER(P5),IF(P5&lt;&gt;"","SUB",""),"_","Ed","_","M1",".mpg")</f>
        <v>AirPanoramaDomesticOutboundWithAd_0125_i4K_43_ZhoZhoZhoSUB_Ed_M1.mpg</v>
      </c>
      <c r="K5" s="170" t="s">
        <v>132</v>
      </c>
      <c r="L5" s="170"/>
      <c r="M5" s="171"/>
      <c r="N5" s="171"/>
      <c r="O5" s="170" t="s">
        <v>132</v>
      </c>
      <c r="P5" s="172"/>
      <c r="Q5" s="61" t="s">
        <v>131</v>
      </c>
      <c r="R5" s="61" t="s">
        <v>131</v>
      </c>
      <c r="S5" s="118">
        <f t="shared" ref="S5:S10" si="0">ROUNDUP(HOUR(T5)*60+MINUTE(T5)+SECOND(T5)/60,0)</f>
        <v>149</v>
      </c>
      <c r="T5" s="119">
        <v>0.103136574074074</v>
      </c>
      <c r="U5" s="120">
        <f t="shared" ref="U5:U10" si="1">S5*60</f>
        <v>8940</v>
      </c>
      <c r="V5" s="141">
        <v>43</v>
      </c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2"/>
    </row>
    <row r="6" s="142" customFormat="1" ht="21.95" customHeight="1" spans="1:36">
      <c r="A6" s="28">
        <v>2</v>
      </c>
      <c r="B6" s="150" t="s">
        <v>122</v>
      </c>
      <c r="C6" s="151"/>
      <c r="D6" s="151"/>
      <c r="E6" s="155">
        <v>2</v>
      </c>
      <c r="F6" s="153" t="s">
        <v>512</v>
      </c>
      <c r="G6" s="28" t="s">
        <v>1223</v>
      </c>
      <c r="H6" s="154"/>
      <c r="I6" s="157" t="s">
        <v>126</v>
      </c>
      <c r="J6" s="169" t="str">
        <f>CONCATENATE(RemovePunctuation(G6),"_",B6,"_","i4K","_",V6,"_",PROPER(K6),IF(L6="",PROPER(K6),PROPER(L6)),PROPER(M6),PROPER(N6),PROPER(O6),IF(O6&lt;&gt;"","SUB",""),PROPER(P6),IF(P6&lt;&gt;"","SUB",""),"_","Ed","_","M1",".mpg")</f>
        <v>AirPanoramaDomesticInboundWithAd_0125_i4K_43_ZhoZhoZhoSUB_Ed_M1.mpg</v>
      </c>
      <c r="K6" s="170" t="s">
        <v>132</v>
      </c>
      <c r="L6" s="171"/>
      <c r="M6" s="171"/>
      <c r="N6" s="171"/>
      <c r="O6" s="170" t="s">
        <v>132</v>
      </c>
      <c r="P6" s="172"/>
      <c r="Q6" s="61" t="s">
        <v>131</v>
      </c>
      <c r="R6" s="61" t="s">
        <v>131</v>
      </c>
      <c r="S6" s="118">
        <f t="shared" si="0"/>
        <v>154</v>
      </c>
      <c r="T6" s="119">
        <v>0.106840277777778</v>
      </c>
      <c r="U6" s="120">
        <f t="shared" si="1"/>
        <v>9240</v>
      </c>
      <c r="V6" s="141">
        <v>43</v>
      </c>
      <c r="W6" s="180"/>
      <c r="X6" s="180"/>
      <c r="Y6" s="180"/>
      <c r="Z6" s="180"/>
      <c r="AA6" s="180"/>
      <c r="AB6" s="180"/>
      <c r="AC6" s="180"/>
      <c r="AD6" s="180"/>
      <c r="AE6" s="180"/>
      <c r="AF6" s="180"/>
      <c r="AG6" s="180"/>
      <c r="AH6" s="180"/>
      <c r="AI6" s="180"/>
      <c r="AJ6" s="182"/>
    </row>
    <row r="7" ht="18" customHeight="1" spans="1:33">
      <c r="A7" s="28">
        <v>3</v>
      </c>
      <c r="B7" s="150" t="s">
        <v>122</v>
      </c>
      <c r="C7" s="151"/>
      <c r="D7" s="151"/>
      <c r="E7" s="152">
        <v>3</v>
      </c>
      <c r="F7" s="153" t="s">
        <v>503</v>
      </c>
      <c r="G7" s="156" t="s">
        <v>1224</v>
      </c>
      <c r="H7" s="157"/>
      <c r="I7" s="157" t="s">
        <v>126</v>
      </c>
      <c r="J7" s="169" t="str">
        <f>CONCATENATE(RemovePunctuation(G7),"_",B7,"_","i4K","_",V7,"_",PROPER(K7),IF(L7="",PROPER(K7),PROPER(L7)),PROPER(M7),PROPER(N7),PROPER(O7),IF(O7&lt;&gt;"","SUB",""),PROPER(P7),IF(P7&lt;&gt;"","SUB",""),"_","Ed","_","M1",".mpg")</f>
        <v>AirPanoramaInternationalOutboundWithAd_0125_i4K_43_EngZhoEngSUBZhoSUB_Ed_M1.mpg</v>
      </c>
      <c r="K7" s="173" t="s">
        <v>138</v>
      </c>
      <c r="L7" s="173" t="s">
        <v>132</v>
      </c>
      <c r="M7" s="173"/>
      <c r="N7" s="173"/>
      <c r="O7" s="173" t="s">
        <v>138</v>
      </c>
      <c r="P7" s="173" t="s">
        <v>132</v>
      </c>
      <c r="Q7" s="61" t="s">
        <v>131</v>
      </c>
      <c r="R7" s="61" t="s">
        <v>131</v>
      </c>
      <c r="S7" s="118">
        <f t="shared" si="0"/>
        <v>150</v>
      </c>
      <c r="T7" s="119">
        <v>0.103645833333333</v>
      </c>
      <c r="U7" s="120">
        <f t="shared" si="1"/>
        <v>9000</v>
      </c>
      <c r="V7" s="141">
        <v>43</v>
      </c>
      <c r="W7" s="180"/>
      <c r="X7" s="180"/>
      <c r="Y7" s="180"/>
      <c r="Z7" s="180"/>
      <c r="AA7" s="180"/>
      <c r="AB7" s="180"/>
      <c r="AC7" s="180"/>
      <c r="AD7" s="180"/>
      <c r="AE7" s="180"/>
      <c r="AF7" s="180"/>
      <c r="AG7" s="180"/>
    </row>
    <row r="8" ht="18" customHeight="1" spans="1:33">
      <c r="A8" s="28">
        <v>4</v>
      </c>
      <c r="B8" s="150" t="s">
        <v>122</v>
      </c>
      <c r="C8" s="151"/>
      <c r="D8" s="151"/>
      <c r="E8" s="152">
        <v>4</v>
      </c>
      <c r="F8" s="153" t="s">
        <v>506</v>
      </c>
      <c r="G8" s="156" t="s">
        <v>1225</v>
      </c>
      <c r="H8" s="157"/>
      <c r="I8" s="157" t="s">
        <v>126</v>
      </c>
      <c r="J8" s="169" t="str">
        <f>CONCATENATE(RemovePunctuation(G8),"_",B8,"_","i4K","_",V8,"_",PROPER(K8),IF(L8="",PROPER(K8),PROPER(L8)),PROPER(M8),PROPER(N8),PROPER(O8),IF(O8&lt;&gt;"","SUB",""),PROPER(P8),IF(P8&lt;&gt;"","SUB",""),"_","Ed","_","M1",".mpg")</f>
        <v>AirPanoramaInternationalInboundWithAd_0125_i4K_43_EngZhoEngSUBZhoSUB_Ed_M1.mpg</v>
      </c>
      <c r="K8" s="173" t="s">
        <v>138</v>
      </c>
      <c r="L8" s="173" t="s">
        <v>132</v>
      </c>
      <c r="M8" s="173"/>
      <c r="N8" s="173"/>
      <c r="O8" s="173" t="s">
        <v>138</v>
      </c>
      <c r="P8" s="173" t="s">
        <v>132</v>
      </c>
      <c r="Q8" s="61" t="s">
        <v>131</v>
      </c>
      <c r="R8" s="61" t="s">
        <v>131</v>
      </c>
      <c r="S8" s="118">
        <f t="shared" si="0"/>
        <v>151</v>
      </c>
      <c r="T8" s="119">
        <v>0.104814814814815</v>
      </c>
      <c r="U8" s="120">
        <f t="shared" si="1"/>
        <v>9060</v>
      </c>
      <c r="V8" s="141">
        <v>43</v>
      </c>
      <c r="W8" s="180"/>
      <c r="X8" s="180"/>
      <c r="Y8" s="180"/>
      <c r="Z8" s="180"/>
      <c r="AA8" s="180"/>
      <c r="AB8" s="180"/>
      <c r="AC8" s="180"/>
      <c r="AD8" s="180"/>
      <c r="AE8" s="180"/>
      <c r="AF8" s="180"/>
      <c r="AG8" s="180"/>
    </row>
    <row r="9" ht="18" customHeight="1" spans="1:22">
      <c r="A9" s="28">
        <v>5</v>
      </c>
      <c r="B9" s="150" t="s">
        <v>122</v>
      </c>
      <c r="C9" s="151"/>
      <c r="D9" s="151" t="s">
        <v>1226</v>
      </c>
      <c r="E9" s="152">
        <v>5</v>
      </c>
      <c r="F9" s="153" t="s">
        <v>1227</v>
      </c>
      <c r="G9" s="156" t="s">
        <v>1228</v>
      </c>
      <c r="H9" s="157"/>
      <c r="I9" s="157" t="s">
        <v>126</v>
      </c>
      <c r="J9" s="174" t="s">
        <v>1229</v>
      </c>
      <c r="K9" s="173" t="s">
        <v>138</v>
      </c>
      <c r="L9" s="173" t="s">
        <v>132</v>
      </c>
      <c r="M9" s="175"/>
      <c r="N9" s="175"/>
      <c r="O9" s="175"/>
      <c r="P9" s="175"/>
      <c r="Q9" s="61" t="s">
        <v>131</v>
      </c>
      <c r="R9" s="61" t="s">
        <v>131</v>
      </c>
      <c r="S9" s="118">
        <f t="shared" si="0"/>
        <v>0</v>
      </c>
      <c r="T9" s="119"/>
      <c r="U9" s="120">
        <f t="shared" si="1"/>
        <v>0</v>
      </c>
      <c r="V9" s="141">
        <v>43</v>
      </c>
    </row>
    <row r="10" ht="18" customHeight="1" spans="1:22">
      <c r="A10" s="28">
        <v>6</v>
      </c>
      <c r="B10" s="150" t="s">
        <v>122</v>
      </c>
      <c r="C10" s="151"/>
      <c r="D10" s="151" t="s">
        <v>1221</v>
      </c>
      <c r="E10" s="155">
        <v>6</v>
      </c>
      <c r="F10" s="158" t="s">
        <v>681</v>
      </c>
      <c r="G10" s="159" t="s">
        <v>682</v>
      </c>
      <c r="H10" s="157"/>
      <c r="I10" s="157" t="s">
        <v>126</v>
      </c>
      <c r="J10" s="176" t="s">
        <v>1230</v>
      </c>
      <c r="K10" s="175"/>
      <c r="L10" s="175"/>
      <c r="M10" s="175"/>
      <c r="N10" s="175"/>
      <c r="O10" s="175"/>
      <c r="P10" s="175"/>
      <c r="Q10" s="61" t="s">
        <v>131</v>
      </c>
      <c r="R10" s="61" t="s">
        <v>131</v>
      </c>
      <c r="S10" s="118">
        <f t="shared" si="0"/>
        <v>0</v>
      </c>
      <c r="T10" s="119"/>
      <c r="U10" s="118">
        <f t="shared" si="1"/>
        <v>0</v>
      </c>
      <c r="V10" s="181">
        <v>43</v>
      </c>
    </row>
    <row r="11" ht="18" customHeight="1" spans="1:22">
      <c r="A11" s="28">
        <v>1</v>
      </c>
      <c r="B11" s="150" t="s">
        <v>122</v>
      </c>
      <c r="C11" s="160" t="s">
        <v>1220</v>
      </c>
      <c r="D11" s="160" t="s">
        <v>1231</v>
      </c>
      <c r="E11" s="155">
        <v>1</v>
      </c>
      <c r="F11" s="153" t="s">
        <v>254</v>
      </c>
      <c r="G11" s="156" t="s">
        <v>255</v>
      </c>
      <c r="H11" s="157" t="s">
        <v>126</v>
      </c>
      <c r="I11" s="157"/>
      <c r="J11" s="176" t="s">
        <v>1232</v>
      </c>
      <c r="K11" s="175"/>
      <c r="L11" s="175"/>
      <c r="M11" s="175"/>
      <c r="N11" s="175"/>
      <c r="O11" s="175"/>
      <c r="P11" s="175"/>
      <c r="Q11" s="61" t="s">
        <v>131</v>
      </c>
      <c r="R11" s="61" t="s">
        <v>131</v>
      </c>
      <c r="S11" s="118">
        <f t="shared" ref="S11:S16" si="2">ROUNDUP(HOUR(T11)*60+MINUTE(T11)+SECOND(T11)/60,0)</f>
        <v>0</v>
      </c>
      <c r="T11" s="119"/>
      <c r="U11" s="118">
        <f t="shared" ref="U11:U16" si="3">S11*60</f>
        <v>0</v>
      </c>
      <c r="V11" s="181">
        <v>43</v>
      </c>
    </row>
    <row r="12" ht="18" customHeight="1" spans="1:22">
      <c r="A12" s="28">
        <v>2</v>
      </c>
      <c r="B12" s="150" t="s">
        <v>122</v>
      </c>
      <c r="C12" s="161"/>
      <c r="D12" s="161"/>
      <c r="E12" s="155">
        <v>2</v>
      </c>
      <c r="F12" s="153" t="s">
        <v>258</v>
      </c>
      <c r="G12" s="156" t="s">
        <v>259</v>
      </c>
      <c r="H12" s="157" t="s">
        <v>126</v>
      </c>
      <c r="I12" s="157"/>
      <c r="J12" s="176" t="s">
        <v>1232</v>
      </c>
      <c r="K12" s="175"/>
      <c r="L12" s="175"/>
      <c r="M12" s="175"/>
      <c r="N12" s="175"/>
      <c r="O12" s="175"/>
      <c r="P12" s="175"/>
      <c r="Q12" s="61" t="s">
        <v>131</v>
      </c>
      <c r="R12" s="61" t="s">
        <v>131</v>
      </c>
      <c r="S12" s="118">
        <f t="shared" si="2"/>
        <v>0</v>
      </c>
      <c r="T12" s="119"/>
      <c r="U12" s="118">
        <f t="shared" si="3"/>
        <v>0</v>
      </c>
      <c r="V12" s="181">
        <v>43</v>
      </c>
    </row>
    <row r="13" ht="18" customHeight="1" spans="1:22">
      <c r="A13" s="28">
        <v>3</v>
      </c>
      <c r="B13" s="150" t="s">
        <v>122</v>
      </c>
      <c r="C13" s="161"/>
      <c r="D13" s="161"/>
      <c r="E13" s="155">
        <v>3</v>
      </c>
      <c r="F13" s="153" t="s">
        <v>154</v>
      </c>
      <c r="G13" s="156" t="s">
        <v>155</v>
      </c>
      <c r="H13" s="157" t="s">
        <v>126</v>
      </c>
      <c r="I13" s="157"/>
      <c r="J13" s="176" t="s">
        <v>1232</v>
      </c>
      <c r="K13" s="175"/>
      <c r="L13" s="175"/>
      <c r="M13" s="175"/>
      <c r="N13" s="175"/>
      <c r="O13" s="175"/>
      <c r="P13" s="175"/>
      <c r="Q13" s="61" t="s">
        <v>131</v>
      </c>
      <c r="R13" s="61" t="s">
        <v>131</v>
      </c>
      <c r="S13" s="118">
        <f t="shared" si="2"/>
        <v>0</v>
      </c>
      <c r="T13" s="119"/>
      <c r="U13" s="118">
        <f t="shared" si="3"/>
        <v>0</v>
      </c>
      <c r="V13" s="181">
        <v>43</v>
      </c>
    </row>
    <row r="14" ht="18" customHeight="1" spans="1:22">
      <c r="A14" s="28">
        <v>4</v>
      </c>
      <c r="B14" s="150" t="s">
        <v>122</v>
      </c>
      <c r="C14" s="161"/>
      <c r="D14" s="161"/>
      <c r="E14" s="155">
        <v>4</v>
      </c>
      <c r="F14" s="153" t="s">
        <v>219</v>
      </c>
      <c r="G14" s="156" t="s">
        <v>220</v>
      </c>
      <c r="H14" s="157" t="s">
        <v>126</v>
      </c>
      <c r="I14" s="157"/>
      <c r="J14" s="176" t="s">
        <v>1232</v>
      </c>
      <c r="K14" s="175"/>
      <c r="L14" s="175"/>
      <c r="M14" s="175"/>
      <c r="N14" s="175"/>
      <c r="O14" s="175"/>
      <c r="P14" s="175"/>
      <c r="Q14" s="61" t="s">
        <v>131</v>
      </c>
      <c r="R14" s="61" t="s">
        <v>131</v>
      </c>
      <c r="S14" s="118">
        <f t="shared" si="2"/>
        <v>0</v>
      </c>
      <c r="T14" s="119"/>
      <c r="U14" s="118">
        <f t="shared" si="3"/>
        <v>0</v>
      </c>
      <c r="V14" s="181">
        <v>43</v>
      </c>
    </row>
    <row r="15" ht="18" customHeight="1" spans="1:22">
      <c r="A15" s="28">
        <v>5</v>
      </c>
      <c r="B15" s="150" t="s">
        <v>122</v>
      </c>
      <c r="C15" s="161"/>
      <c r="D15" s="161"/>
      <c r="E15" s="155">
        <v>5</v>
      </c>
      <c r="F15" s="153" t="s">
        <v>223</v>
      </c>
      <c r="G15" s="156" t="s">
        <v>224</v>
      </c>
      <c r="H15" s="157" t="s">
        <v>126</v>
      </c>
      <c r="I15" s="157"/>
      <c r="J15" s="176" t="s">
        <v>1232</v>
      </c>
      <c r="K15" s="175"/>
      <c r="L15" s="175"/>
      <c r="M15" s="175"/>
      <c r="N15" s="175"/>
      <c r="O15" s="175"/>
      <c r="P15" s="175"/>
      <c r="Q15" s="61" t="s">
        <v>131</v>
      </c>
      <c r="R15" s="61" t="s">
        <v>131</v>
      </c>
      <c r="S15" s="118">
        <f t="shared" si="2"/>
        <v>0</v>
      </c>
      <c r="T15" s="119"/>
      <c r="U15" s="118">
        <f t="shared" si="3"/>
        <v>0</v>
      </c>
      <c r="V15" s="181">
        <v>43</v>
      </c>
    </row>
    <row r="16" ht="18" customHeight="1" spans="1:22">
      <c r="A16" s="28">
        <v>6</v>
      </c>
      <c r="B16" s="150" t="s">
        <v>122</v>
      </c>
      <c r="C16" s="162"/>
      <c r="D16" s="162"/>
      <c r="E16" s="155">
        <v>6</v>
      </c>
      <c r="F16" s="153" t="s">
        <v>227</v>
      </c>
      <c r="G16" s="156" t="s">
        <v>228</v>
      </c>
      <c r="H16" s="157" t="s">
        <v>126</v>
      </c>
      <c r="I16" s="157"/>
      <c r="J16" s="176" t="s">
        <v>1232</v>
      </c>
      <c r="K16" s="175"/>
      <c r="L16" s="175"/>
      <c r="M16" s="175"/>
      <c r="N16" s="175"/>
      <c r="O16" s="175"/>
      <c r="P16" s="175"/>
      <c r="Q16" s="61" t="s">
        <v>131</v>
      </c>
      <c r="R16" s="61" t="s">
        <v>131</v>
      </c>
      <c r="S16" s="118">
        <f t="shared" si="2"/>
        <v>0</v>
      </c>
      <c r="T16" s="119"/>
      <c r="U16" s="118">
        <f t="shared" si="3"/>
        <v>0</v>
      </c>
      <c r="V16" s="181">
        <v>43</v>
      </c>
    </row>
  </sheetData>
  <mergeCells count="31">
    <mergeCell ref="A2:G2"/>
    <mergeCell ref="H2:I2"/>
    <mergeCell ref="K2:P2"/>
    <mergeCell ref="Q2:R2"/>
    <mergeCell ref="T2:U2"/>
    <mergeCell ref="A3:A4"/>
    <mergeCell ref="B3:B4"/>
    <mergeCell ref="C3:C4"/>
    <mergeCell ref="C5:C10"/>
    <mergeCell ref="C11:C16"/>
    <mergeCell ref="D3:D4"/>
    <mergeCell ref="D5:D8"/>
    <mergeCell ref="D11:D16"/>
    <mergeCell ref="E3:E4"/>
    <mergeCell ref="F3:F4"/>
    <mergeCell ref="G3:G4"/>
    <mergeCell ref="H3:H4"/>
    <mergeCell ref="I3:I4"/>
    <mergeCell ref="J2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2:V4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G31"/>
  <sheetViews>
    <sheetView zoomScale="80" zoomScaleNormal="80" topLeftCell="G1" workbookViewId="0">
      <selection activeCell="S5" sqref="S5:S8"/>
    </sheetView>
  </sheetViews>
  <sheetFormatPr defaultColWidth="8" defaultRowHeight="12.75"/>
  <cols>
    <col min="1" max="1" width="4.38333333333333" style="2" customWidth="1"/>
    <col min="2" max="2" width="6.88333333333333" style="2" customWidth="1"/>
    <col min="3" max="3" width="4.38333333333333" style="3" customWidth="1"/>
    <col min="4" max="4" width="11.1416666666667" style="3" customWidth="1"/>
    <col min="5" max="5" width="3.25833333333333" style="3" customWidth="1"/>
    <col min="6" max="6" width="26.5083333333333" style="4" customWidth="1"/>
    <col min="7" max="7" width="48.2" style="3" customWidth="1"/>
    <col min="8" max="8" width="4.50833333333333" style="3" customWidth="1"/>
    <col min="9" max="9" width="85.6166666666667" style="5" customWidth="1"/>
    <col min="10" max="10" width="4.14166666666667" style="3" customWidth="1"/>
    <col min="11" max="13" width="4.14166666666667" style="6" customWidth="1"/>
    <col min="14" max="15" width="4.14166666666667" style="3" customWidth="1"/>
    <col min="16" max="17" width="5.63333333333333" style="7" customWidth="1"/>
    <col min="18" max="18" width="8" style="7" customWidth="1"/>
    <col min="19" max="19" width="11.3833333333333" style="3" customWidth="1"/>
    <col min="20" max="20" width="11.2583333333333" style="3" customWidth="1"/>
    <col min="21" max="21" width="6.14166666666667" style="3" customWidth="1"/>
    <col min="22" max="23" width="5.14166666666667" style="8" customWidth="1"/>
    <col min="24" max="24" width="17.6333333333333" style="9" customWidth="1"/>
    <col min="25" max="25" width="5.14166666666667" style="10" customWidth="1"/>
    <col min="26" max="26" width="5.14166666666667" style="8" customWidth="1"/>
    <col min="27" max="27" width="5.14166666666667" style="11" customWidth="1"/>
    <col min="28" max="29" width="5.14166666666667" style="8" customWidth="1"/>
    <col min="30" max="30" width="5.14166666666667" style="10" customWidth="1"/>
    <col min="31" max="33" width="4.14166666666667" style="12" hidden="1" customWidth="1"/>
    <col min="34" max="16382" width="8" style="2"/>
    <col min="16383" max="16384" width="8" style="121"/>
  </cols>
  <sheetData>
    <row r="1" s="2" customFormat="1" ht="13.5" spans="3:33">
      <c r="C1" s="3"/>
      <c r="D1" s="3"/>
      <c r="E1" s="3"/>
      <c r="F1" s="4"/>
      <c r="G1" s="3"/>
      <c r="H1" s="3"/>
      <c r="I1" s="5"/>
      <c r="J1" s="3"/>
      <c r="K1" s="6"/>
      <c r="L1" s="6"/>
      <c r="M1" s="6"/>
      <c r="N1" s="3"/>
      <c r="O1" s="3"/>
      <c r="P1" s="7"/>
      <c r="Q1" s="7"/>
      <c r="R1" s="7"/>
      <c r="S1" s="3"/>
      <c r="T1" s="3"/>
      <c r="U1" s="3"/>
      <c r="V1" s="8"/>
      <c r="W1" s="8"/>
      <c r="X1" s="9"/>
      <c r="Y1" s="10"/>
      <c r="Z1" s="8"/>
      <c r="AA1" s="11"/>
      <c r="AB1" s="8"/>
      <c r="AC1" s="8"/>
      <c r="AD1" s="10"/>
      <c r="AE1" s="12"/>
      <c r="AF1" s="12"/>
      <c r="AG1" s="12"/>
    </row>
    <row r="2" s="2" customFormat="1" ht="18.95" customHeight="1" spans="1:21">
      <c r="A2" s="14" t="s">
        <v>374</v>
      </c>
      <c r="B2" s="13"/>
      <c r="C2" s="13"/>
      <c r="D2" s="13"/>
      <c r="E2" s="13"/>
      <c r="F2" s="13"/>
      <c r="G2" s="14"/>
      <c r="H2" s="122" t="s">
        <v>76</v>
      </c>
      <c r="I2" s="133" t="s">
        <v>376</v>
      </c>
      <c r="J2" s="40" t="s">
        <v>82</v>
      </c>
      <c r="K2" s="40"/>
      <c r="L2" s="40"/>
      <c r="M2" s="40"/>
      <c r="N2" s="40"/>
      <c r="O2" s="40"/>
      <c r="P2" s="53" t="s">
        <v>377</v>
      </c>
      <c r="Q2" s="54"/>
      <c r="R2" s="55"/>
      <c r="S2" s="65" t="s">
        <v>83</v>
      </c>
      <c r="T2" s="65"/>
      <c r="U2" s="139" t="s">
        <v>84</v>
      </c>
    </row>
    <row r="3" s="2" customFormat="1" ht="18" customHeight="1" spans="1:21">
      <c r="A3" s="116" t="s">
        <v>87</v>
      </c>
      <c r="B3" s="123" t="s">
        <v>89</v>
      </c>
      <c r="C3" s="18" t="s">
        <v>378</v>
      </c>
      <c r="D3" s="17" t="s">
        <v>88</v>
      </c>
      <c r="E3" s="19" t="s">
        <v>91</v>
      </c>
      <c r="F3" s="124" t="s">
        <v>92</v>
      </c>
      <c r="G3" s="20" t="s">
        <v>93</v>
      </c>
      <c r="H3" s="125" t="s">
        <v>98</v>
      </c>
      <c r="I3" s="134"/>
      <c r="J3" s="56" t="s">
        <v>111</v>
      </c>
      <c r="K3" s="56" t="s">
        <v>112</v>
      </c>
      <c r="L3" s="57" t="s">
        <v>113</v>
      </c>
      <c r="M3" s="57" t="s">
        <v>114</v>
      </c>
      <c r="N3" s="56" t="s">
        <v>115</v>
      </c>
      <c r="O3" s="56" t="s">
        <v>116</v>
      </c>
      <c r="P3" s="58" t="s">
        <v>109</v>
      </c>
      <c r="Q3" s="58" t="s">
        <v>110</v>
      </c>
      <c r="R3" s="24" t="s">
        <v>117</v>
      </c>
      <c r="S3" s="68" t="s">
        <v>118</v>
      </c>
      <c r="T3" s="69" t="s">
        <v>119</v>
      </c>
      <c r="U3" s="70"/>
    </row>
    <row r="4" s="2" customFormat="1" ht="111.95" customHeight="1" spans="1:33">
      <c r="A4" s="116"/>
      <c r="B4" s="126"/>
      <c r="C4" s="127"/>
      <c r="D4" s="128"/>
      <c r="E4" s="129"/>
      <c r="F4" s="130"/>
      <c r="G4" s="20"/>
      <c r="H4" s="131"/>
      <c r="I4" s="135"/>
      <c r="J4" s="56"/>
      <c r="K4" s="56"/>
      <c r="L4" s="136"/>
      <c r="M4" s="136"/>
      <c r="N4" s="56"/>
      <c r="O4" s="56"/>
      <c r="P4" s="137"/>
      <c r="Q4" s="137"/>
      <c r="R4" s="115"/>
      <c r="S4" s="68"/>
      <c r="T4" s="113"/>
      <c r="U4" s="140"/>
      <c r="V4" s="8"/>
      <c r="W4" s="8"/>
      <c r="X4" s="9"/>
      <c r="Y4" s="10"/>
      <c r="Z4" s="8"/>
      <c r="AA4" s="11"/>
      <c r="AB4" s="8"/>
      <c r="AC4" s="8"/>
      <c r="AD4" s="10"/>
      <c r="AE4" s="12"/>
      <c r="AF4" s="12"/>
      <c r="AG4" s="12"/>
    </row>
    <row r="5" s="2" customFormat="1" ht="26.1" customHeight="1" spans="1:33">
      <c r="A5" s="81">
        <v>1</v>
      </c>
      <c r="B5" s="82" t="s">
        <v>122</v>
      </c>
      <c r="C5" s="32" t="s">
        <v>1233</v>
      </c>
      <c r="D5" s="82"/>
      <c r="E5" s="81">
        <v>1</v>
      </c>
      <c r="F5" s="84" t="s">
        <v>509</v>
      </c>
      <c r="G5" s="28" t="s">
        <v>1234</v>
      </c>
      <c r="H5" s="132" t="s">
        <v>126</v>
      </c>
      <c r="I5" s="138" t="str">
        <f>CONCATENATE(RemovePunctuation(G5),"_",B5,"_",U5,"_",PROPER(J5),IF(K5="",PROPER(J5),PROPER(K5)),PROPER(L5),PROPER(M5),PROPER(N5),IF(N5&lt;&gt;"","SUB",""),PROPER(O5),IF(O5&lt;&gt;"","SUB",""),"_","Ed","_","M1",".mpg")</f>
        <v>AirPanoramaDomesticOutboundWithAd1_0125_169_EngZhoZhoSUB_Ed_M1.mpg</v>
      </c>
      <c r="J5" s="61" t="s">
        <v>138</v>
      </c>
      <c r="K5" s="61" t="s">
        <v>132</v>
      </c>
      <c r="L5" s="52"/>
      <c r="M5" s="52"/>
      <c r="N5" s="61" t="s">
        <v>132</v>
      </c>
      <c r="O5" s="52"/>
      <c r="P5" s="61" t="s">
        <v>131</v>
      </c>
      <c r="Q5" s="61" t="s">
        <v>131</v>
      </c>
      <c r="R5" s="118">
        <f>ROUNDUP(HOUR(S5)*60+MINUTE(S5)+SECOND(S5)/60,0)</f>
        <v>149</v>
      </c>
      <c r="S5" s="119">
        <v>0.103136574074074</v>
      </c>
      <c r="T5" s="120">
        <f>R5*60</f>
        <v>8940</v>
      </c>
      <c r="U5" s="141">
        <v>169</v>
      </c>
      <c r="V5" s="8"/>
      <c r="W5" s="8"/>
      <c r="X5" s="9"/>
      <c r="Y5" s="10"/>
      <c r="Z5" s="8"/>
      <c r="AA5" s="11"/>
      <c r="AB5" s="8"/>
      <c r="AC5" s="8"/>
      <c r="AD5" s="10"/>
      <c r="AE5" s="12"/>
      <c r="AF5" s="12"/>
      <c r="AG5" s="12"/>
    </row>
    <row r="6" s="2" customFormat="1" ht="26.1" customHeight="1" spans="1:33">
      <c r="A6" s="81">
        <v>2</v>
      </c>
      <c r="B6" s="82" t="s">
        <v>122</v>
      </c>
      <c r="C6" s="32" t="s">
        <v>1233</v>
      </c>
      <c r="D6" s="82"/>
      <c r="E6" s="81">
        <v>2</v>
      </c>
      <c r="F6" s="84" t="s">
        <v>512</v>
      </c>
      <c r="G6" s="28" t="s">
        <v>1235</v>
      </c>
      <c r="H6" s="132" t="s">
        <v>126</v>
      </c>
      <c r="I6" s="138" t="str">
        <f>CONCATENATE(RemovePunctuation(G6),"_",B6,"_",U6,"_",PROPER(J6),IF(K6="",PROPER(J6),PROPER(K6)),PROPER(L6),PROPER(M6),PROPER(N6),IF(N6&lt;&gt;"","SUB",""),PROPER(O6),IF(O6&lt;&gt;"","SUB",""),"_","Ed","_","M1",".mpg")</f>
        <v>AirPanoramaDomesticInboundWithAd1_0125_169_EngZhoZhoSUB_Ed_M1.mpg</v>
      </c>
      <c r="J6" s="61" t="s">
        <v>138</v>
      </c>
      <c r="K6" s="61" t="s">
        <v>132</v>
      </c>
      <c r="L6" s="52"/>
      <c r="M6" s="52"/>
      <c r="N6" s="61" t="s">
        <v>132</v>
      </c>
      <c r="O6" s="52"/>
      <c r="P6" s="61" t="s">
        <v>131</v>
      </c>
      <c r="Q6" s="61" t="s">
        <v>131</v>
      </c>
      <c r="R6" s="118">
        <f>ROUNDUP(HOUR(S6)*60+MINUTE(S6)+SECOND(S6)/60,0)</f>
        <v>154</v>
      </c>
      <c r="S6" s="119">
        <v>0.106840277777778</v>
      </c>
      <c r="T6" s="120">
        <f>R6*60</f>
        <v>9240</v>
      </c>
      <c r="U6" s="141">
        <v>169</v>
      </c>
      <c r="V6" s="8"/>
      <c r="W6" s="8"/>
      <c r="X6" s="9"/>
      <c r="Y6" s="10"/>
      <c r="Z6" s="8"/>
      <c r="AA6" s="11"/>
      <c r="AB6" s="8"/>
      <c r="AC6" s="8"/>
      <c r="AD6" s="10"/>
      <c r="AE6" s="12"/>
      <c r="AF6" s="12"/>
      <c r="AG6" s="12"/>
    </row>
    <row r="7" s="2" customFormat="1" ht="26.1" customHeight="1" spans="1:33">
      <c r="A7" s="81">
        <v>3</v>
      </c>
      <c r="B7" s="82" t="s">
        <v>122</v>
      </c>
      <c r="C7" s="32" t="s">
        <v>1233</v>
      </c>
      <c r="D7" s="82"/>
      <c r="E7" s="81">
        <v>3</v>
      </c>
      <c r="F7" s="84" t="s">
        <v>503</v>
      </c>
      <c r="G7" s="28" t="s">
        <v>1236</v>
      </c>
      <c r="H7" s="132" t="s">
        <v>126</v>
      </c>
      <c r="I7" s="138" t="str">
        <f>CONCATENATE(RemovePunctuation(G7),"_",B7,"_",U7,"_",PROPER(J7),IF(K7="",PROPER(J7),PROPER(K7)),PROPER(L7),PROPER(M7),PROPER(N7),IF(N7&lt;&gt;"","SUB",""),PROPER(O7),IF(O7&lt;&gt;"","SUB",""),"_","Ed","_","M1",".mpg")</f>
        <v>AirPanoramaInternationalOutboundWithAd1_0125_169_EngZhoEngSUBZhoSUB_Ed_M1.mpg</v>
      </c>
      <c r="J7" s="61" t="s">
        <v>138</v>
      </c>
      <c r="K7" s="61" t="s">
        <v>132</v>
      </c>
      <c r="L7" s="52"/>
      <c r="M7" s="52"/>
      <c r="N7" s="61" t="s">
        <v>138</v>
      </c>
      <c r="O7" s="61" t="s">
        <v>132</v>
      </c>
      <c r="P7" s="61" t="s">
        <v>131</v>
      </c>
      <c r="Q7" s="61" t="s">
        <v>131</v>
      </c>
      <c r="R7" s="118">
        <f>ROUNDUP(HOUR(S7)*60+MINUTE(S7)+SECOND(S7)/60,0)</f>
        <v>150</v>
      </c>
      <c r="S7" s="119">
        <v>0.103645833333333</v>
      </c>
      <c r="T7" s="120">
        <f>R7*60</f>
        <v>9000</v>
      </c>
      <c r="U7" s="141">
        <v>169</v>
      </c>
      <c r="V7" s="8"/>
      <c r="W7" s="8"/>
      <c r="X7" s="9"/>
      <c r="Y7" s="10"/>
      <c r="Z7" s="8"/>
      <c r="AA7" s="11"/>
      <c r="AB7" s="8"/>
      <c r="AC7" s="8"/>
      <c r="AD7" s="10"/>
      <c r="AE7" s="12"/>
      <c r="AF7" s="12"/>
      <c r="AG7" s="12"/>
    </row>
    <row r="8" s="2" customFormat="1" ht="20.1" customHeight="1" spans="1:33">
      <c r="A8" s="81">
        <v>4</v>
      </c>
      <c r="B8" s="82" t="s">
        <v>122</v>
      </c>
      <c r="C8" s="32" t="s">
        <v>1233</v>
      </c>
      <c r="D8" s="82"/>
      <c r="E8" s="81">
        <v>4</v>
      </c>
      <c r="F8" s="84" t="s">
        <v>506</v>
      </c>
      <c r="G8" s="28" t="s">
        <v>1237</v>
      </c>
      <c r="H8" s="132" t="s">
        <v>126</v>
      </c>
      <c r="I8" s="138" t="str">
        <f>CONCATENATE(RemovePunctuation(G8),"_",B8,"_",U8,"_",PROPER(J8),IF(K8="",PROPER(J8),PROPER(K8)),PROPER(L8),PROPER(M8),PROPER(N8),IF(N8&lt;&gt;"","SUB",""),PROPER(O8),IF(O8&lt;&gt;"","SUB",""),"_","Ed","_","M1",".mpg")</f>
        <v>AirPanoramaInternationalInboundWithAd1_0125_169_EngZhoEngSUBZhoSUB_Ed_M1.mpg</v>
      </c>
      <c r="J8" s="61" t="s">
        <v>138</v>
      </c>
      <c r="K8" s="61" t="s">
        <v>132</v>
      </c>
      <c r="L8" s="52"/>
      <c r="M8" s="52"/>
      <c r="N8" s="61" t="s">
        <v>138</v>
      </c>
      <c r="O8" s="61" t="s">
        <v>132</v>
      </c>
      <c r="P8" s="61" t="s">
        <v>131</v>
      </c>
      <c r="Q8" s="61" t="s">
        <v>131</v>
      </c>
      <c r="R8" s="118">
        <f>ROUNDUP(HOUR(S8)*60+MINUTE(S8)+SECOND(S8)/60,0)</f>
        <v>151</v>
      </c>
      <c r="S8" s="119">
        <v>0.104814814814815</v>
      </c>
      <c r="T8" s="120">
        <f>R8*60</f>
        <v>9060</v>
      </c>
      <c r="U8" s="141">
        <v>169</v>
      </c>
      <c r="V8" s="8"/>
      <c r="W8" s="8"/>
      <c r="X8" s="9"/>
      <c r="Y8" s="10"/>
      <c r="Z8" s="8"/>
      <c r="AA8" s="11"/>
      <c r="AB8" s="8"/>
      <c r="AC8" s="8"/>
      <c r="AD8" s="10"/>
      <c r="AE8" s="12"/>
      <c r="AF8" s="12"/>
      <c r="AG8" s="12"/>
    </row>
    <row r="9" s="2" customFormat="1" ht="20.25" spans="3:33">
      <c r="C9" s="34"/>
      <c r="D9" s="34"/>
      <c r="E9" s="3"/>
      <c r="F9" s="4"/>
      <c r="G9" s="3"/>
      <c r="H9" s="3"/>
      <c r="I9" s="5"/>
      <c r="J9" s="3"/>
      <c r="K9" s="6"/>
      <c r="L9" s="6"/>
      <c r="M9" s="6"/>
      <c r="N9" s="3"/>
      <c r="O9" s="3"/>
      <c r="P9" s="3"/>
      <c r="Q9" s="3"/>
      <c r="R9" s="3"/>
      <c r="S9" s="3"/>
      <c r="T9" s="3"/>
      <c r="U9" s="3"/>
      <c r="V9" s="8"/>
      <c r="W9" s="8"/>
      <c r="X9" s="9"/>
      <c r="Y9" s="10"/>
      <c r="Z9" s="8"/>
      <c r="AA9" s="11"/>
      <c r="AB9" s="8"/>
      <c r="AC9" s="8"/>
      <c r="AD9" s="10"/>
      <c r="AE9" s="12"/>
      <c r="AF9" s="12"/>
      <c r="AG9" s="12"/>
    </row>
    <row r="10" s="2" customFormat="1" ht="20.25" spans="3:33">
      <c r="C10" s="34"/>
      <c r="D10" s="34"/>
      <c r="E10" s="3"/>
      <c r="F10" s="4"/>
      <c r="G10" s="3"/>
      <c r="H10" s="3"/>
      <c r="I10" s="5"/>
      <c r="J10" s="3"/>
      <c r="K10" s="6"/>
      <c r="L10" s="6"/>
      <c r="M10" s="6"/>
      <c r="N10" s="3"/>
      <c r="O10" s="3"/>
      <c r="P10" s="3"/>
      <c r="Q10" s="3"/>
      <c r="R10" s="3"/>
      <c r="S10" s="3"/>
      <c r="T10" s="3"/>
      <c r="U10" s="3"/>
      <c r="V10" s="8"/>
      <c r="W10" s="8"/>
      <c r="X10" s="9"/>
      <c r="Y10" s="10"/>
      <c r="Z10" s="8"/>
      <c r="AA10" s="11"/>
      <c r="AB10" s="8"/>
      <c r="AC10" s="8"/>
      <c r="AD10" s="10"/>
      <c r="AE10" s="12"/>
      <c r="AF10" s="12"/>
      <c r="AG10" s="12"/>
    </row>
    <row r="11" s="2" customFormat="1" spans="3:33">
      <c r="C11" s="3"/>
      <c r="D11" s="3"/>
      <c r="E11" s="3"/>
      <c r="F11" s="4"/>
      <c r="G11" s="3"/>
      <c r="H11" s="3"/>
      <c r="I11" s="5"/>
      <c r="J11" s="3"/>
      <c r="K11" s="6"/>
      <c r="L11" s="6"/>
      <c r="M11" s="6"/>
      <c r="N11" s="3"/>
      <c r="O11" s="3"/>
      <c r="P11" s="3"/>
      <c r="Q11" s="3"/>
      <c r="R11" s="3"/>
      <c r="S11" s="3"/>
      <c r="T11" s="3"/>
      <c r="U11" s="3"/>
      <c r="V11" s="8"/>
      <c r="W11" s="8"/>
      <c r="X11" s="9"/>
      <c r="Y11" s="10"/>
      <c r="Z11" s="8"/>
      <c r="AA11" s="11"/>
      <c r="AB11" s="8"/>
      <c r="AC11" s="8"/>
      <c r="AD11" s="10"/>
      <c r="AE11" s="12"/>
      <c r="AF11" s="12"/>
      <c r="AG11" s="12"/>
    </row>
    <row r="12" s="2" customFormat="1" spans="3:33">
      <c r="C12" s="3"/>
      <c r="D12" s="3"/>
      <c r="E12" s="3"/>
      <c r="F12" s="4"/>
      <c r="G12" s="3"/>
      <c r="H12" s="3"/>
      <c r="I12" s="5"/>
      <c r="J12" s="3"/>
      <c r="K12" s="6"/>
      <c r="L12" s="6"/>
      <c r="M12" s="6"/>
      <c r="N12" s="3"/>
      <c r="O12" s="3"/>
      <c r="P12" s="3"/>
      <c r="Q12" s="3"/>
      <c r="R12" s="3"/>
      <c r="S12" s="3"/>
      <c r="T12" s="3"/>
      <c r="U12" s="3"/>
      <c r="V12" s="8"/>
      <c r="W12" s="8"/>
      <c r="X12" s="9"/>
      <c r="Y12" s="10"/>
      <c r="Z12" s="8"/>
      <c r="AA12" s="11"/>
      <c r="AB12" s="8"/>
      <c r="AC12" s="8"/>
      <c r="AD12" s="10"/>
      <c r="AE12" s="12"/>
      <c r="AF12" s="12"/>
      <c r="AG12" s="12"/>
    </row>
    <row r="13" s="2" customFormat="1" spans="3:33">
      <c r="C13" s="3"/>
      <c r="D13" s="3"/>
      <c r="E13" s="3"/>
      <c r="F13" s="4"/>
      <c r="G13" s="3"/>
      <c r="H13" s="3"/>
      <c r="I13" s="5"/>
      <c r="J13" s="3"/>
      <c r="K13" s="6"/>
      <c r="L13" s="6"/>
      <c r="M13" s="6"/>
      <c r="N13" s="3"/>
      <c r="O13" s="3"/>
      <c r="P13" s="3"/>
      <c r="Q13" s="3"/>
      <c r="R13" s="3"/>
      <c r="S13" s="3"/>
      <c r="T13" s="3"/>
      <c r="U13" s="3"/>
      <c r="V13" s="8"/>
      <c r="W13" s="8"/>
      <c r="X13" s="9"/>
      <c r="Y13" s="10"/>
      <c r="Z13" s="8"/>
      <c r="AA13" s="11"/>
      <c r="AB13" s="8"/>
      <c r="AC13" s="8"/>
      <c r="AD13" s="10"/>
      <c r="AE13" s="12"/>
      <c r="AF13" s="12"/>
      <c r="AG13" s="12"/>
    </row>
    <row r="14" s="2" customFormat="1" spans="3:33">
      <c r="C14" s="3"/>
      <c r="D14" s="3"/>
      <c r="E14" s="3"/>
      <c r="F14" s="4"/>
      <c r="G14" s="3"/>
      <c r="H14" s="3"/>
      <c r="I14" s="5"/>
      <c r="J14" s="3"/>
      <c r="K14" s="6"/>
      <c r="L14" s="6"/>
      <c r="M14" s="6"/>
      <c r="N14" s="3"/>
      <c r="O14" s="3"/>
      <c r="P14" s="3"/>
      <c r="Q14" s="3"/>
      <c r="R14" s="3"/>
      <c r="S14" s="3"/>
      <c r="T14" s="3"/>
      <c r="U14" s="3"/>
      <c r="V14" s="8"/>
      <c r="W14" s="8"/>
      <c r="X14" s="9"/>
      <c r="Y14" s="10"/>
      <c r="Z14" s="8"/>
      <c r="AA14" s="11"/>
      <c r="AB14" s="8"/>
      <c r="AC14" s="8"/>
      <c r="AD14" s="10"/>
      <c r="AE14" s="12"/>
      <c r="AF14" s="12"/>
      <c r="AG14" s="12"/>
    </row>
    <row r="15" s="2" customFormat="1" spans="3:33">
      <c r="C15" s="3"/>
      <c r="D15" s="3"/>
      <c r="E15" s="3"/>
      <c r="F15" s="4"/>
      <c r="G15" s="3"/>
      <c r="H15" s="3"/>
      <c r="I15" s="5"/>
      <c r="J15" s="3"/>
      <c r="K15" s="6"/>
      <c r="L15" s="6"/>
      <c r="M15" s="6"/>
      <c r="N15" s="3"/>
      <c r="O15" s="3"/>
      <c r="P15" s="3"/>
      <c r="Q15" s="3"/>
      <c r="R15" s="3"/>
      <c r="S15" s="3"/>
      <c r="T15" s="3"/>
      <c r="U15" s="3"/>
      <c r="V15" s="8"/>
      <c r="W15" s="8"/>
      <c r="X15" s="9"/>
      <c r="Y15" s="10"/>
      <c r="Z15" s="8"/>
      <c r="AA15" s="11"/>
      <c r="AB15" s="8"/>
      <c r="AC15" s="8"/>
      <c r="AD15" s="10"/>
      <c r="AE15" s="12"/>
      <c r="AF15" s="12"/>
      <c r="AG15" s="12"/>
    </row>
    <row r="16" s="2" customFormat="1" spans="3:33">
      <c r="C16" s="3"/>
      <c r="D16" s="3"/>
      <c r="E16" s="3"/>
      <c r="F16" s="4"/>
      <c r="G16" s="3"/>
      <c r="H16" s="3"/>
      <c r="I16" s="5"/>
      <c r="J16" s="3"/>
      <c r="K16" s="6"/>
      <c r="L16" s="6"/>
      <c r="M16" s="6"/>
      <c r="N16" s="3"/>
      <c r="O16" s="3"/>
      <c r="P16" s="3"/>
      <c r="Q16" s="3"/>
      <c r="R16" s="3"/>
      <c r="S16" s="3"/>
      <c r="T16" s="3"/>
      <c r="U16" s="3"/>
      <c r="V16" s="8"/>
      <c r="W16" s="8"/>
      <c r="X16" s="9"/>
      <c r="Y16" s="10"/>
      <c r="Z16" s="8"/>
      <c r="AA16" s="11"/>
      <c r="AB16" s="8"/>
      <c r="AC16" s="8"/>
      <c r="AD16" s="10"/>
      <c r="AE16" s="12"/>
      <c r="AF16" s="12"/>
      <c r="AG16" s="12"/>
    </row>
    <row r="17" s="2" customFormat="1" spans="3:33">
      <c r="C17" s="3"/>
      <c r="D17" s="3"/>
      <c r="E17" s="3"/>
      <c r="F17" s="4"/>
      <c r="G17" s="3"/>
      <c r="H17" s="3"/>
      <c r="I17" s="5"/>
      <c r="J17" s="3"/>
      <c r="K17" s="6"/>
      <c r="L17" s="6"/>
      <c r="M17" s="6"/>
      <c r="N17" s="3"/>
      <c r="O17" s="3"/>
      <c r="P17" s="3"/>
      <c r="Q17" s="3"/>
      <c r="R17" s="3"/>
      <c r="S17" s="3"/>
      <c r="T17" s="3"/>
      <c r="U17" s="3"/>
      <c r="V17" s="8"/>
      <c r="W17" s="8"/>
      <c r="X17" s="9"/>
      <c r="Y17" s="10"/>
      <c r="Z17" s="8"/>
      <c r="AA17" s="11"/>
      <c r="AB17" s="8"/>
      <c r="AC17" s="8"/>
      <c r="AD17" s="10"/>
      <c r="AE17" s="12"/>
      <c r="AF17" s="12"/>
      <c r="AG17" s="12"/>
    </row>
    <row r="18" s="2" customFormat="1" spans="3:33">
      <c r="C18" s="3"/>
      <c r="D18" s="3"/>
      <c r="E18" s="3"/>
      <c r="F18" s="4"/>
      <c r="G18" s="3"/>
      <c r="H18" s="3"/>
      <c r="I18" s="5"/>
      <c r="J18" s="3"/>
      <c r="K18" s="6"/>
      <c r="L18" s="6"/>
      <c r="M18" s="6"/>
      <c r="N18" s="3"/>
      <c r="O18" s="3"/>
      <c r="P18" s="3"/>
      <c r="Q18" s="3"/>
      <c r="R18" s="3"/>
      <c r="S18" s="3"/>
      <c r="T18" s="3"/>
      <c r="U18" s="3"/>
      <c r="V18" s="8"/>
      <c r="W18" s="8"/>
      <c r="X18" s="9"/>
      <c r="Y18" s="10"/>
      <c r="Z18" s="8"/>
      <c r="AA18" s="11"/>
      <c r="AB18" s="8"/>
      <c r="AC18" s="8"/>
      <c r="AD18" s="10"/>
      <c r="AE18" s="12"/>
      <c r="AF18" s="12"/>
      <c r="AG18" s="12"/>
    </row>
    <row r="19" s="2" customFormat="1" spans="3:33">
      <c r="C19" s="3"/>
      <c r="D19" s="3"/>
      <c r="E19" s="3"/>
      <c r="F19" s="4"/>
      <c r="G19" s="3"/>
      <c r="H19" s="3"/>
      <c r="I19" s="5"/>
      <c r="J19" s="3"/>
      <c r="K19" s="6"/>
      <c r="L19" s="6"/>
      <c r="M19" s="6"/>
      <c r="N19" s="3"/>
      <c r="O19" s="3"/>
      <c r="P19" s="3"/>
      <c r="Q19" s="3"/>
      <c r="R19" s="3"/>
      <c r="S19" s="3"/>
      <c r="T19" s="3"/>
      <c r="U19" s="3"/>
      <c r="V19" s="8"/>
      <c r="W19" s="8"/>
      <c r="X19" s="9"/>
      <c r="Y19" s="10"/>
      <c r="Z19" s="8"/>
      <c r="AA19" s="11"/>
      <c r="AB19" s="8"/>
      <c r="AC19" s="8"/>
      <c r="AD19" s="10"/>
      <c r="AE19" s="12"/>
      <c r="AF19" s="12"/>
      <c r="AG19" s="12"/>
    </row>
    <row r="20" s="2" customFormat="1" spans="3:33">
      <c r="C20" s="3"/>
      <c r="D20" s="3"/>
      <c r="E20" s="3"/>
      <c r="F20" s="4"/>
      <c r="G20" s="3"/>
      <c r="H20" s="3"/>
      <c r="I20" s="5"/>
      <c r="J20" s="3"/>
      <c r="K20" s="6"/>
      <c r="L20" s="6"/>
      <c r="M20" s="6"/>
      <c r="N20" s="3"/>
      <c r="O20" s="3"/>
      <c r="P20" s="3"/>
      <c r="Q20" s="3"/>
      <c r="R20" s="3"/>
      <c r="S20" s="3"/>
      <c r="T20" s="3"/>
      <c r="U20" s="3"/>
      <c r="V20" s="8"/>
      <c r="W20" s="8"/>
      <c r="X20" s="9"/>
      <c r="Y20" s="10"/>
      <c r="Z20" s="8"/>
      <c r="AA20" s="11"/>
      <c r="AB20" s="8"/>
      <c r="AC20" s="8"/>
      <c r="AD20" s="10"/>
      <c r="AE20" s="12"/>
      <c r="AF20" s="12"/>
      <c r="AG20" s="12"/>
    </row>
    <row r="21" s="2" customFormat="1" spans="3:33">
      <c r="C21" s="3"/>
      <c r="D21" s="3"/>
      <c r="E21" s="3"/>
      <c r="F21" s="4"/>
      <c r="G21" s="3"/>
      <c r="H21" s="3"/>
      <c r="I21" s="5"/>
      <c r="J21" s="3"/>
      <c r="K21" s="6"/>
      <c r="L21" s="6"/>
      <c r="M21" s="6"/>
      <c r="N21" s="3"/>
      <c r="O21" s="3"/>
      <c r="P21" s="3"/>
      <c r="Q21" s="3"/>
      <c r="R21" s="3"/>
      <c r="S21" s="3"/>
      <c r="T21" s="3"/>
      <c r="U21" s="3"/>
      <c r="V21" s="8"/>
      <c r="W21" s="8"/>
      <c r="X21" s="9"/>
      <c r="Y21" s="10"/>
      <c r="Z21" s="8"/>
      <c r="AA21" s="11"/>
      <c r="AB21" s="8"/>
      <c r="AC21" s="8"/>
      <c r="AD21" s="10"/>
      <c r="AE21" s="12"/>
      <c r="AF21" s="12"/>
      <c r="AG21" s="12"/>
    </row>
    <row r="22" s="2" customFormat="1" spans="3:33">
      <c r="C22" s="3"/>
      <c r="D22" s="3"/>
      <c r="E22" s="3"/>
      <c r="F22" s="4"/>
      <c r="G22" s="3"/>
      <c r="H22" s="3"/>
      <c r="I22" s="5"/>
      <c r="J22" s="3"/>
      <c r="K22" s="6"/>
      <c r="L22" s="6"/>
      <c r="M22" s="6"/>
      <c r="N22" s="3"/>
      <c r="O22" s="3"/>
      <c r="P22" s="3"/>
      <c r="Q22" s="3"/>
      <c r="R22" s="3"/>
      <c r="S22" s="3"/>
      <c r="T22" s="3"/>
      <c r="U22" s="3"/>
      <c r="V22" s="8"/>
      <c r="W22" s="8"/>
      <c r="X22" s="9"/>
      <c r="Y22" s="10"/>
      <c r="Z22" s="8"/>
      <c r="AA22" s="11"/>
      <c r="AB22" s="8"/>
      <c r="AC22" s="8"/>
      <c r="AD22" s="10"/>
      <c r="AE22" s="12"/>
      <c r="AF22" s="12"/>
      <c r="AG22" s="12"/>
    </row>
    <row r="23" s="2" customFormat="1" spans="3:33">
      <c r="C23" s="3"/>
      <c r="D23" s="3"/>
      <c r="E23" s="3"/>
      <c r="F23" s="4"/>
      <c r="G23" s="3"/>
      <c r="H23" s="3"/>
      <c r="I23" s="5"/>
      <c r="J23" s="3"/>
      <c r="K23" s="6"/>
      <c r="L23" s="6"/>
      <c r="M23" s="6"/>
      <c r="N23" s="3"/>
      <c r="O23" s="3"/>
      <c r="P23" s="3"/>
      <c r="Q23" s="3"/>
      <c r="R23" s="3"/>
      <c r="S23" s="3"/>
      <c r="T23" s="3"/>
      <c r="U23" s="3"/>
      <c r="V23" s="8"/>
      <c r="W23" s="8"/>
      <c r="X23" s="9"/>
      <c r="Y23" s="10"/>
      <c r="Z23" s="8"/>
      <c r="AA23" s="11"/>
      <c r="AB23" s="8"/>
      <c r="AC23" s="8"/>
      <c r="AD23" s="10"/>
      <c r="AE23" s="12"/>
      <c r="AF23" s="12"/>
      <c r="AG23" s="12"/>
    </row>
    <row r="24" s="2" customFormat="1" spans="3:33">
      <c r="C24" s="3"/>
      <c r="D24" s="3"/>
      <c r="E24" s="3"/>
      <c r="F24" s="4"/>
      <c r="G24" s="3"/>
      <c r="H24" s="3"/>
      <c r="I24" s="5"/>
      <c r="J24" s="3"/>
      <c r="K24" s="6"/>
      <c r="L24" s="6"/>
      <c r="M24" s="6"/>
      <c r="N24" s="3"/>
      <c r="O24" s="3"/>
      <c r="P24" s="3"/>
      <c r="Q24" s="3"/>
      <c r="R24" s="3"/>
      <c r="S24" s="3"/>
      <c r="T24" s="3"/>
      <c r="U24" s="3"/>
      <c r="V24" s="8"/>
      <c r="W24" s="8"/>
      <c r="X24" s="9"/>
      <c r="Y24" s="10"/>
      <c r="Z24" s="8"/>
      <c r="AA24" s="11"/>
      <c r="AB24" s="8"/>
      <c r="AC24" s="8"/>
      <c r="AD24" s="10"/>
      <c r="AE24" s="12"/>
      <c r="AF24" s="12"/>
      <c r="AG24" s="12"/>
    </row>
    <row r="25" s="2" customFormat="1" spans="3:33">
      <c r="C25" s="3"/>
      <c r="D25" s="3"/>
      <c r="E25" s="3"/>
      <c r="F25" s="4"/>
      <c r="G25" s="3"/>
      <c r="H25" s="3"/>
      <c r="I25" s="5"/>
      <c r="J25" s="3"/>
      <c r="K25" s="6"/>
      <c r="L25" s="6"/>
      <c r="M25" s="6"/>
      <c r="N25" s="3"/>
      <c r="O25" s="3"/>
      <c r="P25" s="3"/>
      <c r="Q25" s="3"/>
      <c r="R25" s="3"/>
      <c r="S25" s="3"/>
      <c r="T25" s="3"/>
      <c r="U25" s="3"/>
      <c r="V25" s="8"/>
      <c r="W25" s="8"/>
      <c r="X25" s="9"/>
      <c r="Y25" s="10"/>
      <c r="Z25" s="8"/>
      <c r="AA25" s="11"/>
      <c r="AB25" s="8"/>
      <c r="AC25" s="8"/>
      <c r="AD25" s="10"/>
      <c r="AE25" s="12"/>
      <c r="AF25" s="12"/>
      <c r="AG25" s="12"/>
    </row>
    <row r="26" s="2" customFormat="1" spans="3:33">
      <c r="C26" s="3"/>
      <c r="D26" s="3"/>
      <c r="E26" s="3"/>
      <c r="F26" s="4"/>
      <c r="G26" s="3"/>
      <c r="H26" s="3"/>
      <c r="I26" s="5"/>
      <c r="J26" s="3"/>
      <c r="K26" s="6"/>
      <c r="L26" s="6"/>
      <c r="M26" s="6"/>
      <c r="N26" s="3"/>
      <c r="O26" s="3"/>
      <c r="P26" s="3"/>
      <c r="Q26" s="3"/>
      <c r="R26" s="3"/>
      <c r="S26" s="3"/>
      <c r="T26" s="3"/>
      <c r="U26" s="3"/>
      <c r="V26" s="8"/>
      <c r="W26" s="8"/>
      <c r="X26" s="9"/>
      <c r="Y26" s="10"/>
      <c r="Z26" s="8"/>
      <c r="AA26" s="11"/>
      <c r="AB26" s="8"/>
      <c r="AC26" s="8"/>
      <c r="AD26" s="10"/>
      <c r="AE26" s="12"/>
      <c r="AF26" s="12"/>
      <c r="AG26" s="12"/>
    </row>
    <row r="27" s="2" customFormat="1" spans="3:33">
      <c r="C27" s="3"/>
      <c r="D27" s="3"/>
      <c r="E27" s="3"/>
      <c r="F27" s="4"/>
      <c r="G27" s="3"/>
      <c r="H27" s="3"/>
      <c r="I27" s="5"/>
      <c r="J27" s="3"/>
      <c r="K27" s="6"/>
      <c r="L27" s="6"/>
      <c r="M27" s="6"/>
      <c r="N27" s="3"/>
      <c r="O27" s="3"/>
      <c r="P27" s="3"/>
      <c r="Q27" s="3"/>
      <c r="R27" s="3"/>
      <c r="S27" s="3"/>
      <c r="T27" s="3"/>
      <c r="U27" s="3"/>
      <c r="V27" s="8"/>
      <c r="W27" s="8"/>
      <c r="X27" s="9"/>
      <c r="Y27" s="10"/>
      <c r="Z27" s="8"/>
      <c r="AA27" s="11"/>
      <c r="AB27" s="8"/>
      <c r="AC27" s="8"/>
      <c r="AD27" s="10"/>
      <c r="AE27" s="12"/>
      <c r="AF27" s="12"/>
      <c r="AG27" s="12"/>
    </row>
    <row r="28" s="2" customFormat="1" ht="15.75" spans="3:33">
      <c r="C28" s="3"/>
      <c r="D28" s="3"/>
      <c r="E28" s="3"/>
      <c r="F28" s="4"/>
      <c r="G28" s="3"/>
      <c r="H28" s="3"/>
      <c r="I28" s="5"/>
      <c r="J28" s="3"/>
      <c r="K28" s="6"/>
      <c r="L28" s="6"/>
      <c r="M28" s="6"/>
      <c r="N28" s="3"/>
      <c r="O28" s="3"/>
      <c r="P28" s="63"/>
      <c r="Q28" s="63"/>
      <c r="R28" s="63"/>
      <c r="S28" s="3"/>
      <c r="T28" s="3"/>
      <c r="U28" s="3"/>
      <c r="V28" s="8"/>
      <c r="W28" s="8"/>
      <c r="X28" s="9"/>
      <c r="Y28" s="10"/>
      <c r="Z28" s="8"/>
      <c r="AA28" s="11"/>
      <c r="AB28" s="8"/>
      <c r="AC28" s="8"/>
      <c r="AD28" s="10"/>
      <c r="AE28" s="12"/>
      <c r="AF28" s="12"/>
      <c r="AG28" s="12"/>
    </row>
    <row r="29" s="2" customFormat="1" ht="15.75" spans="3:33">
      <c r="C29" s="3"/>
      <c r="D29" s="3"/>
      <c r="E29" s="3"/>
      <c r="F29" s="4"/>
      <c r="G29" s="3"/>
      <c r="H29" s="3"/>
      <c r="I29" s="5"/>
      <c r="J29" s="3"/>
      <c r="K29" s="6"/>
      <c r="L29" s="6"/>
      <c r="M29" s="6"/>
      <c r="N29" s="3"/>
      <c r="O29" s="3"/>
      <c r="P29" s="63"/>
      <c r="Q29" s="63"/>
      <c r="R29" s="63"/>
      <c r="S29" s="3"/>
      <c r="T29" s="3"/>
      <c r="U29" s="3"/>
      <c r="V29" s="8"/>
      <c r="W29" s="8"/>
      <c r="X29" s="9"/>
      <c r="Y29" s="10"/>
      <c r="Z29" s="8"/>
      <c r="AA29" s="11"/>
      <c r="AB29" s="8"/>
      <c r="AC29" s="8"/>
      <c r="AD29" s="10"/>
      <c r="AE29" s="12"/>
      <c r="AF29" s="12"/>
      <c r="AG29" s="12"/>
    </row>
    <row r="30" s="2" customFormat="1" ht="15.75" spans="3:33">
      <c r="C30" s="3"/>
      <c r="D30" s="3"/>
      <c r="E30" s="3"/>
      <c r="F30" s="4"/>
      <c r="G30" s="3"/>
      <c r="H30" s="3"/>
      <c r="I30" s="5"/>
      <c r="J30" s="3"/>
      <c r="K30" s="6"/>
      <c r="L30" s="6"/>
      <c r="M30" s="6"/>
      <c r="N30" s="3"/>
      <c r="O30" s="3"/>
      <c r="P30" s="64"/>
      <c r="Q30" s="64"/>
      <c r="R30" s="64"/>
      <c r="S30" s="3"/>
      <c r="T30" s="3"/>
      <c r="U30" s="3"/>
      <c r="V30" s="8"/>
      <c r="W30" s="8"/>
      <c r="X30" s="9"/>
      <c r="Y30" s="10"/>
      <c r="Z30" s="8"/>
      <c r="AA30" s="11"/>
      <c r="AB30" s="8"/>
      <c r="AC30" s="8"/>
      <c r="AD30" s="10"/>
      <c r="AE30" s="12"/>
      <c r="AF30" s="12"/>
      <c r="AG30" s="12"/>
    </row>
    <row r="31" s="2" customFormat="1" ht="15.75" spans="3:33">
      <c r="C31" s="3"/>
      <c r="D31" s="3"/>
      <c r="E31" s="3"/>
      <c r="F31" s="4"/>
      <c r="G31" s="3"/>
      <c r="H31" s="3"/>
      <c r="I31" s="5"/>
      <c r="J31" s="3"/>
      <c r="K31" s="6"/>
      <c r="L31" s="6"/>
      <c r="M31" s="6"/>
      <c r="N31" s="3"/>
      <c r="O31" s="3"/>
      <c r="P31" s="64"/>
      <c r="Q31" s="64"/>
      <c r="R31" s="64"/>
      <c r="S31" s="3"/>
      <c r="T31" s="3"/>
      <c r="U31" s="3"/>
      <c r="V31" s="8"/>
      <c r="W31" s="8"/>
      <c r="X31" s="9"/>
      <c r="Y31" s="10"/>
      <c r="Z31" s="8"/>
      <c r="AA31" s="11"/>
      <c r="AB31" s="8"/>
      <c r="AC31" s="8"/>
      <c r="AD31" s="10"/>
      <c r="AE31" s="12"/>
      <c r="AF31" s="12"/>
      <c r="AG31" s="12"/>
    </row>
  </sheetData>
  <mergeCells count="25">
    <mergeCell ref="A2:G2"/>
    <mergeCell ref="J2:O2"/>
    <mergeCell ref="P2:Q2"/>
    <mergeCell ref="S2:T2"/>
    <mergeCell ref="A3:A4"/>
    <mergeCell ref="B3:B4"/>
    <mergeCell ref="C3:C4"/>
    <mergeCell ref="D3:D4"/>
    <mergeCell ref="E3:E4"/>
    <mergeCell ref="F3:F4"/>
    <mergeCell ref="G3:G4"/>
    <mergeCell ref="H3:H4"/>
    <mergeCell ref="I2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2:U4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N28"/>
  <sheetViews>
    <sheetView zoomScale="80" zoomScaleNormal="80" workbookViewId="0">
      <selection activeCell="S26" sqref="S26"/>
    </sheetView>
  </sheetViews>
  <sheetFormatPr defaultColWidth="8" defaultRowHeight="12.75"/>
  <cols>
    <col min="1" max="1" width="4.38333333333333" style="2" customWidth="1"/>
    <col min="2" max="2" width="6.88333333333333" style="2" customWidth="1"/>
    <col min="3" max="3" width="8.44166666666667" style="3" customWidth="1"/>
    <col min="4" max="4" width="11.1416666666667" style="3" customWidth="1"/>
    <col min="5" max="5" width="3.25833333333333" style="3" customWidth="1"/>
    <col min="6" max="6" width="5.15" style="4" customWidth="1"/>
    <col min="7" max="7" width="25.7833333333333" style="3" customWidth="1"/>
    <col min="8" max="8" width="39.8416666666667" style="3" customWidth="1"/>
    <col min="9" max="9" width="4.14166666666667" style="3" customWidth="1"/>
    <col min="10" max="10" width="4.14166666666667" style="3" hidden="1" customWidth="1"/>
    <col min="11" max="11" width="4.99166666666667" style="3" hidden="1" customWidth="1"/>
    <col min="12" max="12" width="4.14166666666667" style="3" hidden="1" customWidth="1"/>
    <col min="13" max="13" width="5.93333333333333" style="3" hidden="1" customWidth="1"/>
    <col min="14" max="14" width="20.625" style="3" customWidth="1"/>
    <col min="15" max="15" width="27.3416666666667" style="3" hidden="1" customWidth="1"/>
    <col min="16" max="16" width="56.5583333333333" style="5" hidden="1" customWidth="1"/>
    <col min="17" max="17" width="56.5583333333333" style="3" hidden="1" customWidth="1"/>
    <col min="18" max="20" width="4.14166666666667" style="6" customWidth="1"/>
    <col min="21" max="22" width="4.14166666666667" style="3" customWidth="1"/>
    <col min="23" max="24" width="5.63333333333333" style="7" customWidth="1"/>
    <col min="25" max="25" width="8" style="7" customWidth="1"/>
    <col min="26" max="26" width="11.3833333333333" style="3" customWidth="1"/>
    <col min="27" max="27" width="11.2583333333333" style="3" customWidth="1"/>
    <col min="28" max="28" width="6.14166666666667" style="3" customWidth="1"/>
    <col min="29" max="29" width="5.88333333333333" style="8" customWidth="1"/>
    <col min="30" max="30" width="5.14166666666667" style="8" customWidth="1"/>
    <col min="31" max="31" width="17.6333333333333" style="9" customWidth="1"/>
    <col min="32" max="32" width="5.14166666666667" style="10" customWidth="1"/>
    <col min="33" max="33" width="5.14166666666667" style="8" customWidth="1"/>
    <col min="34" max="34" width="5.14166666666667" style="11" customWidth="1"/>
    <col min="35" max="36" width="5.14166666666667" style="8" customWidth="1"/>
    <col min="37" max="37" width="5.14166666666667" style="10" customWidth="1"/>
    <col min="38" max="40" width="4.14166666666667" style="12" hidden="1" customWidth="1"/>
    <col min="41" max="16384" width="8" style="2"/>
  </cols>
  <sheetData>
    <row r="1" s="2" customFormat="1" ht="13.5" spans="3:39">
      <c r="C1" s="3"/>
      <c r="D1" s="3"/>
      <c r="E1" s="3"/>
      <c r="F1" s="3"/>
      <c r="G1" s="4"/>
      <c r="H1" s="3"/>
      <c r="I1" s="3"/>
      <c r="J1" s="3"/>
      <c r="K1" s="3"/>
      <c r="L1" s="3"/>
      <c r="M1" s="3"/>
      <c r="N1" s="3"/>
      <c r="O1" s="3"/>
      <c r="P1" s="5"/>
      <c r="Q1" s="5"/>
      <c r="R1" s="3"/>
      <c r="S1" s="6"/>
      <c r="T1" s="6"/>
      <c r="U1" s="6"/>
      <c r="V1" s="3"/>
      <c r="W1" s="3"/>
      <c r="X1" s="7"/>
      <c r="Y1" s="7"/>
      <c r="Z1" s="7"/>
      <c r="AA1" s="3"/>
      <c r="AB1" s="3"/>
      <c r="AC1" s="8"/>
      <c r="AD1" s="9"/>
      <c r="AE1" s="10"/>
      <c r="AF1" s="8"/>
      <c r="AG1" s="11"/>
      <c r="AH1" s="8"/>
      <c r="AI1" s="8"/>
      <c r="AJ1" s="10"/>
      <c r="AK1" s="12"/>
      <c r="AL1" s="12"/>
      <c r="AM1" s="12"/>
    </row>
    <row r="2" s="2" customFormat="1" ht="18.95" customHeight="1" spans="1:28">
      <c r="A2" s="14" t="s">
        <v>374</v>
      </c>
      <c r="B2" s="13"/>
      <c r="C2" s="13"/>
      <c r="D2" s="13"/>
      <c r="E2" s="13"/>
      <c r="F2" s="13"/>
      <c r="G2" s="13"/>
      <c r="H2" s="14"/>
      <c r="I2" s="87" t="s">
        <v>75</v>
      </c>
      <c r="J2" s="88"/>
      <c r="K2" s="89"/>
      <c r="L2" s="87" t="s">
        <v>76</v>
      </c>
      <c r="M2" s="89"/>
      <c r="N2" s="37" t="s">
        <v>375</v>
      </c>
      <c r="O2" s="38"/>
      <c r="P2" s="90" t="s">
        <v>79</v>
      </c>
      <c r="Q2" s="39"/>
      <c r="R2" s="102" t="s">
        <v>82</v>
      </c>
      <c r="S2" s="102"/>
      <c r="T2" s="102"/>
      <c r="U2" s="102"/>
      <c r="V2" s="102"/>
      <c r="W2" s="102"/>
      <c r="X2" s="103" t="s">
        <v>377</v>
      </c>
      <c r="Y2" s="112"/>
      <c r="Z2" s="55"/>
      <c r="AA2" s="37" t="s">
        <v>83</v>
      </c>
      <c r="AB2" s="38"/>
    </row>
    <row r="3" s="2" customFormat="1" ht="18" customHeight="1" spans="1:28">
      <c r="A3" s="68" t="s">
        <v>87</v>
      </c>
      <c r="B3" s="77" t="s">
        <v>89</v>
      </c>
      <c r="C3" s="78" t="s">
        <v>378</v>
      </c>
      <c r="D3" s="77" t="s">
        <v>88</v>
      </c>
      <c r="E3" s="78" t="s">
        <v>91</v>
      </c>
      <c r="F3" s="78" t="s">
        <v>1238</v>
      </c>
      <c r="G3" s="78" t="s">
        <v>92</v>
      </c>
      <c r="H3" s="68" t="s">
        <v>93</v>
      </c>
      <c r="I3" s="91" t="s">
        <v>95</v>
      </c>
      <c r="J3" s="92" t="s">
        <v>875</v>
      </c>
      <c r="K3" s="92" t="s">
        <v>101</v>
      </c>
      <c r="L3" s="93" t="s">
        <v>98</v>
      </c>
      <c r="M3" s="94" t="s">
        <v>99</v>
      </c>
      <c r="N3" s="43" t="s">
        <v>1239</v>
      </c>
      <c r="O3" s="43" t="s">
        <v>101</v>
      </c>
      <c r="P3" s="44" t="s">
        <v>382</v>
      </c>
      <c r="Q3" s="44" t="s">
        <v>1100</v>
      </c>
      <c r="R3" s="104" t="s">
        <v>111</v>
      </c>
      <c r="S3" s="105" t="s">
        <v>112</v>
      </c>
      <c r="T3" s="106" t="s">
        <v>113</v>
      </c>
      <c r="U3" s="106" t="s">
        <v>114</v>
      </c>
      <c r="V3" s="105" t="s">
        <v>115</v>
      </c>
      <c r="W3" s="105" t="s">
        <v>116</v>
      </c>
      <c r="X3" s="107" t="s">
        <v>109</v>
      </c>
      <c r="Y3" s="107" t="s">
        <v>110</v>
      </c>
      <c r="Z3" s="24" t="s">
        <v>117</v>
      </c>
      <c r="AA3" s="113" t="s">
        <v>118</v>
      </c>
      <c r="AB3" s="114" t="s">
        <v>119</v>
      </c>
    </row>
    <row r="4" s="2" customFormat="1" ht="111.95" customHeight="1" spans="1:39">
      <c r="A4" s="68"/>
      <c r="B4" s="79"/>
      <c r="C4" s="80"/>
      <c r="D4" s="79"/>
      <c r="E4" s="80"/>
      <c r="F4" s="24"/>
      <c r="G4" s="80"/>
      <c r="H4" s="68"/>
      <c r="I4" s="95"/>
      <c r="J4" s="96"/>
      <c r="K4" s="96"/>
      <c r="L4" s="97"/>
      <c r="M4" s="97"/>
      <c r="N4" s="98"/>
      <c r="O4" s="98"/>
      <c r="P4" s="99"/>
      <c r="Q4" s="99"/>
      <c r="R4" s="104"/>
      <c r="S4" s="105"/>
      <c r="T4" s="108"/>
      <c r="U4" s="108"/>
      <c r="V4" s="105"/>
      <c r="W4" s="105"/>
      <c r="X4" s="109"/>
      <c r="Y4" s="109"/>
      <c r="Z4" s="115"/>
      <c r="AA4" s="116"/>
      <c r="AB4" s="117"/>
      <c r="AC4" s="8"/>
      <c r="AD4" s="9"/>
      <c r="AE4" s="10"/>
      <c r="AF4" s="8"/>
      <c r="AG4" s="11"/>
      <c r="AH4" s="8"/>
      <c r="AI4" s="8"/>
      <c r="AJ4" s="10"/>
      <c r="AK4" s="12"/>
      <c r="AL4" s="12"/>
      <c r="AM4" s="12"/>
    </row>
    <row r="5" s="2" customFormat="1" ht="24" hidden="1" customHeight="1" spans="1:39">
      <c r="A5" s="81">
        <v>1</v>
      </c>
      <c r="B5" s="82" t="s">
        <v>1240</v>
      </c>
      <c r="C5" s="32" t="s">
        <v>1241</v>
      </c>
      <c r="D5" s="82"/>
      <c r="E5" s="81">
        <v>1</v>
      </c>
      <c r="F5" s="83" t="s">
        <v>1242</v>
      </c>
      <c r="G5" s="84" t="s">
        <v>1243</v>
      </c>
      <c r="H5" s="28" t="s">
        <v>1244</v>
      </c>
      <c r="I5" s="100" t="s">
        <v>126</v>
      </c>
      <c r="J5" s="100" t="s">
        <v>126</v>
      </c>
      <c r="K5" s="100" t="s">
        <v>126</v>
      </c>
      <c r="L5" s="100" t="s">
        <v>126</v>
      </c>
      <c r="M5" s="100" t="s">
        <v>126</v>
      </c>
      <c r="N5" s="101" t="s">
        <v>1245</v>
      </c>
      <c r="O5" s="101" t="s">
        <v>1246</v>
      </c>
      <c r="P5" s="81" t="str">
        <f>CONCATENATE("VariousArtists_"&amp;RemovePunctuation(H5)&amp;"_i4K_"&amp;B5&amp;"_001.mp3")</f>
        <v>VariousArtists_ONBOARDLOVE_i4K_0624_001.mp3</v>
      </c>
      <c r="Q5" s="81" t="str">
        <f>CONCATENATE("VariousArtists_"&amp;RemovePunctuation(H5)&amp;"_i5K_"&amp;B5&amp;"_001.mpg")</f>
        <v>VariousArtists_ONBOARDLOVE_i5K_0624_001.mpg</v>
      </c>
      <c r="R5" s="110" t="s">
        <v>132</v>
      </c>
      <c r="S5" s="110"/>
      <c r="T5" s="110"/>
      <c r="U5" s="110"/>
      <c r="V5" s="110"/>
      <c r="W5" s="110"/>
      <c r="X5" s="111" t="s">
        <v>131</v>
      </c>
      <c r="Y5" s="111" t="s">
        <v>131</v>
      </c>
      <c r="Z5" s="118">
        <f>ROUNDUP(HOUR(AA5)*60+MINUTE(AA5)+SECOND(AA5)/60,0)</f>
        <v>40</v>
      </c>
      <c r="AA5" s="119">
        <v>0.0277199074074074</v>
      </c>
      <c r="AB5" s="120">
        <f>Z5*60</f>
        <v>2400</v>
      </c>
      <c r="AC5" s="8"/>
      <c r="AD5" s="9"/>
      <c r="AE5" s="10"/>
      <c r="AF5" s="8"/>
      <c r="AG5" s="11"/>
      <c r="AH5" s="8"/>
      <c r="AI5" s="8"/>
      <c r="AJ5" s="10"/>
      <c r="AK5" s="12"/>
      <c r="AL5" s="12"/>
      <c r="AM5" s="12"/>
    </row>
    <row r="6" s="2" customFormat="1" ht="24" hidden="1" customHeight="1" spans="1:39">
      <c r="A6" s="81">
        <v>2</v>
      </c>
      <c r="B6" s="82" t="s">
        <v>1240</v>
      </c>
      <c r="C6" s="32" t="s">
        <v>1241</v>
      </c>
      <c r="D6" s="82"/>
      <c r="E6" s="81">
        <v>2</v>
      </c>
      <c r="F6" s="85"/>
      <c r="G6" s="84" t="s">
        <v>1247</v>
      </c>
      <c r="H6" s="28" t="s">
        <v>1248</v>
      </c>
      <c r="I6" s="100" t="s">
        <v>126</v>
      </c>
      <c r="J6" s="100" t="s">
        <v>126</v>
      </c>
      <c r="K6" s="100" t="s">
        <v>126</v>
      </c>
      <c r="L6" s="100" t="s">
        <v>126</v>
      </c>
      <c r="M6" s="100" t="s">
        <v>126</v>
      </c>
      <c r="N6" s="101" t="s">
        <v>1249</v>
      </c>
      <c r="O6" s="101" t="s">
        <v>1250</v>
      </c>
      <c r="P6" s="81" t="str">
        <f>CONCATENATE("VariousArtists_"&amp;RemovePunctuation(H6)&amp;"_i4K_"&amp;B6&amp;"_001.mp3")</f>
        <v>VariousArtists_DEBOARDLOVE_i4K_0624_001.mp3</v>
      </c>
      <c r="Q6" s="81" t="str">
        <f>CONCATENATE("VariousArtists_"&amp;RemovePunctuation(H6)&amp;"_i5K_"&amp;B6&amp;"_001.mpg")</f>
        <v>VariousArtists_DEBOARDLOVE_i5K_0624_001.mpg</v>
      </c>
      <c r="R6" s="110" t="s">
        <v>132</v>
      </c>
      <c r="S6" s="110"/>
      <c r="T6" s="110"/>
      <c r="U6" s="110"/>
      <c r="V6" s="110"/>
      <c r="W6" s="110"/>
      <c r="X6" s="111" t="s">
        <v>131</v>
      </c>
      <c r="Y6" s="111" t="s">
        <v>131</v>
      </c>
      <c r="Z6" s="118">
        <f>ROUNDUP(HOUR(AA6)*60+MINUTE(AA6)+SECOND(AA6)/60,0)</f>
        <v>43</v>
      </c>
      <c r="AA6" s="119">
        <v>0.0294444444444444</v>
      </c>
      <c r="AB6" s="120">
        <f>Z6*60</f>
        <v>2580</v>
      </c>
      <c r="AC6" s="8"/>
      <c r="AD6" s="9"/>
      <c r="AE6" s="10"/>
      <c r="AF6" s="8"/>
      <c r="AG6" s="11"/>
      <c r="AH6" s="8"/>
      <c r="AI6" s="8"/>
      <c r="AJ6" s="10"/>
      <c r="AK6" s="12"/>
      <c r="AL6" s="12"/>
      <c r="AM6" s="12"/>
    </row>
    <row r="7" s="2" customFormat="1" ht="24" hidden="1" customHeight="1" spans="1:39">
      <c r="A7" s="81">
        <v>3</v>
      </c>
      <c r="B7" s="81" t="s">
        <v>1251</v>
      </c>
      <c r="C7" s="32" t="s">
        <v>1241</v>
      </c>
      <c r="D7" s="82"/>
      <c r="E7" s="81">
        <v>3</v>
      </c>
      <c r="F7" s="86"/>
      <c r="G7" s="84" t="s">
        <v>1252</v>
      </c>
      <c r="H7" s="28" t="s">
        <v>1253</v>
      </c>
      <c r="I7" s="100" t="s">
        <v>126</v>
      </c>
      <c r="J7" s="100" t="s">
        <v>126</v>
      </c>
      <c r="K7" s="100" t="s">
        <v>126</v>
      </c>
      <c r="L7" s="100" t="s">
        <v>126</v>
      </c>
      <c r="M7" s="100" t="s">
        <v>126</v>
      </c>
      <c r="N7" s="101" t="s">
        <v>1254</v>
      </c>
      <c r="O7" s="101" t="s">
        <v>1255</v>
      </c>
      <c r="P7" s="81" t="str">
        <f>CONCATENATE("VariousArtists_"&amp;RemovePunctuation(H7)&amp;"_i4K_"&amp;B7&amp;"_001.mp3")</f>
        <v>VariousArtists_BACKUP_i4K_0424_001.mp3</v>
      </c>
      <c r="Q7" s="81" t="str">
        <f>CONCATENATE("VariousArtists_"&amp;RemovePunctuation(H7)&amp;"_i5K_"&amp;B7&amp;"_001.mpg")</f>
        <v>VariousArtists_BACKUP_i5K_0424_001.mpg</v>
      </c>
      <c r="R7" s="110" t="s">
        <v>132</v>
      </c>
      <c r="S7" s="110"/>
      <c r="T7" s="110"/>
      <c r="U7" s="110"/>
      <c r="V7" s="110"/>
      <c r="W7" s="110"/>
      <c r="X7" s="111" t="s">
        <v>131</v>
      </c>
      <c r="Y7" s="111" t="s">
        <v>131</v>
      </c>
      <c r="Z7" s="118">
        <f>ROUNDUP(HOUR(AA7)*60+MINUTE(AA7)+SECOND(AA7)/60,0)</f>
        <v>46</v>
      </c>
      <c r="AA7" s="119">
        <v>0.0316898148148148</v>
      </c>
      <c r="AB7" s="120">
        <f>Z7*60</f>
        <v>2760</v>
      </c>
      <c r="AC7" s="8"/>
      <c r="AD7" s="9"/>
      <c r="AE7" s="10"/>
      <c r="AF7" s="8"/>
      <c r="AG7" s="11"/>
      <c r="AH7" s="8"/>
      <c r="AI7" s="8"/>
      <c r="AJ7" s="10"/>
      <c r="AK7" s="12"/>
      <c r="AL7" s="12"/>
      <c r="AM7" s="12"/>
    </row>
    <row r="8" s="1" customFormat="1" ht="13.5" spans="23:40">
      <c r="W8" s="3"/>
      <c r="X8" s="3"/>
      <c r="Y8" s="3"/>
      <c r="AC8" s="74"/>
      <c r="AD8" s="74"/>
      <c r="AE8" s="75"/>
      <c r="AF8" s="3"/>
      <c r="AG8" s="74"/>
      <c r="AH8" s="76"/>
      <c r="AI8" s="74"/>
      <c r="AJ8" s="74"/>
      <c r="AK8" s="3"/>
      <c r="AL8" s="5"/>
      <c r="AM8" s="5"/>
      <c r="AN8" s="5"/>
    </row>
    <row r="9" s="2" customFormat="1" spans="3:40">
      <c r="C9" s="3"/>
      <c r="D9" s="3"/>
      <c r="E9" s="3"/>
      <c r="F9" s="4"/>
      <c r="G9" s="3"/>
      <c r="H9" s="3"/>
      <c r="I9" s="3"/>
      <c r="J9" s="3"/>
      <c r="K9" s="3"/>
      <c r="L9" s="3"/>
      <c r="M9" s="3"/>
      <c r="N9" s="3"/>
      <c r="O9" s="3"/>
      <c r="P9" s="5"/>
      <c r="Q9" s="3"/>
      <c r="R9" s="6"/>
      <c r="S9" s="6"/>
      <c r="T9" s="6"/>
      <c r="U9" s="3"/>
      <c r="V9" s="3"/>
      <c r="W9" s="3"/>
      <c r="X9" s="3"/>
      <c r="Y9" s="3"/>
      <c r="Z9" s="3"/>
      <c r="AA9" s="3"/>
      <c r="AB9" s="3"/>
      <c r="AC9" s="8"/>
      <c r="AD9" s="8"/>
      <c r="AE9" s="9"/>
      <c r="AF9" s="10"/>
      <c r="AG9" s="8"/>
      <c r="AH9" s="11"/>
      <c r="AI9" s="8"/>
      <c r="AJ9" s="8"/>
      <c r="AK9" s="10"/>
      <c r="AL9" s="12"/>
      <c r="AM9" s="12"/>
      <c r="AN9" s="12"/>
    </row>
    <row r="10" s="2" customFormat="1" spans="3:40">
      <c r="C10" s="3"/>
      <c r="D10" s="3"/>
      <c r="E10" s="3"/>
      <c r="F10" s="4"/>
      <c r="G10" s="3"/>
      <c r="H10" s="3"/>
      <c r="I10" s="3"/>
      <c r="J10" s="3"/>
      <c r="K10" s="3"/>
      <c r="L10" s="3"/>
      <c r="M10" s="3"/>
      <c r="N10" s="3"/>
      <c r="O10" s="3"/>
      <c r="P10" s="5"/>
      <c r="Q10" s="3"/>
      <c r="R10" s="6"/>
      <c r="S10" s="6"/>
      <c r="T10" s="6"/>
      <c r="U10" s="3"/>
      <c r="V10" s="3"/>
      <c r="W10" s="3"/>
      <c r="X10" s="3"/>
      <c r="Y10" s="3"/>
      <c r="Z10" s="3"/>
      <c r="AA10" s="3"/>
      <c r="AB10" s="3"/>
      <c r="AC10" s="8"/>
      <c r="AD10" s="8"/>
      <c r="AE10" s="9"/>
      <c r="AF10" s="10"/>
      <c r="AG10" s="8"/>
      <c r="AH10" s="11"/>
      <c r="AI10" s="8"/>
      <c r="AJ10" s="8"/>
      <c r="AK10" s="10"/>
      <c r="AL10" s="12"/>
      <c r="AM10" s="12"/>
      <c r="AN10" s="12"/>
    </row>
    <row r="11" s="2" customFormat="1" spans="3:40">
      <c r="C11" s="3"/>
      <c r="D11" s="3"/>
      <c r="E11" s="3"/>
      <c r="F11" s="4"/>
      <c r="G11" s="3"/>
      <c r="H11" s="3"/>
      <c r="I11" s="3"/>
      <c r="J11" s="3"/>
      <c r="K11" s="3"/>
      <c r="L11" s="3"/>
      <c r="M11" s="3"/>
      <c r="N11" s="3"/>
      <c r="O11" s="3"/>
      <c r="P11" s="5"/>
      <c r="Q11" s="3"/>
      <c r="R11" s="6"/>
      <c r="S11" s="6"/>
      <c r="T11" s="6"/>
      <c r="U11" s="3"/>
      <c r="V11" s="3"/>
      <c r="W11" s="3"/>
      <c r="X11" s="3"/>
      <c r="Y11" s="3"/>
      <c r="Z11" s="3"/>
      <c r="AA11" s="3"/>
      <c r="AB11" s="3"/>
      <c r="AC11" s="8"/>
      <c r="AD11" s="8"/>
      <c r="AE11" s="9"/>
      <c r="AF11" s="10"/>
      <c r="AG11" s="8"/>
      <c r="AH11" s="11"/>
      <c r="AI11" s="8"/>
      <c r="AJ11" s="8"/>
      <c r="AK11" s="10"/>
      <c r="AL11" s="12"/>
      <c r="AM11" s="12"/>
      <c r="AN11" s="12"/>
    </row>
    <row r="12" s="2" customFormat="1" spans="3:40">
      <c r="C12" s="3"/>
      <c r="D12" s="3"/>
      <c r="E12" s="3"/>
      <c r="F12" s="4"/>
      <c r="G12" s="3"/>
      <c r="H12" s="3"/>
      <c r="I12" s="3"/>
      <c r="J12" s="3"/>
      <c r="K12" s="3"/>
      <c r="L12" s="3"/>
      <c r="M12" s="3"/>
      <c r="N12" s="3"/>
      <c r="O12" s="3"/>
      <c r="P12" s="5"/>
      <c r="Q12" s="3"/>
      <c r="R12" s="6"/>
      <c r="S12" s="6"/>
      <c r="T12" s="6"/>
      <c r="U12" s="3"/>
      <c r="V12" s="3"/>
      <c r="W12" s="3"/>
      <c r="X12" s="3"/>
      <c r="Y12" s="3"/>
      <c r="Z12" s="3"/>
      <c r="AA12" s="3"/>
      <c r="AB12" s="3"/>
      <c r="AC12" s="8"/>
      <c r="AD12" s="8"/>
      <c r="AE12" s="9"/>
      <c r="AF12" s="10"/>
      <c r="AG12" s="8"/>
      <c r="AH12" s="11"/>
      <c r="AI12" s="8"/>
      <c r="AJ12" s="8"/>
      <c r="AK12" s="10"/>
      <c r="AL12" s="12"/>
      <c r="AM12" s="12"/>
      <c r="AN12" s="12"/>
    </row>
    <row r="13" s="2" customFormat="1" spans="3:40">
      <c r="C13" s="3"/>
      <c r="D13" s="3"/>
      <c r="E13" s="3"/>
      <c r="F13" s="4"/>
      <c r="G13" s="3"/>
      <c r="H13" s="3"/>
      <c r="I13" s="3"/>
      <c r="J13" s="3"/>
      <c r="K13" s="3"/>
      <c r="L13" s="3"/>
      <c r="M13" s="3"/>
      <c r="N13" s="3"/>
      <c r="O13" s="3"/>
      <c r="P13" s="5"/>
      <c r="Q13" s="3"/>
      <c r="R13" s="6"/>
      <c r="S13" s="6"/>
      <c r="T13" s="6"/>
      <c r="U13" s="3"/>
      <c r="V13" s="3"/>
      <c r="W13" s="3"/>
      <c r="X13" s="3"/>
      <c r="Y13" s="3"/>
      <c r="Z13" s="3"/>
      <c r="AA13" s="3"/>
      <c r="AB13" s="3"/>
      <c r="AC13" s="8"/>
      <c r="AD13" s="8"/>
      <c r="AE13" s="9"/>
      <c r="AF13" s="10"/>
      <c r="AG13" s="8"/>
      <c r="AH13" s="11"/>
      <c r="AI13" s="8"/>
      <c r="AJ13" s="8"/>
      <c r="AK13" s="10"/>
      <c r="AL13" s="12"/>
      <c r="AM13" s="12"/>
      <c r="AN13" s="12"/>
    </row>
    <row r="14" s="2" customFormat="1" spans="3:40">
      <c r="C14" s="3"/>
      <c r="D14" s="3"/>
      <c r="E14" s="3"/>
      <c r="F14" s="4"/>
      <c r="G14" s="3"/>
      <c r="H14" s="3"/>
      <c r="I14" s="3"/>
      <c r="J14" s="3"/>
      <c r="K14" s="3"/>
      <c r="L14" s="3"/>
      <c r="M14" s="3"/>
      <c r="N14" s="3"/>
      <c r="O14" s="3"/>
      <c r="P14" s="5"/>
      <c r="Q14" s="3"/>
      <c r="R14" s="6"/>
      <c r="S14" s="6"/>
      <c r="T14" s="6"/>
      <c r="U14" s="3"/>
      <c r="V14" s="3"/>
      <c r="W14" s="3"/>
      <c r="X14" s="3"/>
      <c r="Y14" s="3"/>
      <c r="Z14" s="3"/>
      <c r="AA14" s="3"/>
      <c r="AB14" s="3"/>
      <c r="AC14" s="8"/>
      <c r="AD14" s="8"/>
      <c r="AE14" s="9"/>
      <c r="AF14" s="10"/>
      <c r="AG14" s="8"/>
      <c r="AH14" s="11"/>
      <c r="AI14" s="8"/>
      <c r="AJ14" s="8"/>
      <c r="AK14" s="10"/>
      <c r="AL14" s="12"/>
      <c r="AM14" s="12"/>
      <c r="AN14" s="12"/>
    </row>
    <row r="15" s="2" customFormat="1" spans="3:40">
      <c r="C15" s="3"/>
      <c r="D15" s="3"/>
      <c r="E15" s="3"/>
      <c r="F15" s="4"/>
      <c r="G15" s="3"/>
      <c r="H15" s="3"/>
      <c r="I15" s="3"/>
      <c r="J15" s="3"/>
      <c r="K15" s="3"/>
      <c r="L15" s="3"/>
      <c r="M15" s="3"/>
      <c r="N15" s="3"/>
      <c r="O15" s="3"/>
      <c r="P15" s="5"/>
      <c r="Q15" s="3"/>
      <c r="R15" s="6"/>
      <c r="S15" s="6"/>
      <c r="T15" s="6"/>
      <c r="U15" s="3"/>
      <c r="V15" s="3"/>
      <c r="W15" s="3"/>
      <c r="X15" s="3"/>
      <c r="Y15" s="3"/>
      <c r="Z15" s="3"/>
      <c r="AA15" s="3"/>
      <c r="AB15" s="3"/>
      <c r="AC15" s="8"/>
      <c r="AD15" s="8"/>
      <c r="AE15" s="9"/>
      <c r="AF15" s="10"/>
      <c r="AG15" s="8"/>
      <c r="AH15" s="11"/>
      <c r="AI15" s="8"/>
      <c r="AJ15" s="8"/>
      <c r="AK15" s="10"/>
      <c r="AL15" s="12"/>
      <c r="AM15" s="12"/>
      <c r="AN15" s="12"/>
    </row>
    <row r="16" s="2" customFormat="1" spans="3:40">
      <c r="C16" s="3"/>
      <c r="D16" s="3"/>
      <c r="E16" s="3"/>
      <c r="F16" s="4"/>
      <c r="G16" s="3"/>
      <c r="H16" s="3"/>
      <c r="I16" s="3"/>
      <c r="J16" s="3"/>
      <c r="K16" s="3"/>
      <c r="L16" s="3"/>
      <c r="M16" s="3"/>
      <c r="N16" s="3"/>
      <c r="O16" s="3"/>
      <c r="P16" s="5"/>
      <c r="Q16" s="3"/>
      <c r="R16" s="6"/>
      <c r="S16" s="6"/>
      <c r="T16" s="6"/>
      <c r="U16" s="3"/>
      <c r="V16" s="3"/>
      <c r="W16" s="3"/>
      <c r="X16" s="3"/>
      <c r="Y16" s="3"/>
      <c r="Z16" s="3"/>
      <c r="AA16" s="3"/>
      <c r="AB16" s="3"/>
      <c r="AC16" s="8"/>
      <c r="AD16" s="8"/>
      <c r="AE16" s="9"/>
      <c r="AF16" s="10"/>
      <c r="AG16" s="8"/>
      <c r="AH16" s="11"/>
      <c r="AI16" s="8"/>
      <c r="AJ16" s="8"/>
      <c r="AK16" s="10"/>
      <c r="AL16" s="12"/>
      <c r="AM16" s="12"/>
      <c r="AN16" s="12"/>
    </row>
    <row r="17" s="2" customFormat="1" spans="3:40">
      <c r="C17" s="3"/>
      <c r="D17" s="3"/>
      <c r="E17" s="3"/>
      <c r="F17" s="4"/>
      <c r="G17" s="3"/>
      <c r="H17" s="3"/>
      <c r="I17" s="3"/>
      <c r="J17" s="3"/>
      <c r="K17" s="3"/>
      <c r="L17" s="3"/>
      <c r="M17" s="3"/>
      <c r="N17" s="3"/>
      <c r="O17" s="3"/>
      <c r="P17" s="5"/>
      <c r="Q17" s="3"/>
      <c r="R17" s="6"/>
      <c r="S17" s="6"/>
      <c r="T17" s="6"/>
      <c r="U17" s="3"/>
      <c r="V17" s="3"/>
      <c r="W17" s="3"/>
      <c r="X17" s="3"/>
      <c r="Y17" s="3"/>
      <c r="Z17" s="3"/>
      <c r="AA17" s="3"/>
      <c r="AB17" s="3"/>
      <c r="AC17" s="8"/>
      <c r="AD17" s="8"/>
      <c r="AE17" s="9"/>
      <c r="AF17" s="10"/>
      <c r="AG17" s="8"/>
      <c r="AH17" s="11"/>
      <c r="AI17" s="8"/>
      <c r="AJ17" s="8"/>
      <c r="AK17" s="10"/>
      <c r="AL17" s="12"/>
      <c r="AM17" s="12"/>
      <c r="AN17" s="12"/>
    </row>
    <row r="18" s="2" customFormat="1" spans="3:40">
      <c r="C18" s="3"/>
      <c r="D18" s="3"/>
      <c r="E18" s="3"/>
      <c r="F18" s="4"/>
      <c r="G18" s="3"/>
      <c r="H18" s="3"/>
      <c r="I18" s="3"/>
      <c r="J18" s="3"/>
      <c r="K18" s="3"/>
      <c r="L18" s="3"/>
      <c r="M18" s="3"/>
      <c r="N18" s="3"/>
      <c r="O18" s="3"/>
      <c r="P18" s="5"/>
      <c r="Q18" s="3"/>
      <c r="R18" s="6"/>
      <c r="S18" s="6"/>
      <c r="T18" s="6"/>
      <c r="U18" s="3"/>
      <c r="V18" s="3"/>
      <c r="W18" s="3"/>
      <c r="X18" s="3"/>
      <c r="Y18" s="3"/>
      <c r="Z18" s="3"/>
      <c r="AA18" s="3"/>
      <c r="AB18" s="3"/>
      <c r="AC18" s="8"/>
      <c r="AD18" s="8"/>
      <c r="AE18" s="9"/>
      <c r="AF18" s="10"/>
      <c r="AG18" s="8"/>
      <c r="AH18" s="11"/>
      <c r="AI18" s="8"/>
      <c r="AJ18" s="8"/>
      <c r="AK18" s="10"/>
      <c r="AL18" s="12"/>
      <c r="AM18" s="12"/>
      <c r="AN18" s="12"/>
    </row>
    <row r="19" s="2" customFormat="1" spans="3:40">
      <c r="C19" s="3"/>
      <c r="D19" s="3"/>
      <c r="E19" s="3"/>
      <c r="F19" s="4"/>
      <c r="G19" s="3"/>
      <c r="H19" s="3"/>
      <c r="I19" s="3"/>
      <c r="J19" s="3"/>
      <c r="K19" s="3"/>
      <c r="L19" s="3"/>
      <c r="M19" s="3"/>
      <c r="N19" s="3"/>
      <c r="O19" s="3"/>
      <c r="P19" s="5"/>
      <c r="Q19" s="3"/>
      <c r="R19" s="6"/>
      <c r="S19" s="6"/>
      <c r="T19" s="6"/>
      <c r="U19" s="3"/>
      <c r="V19" s="3"/>
      <c r="W19" s="3"/>
      <c r="X19" s="3"/>
      <c r="Y19" s="3"/>
      <c r="Z19" s="3"/>
      <c r="AA19" s="3"/>
      <c r="AB19" s="3"/>
      <c r="AC19" s="8"/>
      <c r="AD19" s="8"/>
      <c r="AE19" s="9"/>
      <c r="AF19" s="10"/>
      <c r="AG19" s="8"/>
      <c r="AH19" s="11"/>
      <c r="AI19" s="8"/>
      <c r="AJ19" s="8"/>
      <c r="AK19" s="10"/>
      <c r="AL19" s="12"/>
      <c r="AM19" s="12"/>
      <c r="AN19" s="12"/>
    </row>
    <row r="20" s="2" customFormat="1" spans="3:40">
      <c r="C20" s="3"/>
      <c r="D20" s="3"/>
      <c r="E20" s="3"/>
      <c r="F20" s="4"/>
      <c r="G20" s="3"/>
      <c r="H20" s="3"/>
      <c r="I20" s="3"/>
      <c r="J20" s="3"/>
      <c r="K20" s="3"/>
      <c r="L20" s="3"/>
      <c r="M20" s="3"/>
      <c r="N20" s="3"/>
      <c r="O20" s="3"/>
      <c r="P20" s="5"/>
      <c r="Q20" s="3"/>
      <c r="R20" s="6"/>
      <c r="S20" s="6"/>
      <c r="T20" s="6"/>
      <c r="U20" s="3"/>
      <c r="V20" s="3"/>
      <c r="W20" s="3"/>
      <c r="X20" s="3"/>
      <c r="Y20" s="3"/>
      <c r="Z20" s="3"/>
      <c r="AA20" s="3"/>
      <c r="AB20" s="3"/>
      <c r="AC20" s="8"/>
      <c r="AD20" s="8"/>
      <c r="AE20" s="9"/>
      <c r="AF20" s="10"/>
      <c r="AG20" s="8"/>
      <c r="AH20" s="11"/>
      <c r="AI20" s="8"/>
      <c r="AJ20" s="8"/>
      <c r="AK20" s="10"/>
      <c r="AL20" s="12"/>
      <c r="AM20" s="12"/>
      <c r="AN20" s="12"/>
    </row>
    <row r="21" s="2" customFormat="1" spans="3:40">
      <c r="C21" s="3"/>
      <c r="D21" s="3"/>
      <c r="E21" s="3"/>
      <c r="F21" s="4"/>
      <c r="G21" s="3"/>
      <c r="H21" s="3"/>
      <c r="I21" s="3"/>
      <c r="J21" s="3"/>
      <c r="K21" s="3"/>
      <c r="L21" s="3"/>
      <c r="M21" s="3"/>
      <c r="N21" s="3"/>
      <c r="O21" s="3"/>
      <c r="P21" s="5"/>
      <c r="Q21" s="3"/>
      <c r="R21" s="6"/>
      <c r="S21" s="6"/>
      <c r="T21" s="6"/>
      <c r="U21" s="3"/>
      <c r="V21" s="3"/>
      <c r="W21" s="3"/>
      <c r="X21" s="3"/>
      <c r="Y21" s="3"/>
      <c r="Z21" s="3"/>
      <c r="AA21" s="3"/>
      <c r="AB21" s="3"/>
      <c r="AC21" s="8"/>
      <c r="AD21" s="8"/>
      <c r="AE21" s="9"/>
      <c r="AF21" s="10"/>
      <c r="AG21" s="8"/>
      <c r="AH21" s="11"/>
      <c r="AI21" s="8"/>
      <c r="AJ21" s="8"/>
      <c r="AK21" s="10"/>
      <c r="AL21" s="12"/>
      <c r="AM21" s="12"/>
      <c r="AN21" s="12"/>
    </row>
    <row r="22" s="2" customFormat="1" spans="3:40">
      <c r="C22" s="3"/>
      <c r="D22" s="3"/>
      <c r="E22" s="3"/>
      <c r="F22" s="4"/>
      <c r="G22" s="3"/>
      <c r="H22" s="3"/>
      <c r="I22" s="3"/>
      <c r="J22" s="3"/>
      <c r="K22" s="3"/>
      <c r="L22" s="3"/>
      <c r="M22" s="3"/>
      <c r="N22" s="3"/>
      <c r="O22" s="3"/>
      <c r="P22" s="5"/>
      <c r="Q22" s="3"/>
      <c r="R22" s="6"/>
      <c r="S22" s="6"/>
      <c r="T22" s="6"/>
      <c r="U22" s="3"/>
      <c r="V22" s="3"/>
      <c r="W22" s="3"/>
      <c r="X22" s="3"/>
      <c r="Y22" s="3"/>
      <c r="Z22" s="3"/>
      <c r="AA22" s="3"/>
      <c r="AB22" s="3"/>
      <c r="AC22" s="8"/>
      <c r="AD22" s="8"/>
      <c r="AE22" s="9"/>
      <c r="AF22" s="10"/>
      <c r="AG22" s="8"/>
      <c r="AH22" s="11"/>
      <c r="AI22" s="8"/>
      <c r="AJ22" s="8"/>
      <c r="AK22" s="10"/>
      <c r="AL22" s="12"/>
      <c r="AM22" s="12"/>
      <c r="AN22" s="12"/>
    </row>
    <row r="23" s="2" customFormat="1" spans="3:40">
      <c r="C23" s="3"/>
      <c r="D23" s="3"/>
      <c r="E23" s="3"/>
      <c r="F23" s="4"/>
      <c r="G23" s="3"/>
      <c r="H23" s="3"/>
      <c r="I23" s="3"/>
      <c r="J23" s="3"/>
      <c r="K23" s="3"/>
      <c r="L23" s="3"/>
      <c r="M23" s="3"/>
      <c r="N23" s="3"/>
      <c r="O23" s="3"/>
      <c r="P23" s="5"/>
      <c r="Q23" s="3"/>
      <c r="R23" s="6"/>
      <c r="S23" s="6"/>
      <c r="T23" s="6"/>
      <c r="U23" s="3"/>
      <c r="V23" s="3"/>
      <c r="W23" s="3"/>
      <c r="X23" s="3"/>
      <c r="Y23" s="3"/>
      <c r="Z23" s="3"/>
      <c r="AA23" s="3"/>
      <c r="AB23" s="3"/>
      <c r="AC23" s="8"/>
      <c r="AD23" s="8"/>
      <c r="AE23" s="9"/>
      <c r="AF23" s="10"/>
      <c r="AG23" s="8"/>
      <c r="AH23" s="11"/>
      <c r="AI23" s="8"/>
      <c r="AJ23" s="8"/>
      <c r="AK23" s="10"/>
      <c r="AL23" s="12"/>
      <c r="AM23" s="12"/>
      <c r="AN23" s="12"/>
    </row>
    <row r="24" s="2" customFormat="1" spans="3:40">
      <c r="C24" s="3"/>
      <c r="D24" s="3"/>
      <c r="E24" s="3"/>
      <c r="F24" s="4"/>
      <c r="G24" s="3"/>
      <c r="H24" s="3"/>
      <c r="I24" s="3"/>
      <c r="J24" s="3"/>
      <c r="K24" s="3"/>
      <c r="L24" s="3"/>
      <c r="M24" s="3"/>
      <c r="N24" s="3"/>
      <c r="O24" s="3"/>
      <c r="P24" s="5"/>
      <c r="Q24" s="3"/>
      <c r="R24" s="6"/>
      <c r="S24" s="6"/>
      <c r="T24" s="6"/>
      <c r="U24" s="3"/>
      <c r="V24" s="3"/>
      <c r="W24" s="3"/>
      <c r="X24" s="3"/>
      <c r="Y24" s="3"/>
      <c r="Z24" s="3"/>
      <c r="AA24" s="3"/>
      <c r="AB24" s="3"/>
      <c r="AC24" s="8"/>
      <c r="AD24" s="8"/>
      <c r="AE24" s="9"/>
      <c r="AF24" s="10"/>
      <c r="AG24" s="8"/>
      <c r="AH24" s="11"/>
      <c r="AI24" s="8"/>
      <c r="AJ24" s="8"/>
      <c r="AK24" s="10"/>
      <c r="AL24" s="12"/>
      <c r="AM24" s="12"/>
      <c r="AN24" s="12"/>
    </row>
    <row r="25" s="2" customFormat="1" ht="15.75" spans="3:40">
      <c r="C25" s="3"/>
      <c r="D25" s="3"/>
      <c r="E25" s="3"/>
      <c r="F25" s="4"/>
      <c r="G25" s="3"/>
      <c r="H25" s="3"/>
      <c r="I25" s="3"/>
      <c r="J25" s="3"/>
      <c r="K25" s="3"/>
      <c r="L25" s="3"/>
      <c r="M25" s="3"/>
      <c r="N25" s="3"/>
      <c r="O25" s="3"/>
      <c r="P25" s="5"/>
      <c r="Q25" s="3"/>
      <c r="R25" s="6"/>
      <c r="S25" s="6"/>
      <c r="T25" s="6"/>
      <c r="U25" s="3"/>
      <c r="V25" s="3"/>
      <c r="W25" s="63"/>
      <c r="X25" s="63"/>
      <c r="Y25" s="63"/>
      <c r="Z25" s="3"/>
      <c r="AA25" s="3"/>
      <c r="AB25" s="3"/>
      <c r="AC25" s="8"/>
      <c r="AD25" s="8"/>
      <c r="AE25" s="9"/>
      <c r="AF25" s="10"/>
      <c r="AG25" s="8"/>
      <c r="AH25" s="11"/>
      <c r="AI25" s="8"/>
      <c r="AJ25" s="8"/>
      <c r="AK25" s="10"/>
      <c r="AL25" s="12"/>
      <c r="AM25" s="12"/>
      <c r="AN25" s="12"/>
    </row>
    <row r="26" s="2" customFormat="1" ht="15.75" spans="3:40">
      <c r="C26" s="3"/>
      <c r="D26" s="3"/>
      <c r="E26" s="3"/>
      <c r="F26" s="4"/>
      <c r="G26" s="3"/>
      <c r="H26" s="3"/>
      <c r="I26" s="3"/>
      <c r="J26" s="3"/>
      <c r="K26" s="3"/>
      <c r="L26" s="3"/>
      <c r="M26" s="3"/>
      <c r="N26" s="3"/>
      <c r="O26" s="3"/>
      <c r="P26" s="5"/>
      <c r="Q26" s="3"/>
      <c r="R26" s="6"/>
      <c r="S26" s="6"/>
      <c r="T26" s="6"/>
      <c r="U26" s="3"/>
      <c r="V26" s="3"/>
      <c r="W26" s="63"/>
      <c r="X26" s="63"/>
      <c r="Y26" s="63"/>
      <c r="Z26" s="3"/>
      <c r="AA26" s="3"/>
      <c r="AB26" s="3"/>
      <c r="AC26" s="8"/>
      <c r="AD26" s="8"/>
      <c r="AE26" s="9"/>
      <c r="AF26" s="10"/>
      <c r="AG26" s="8"/>
      <c r="AH26" s="11"/>
      <c r="AI26" s="8"/>
      <c r="AJ26" s="8"/>
      <c r="AK26" s="10"/>
      <c r="AL26" s="12"/>
      <c r="AM26" s="12"/>
      <c r="AN26" s="12"/>
    </row>
    <row r="27" s="2" customFormat="1" ht="15.75" spans="3:40">
      <c r="C27" s="3"/>
      <c r="D27" s="3"/>
      <c r="E27" s="3"/>
      <c r="F27" s="4"/>
      <c r="G27" s="3"/>
      <c r="H27" s="3"/>
      <c r="I27" s="3"/>
      <c r="J27" s="3"/>
      <c r="K27" s="3"/>
      <c r="L27" s="3"/>
      <c r="M27" s="3"/>
      <c r="N27" s="3"/>
      <c r="O27" s="3"/>
      <c r="P27" s="5"/>
      <c r="Q27" s="3"/>
      <c r="R27" s="6"/>
      <c r="S27" s="6"/>
      <c r="T27" s="6"/>
      <c r="U27" s="3"/>
      <c r="V27" s="3"/>
      <c r="W27" s="64"/>
      <c r="X27" s="64"/>
      <c r="Y27" s="64"/>
      <c r="Z27" s="3"/>
      <c r="AA27" s="3"/>
      <c r="AB27" s="3"/>
      <c r="AC27" s="8"/>
      <c r="AD27" s="8"/>
      <c r="AE27" s="9"/>
      <c r="AF27" s="10"/>
      <c r="AG27" s="8"/>
      <c r="AH27" s="11"/>
      <c r="AI27" s="8"/>
      <c r="AJ27" s="8"/>
      <c r="AK27" s="10"/>
      <c r="AL27" s="12"/>
      <c r="AM27" s="12"/>
      <c r="AN27" s="12"/>
    </row>
    <row r="28" s="2" customFormat="1" ht="15.75" spans="3:40">
      <c r="C28" s="3"/>
      <c r="D28" s="3"/>
      <c r="E28" s="3"/>
      <c r="F28" s="4"/>
      <c r="G28" s="3"/>
      <c r="H28" s="3"/>
      <c r="I28" s="3"/>
      <c r="J28" s="3"/>
      <c r="K28" s="3"/>
      <c r="L28" s="3"/>
      <c r="M28" s="3"/>
      <c r="N28" s="3"/>
      <c r="O28" s="3"/>
      <c r="P28" s="5"/>
      <c r="Q28" s="3"/>
      <c r="R28" s="6"/>
      <c r="S28" s="6"/>
      <c r="T28" s="6"/>
      <c r="U28" s="3"/>
      <c r="V28" s="3"/>
      <c r="W28" s="64"/>
      <c r="X28" s="64"/>
      <c r="Y28" s="64"/>
      <c r="Z28" s="3"/>
      <c r="AA28" s="3"/>
      <c r="AB28" s="3"/>
      <c r="AC28" s="8"/>
      <c r="AD28" s="8"/>
      <c r="AE28" s="9"/>
      <c r="AF28" s="10"/>
      <c r="AG28" s="8"/>
      <c r="AH28" s="11"/>
      <c r="AI28" s="8"/>
      <c r="AJ28" s="8"/>
      <c r="AK28" s="10"/>
      <c r="AL28" s="12"/>
      <c r="AM28" s="12"/>
      <c r="AN28" s="12"/>
    </row>
  </sheetData>
  <mergeCells count="37">
    <mergeCell ref="A2:H2"/>
    <mergeCell ref="I2:K2"/>
    <mergeCell ref="L2:M2"/>
    <mergeCell ref="N2:O2"/>
    <mergeCell ref="P2:Q2"/>
    <mergeCell ref="R2:W2"/>
    <mergeCell ref="X2:Y2"/>
    <mergeCell ref="AA2:AB2"/>
    <mergeCell ref="A3:A4"/>
    <mergeCell ref="B3:B4"/>
    <mergeCell ref="C3:C4"/>
    <mergeCell ref="D3:D4"/>
    <mergeCell ref="E3:E4"/>
    <mergeCell ref="F3:F4"/>
    <mergeCell ref="F5:F7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</mergeCells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AM28"/>
  <sheetViews>
    <sheetView zoomScale="80" zoomScaleNormal="80" workbookViewId="0">
      <selection activeCell="F22" sqref="F22"/>
    </sheetView>
  </sheetViews>
  <sheetFormatPr defaultColWidth="8" defaultRowHeight="12.75"/>
  <cols>
    <col min="1" max="1" width="4.38333333333333" style="2" customWidth="1"/>
    <col min="2" max="2" width="6.88333333333333" style="2" customWidth="1"/>
    <col min="3" max="3" width="4.38333333333333" style="3" customWidth="1"/>
    <col min="4" max="4" width="11.1416666666667" style="3" customWidth="1"/>
    <col min="5" max="5" width="3.25833333333333" style="3" customWidth="1"/>
    <col min="6" max="6" width="27.3416666666667" style="4" customWidth="1"/>
    <col min="7" max="7" width="38.9" style="3" customWidth="1"/>
    <col min="8" max="10" width="4.14166666666667" style="3" customWidth="1"/>
    <col min="11" max="11" width="4.99166666666667" style="3" customWidth="1"/>
    <col min="12" max="12" width="4.14166666666667" style="3" customWidth="1"/>
    <col min="13" max="13" width="23.7416666666667" style="3" customWidth="1"/>
    <col min="14" max="14" width="25.4666666666667" style="3" customWidth="1"/>
    <col min="15" max="15" width="51.0833333333333" style="5" customWidth="1"/>
    <col min="16" max="16" width="4.14166666666667" style="3" customWidth="1"/>
    <col min="17" max="19" width="4.14166666666667" style="6" customWidth="1"/>
    <col min="20" max="21" width="4.14166666666667" style="3" customWidth="1"/>
    <col min="22" max="23" width="5.63333333333333" style="7" customWidth="1"/>
    <col min="24" max="24" width="8" style="7" customWidth="1"/>
    <col min="25" max="25" width="11.3833333333333" style="3" customWidth="1"/>
    <col min="26" max="26" width="11.2583333333333" style="3" customWidth="1"/>
    <col min="27" max="27" width="6.14166666666667" style="3" customWidth="1"/>
    <col min="28" max="28" width="5.88333333333333" style="8" customWidth="1"/>
    <col min="29" max="29" width="5.14166666666667" style="8" customWidth="1"/>
    <col min="30" max="30" width="17.6333333333333" style="9" customWidth="1"/>
    <col min="31" max="31" width="5.14166666666667" style="10" customWidth="1"/>
    <col min="32" max="32" width="5.14166666666667" style="8" customWidth="1"/>
    <col min="33" max="33" width="5.14166666666667" style="11" customWidth="1"/>
    <col min="34" max="35" width="5.14166666666667" style="8" customWidth="1"/>
    <col min="36" max="36" width="5.14166666666667" style="10" customWidth="1"/>
    <col min="37" max="39" width="4.14166666666667" style="12" hidden="1" customWidth="1"/>
    <col min="40" max="16384" width="8" style="2"/>
  </cols>
  <sheetData>
    <row r="1" ht="13.5"/>
    <row r="2" ht="18.95" customHeight="1" spans="1:39">
      <c r="A2" s="13" t="s">
        <v>374</v>
      </c>
      <c r="B2" s="13"/>
      <c r="C2" s="13"/>
      <c r="D2" s="13"/>
      <c r="E2" s="13"/>
      <c r="F2" s="13"/>
      <c r="G2" s="14"/>
      <c r="H2" s="15" t="s">
        <v>75</v>
      </c>
      <c r="I2" s="35"/>
      <c r="J2" s="36"/>
      <c r="K2" s="15" t="s">
        <v>76</v>
      </c>
      <c r="L2" s="36"/>
      <c r="M2" s="37" t="s">
        <v>375</v>
      </c>
      <c r="N2" s="38"/>
      <c r="O2" s="39" t="s">
        <v>79</v>
      </c>
      <c r="P2" s="40" t="s">
        <v>82</v>
      </c>
      <c r="Q2" s="40"/>
      <c r="R2" s="40"/>
      <c r="S2" s="40"/>
      <c r="T2" s="40"/>
      <c r="U2" s="40"/>
      <c r="V2" s="53" t="s">
        <v>377</v>
      </c>
      <c r="W2" s="54"/>
      <c r="X2" s="55"/>
      <c r="Y2" s="65" t="s">
        <v>83</v>
      </c>
      <c r="Z2" s="65"/>
      <c r="AA2" s="66" t="s">
        <v>84</v>
      </c>
      <c r="AB2" s="67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</row>
    <row r="3" ht="18" customHeight="1" spans="1:39">
      <c r="A3" s="16" t="s">
        <v>87</v>
      </c>
      <c r="B3" s="17" t="s">
        <v>89</v>
      </c>
      <c r="C3" s="18" t="s">
        <v>378</v>
      </c>
      <c r="D3" s="17" t="s">
        <v>88</v>
      </c>
      <c r="E3" s="18" t="s">
        <v>91</v>
      </c>
      <c r="F3" s="19" t="s">
        <v>92</v>
      </c>
      <c r="G3" s="20" t="s">
        <v>93</v>
      </c>
      <c r="H3" s="21" t="s">
        <v>95</v>
      </c>
      <c r="I3" s="27" t="s">
        <v>875</v>
      </c>
      <c r="J3" s="27" t="s">
        <v>101</v>
      </c>
      <c r="K3" s="41" t="s">
        <v>98</v>
      </c>
      <c r="L3" s="42" t="s">
        <v>99</v>
      </c>
      <c r="M3" s="43" t="s">
        <v>100</v>
      </c>
      <c r="N3" s="43" t="s">
        <v>101</v>
      </c>
      <c r="O3" s="44" t="s">
        <v>104</v>
      </c>
      <c r="P3" s="45" t="s">
        <v>111</v>
      </c>
      <c r="Q3" s="56" t="s">
        <v>112</v>
      </c>
      <c r="R3" s="57" t="s">
        <v>113</v>
      </c>
      <c r="S3" s="57" t="s">
        <v>114</v>
      </c>
      <c r="T3" s="56" t="s">
        <v>115</v>
      </c>
      <c r="U3" s="56" t="s">
        <v>116</v>
      </c>
      <c r="V3" s="58" t="s">
        <v>109</v>
      </c>
      <c r="W3" s="58" t="s">
        <v>110</v>
      </c>
      <c r="X3" s="24" t="s">
        <v>117</v>
      </c>
      <c r="Y3" s="68" t="s">
        <v>118</v>
      </c>
      <c r="Z3" s="69" t="s">
        <v>119</v>
      </c>
      <c r="AA3" s="70" t="s">
        <v>1256</v>
      </c>
      <c r="AB3" s="70" t="s">
        <v>1257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ht="111.95" customHeight="1" spans="1:28">
      <c r="A4" s="22"/>
      <c r="B4" s="23"/>
      <c r="C4" s="24"/>
      <c r="D4" s="23"/>
      <c r="E4" s="24"/>
      <c r="F4" s="25"/>
      <c r="G4" s="26"/>
      <c r="H4" s="27"/>
      <c r="I4" s="27"/>
      <c r="J4" s="27"/>
      <c r="K4" s="42"/>
      <c r="L4" s="42"/>
      <c r="M4" s="46"/>
      <c r="N4" s="46"/>
      <c r="O4" s="47"/>
      <c r="P4" s="48"/>
      <c r="Q4" s="57"/>
      <c r="R4" s="59"/>
      <c r="S4" s="59"/>
      <c r="T4" s="57"/>
      <c r="U4" s="57"/>
      <c r="V4" s="60"/>
      <c r="W4" s="60"/>
      <c r="X4" s="23"/>
      <c r="Y4" s="24"/>
      <c r="Z4" s="71"/>
      <c r="AA4" s="70"/>
      <c r="AB4" s="70"/>
    </row>
    <row r="5" ht="28" hidden="1" customHeight="1" spans="1:28">
      <c r="A5" s="28">
        <v>1</v>
      </c>
      <c r="B5" s="29" t="s">
        <v>1251</v>
      </c>
      <c r="C5" s="30" t="s">
        <v>1258</v>
      </c>
      <c r="D5" s="29"/>
      <c r="E5" s="28"/>
      <c r="F5" s="28" t="s">
        <v>1259</v>
      </c>
      <c r="G5" s="28" t="s">
        <v>1260</v>
      </c>
      <c r="H5" s="31" t="s">
        <v>126</v>
      </c>
      <c r="I5" s="31" t="s">
        <v>126</v>
      </c>
      <c r="J5" s="31" t="s">
        <v>126</v>
      </c>
      <c r="K5" s="31" t="s">
        <v>126</v>
      </c>
      <c r="L5" s="31" t="s">
        <v>126</v>
      </c>
      <c r="M5" s="49" t="s">
        <v>1261</v>
      </c>
      <c r="N5" s="50" t="s">
        <v>1261</v>
      </c>
      <c r="O5" s="51" t="str">
        <f>CONCATENATE(RemovePunctuation(G5),"_",B5,"_",AA5,"_",PROPER(P5),IF(Q5="",PROPER(P5),PROPER(Q5)),PROPER(R5),PROPER(S5),PROPER(T5),IF(T5&lt;&gt;"","SUB",""),PROPER(U5),IF(U5&lt;&gt;"","SUB",""),"_","Ed","_","M2",".mpg")</f>
        <v>01CA0424VideoBGM_0424_169_EngZho_Ed_M2.mpg</v>
      </c>
      <c r="P5" s="52" t="s">
        <v>138</v>
      </c>
      <c r="Q5" s="52" t="s">
        <v>132</v>
      </c>
      <c r="R5" s="52"/>
      <c r="S5" s="52"/>
      <c r="T5" s="52"/>
      <c r="U5" s="52"/>
      <c r="V5" s="61" t="s">
        <v>131</v>
      </c>
      <c r="W5" s="61" t="s">
        <v>131</v>
      </c>
      <c r="X5" s="62">
        <f>ROUNDUP(HOUR(Y5)*60+MINUTE(Y5)+SECOND(Y5)/60,0)</f>
        <v>0</v>
      </c>
      <c r="Y5" s="72"/>
      <c r="Z5" s="62">
        <f>X5*60</f>
        <v>0</v>
      </c>
      <c r="AA5" s="73">
        <v>169</v>
      </c>
      <c r="AB5" s="73">
        <v>43</v>
      </c>
    </row>
    <row r="6" ht="28" customHeight="1" spans="1:28">
      <c r="A6" s="28"/>
      <c r="B6" s="29"/>
      <c r="C6" s="32"/>
      <c r="D6" s="29"/>
      <c r="E6" s="28"/>
      <c r="F6" s="33"/>
      <c r="G6" s="28"/>
      <c r="H6" s="31"/>
      <c r="I6" s="31"/>
      <c r="J6" s="31"/>
      <c r="K6" s="31"/>
      <c r="L6" s="31"/>
      <c r="M6" s="49"/>
      <c r="N6" s="50"/>
      <c r="O6" s="51"/>
      <c r="P6" s="52"/>
      <c r="Q6" s="52"/>
      <c r="R6" s="52"/>
      <c r="S6" s="52"/>
      <c r="T6" s="52"/>
      <c r="U6" s="52"/>
      <c r="V6" s="61"/>
      <c r="W6" s="61"/>
      <c r="X6" s="62"/>
      <c r="Y6" s="72"/>
      <c r="Z6" s="62"/>
      <c r="AA6" s="73"/>
      <c r="AB6" s="73"/>
    </row>
    <row r="7" s="1" customFormat="1" ht="20.25" spans="3:39">
      <c r="C7" s="34"/>
      <c r="D7" s="34"/>
      <c r="V7" s="3"/>
      <c r="W7" s="3"/>
      <c r="X7" s="3"/>
      <c r="AB7" s="74"/>
      <c r="AC7" s="74"/>
      <c r="AD7" s="75"/>
      <c r="AE7" s="3"/>
      <c r="AF7" s="74"/>
      <c r="AG7" s="76"/>
      <c r="AH7" s="74"/>
      <c r="AI7" s="74"/>
      <c r="AJ7" s="3"/>
      <c r="AK7" s="5"/>
      <c r="AL7" s="5"/>
      <c r="AM7" s="5"/>
    </row>
    <row r="8" s="1" customFormat="1" ht="13.5" spans="7:39">
      <c r="G8"/>
      <c r="V8" s="3"/>
      <c r="W8" s="3"/>
      <c r="X8" s="3"/>
      <c r="AB8" s="74"/>
      <c r="AC8" s="74"/>
      <c r="AD8" s="75"/>
      <c r="AE8" s="3"/>
      <c r="AF8" s="74"/>
      <c r="AG8" s="76"/>
      <c r="AH8" s="74"/>
      <c r="AI8" s="74"/>
      <c r="AJ8" s="3"/>
      <c r="AK8" s="5"/>
      <c r="AL8" s="5"/>
      <c r="AM8" s="5"/>
    </row>
    <row r="9" spans="22:24">
      <c r="V9" s="3"/>
      <c r="W9" s="3"/>
      <c r="X9" s="3"/>
    </row>
    <row r="10" spans="22:24">
      <c r="V10" s="3"/>
      <c r="W10" s="3"/>
      <c r="X10" s="3"/>
    </row>
    <row r="11" spans="22:24">
      <c r="V11" s="3"/>
      <c r="W11" s="3"/>
      <c r="X11" s="3"/>
    </row>
    <row r="12" spans="22:24">
      <c r="V12" s="3"/>
      <c r="W12" s="3"/>
      <c r="X12" s="3"/>
    </row>
    <row r="13" spans="22:24">
      <c r="V13" s="3"/>
      <c r="W13" s="3"/>
      <c r="X13" s="3"/>
    </row>
    <row r="14" spans="22:24">
      <c r="V14" s="3"/>
      <c r="W14" s="3"/>
      <c r="X14" s="3"/>
    </row>
    <row r="15" spans="22:24">
      <c r="V15" s="3"/>
      <c r="W15" s="3"/>
      <c r="X15" s="3"/>
    </row>
    <row r="16" spans="22:24">
      <c r="V16" s="3"/>
      <c r="W16" s="3"/>
      <c r="X16" s="3"/>
    </row>
    <row r="17" spans="22:24">
      <c r="V17" s="3"/>
      <c r="W17" s="3"/>
      <c r="X17" s="3"/>
    </row>
    <row r="18" spans="22:24">
      <c r="V18" s="3"/>
      <c r="W18" s="3"/>
      <c r="X18" s="3"/>
    </row>
    <row r="19" spans="22:24">
      <c r="V19" s="3"/>
      <c r="W19" s="3"/>
      <c r="X19" s="3"/>
    </row>
    <row r="20" spans="22:24">
      <c r="V20" s="3"/>
      <c r="W20" s="3"/>
      <c r="X20" s="3"/>
    </row>
    <row r="21" spans="22:24">
      <c r="V21" s="3"/>
      <c r="W21" s="3"/>
      <c r="X21" s="3"/>
    </row>
    <row r="22" spans="22:24">
      <c r="V22" s="3"/>
      <c r="W22" s="3"/>
      <c r="X22" s="3"/>
    </row>
    <row r="23" spans="22:24">
      <c r="V23" s="3"/>
      <c r="W23" s="3"/>
      <c r="X23" s="3"/>
    </row>
    <row r="24" spans="22:24">
      <c r="V24" s="3"/>
      <c r="W24" s="3"/>
      <c r="X24" s="3"/>
    </row>
    <row r="25" ht="15.75" spans="22:24">
      <c r="V25" s="63"/>
      <c r="W25" s="63"/>
      <c r="X25" s="63"/>
    </row>
    <row r="26" ht="15.75" spans="22:24">
      <c r="V26" s="63"/>
      <c r="W26" s="63"/>
      <c r="X26" s="63"/>
    </row>
    <row r="27" ht="15.75" spans="22:24">
      <c r="V27" s="64"/>
      <c r="W27" s="64"/>
      <c r="X27" s="64"/>
    </row>
    <row r="28" ht="15.75" spans="22:24">
      <c r="V28" s="64"/>
      <c r="W28" s="64"/>
      <c r="X28" s="64"/>
    </row>
  </sheetData>
  <mergeCells count="36">
    <mergeCell ref="A2:G2"/>
    <mergeCell ref="H2:J2"/>
    <mergeCell ref="K2:L2"/>
    <mergeCell ref="M2:N2"/>
    <mergeCell ref="P2:U2"/>
    <mergeCell ref="V2:W2"/>
    <mergeCell ref="Y2:Z2"/>
    <mergeCell ref="AA2:AB2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</mergeCells>
  <pageMargins left="0.75" right="0.75" top="1" bottom="1" header="0.5" footer="0.5"/>
  <pageSetup paperSize="9" orientation="portrait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Revision History</vt:lpstr>
      <vt:lpstr>Movie</vt:lpstr>
      <vt:lpstr>TV</vt:lpstr>
      <vt:lpstr>Advertising</vt:lpstr>
      <vt:lpstr>Overhead</vt:lpstr>
      <vt:lpstr>Safety Video </vt:lpstr>
      <vt:lpstr>Safety Video</vt:lpstr>
      <vt:lpstr>Broadcast Video </vt:lpstr>
      <vt:lpstr>Daily News</vt:lpstr>
      <vt:lpstr>Audio BGM</vt:lpstr>
      <vt:lpstr>Video BGM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Hangyu04</cp:lastModifiedBy>
  <dcterms:created xsi:type="dcterms:W3CDTF">2006-09-16T00:00:00Z</dcterms:created>
  <dcterms:modified xsi:type="dcterms:W3CDTF">2024-12-10T02:37:46Z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2052-12.1.0.19302</vt:lpwstr>
  </property>
  <property fmtid="{D5CDD505-2E9C-101B-9397-08002B2CF9AE}" pid="3" name="KSOReadingLayout">
    <vt:bool>true</vt:bool>
  </property>
  <property fmtid="{D5CDD505-2E9C-101B-9397-08002B2CF9AE}" pid="4" name="ICV">
    <vt:lpwstr>B360D51CACD943EA85DBD4397666BE10_13</vt:lpwstr>
  </property>
  <property fmtid="{D5CDD505-2E9C-101B-9397-08002B2CF9AE}" pid="5" name="commondata">
    <vt:lpwstr>eyJoZGlkIjoiNjkyMzAyMzk2OWFmNmU0Yjc2OTQyYjhlMTg5OTA4ZTgifQ==</vt:lpwstr>
  </property>
</Properties>
</file>