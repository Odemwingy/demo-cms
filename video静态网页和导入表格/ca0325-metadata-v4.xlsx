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45" windowHeight="10275" activeTab="2"/>
  </bookViews>
  <sheets>
    <sheet name="Revision History" sheetId="4" r:id="rId1"/>
    <sheet name="Movie" sheetId="2" r:id="rId2"/>
    <sheet name="TV" sheetId="3" r:id="rId3"/>
    <sheet name="Short video" sheetId="1" r:id="rId4"/>
  </sheets>
  <definedNames>
    <definedName name="_xlnm._FilterDatabase" localSheetId="1" hidden="1">Movie!$A$1:$K$71</definedName>
    <definedName name="_xlnm._FilterDatabase" localSheetId="2" hidden="1">TV!$A$1:$G$275</definedName>
    <definedName name="_xlnm._FilterDatabase" localSheetId="3" hidden="1">'Short video'!$A$1:$H$55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<sst xmlns="http://schemas.openxmlformats.org/spreadsheetml/2006/main" count="1379" uniqueCount="793">
  <si>
    <t>Versions</t>
  </si>
  <si>
    <t>Updates</t>
  </si>
  <si>
    <t>Made by</t>
  </si>
  <si>
    <t>Date</t>
  </si>
  <si>
    <t>V1</t>
  </si>
  <si>
    <t>Initial</t>
  </si>
  <si>
    <t>Envee</t>
  </si>
  <si>
    <t>2025.1.14</t>
  </si>
  <si>
    <t>V2</t>
  </si>
  <si>
    <t>修改TV《我在他乡挺好的》《探长埃利斯》英文标题，标黄</t>
  </si>
  <si>
    <t>2025.1.15</t>
  </si>
  <si>
    <t>V3</t>
  </si>
  <si>
    <t>增加一集TV上新《衢州有礼，通达未来》</t>
  </si>
  <si>
    <t>2025.1.16</t>
  </si>
  <si>
    <t>V4</t>
  </si>
  <si>
    <t>修改TV《一年一度喜剧大赛 第一季 4-6》中文简介，标黄</t>
  </si>
  <si>
    <t>2025.1.20</t>
  </si>
  <si>
    <t>V5</t>
  </si>
  <si>
    <t>V6</t>
  </si>
  <si>
    <t>V7</t>
  </si>
  <si>
    <t>V8</t>
  </si>
  <si>
    <t>Video ID</t>
  </si>
  <si>
    <t>Video to Receive</t>
  </si>
  <si>
    <t>Language</t>
  </si>
  <si>
    <t>Release Title</t>
  </si>
  <si>
    <t>Director</t>
  </si>
  <si>
    <t>Actor</t>
  </si>
  <si>
    <t>Synopsis</t>
  </si>
  <si>
    <t>Title</t>
  </si>
  <si>
    <t>英</t>
  </si>
  <si>
    <t>Go for Broke</t>
  </si>
  <si>
    <t>Marc Ma</t>
  </si>
  <si>
    <t>Nick Cheung, Ethan Juan, Sandrine Pinna</t>
  </si>
  <si>
    <t>The plotters and eventual winners are emerging. Best Young Female Actor of The 10th WenRong TV Awards.</t>
  </si>
  <si>
    <t>中</t>
  </si>
  <si>
    <t>重生</t>
  </si>
  <si>
    <t>马浴柯</t>
  </si>
  <si>
    <t>张家辉 / 阮经天 / 张榕容</t>
  </si>
  <si>
    <t>黑帮之子沙旺、缉毒队长安渡与打手巴莱争夺利益，阴谋策划者与最终赢家逐渐浮出水面的故事。第10届横店影视节文荣奖 最佳青年电影女演员。</t>
  </si>
  <si>
    <t>Warriors of Future</t>
  </si>
  <si>
    <t>Wu Xuanhui</t>
  </si>
  <si>
    <t>Louis Koo, Sean Lau, Carina Lau</t>
  </si>
  <si>
    <t>A meteorite brings an extraterrestrial life to the earth. It threaten humanity.</t>
  </si>
  <si>
    <t>明日战记</t>
  </si>
  <si>
    <t>吴炫辉</t>
  </si>
  <si>
    <t>古天乐 / 刘青云 / 刘嘉玲</t>
  </si>
  <si>
    <t>一颗陨石坠落在地球并带来杀伤力极强的外星植物潘朵拉，它不断吞噬城市，危及全人类。</t>
  </si>
  <si>
    <t>Eye for an Eye 2</t>
  </si>
  <si>
    <t>Bingjia Yang</t>
  </si>
  <si>
    <t>Miu Tse, Enyou Yang, Tao Huang</t>
  </si>
  <si>
    <t>The blind eye knife catcher accidentally saved Zhang Xiaoyu and taught her his skills.</t>
  </si>
  <si>
    <t>目中无人2</t>
  </si>
  <si>
    <t>杨秉佳</t>
  </si>
  <si>
    <t>谢苗 / 杨恩又 / 黄涛</t>
  </si>
  <si>
    <t>盲眼捉刀人成瞎子偶然救下惨遭灭门的张小渔并教其本领。</t>
  </si>
  <si>
    <t>Another Day of Hope</t>
  </si>
  <si>
    <t>Taifeng Liu</t>
  </si>
  <si>
    <t>Ningfeng Song, Xinyi Zhang, Keyu Guo, Zhihong Sun</t>
  </si>
  <si>
    <t>A food delivery exec hits a rider. Family and career issues, moral and legal dilemmas, and algorithm truths emerge. The 37th China Golden Rooster Awards for Films (2024) Best Feature Film with a Medium or Small Budget.</t>
  </si>
  <si>
    <t>又是充满希望的一天</t>
  </si>
  <si>
    <t>刘泰风</t>
  </si>
  <si>
    <t>宋宁峰 / 张歆艺 / 郭柯宇 / 孙之鸿</t>
  </si>
  <si>
    <t>外卖高管撞外卖员，家庭事业多麻烦，法律人性引思考，算法背后真相现。第37届中国电影金鸡奖（2024）最佳中小成本故事片。</t>
  </si>
  <si>
    <t>The Unseen Sister</t>
  </si>
  <si>
    <t>Midi Z</t>
  </si>
  <si>
    <t>Liying Zhao, Zhilei Xin</t>
  </si>
  <si>
    <t>Qiao Yan, a famous actress, got kidnapped while, her sister who lost contact years ago suddenly appeared.</t>
  </si>
  <si>
    <t>乔妍的心事</t>
  </si>
  <si>
    <t>赵德胤</t>
  </si>
  <si>
    <t>赵丽颖 / 辛芷蕾</t>
  </si>
  <si>
    <t>来自小镇的演员乔妍接到一条匿名的勒索消息，失联多年的姐姐忽然出现让一切更加扑朔迷离。</t>
  </si>
  <si>
    <t>The Wig</t>
  </si>
  <si>
    <t>Yue Dong</t>
  </si>
  <si>
    <t>Xiaoming Huang, Yinglu Wang, Congxi Li</t>
  </si>
  <si>
    <t>A driver who picks up a mysterious drunk and changes his fate forever. Best Actor (nominated) of The 16th Macau International Film Festival Golden Lotus Awards.</t>
  </si>
  <si>
    <t>戴假发的人</t>
  </si>
  <si>
    <t>董越</t>
  </si>
  <si>
    <t>黄晓明 / 王影璐 / 李丛喜</t>
  </si>
  <si>
    <t>该片讲述了夜班出租车司机孟中因搭载了一名神秘醉汉，从此彻底改变了命运轨迹的故事。第16届澳门国际电影节金莲花奖 最佳男主角（提名）。</t>
  </si>
  <si>
    <t>To Gather Around</t>
  </si>
  <si>
    <t>Xunzimo Liu</t>
  </si>
  <si>
    <t>Chao Deng, Jiajia Deng, Yunlong Zheng</t>
  </si>
  <si>
    <t>Bai Sheng was laid off by the company and he had to stay in the company for 100 days.</t>
  </si>
  <si>
    <t>胜券在握</t>
  </si>
  <si>
    <t>刘循子墨</t>
  </si>
  <si>
    <t>邓超 / 邓家佳 / 郑云龙</t>
  </si>
  <si>
    <t>在科技公司工作的员工白胜惨遭裁员，为了赢回800万期权，他必须在公司苟住100天。</t>
  </si>
  <si>
    <t>Remember Me</t>
  </si>
  <si>
    <t>Wei Xu</t>
  </si>
  <si>
    <t>Kara Wai Ying Hung, Haocun Liu</t>
  </si>
  <si>
    <t>The kind and tolerant grandma reunites with her granddaughter who was accidentally lost twelve years ago. The two have gone from being estranged to relying on each other.</t>
  </si>
  <si>
    <t>灿烂的她</t>
  </si>
  <si>
    <t>徐伟</t>
  </si>
  <si>
    <t>惠英红 / 刘浩存</t>
  </si>
  <si>
    <t>慈祥宽容的奶奶与十二年前意外走失的孙女重逢，两人各自的秘密在相处中逐渐揭开…</t>
  </si>
  <si>
    <r>
      <rPr>
        <sz val="10"/>
        <color theme="1"/>
        <rFont val="Arial"/>
        <charset val="134"/>
      </rPr>
      <t xml:space="preserve">The Wandering Earth </t>
    </r>
    <r>
      <rPr>
        <sz val="10"/>
        <color theme="1"/>
        <rFont val="宋体"/>
        <charset val="134"/>
      </rPr>
      <t>Ⅱ</t>
    </r>
  </si>
  <si>
    <t>Fan Guo</t>
  </si>
  <si>
    <t>Jing Wu, Andy Lau, Xuejian Li</t>
  </si>
  <si>
    <t>Humans built huge engines to find a new home. But the road to the universe is perilous. Best Film of The 18th Changchun Film Festival.</t>
  </si>
  <si>
    <t>流浪地球2</t>
  </si>
  <si>
    <t>郭帆</t>
  </si>
  <si>
    <t>吴京 / 刘德华 / 李雪健</t>
  </si>
  <si>
    <t>“太阳危机”即将来袭，万座行星发动机正在建造中，人类将面临末日灾难与生命存续的双重挑战。第18届中国长春电影节 金鹿奖 最佳影片奖。</t>
  </si>
  <si>
    <t>Battle of Memories</t>
  </si>
  <si>
    <t>Leste Chen</t>
  </si>
  <si>
    <t>Bo Huang, Yihong Duan, Jinglei Xu, Zishan Yang</t>
  </si>
  <si>
    <t>Jiang Feng erases his memory but has a strange memory involving a murder case. Shen Hanqiang investigates and uncovers dark memories and human secrets.</t>
  </si>
  <si>
    <t>记忆大师</t>
  </si>
  <si>
    <t>陈正道</t>
  </si>
  <si>
    <t>黄渤 / 段奕宏 / 徐静蕾 / 杨子姗</t>
  </si>
  <si>
    <t>江丰抹除记忆后出现陌生记忆涉杀人案，沈汉强调查揭开黑暗记忆与人性秘密。</t>
  </si>
  <si>
    <t>Forever</t>
  </si>
  <si>
    <t>Anders Hazelius</t>
  </si>
  <si>
    <t>Agnes Lindström Bolmgren, Mattias Nordkvist, Mustapha Aarab</t>
  </si>
  <si>
    <t>Mira and Kia were close, drifted apart after new coach Lolo. Mira's dream: is winning over friendship worth it?</t>
  </si>
  <si>
    <t>永远的姐妹</t>
  </si>
  <si>
    <r>
      <rPr>
        <sz val="10"/>
        <rFont val="宋体"/>
        <charset val="134"/>
      </rPr>
      <t>安德斯</t>
    </r>
    <r>
      <rPr>
        <sz val="10"/>
        <rFont val="MS Gothic"/>
        <charset val="134"/>
      </rPr>
      <t>・</t>
    </r>
    <r>
      <rPr>
        <sz val="10"/>
        <rFont val="宋体"/>
        <charset val="134"/>
      </rPr>
      <t>哈泽柳斯</t>
    </r>
  </si>
  <si>
    <t>阿格尼丝·林德斯特伦·博尔姆格伦 / 马蒂亚斯·诺德克维斯特 / 穆斯塔法·阿拉布</t>
  </si>
  <si>
    <t>米拉和挚友起亚随着新教练到来逐渐疏远，面对职业梦想与友谊，她该如何应对？</t>
  </si>
  <si>
    <t>The Girls</t>
  </si>
  <si>
    <t>Pilar Palomero</t>
  </si>
  <si>
    <t>Andrea Fandos, Natalia de Molina, Zoé Arnao, Francesca Piñón</t>
  </si>
  <si>
    <t>In the 1992 youth film, Celia breaks rules and faces her mother to find herself after meeting a new classmate. The 35th Goya Awards in Spain (2021) Best Picture, Best Film.</t>
  </si>
  <si>
    <t>女生们</t>
  </si>
  <si>
    <t>皮拉尔·帕洛梅罗</t>
  </si>
  <si>
    <t>安德里亚·凡多斯 / 纳塔利娅·德·莫利纳 / 佐伊·阿纳奥 / 法兰西斯卡·皮诺</t>
  </si>
  <si>
    <t>1992年青春电影，女孩塞莉娅遇新同学后打破校规，直面母亲，寻找真正自己。第35届西班牙戈雅奖（2021）最佳影片。</t>
  </si>
  <si>
    <t>The Boss</t>
  </si>
  <si>
    <t>Fran Torres</t>
  </si>
  <si>
    <t>Aitana Sánchez-Gijón, Younes Bachir, Pedro Casablanc</t>
  </si>
  <si>
    <t>The script tells of the toxic relationship between two independent women with different pursuits.</t>
  </si>
  <si>
    <t>女老板</t>
  </si>
  <si>
    <t>弗兰·托雷斯</t>
  </si>
  <si>
    <t>艾塔娜·桑切斯-希洪 / 尤尼斯·贝希尔 / 佩德罗·卡萨布兰科</t>
  </si>
  <si>
    <t>剧本讲俩独立女性有毒关系，比阿特丽斯已达目标，索菲娅欲得所求生活。</t>
  </si>
  <si>
    <t>Kim's Video</t>
  </si>
  <si>
    <t>David Redmon, Ashley Sabin</t>
  </si>
  <si>
    <t>David Redmon, Yong-man Kim</t>
  </si>
  <si>
    <t>Playing with the forms and tropes of various cinema genres, the filmmaker sets off on a quest to find a legendary lost video collection of 55,000 movies in Sicily.</t>
  </si>
  <si>
    <t>金的音像店</t>
  </si>
  <si>
    <t>大卫·雷德蒙 / 阿什莉·萨宾</t>
  </si>
  <si>
    <t>大卫·雷德蒙 / 金勇满</t>
  </si>
  <si>
    <t>金老板的音像店随时代进步而淘汰，然而它保存的5万多部影片成为影迷们的宝藏。</t>
  </si>
  <si>
    <t>Persona Non Grata</t>
  </si>
  <si>
    <t>Antonin Svoboda</t>
  </si>
  <si>
    <t>Gerti Drassl, Anna Behne</t>
  </si>
  <si>
    <t>An assault by a neighbor brings back memories of abuse Andrea, a former ski champion, faced as a teen ski prodigy and she decides to break the silence.</t>
  </si>
  <si>
    <t>不受欢迎的人</t>
  </si>
  <si>
    <t>安东宁·斯沃博达</t>
  </si>
  <si>
    <t>杰尔蒂·德拉斯尔 / 安娜·贝恩</t>
  </si>
  <si>
    <t>奥地利真实运动员事件改编，讲述滑雪新星沉默多年后鼓足勇气说出真相的故事。</t>
  </si>
  <si>
    <t>All to Play For</t>
  </si>
  <si>
    <t>Delphine Deloget</t>
  </si>
  <si>
    <t>Virginie Efira, Félix Lefebvre</t>
  </si>
  <si>
    <t>Sofiane is injured while being alone in the flat which results in placing him in a foster home. Sylvie, his mom, is determined to bring her son back home.</t>
  </si>
  <si>
    <t>法</t>
  </si>
  <si>
    <t>Rien à Perdre</t>
  </si>
  <si>
    <t>再无可失</t>
  </si>
  <si>
    <t>戴尔芬·德洛杰特</t>
  </si>
  <si>
    <t>维尔日妮·埃菲拉 / 菲利克斯·勒费弗尔</t>
  </si>
  <si>
    <t>西尔维的小儿子意外灼伤后被社福机构强行送到寄养家庭，西尔维为了一家团圆开始了奔波。</t>
  </si>
  <si>
    <t>Solitude</t>
  </si>
  <si>
    <t>Ninna Pálmadóttir</t>
  </si>
  <si>
    <t>Þröstur Leó Gunnarsson, Hermann Samúelsson</t>
  </si>
  <si>
    <t>An aging farmer moves to the city for the first time and forms a bond with a paper boy. Winner of Jury Prize and Most Noticed Actor at Focus on Future of The 14th Beijing International Film Festival (2024).</t>
  </si>
  <si>
    <t>孤身二人</t>
  </si>
  <si>
    <t>尼娜·帕尔马多蒂尔</t>
  </si>
  <si>
    <t>斯罗斯特·莱奥·贡纳松 / 赫尔曼·萨缪尔森</t>
  </si>
  <si>
    <t>淳朴的贡纳尔因农场被征用而搬到首都。他与报童阿里成了忘年交，但人心的复杂让他难以应对。北京国际电影节注目未来单元评审团特别荣誉、最受注目男演员奖。</t>
  </si>
  <si>
    <t>Love Lies</t>
  </si>
  <si>
    <t>Miu-Kei Ho</t>
  </si>
  <si>
    <t>Sandra Ng, Michael Cheung, Stephy Tang</t>
  </si>
  <si>
    <t>An internet romance scam. Best Leading Actress (nominated) of The 61th Golden Horse Awards. Best New Director (nominated) of The 61th Golden Horse Awards.</t>
  </si>
  <si>
    <t>我谈的那场恋爱</t>
  </si>
  <si>
    <t>何妙祺</t>
  </si>
  <si>
    <t>吴君如 / 张天赋 / 邓丽欣</t>
  </si>
  <si>
    <t>身家数亿的高知女医生余笑琴与网聊情骗团队的较量。第61届金马奖最佳女主角（提名）、最佳新锐导演（提名）。</t>
  </si>
  <si>
    <t>That Untold Story</t>
  </si>
  <si>
    <t>Yan Zhang</t>
  </si>
  <si>
    <t>Roy Chiu, Yueting Lang, Xiaoqian Li</t>
  </si>
  <si>
    <t>Yang Zhao discovers her boyfriend's undercover identity during a trip.</t>
  </si>
  <si>
    <t>那个不为人知的故事</t>
  </si>
  <si>
    <t>张岩</t>
  </si>
  <si>
    <t>邱泽 / 郎月婷 / 李孝谦</t>
  </si>
  <si>
    <t>出租车司机陈铭生与文物修复师杨昭相遇相恋，陈铭生卧底缉毒警身份暴露后，二人感情面临选择。</t>
  </si>
  <si>
    <t>I Am Losing Weight</t>
  </si>
  <si>
    <t>Alexey Nuzhny</t>
  </si>
  <si>
    <t>Alexandra Bortich, Evgeniy Kulik, Irina Gorbacheva, Roman Kurtsyn</t>
  </si>
  <si>
    <t>Anya was dumped for loving food. She asked Nick for help to control diet and body.</t>
  </si>
  <si>
    <t>瘦身大作战</t>
  </si>
  <si>
    <t>阿列克谢·努日尼</t>
  </si>
  <si>
    <t>亚历山德拉·伯蒂奇 / 叶夫根尼·库里克 / 伊琳娜·戈尔巴乔娃 / 罗曼·库特辛</t>
  </si>
  <si>
    <t>Anya因美食遭男友抛弃，向Nick求助，二人开启饮食与体态管控的生活以求改变。</t>
  </si>
  <si>
    <t>The Hedgehog</t>
  </si>
  <si>
    <t>Changwei Gu</t>
  </si>
  <si>
    <t>You Ge, Junkai Wang, Ping Li, Vieven Liu, Le Geng</t>
  </si>
  <si>
    <t>In the film, the odd Wang Zhantuan and stuttering Zhou Zheng cause troubles, adapted from "Immortal Syndrome". The 26th Shanghai International Film Festival (2024) Best Screenplay of the Golden Goblet Award: Fangfang Guo, Changwei Gu, Zhi Zheng.</t>
  </si>
  <si>
    <t>刺猬</t>
  </si>
  <si>
    <t>顾长卫</t>
  </si>
  <si>
    <t>葛优 / 王俊凯 / 李萍 / 刘威葳 / 耿乐</t>
  </si>
  <si>
    <t>“精神病人”王战团与口吃少年周正不合群，闹剧不断，改编自郑执《仙症》。第26届上海国际电影节（2024）金爵奖 最佳编剧 郭方方、顾长卫、郑执。</t>
  </si>
  <si>
    <t>Keep Rolling</t>
  </si>
  <si>
    <t>Ji Li</t>
  </si>
  <si>
    <t>Tianfang Wang, Xudong Ma</t>
  </si>
  <si>
    <t>Superstar Lin Dong accidentally stepped on a landmine while filming a movie and all crew around him went crazy.</t>
  </si>
  <si>
    <t>大场面</t>
  </si>
  <si>
    <t>李季</t>
  </si>
  <si>
    <t>王天放 / 马旭东</t>
  </si>
  <si>
    <t>巨星林东在拍摄电影时误踩地雷不敢乱动；全剧组疯狂表演，大家都各打小算盘...</t>
  </si>
  <si>
    <t>Journey to the West</t>
  </si>
  <si>
    <t>Kong Dashan</t>
  </si>
  <si>
    <t>Yang Haoyu, Liya Ai, Wang Yitong</t>
  </si>
  <si>
    <t>Tang, an editor of a science fiction magazine, tries to find signs of alien civilization. Best Screenplayer of The 36th Golden Rooster Awards.</t>
  </si>
  <si>
    <t>宇宙探索编辑部</t>
  </si>
  <si>
    <t>孔大山</t>
  </si>
  <si>
    <t>杨皓宇 / 艾丽娅 / 王一通</t>
  </si>
  <si>
    <t>科幻杂志社年近中年的主编唐志军因一个困惑了他一生的难题误入一段啼笑皆非的寻找地外文明旅途。第36届中国电影金鸡奖 最佳编剧。</t>
  </si>
  <si>
    <t>Michela Giraud: The Truth, I Swear!</t>
  </si>
  <si>
    <t>Vittorio Antonacci</t>
  </si>
  <si>
    <t>Michela Giraud</t>
  </si>
  <si>
    <t>Michela Giraud shares life, including career, fame downside, "curvy" and ballet.</t>
  </si>
  <si>
    <t>米歇拉·吉罗：句句属实</t>
  </si>
  <si>
    <r>
      <rPr>
        <sz val="10"/>
        <rFont val="宋体"/>
        <charset val="134"/>
      </rPr>
      <t>维托里奥</t>
    </r>
    <r>
      <rPr>
        <sz val="10"/>
        <rFont val="MS Gothic"/>
        <charset val="134"/>
      </rPr>
      <t>・</t>
    </r>
    <r>
      <rPr>
        <sz val="10"/>
        <rFont val="宋体"/>
        <charset val="134"/>
      </rPr>
      <t>安东纳奇</t>
    </r>
  </si>
  <si>
    <t>米歇拉·吉罗</t>
  </si>
  <si>
    <r>
      <rPr>
        <sz val="10"/>
        <rFont val="宋体"/>
        <charset val="134"/>
      </rPr>
      <t>米歇拉</t>
    </r>
    <r>
      <rPr>
        <sz val="10"/>
        <rFont val="MS Gothic"/>
        <charset val="134"/>
      </rPr>
      <t>・</t>
    </r>
    <r>
      <rPr>
        <sz val="10"/>
        <rFont val="宋体"/>
        <charset val="134"/>
      </rPr>
      <t>吉罗分享人生，涉事业成败、出名弊端、“曲线美”及芭蕾经历。</t>
    </r>
  </si>
  <si>
    <t>7 Women and a Murder</t>
  </si>
  <si>
    <t>Alessandro Genovesi</t>
  </si>
  <si>
    <t>Margherita Buy, Sabrina Impacciatore, Benedetta Porcaroli, Micaela Ramazzotti</t>
  </si>
  <si>
    <t>Seven women are involved in a mysterious murder. Who's the killer and what's the motive? The 67th David di Donatello Awards (2022) Best Hair Design (Nominated).</t>
  </si>
  <si>
    <t>七美疑云</t>
  </si>
  <si>
    <t>亚历山德罗·杰诺维斯</t>
  </si>
  <si>
    <t>玛格丽塔·布伊 / 萨布里娜·因帕恰托雷 / 贝内黛塔·波尔卡罗利 / 米卡埃拉·拉马佐蒂</t>
  </si>
  <si>
    <t>七名女性卷入神秘谋杀案，凶手与动机成谜，她们将如何探寻真相，解开重重迷雾？第67届意大利大卫奖（2022）最佳发型设计（提名）。</t>
  </si>
  <si>
    <t>Deadly Cuts</t>
  </si>
  <si>
    <t>Rachel Carey</t>
  </si>
  <si>
    <t>Victoria Smurfit, Aidan McArdle, Angeline Ball, Laurence Kinlan, Pauline McLynn</t>
  </si>
  <si>
    <t>The hairdressing salons in Dublin were harassed. Women fought back in an Irish style. The Discovery Award at the Dublin Film Festival.</t>
  </si>
  <si>
    <t>辣俏护卫队</t>
  </si>
  <si>
    <r>
      <rPr>
        <sz val="10"/>
        <rFont val="宋体"/>
        <charset val="134"/>
      </rPr>
      <t>瑞秋</t>
    </r>
    <r>
      <rPr>
        <sz val="10"/>
        <rFont val="MS Gothic"/>
        <charset val="134"/>
      </rPr>
      <t>・</t>
    </r>
    <r>
      <rPr>
        <sz val="10"/>
        <rFont val="宋体"/>
        <charset val="134"/>
      </rPr>
      <t>凯里</t>
    </r>
  </si>
  <si>
    <t>维多莉亚·斯莫费特 / 艾丹·麦克阿德尔 / 安吉琳·博尔 / 劳伦斯·金兰 / 宝琳·麦克林</t>
  </si>
  <si>
    <t>都柏林理发店女性对抗流氓骚扰和资本压迫，黑色幽默风格，展现了爱尔兰女性的韧性与困境。都柏林电影节发现奖。</t>
  </si>
  <si>
    <t>Diggers</t>
  </si>
  <si>
    <t>Katherine Dieckmann</t>
  </si>
  <si>
    <t>Paul Rudd, Ken Marino</t>
  </si>
  <si>
    <t>A story about a tight-knit group of friends, who try to maintain their small-town way of life in the face of enormous changes in 1970s Long Island.</t>
  </si>
  <si>
    <t>挖掘者</t>
  </si>
  <si>
    <t>凯瑟琳·迪克曼</t>
  </si>
  <si>
    <t>保罗·路德 / 肯·马里诺</t>
  </si>
  <si>
    <t>纽约附近四个小镇青年祖辈挖掘蛤蜊为生，几个人面对时代变革，必须做出自己的选择。</t>
  </si>
  <si>
    <t>Puan</t>
  </si>
  <si>
    <t>María Alche, Benjamín Naishtat</t>
  </si>
  <si>
    <t>Marcelo Subiotto, Leonardo Sbaraglia</t>
  </si>
  <si>
    <t>At the University of Buenos Aires, a rivalry arises between two Philosophy teachers for a professorship position. Winner of Silver Shell for Best Leading Performance and Jury Prize for Best Screenplay at The 71st San Sebastián International Film Festival (2023).</t>
  </si>
  <si>
    <t>浦安之争</t>
  </si>
  <si>
    <t>玛丽亚·阿尔切 / 本哈明·奈斯塔特</t>
  </si>
  <si>
    <t>马塞洛·索比奥托 / 莱昂纳多·斯巴拉格利亚</t>
  </si>
  <si>
    <t>老好人马塞洛有望接替哲学系主任的位子，然而远赴欧洲多年的同学拉斐尔突然回来，风向开始转变。第71届圣塞巴斯蒂安国际电影节最佳男演员、最佳剧本两项大奖。</t>
  </si>
  <si>
    <t>Striking the Palace</t>
  </si>
  <si>
    <t>Nessim Chikhaoui</t>
  </si>
  <si>
    <t>Lucie Charles-Alfred, Corinne Masiero</t>
  </si>
  <si>
    <t>Eva, a new chambermaid, joins a tight-knit team facing demanding work. A social movement impacts their workplace, forcing each woman to make personal choices.</t>
  </si>
  <si>
    <t>Petites mains</t>
  </si>
  <si>
    <t>皇宫酒店大作战</t>
  </si>
  <si>
    <t>内西姆·奇卡维</t>
  </si>
  <si>
    <t>露西·查尔斯·阿尔弗雷德 / 科琳娜·马谢罗</t>
  </si>
  <si>
    <t>年轻的伊娃成为豪华皇宫酒店的临时工，酒店光鲜豪华的外表下，这些小人物的喜乐故事不断上演。</t>
  </si>
  <si>
    <t>Andrea Gets a Divorce</t>
  </si>
  <si>
    <t>Josef Hader</t>
  </si>
  <si>
    <t>Birgit Minichmayr, Josef Hader</t>
  </si>
  <si>
    <t>A policewoman wants a divorce and city job promotion but after hitting her drunk husband with her car in an accidental collision, she flees the scene, committing a hit-and-run.</t>
  </si>
  <si>
    <t>安德里亚离婚记</t>
  </si>
  <si>
    <t>约瑟夫·哈德</t>
  </si>
  <si>
    <t>比吉特·米尼希迈尔 / 约瑟夫·哈德</t>
  </si>
  <si>
    <t>交警安德里亚意外撞死了丈夫安迪，警方却认定是酗酒者约瑟夫所为，而他对于指控竟不反驳…</t>
  </si>
  <si>
    <t>Everything's Fifty Fifty</t>
  </si>
  <si>
    <t>Alireza Golafshan</t>
  </si>
  <si>
    <t>Moritz Bleibtreu, Günther Brenner</t>
  </si>
  <si>
    <t>A divorced couple takes a trip to Italy for a family vacation with their young son and her new boyfriend.</t>
  </si>
  <si>
    <t>五五分的家</t>
  </si>
  <si>
    <t>阿里雷扎·格拉夫尚</t>
  </si>
  <si>
    <t>莫里兹·布雷多 / 冈瑟·布鲁纳</t>
  </si>
  <si>
    <t>教育责任是否可以五五平分？一对即将离婚的夫妻，一个古灵精怪的孩子，一场哭笑不得的假期。</t>
  </si>
  <si>
    <t>Boonie Bears: Guardian Code</t>
  </si>
  <si>
    <t>Yongchang Lin, Heqi Shao</t>
  </si>
  <si>
    <t>Bingjun Zhang, Xiao Tan, Wei Zhang</t>
  </si>
  <si>
    <t>The Bear Brothers are determined to find out the reason why their mother left them.</t>
  </si>
  <si>
    <t>熊出没·伴我“熊芯”</t>
  </si>
  <si>
    <t>林永长 / 邵和麒</t>
  </si>
  <si>
    <t>张秉君 / 谭笑 / 张伟</t>
  </si>
  <si>
    <t>对小熊大熊二宠爱有加的熊妈在一场大火后离开了他们，为此二熊一路探寻熊妈当年不告而别的原因。</t>
  </si>
  <si>
    <t>Mozart from Space</t>
  </si>
  <si>
    <t>Sicheng Chen</t>
  </si>
  <si>
    <t>Bo Huang, Zishan Rong, Chen Yao</t>
  </si>
  <si>
    <t>The story of a boy and a mysterious alien creature with wonderful musical ability. Best Children Film (Nominee) of The 35th Golden Rooster Awards.</t>
  </si>
  <si>
    <t>外太空的莫扎特</t>
  </si>
  <si>
    <t>陈思诚</t>
  </si>
  <si>
    <t>黄渤 / 荣梓杉 / 姚晨</t>
  </si>
  <si>
    <t>神秘外星人莫扎特意外出现，帮助任小天开启和爸爸“斗智斗勇”的生活。第35届中国电影金鸡奖 最佳儿童片（提名）。</t>
  </si>
  <si>
    <t>New Onboard</t>
  </si>
  <si>
    <t>Enjoy your dream flight with our superb collection of audio-visual entertaining content. Welcome aboard this Air China flight. This month, we are offering not only the latest and hottest Hollywood and Chinese movies that are now being shown in theaters around the world, but also more than 100 classic Chinese and foreign movies. Relax and enjoy your flight!</t>
  </si>
  <si>
    <t>佳片速递</t>
  </si>
  <si>
    <t>梦幻视听，乐享飞行。欢迎您搭乘中国国际航空公司的航班。本月国航不但为您精选了全球热映的好莱坞与中文最新电影，还有百余部中外经典佳片供您赏阅。国航带您放松心情，尽享舒适旅程。</t>
  </si>
  <si>
    <t>title</t>
  </si>
  <si>
    <t>synopsis</t>
  </si>
  <si>
    <t>The Princess Royal 5</t>
  </si>
  <si>
    <t>This drama is an adaptation of Mo Shubai's novel "The Princess Royal". The story follows the Princess Royal of the Xia dynasty, Li Rong, as she reminisces about her youth with the current Senior Grand Secretary Pei Wenxuan. They transform from being enemies to close friends, and then from close friends to lovers. They develop a deep trust and complement each other, ultimately working together to uncover the truth and find love.</t>
  </si>
  <si>
    <t>度华年 5</t>
  </si>
  <si>
    <t>该剧根据墨书白小说《长公主》改编。故事中，大夏朝的长公主李蓉与当朝首辅裴文宣梦回华年，由仇人变闺蜜，闺蜜变成有情人。他们彼此信赖，彼此成全，终于破镜重圆，一起搞事业，一起发现真相，一起发现爱。</t>
  </si>
  <si>
    <t>The Double 8</t>
  </si>
  <si>
    <t>The drama narrates the tale of Xue Fangfei, a privileged daughter leading a contented life, who loses everything due to a significant upheaval. Rescued by Jiang Li, the daughter of the Director of the Central Secretariat, she returns to the capital as Jiang Li and, with the assistance of Imperial Duke Xiao Heng and other allies, surmounts innumerable obstacles, battles against injustice, secures her wrongly incarcerated father's release, aids Xiao Heng in upholding justice, and safeguards the populace, ultimately reclaiming a splendid existence.</t>
  </si>
  <si>
    <t>墨雨云间 8</t>
  </si>
  <si>
    <t>本剧讲述了家庭优渥、生活幸福的县令之女薛芳菲在遭逢巨变之后失去一切，受救命恩人、中书令之女姜梨之托，以姜梨的身份回到京城，并在肃国公萧蘅等人的帮助下，克服重重艰险，不断努力对抗不公，救出意外入狱的父亲，并帮助萧蘅匡扶正义，守护黎民百姓，最终重获美好生活的故事。</t>
  </si>
  <si>
    <t>I Hear You 8 Wang Chaoge: Wang Chaoge Only</t>
  </si>
  <si>
    <t>Li Jing engages in conversations with exceptional individuals from diverse backgrounds and of all ages, who live among us and possess captivating stories and unique perspectives. The program delves into the guests' current endeavors and significant life events, providing a platform for meaningful dialogue.</t>
  </si>
  <si>
    <t>听你这么说 8 王潮歌：只有王潮歌</t>
  </si>
  <si>
    <t>李静将与来自各行各业、各个年龄层面优秀人士进行对话，他们就生活在我们身边，他们是有故事的人、有趣的人。节目以嘉宾正在进行的工作、生活节点切入，对嘉宾进行谈话。</t>
  </si>
  <si>
    <t>Gathering Fragments of the Past 8 What Is the Rationale Behind Prominent Families Holding Official Positions?</t>
  </si>
  <si>
    <t>"Traveling Around the World with Wentao" Season 3 takes us on a journey through the misty and rainy regions south of the Yangtze River, akin to a slowly unfolding picture scroll. Visiting renowned mountains, appreciating strange stones, and seeking wonderful fate, in the program, Dou Wentao and his long-time companions fully immerse themselves in the poetic beauty of Jiangnan.</t>
  </si>
  <si>
    <t>锵锵拾遗 8 世家大族做官的理由是什么？</t>
  </si>
  <si>
    <t>《锵锵行天下》第三季江南烟雨，一路如一副徐徐铺开的画卷。访名山，赏奇石，寻妙缘。窦文涛与老友们浸润在江南的诗情画意中。</t>
  </si>
  <si>
    <t>Funny Traveling Around the World 8 Fishing and Digging Lotus Roots in Puzhehei</t>
  </si>
  <si>
    <t>The Funny Family embarks on a journey to Yunnan and Northeast China with the aim of immersing themselves in the diverse cultures of China's 56 ethnic groups and leading children to discover new landscapes and cuisines of these ethnic regions.</t>
  </si>
  <si>
    <t>蕃尼看世界之奇遇冒险 8 普者黑摸鱼挖藕挑战</t>
  </si>
  <si>
    <t>蕃尼家族前往云南、东北等地，抱着对中国56个民族不同文化的好奇心和探索欲，发掘小朋友们不曾见过的不同民族美景和美食。</t>
  </si>
  <si>
    <t>The Magic Chef of Ice and Fire 8</t>
  </si>
  <si>
    <t>Since childhood, Rong Nianbing has been chased after by the Ice God Tower. After bravely jumping off a cliff to assert his high ideals, he is rescued by the renowned "Ghost Chef" Zha Ji, who takes him under his wing as a disciple. Under Zha Ji's guidance, Nianbing's remarkable magical abilities begin to show. However, crises continue to arise. Is Nianbing able to overcome these obstacles and grow into the top wizard on the Yangguang Continent?</t>
  </si>
  <si>
    <t>冰火魔厨 8</t>
  </si>
  <si>
    <t>念冰自小被冰神塔追杀，跳崖明志后被“鬼厨”查极所救并收为徒，念冰惊人的实力初现端倪。然而，危机接踵而至，念冰是否能化险为夷，成为仰光大陆顶级魔法师？</t>
  </si>
  <si>
    <t>Legend of Assassin 8</t>
  </si>
  <si>
    <t>Dark River is the most mysterious killer gang in Jianghu. Upon the arrival of the news, the three factions of Dark River seize the opportunity to initiate a rebellion. Su Muyu, leader of the Spider Shadow escort group mastered by Patriarch, seeks out the magic doctor Bai Hehuai from the Medicine King Valley to cure the Patriarch while protecting the Patriarch from assassins of other factions.</t>
  </si>
  <si>
    <t>暗河传 8</t>
  </si>
  <si>
    <t>暗河，江湖最神秘的杀手组织，暗河三家势力得知消息后，趁机发起叛乱。苏暮雨作为大家长护卫团蛛影的首领傀，一边找来药王谷神医白鹤淮为大家长医治，一边击退各家杀手护大家长周全。</t>
  </si>
  <si>
    <t>The Demon Hunter 8</t>
  </si>
  <si>
    <t>Evil monsters cause trouble in the World of Cangyuan, and the human race suffers greatly. Meng Chuan, the protagonist, has vowed to seek revenge for his mother since childhood. From the Mirror Lake Taoist Temple, he starts an adventure of punishing the wicked and evil, displaying perseverance, courage, and agility in wielding the sword. He manages to arrive at the Top Four Taoist Temples and finally becomes a great Divine Wizard of the age.</t>
  </si>
  <si>
    <t>沧元图 8</t>
  </si>
  <si>
    <t>沧元界妖邪作乱，人族饱受摧残，主角孟川自小立下为母复仇的誓言，以镜湖道院为起点，凭借坚毅无畏的心志与利落果决的刀法身手，惩处奸恶，登顶四大道院，成就一代神魔的故事。</t>
  </si>
  <si>
    <t>Pegasus·Passion 8</t>
  </si>
  <si>
    <t>Zhang Chi sustains serious injuries after being thrown off the track in auto racing. By accident, he is transported to the past and his spirit enters the body of 21-year-old Lin Zhendong. Bestowed with another chance, Lin Zhendong spares no effort in preventing his 24-year-old self from making the same mistake.</t>
  </si>
  <si>
    <t>飞驰人生热爱篇 8</t>
  </si>
  <si>
    <t>张驰飞出赛道后身受重伤，意外穿越到21岁的林臻东身上，他想尽一切办法去阻止24岁的自己重蹈覆辙的故事。</t>
  </si>
  <si>
    <t>Everyone Loves Me 8</t>
  </si>
  <si>
    <t>On the day when Yue Qianling resigned from her company, she coincidentally came across her crush, Gu Xun, who had just been recruited to be the director of the Ninth Division. This encounter prompts her to return to the company and pursue him boldly, but Gu Xun is cold towards her and even rejects her confession in front of the entire school faculty and students. It turns out that Gu Xun has already been in love with a tough and forthright netizen named "glutinous rice little Mahua". Knowing the truth that the two girls are the same person, Gu Xun has to engage in a funny and romantic "hunt for a lost lover".</t>
  </si>
  <si>
    <t>别对我动心 8</t>
  </si>
  <si>
    <t>岳千灵在离职的当天，与暗恋对象，新入职的第九事业部负责人顾寻擦肩而过，为此，她不惜回到公司，对顾寻大胆追爱，顾寻却冷淡以待，甚至当着全校师生面将岳千灵的告白狠狠拒绝。原来，顾寻早已倾心彪悍飒爽的网友“糯米小麻花”。最后知道真相的顾寻不得不开启搞笑与心动并存的“反向追妻路”。</t>
  </si>
  <si>
    <t>My Senior Brother Is Too Steady 7</t>
  </si>
  <si>
    <t>Li Changshou, a young man, was unexpectedly reborn in ancient times before the Deification War and grew up to become a Qi cultivator. To cultivate the ability to live forever and survive in the harsh primitive age, he has to keep a low profile and look before leap, and he barely ventures into danger. One day, however, his master unexpectedly entrusts a younger sister to him, and Li Changshou, who intends to cultivate quietly, finds himself embroiled in one adventure after another.</t>
  </si>
  <si>
    <t>师兄啊师兄 7</t>
  </si>
  <si>
    <t>年轻人李长寿，意外重生在封神大战之前的上古时代，成了一个炼气士。为了修得长生不老且能在残酷的洪荒安身立命，他低调行事，凡事谋而后动，从不轻易步入危险之中，直到有一天，他的师傅突然给他收了个师妹回来，本想低调修行的李长寿被卷入了一场场冒险。</t>
  </si>
  <si>
    <t>Hantang Culture</t>
  </si>
  <si>
    <t>This episode presents the major exhibition "Résonances Art Déco: Paris Chic - Shanghai Moderne" at Bund 33, the National Moblier and French Decorative Arts, as well as the Shanghai Marathon.</t>
  </si>
  <si>
    <t>汉唐文化</t>
  </si>
  <si>
    <t>呈现上海外滩源壹号大展「摩登：交错的世界」，法国国家家具管理馆馆藏及上海马拉松精彩赛事。</t>
  </si>
  <si>
    <t>China S01E05</t>
  </si>
  <si>
    <t>The program explores the people and stories of ancient Chinese civilization. Best Documentary Series of The 31st Golden Eagle Awards.</t>
  </si>
  <si>
    <t>中国 第一季 5</t>
  </si>
  <si>
    <t>节目再现华夏历史切面，挖掘古代中华文明中对今日中国社会最具深远影响的人与故事。第31届中国电视金鹰奖 最佳电视纪录片。</t>
  </si>
  <si>
    <t>China S01E04</t>
  </si>
  <si>
    <t>中国 第一季 4</t>
  </si>
  <si>
    <t>China beyond Tastes 14 Yunnan (Part 2)</t>
  </si>
  <si>
    <t>Chen travels to eight different regions of China, where he works with different guides on his own flavor exploration journey. Selected in the category of Outstanding Internationally Distributed Domestic Documentary Films of the Year 2023.</t>
  </si>
  <si>
    <t>我的美食向导 14 云之南（下）</t>
  </si>
  <si>
    <t>陈晓卿前往中国八个不同的地区，他和不同的向导一起，完成自己的风味探索之旅。入选2023年度国产纪录片优秀国际传播片类。</t>
  </si>
  <si>
    <t>China beyond Tastes 13 Yunnan (Part 1)</t>
  </si>
  <si>
    <t>我的美食向导 13 云之南（上）</t>
  </si>
  <si>
    <t>New Three Gorges 7 Dream</t>
  </si>
  <si>
    <t>The past and present of the magnificent Three Gorges. Remy Award for Best Documentary at Houston International Film Festival (2018).</t>
  </si>
  <si>
    <t>新三峡 7 梦</t>
  </si>
  <si>
    <t>瑰丽三峡的前世今生。休斯顿国际电影节最佳记录片雷米奖（2018）。</t>
  </si>
  <si>
    <t>New Three Gorges 6 City</t>
  </si>
  <si>
    <t>新三峡 6 城</t>
  </si>
  <si>
    <t>Wedding 4 Wedding on the Clouds</t>
  </si>
  <si>
    <t>The traditional wedding customs and rituals of the Qiang ethnic group restore the true Chinese style wedding and Chinese style warmth.</t>
  </si>
  <si>
    <t>喜事 4 云朵上的婚礼</t>
  </si>
  <si>
    <t>羌族的传统婚俗仪式，还原真正的中国式婚礼和中国式温度。</t>
  </si>
  <si>
    <t>Wedding 3 Love in Wusuli</t>
  </si>
  <si>
    <t>The traditional wedding customs and rituals of the Hezhe ethnic group restore the true Chinese style wedding and Chinese style warmth.</t>
  </si>
  <si>
    <t>喜事 3 情系乌苏里</t>
  </si>
  <si>
    <t>赫哲族的传统婚俗仪式，还原真正的中国式婚礼和中国式温度。</t>
  </si>
  <si>
    <t>Ba Jin 2 Torrent Flame</t>
  </si>
  <si>
    <t>Narrates the legendary life of Ba Jin, a master of Chinese literary circles.</t>
  </si>
  <si>
    <t>巴金 2 激流火焰</t>
  </si>
  <si>
    <t>讲述作为中国文坛巨匠——巴金先生的传奇人生。</t>
  </si>
  <si>
    <t>Ba Jin 1 Long Song of the Century</t>
  </si>
  <si>
    <t>巴金 1 世纪长歌</t>
  </si>
  <si>
    <t>Dunhuang Meets Shaoxing 2 Calligraphy Double Sages</t>
  </si>
  <si>
    <t>With thousands of years of Chinese cultural history as the axis and the Silk Road as the link, we will awaken the urban cultural memory of Dunhuang and Shaoxing, feel the high unity of Chinese civilization, and touch the common context that has lasted for thousands of years.</t>
  </si>
  <si>
    <t>敦煌遇见绍兴 2 书法双圣</t>
  </si>
  <si>
    <t>以数千年中国文化史为轴线，丝绸之路为纽带，唤醒敦煌、绍兴的城市文化记忆，感受中华文明的高度统一性，触摸延续千年的共同文脉。</t>
  </si>
  <si>
    <t>Mount Tai 3 The Country Is Prosperous And the People Are Safe</t>
  </si>
  <si>
    <t>By recording the nature, history and humanity of Mount Tai, it presents the historical and cultural context and trend of Mount Tai from multiple directions and angles, folds the millennium civilization, and allows the audience to read the "sea and mulberry field" of Mount Tai in the film.</t>
  </si>
  <si>
    <t>大泰山 3 与国咸宁</t>
  </si>
  <si>
    <t>通过记录泰山的自然、历史、人文，多方位、多角度呈现泰山历史文化脉络与走向，折叠了千年文明，让观众在片子中阅尽泰山千年的“沧海与桑田”。</t>
  </si>
  <si>
    <t>Chinese Juncao 3 Into the Spring</t>
  </si>
  <si>
    <t>Centering on the theme of Juncao technology taking root overseas for the first time, helping poor people improve their lives, helping to cope with climate change, promoting local people's livelihood and economic development, and becoming a new driving force for talent training and sustainable development.</t>
  </si>
  <si>
    <t>中国草 3 走进春天</t>
  </si>
  <si>
    <t>围绕菌草技术首次在海外落地生根、助力贫困群众改善生活、帮助应对气候变化、推动当地民生和经济发展、成为人才培养和可持续发展的新动能等主题展开。</t>
  </si>
  <si>
    <t>Food Markets Ep12</t>
  </si>
  <si>
    <t>Going to the local market when we visit a foreign city is something we all love to do. Markets attract us for their colours, smells, people, sounds and taste.</t>
  </si>
  <si>
    <t>行走世界菜市场 12</t>
  </si>
  <si>
    <t>城市的菜市场养活了大量的居民，但我们对食品市场的实际运作方式了解多少？走入全球24个大型城市的菜市场，从一个全新的角度描绘了城市供应系统的变化。</t>
  </si>
  <si>
    <t>Food Markets Ep11</t>
  </si>
  <si>
    <t>行走世界菜市场 11</t>
  </si>
  <si>
    <t>Hong Kong Nature Stories 8 The Waterfront (Part 2)</t>
  </si>
  <si>
    <t>Take you to uncover the rich and colorful natural world and legends of the waterfront in Hong Kong.</t>
  </si>
  <si>
    <t>香港自然故事 8 水岸篇 下</t>
  </si>
  <si>
    <t>带你揭秘香港水岸丰富多彩的自然世界与传奇。</t>
  </si>
  <si>
    <t>Hong Kong Nature Stories 7 The Waterfront (Part 1)</t>
  </si>
  <si>
    <t>香港自然故事 7 水岸篇 上</t>
  </si>
  <si>
    <t>Qinghai Our National Park S02E01 Between Heaven and Earth</t>
  </si>
  <si>
    <t>Focusing on the three national parks of Qinghai Lake, Kunlun Mountain and Qilian Mountain, we will dig deep and show their unique ecosystem mystery, long and thick historical context and the bright light of modern natural and cultural concepts from an unparalleled perspective.</t>
  </si>
  <si>
    <t>青海 我们的国家公园 第二季 1 天地之间</t>
  </si>
  <si>
    <t>聚焦于青海湖、昆仑山、祁连山三大国家公园，以无与伦比的视角，深度挖掘并展现它们独有的生态系统奥秘、悠远厚重的历史脉络以及现代自然文化理念的璀璨光芒。</t>
  </si>
  <si>
    <t>Natural Legend: Wise Elephant</t>
  </si>
  <si>
    <t>Focus on the legend of life in the animal and plant world, and explore and reveal the mysterious mystery of the universe. A platform full of magic natural life legend and the charm of astronomical and geographical wonders is carefully built.</t>
  </si>
  <si>
    <t>自然传奇 睿智的大象</t>
  </si>
  <si>
    <t>聚焦动植物世界生命传奇故事、探寻揭示宇宙万象的神奇奥秘。精心打造一个充满神奇自然生命传奇、展现天文地理奇观魅力的平台。</t>
  </si>
  <si>
    <t>Natural Legend: Jungle Spirit Lemur</t>
  </si>
  <si>
    <t>自然传奇 丛林精灵 狐猴</t>
  </si>
  <si>
    <t>Predator Countdown Ep01</t>
  </si>
  <si>
    <t>Delve into the world of nature’s most formidable predators across four continents: Africa, Australia, North America, and South America.</t>
  </si>
  <si>
    <t>狩猎倒计时 1</t>
  </si>
  <si>
    <t>走进四大洲：非洲、大洋洲、北美洲和南美洲，深入了解自然界内最凶猛的捕食者的世界。</t>
  </si>
  <si>
    <t>Migrating Birds Ep02</t>
  </si>
  <si>
    <t>With breath taking close-up aerial footage, this spectacular film unravels the mysteries of bird flight.</t>
  </si>
  <si>
    <t>迁徙的鸟 2</t>
  </si>
  <si>
    <t>通过令人叹为观止的特写航拍镜头，揭开了鸟类飞行的奥秘。</t>
  </si>
  <si>
    <t>Whale with Steve Backshall Ep02</t>
  </si>
  <si>
    <t>Naturalist and wildlife expert, Steve Backshall, gets us closer to sharks, to encounter a diverse and incredible family of over 400 different types.</t>
  </si>
  <si>
    <t>与鲸共舞 2</t>
  </si>
  <si>
    <t>史蒂夫·贝克肖揭示了一个由400多种不同类型组成的的家族，这场全球之旅将以全新的视角揭示鲨鱼。</t>
  </si>
  <si>
    <t>Remembrance Of Things Past Ep12</t>
  </si>
  <si>
    <t>Four northeast girls with dreams come to Beijing to struggle. Best Television Series (Nominee) of The 28th Shanghai TV Festival Magnolia Awards.</t>
  </si>
  <si>
    <t>我在他乡挺好的 12</t>
  </si>
  <si>
    <t>四个怀揣梦想的东北姑娘在北京打拼，她们在某些特殊的际遇下产生了人生的交集。第28届上海电视节白玉兰奖 最佳中国电视剧（提名）。</t>
  </si>
  <si>
    <t>Remembrance Of Things Past Ep11</t>
  </si>
  <si>
    <t>我在他乡挺好的 11</t>
  </si>
  <si>
    <t>Remembrance Of Things Past Ep10</t>
  </si>
  <si>
    <t>我在他乡挺好的 10</t>
  </si>
  <si>
    <t>Remembrance Of Things Past Ep09</t>
  </si>
  <si>
    <t>我在他乡挺好的 9</t>
  </si>
  <si>
    <t>Remembrance Of Things Past Ep08</t>
  </si>
  <si>
    <t>我在他乡挺好的 8</t>
  </si>
  <si>
    <t>Remembrance Of Things Past Ep07</t>
  </si>
  <si>
    <t>我在他乡挺好的 7</t>
  </si>
  <si>
    <t>Remembrance Of Things Past Ep06</t>
  </si>
  <si>
    <t>我在他乡挺好的 6</t>
  </si>
  <si>
    <t>Remembrance Of Things Past Ep05</t>
  </si>
  <si>
    <t>我在他乡挺好的 5</t>
  </si>
  <si>
    <t>Remembrance Of Things Past Ep04</t>
  </si>
  <si>
    <t>我在他乡挺好的 4</t>
  </si>
  <si>
    <t>Remembrance Of Things Past Ep03</t>
  </si>
  <si>
    <t>我在他乡挺好的 3</t>
  </si>
  <si>
    <t>Remembrance Of Things Past Ep02</t>
  </si>
  <si>
    <t>我在他乡挺好的 2</t>
  </si>
  <si>
    <t>Remembrance Of Things Past Ep01</t>
  </si>
  <si>
    <t>我在他乡挺好的 1</t>
  </si>
  <si>
    <t>Total Control S03E06</t>
  </si>
  <si>
    <t>An Indigenous woman in Australia is thrust into the political limelight.</t>
  </si>
  <si>
    <t>股掌之间 第三季 6</t>
  </si>
  <si>
    <t>艾历克斯凭借其土著女性的身份进入参议院，但她想做的不仅仅是一个政治噱头：她想有所作为。</t>
  </si>
  <si>
    <t>Total Control S03E05</t>
  </si>
  <si>
    <t>股掌之间 第三季 5</t>
  </si>
  <si>
    <t>Total Control S03E04</t>
  </si>
  <si>
    <t>股掌之间 第三季 4</t>
  </si>
  <si>
    <t>Total Control S03E03</t>
  </si>
  <si>
    <t>股掌之间 第三季 3</t>
  </si>
  <si>
    <t>Total Control S03E02</t>
  </si>
  <si>
    <t>股掌之间 第三季 2</t>
  </si>
  <si>
    <t>Total Control S03E01</t>
  </si>
  <si>
    <t>股掌之间 第三季 1</t>
  </si>
  <si>
    <t>Inspector Ellis Ep03</t>
  </si>
  <si>
    <t>DCI Ellis and DS Harper arrive at police stations to solve murder cases. Despite being overlooked, Ellis is a determined detective driven by a quest for justice and compassion.</t>
  </si>
  <si>
    <t>探长埃利斯 3</t>
  </si>
  <si>
    <t>探长埃利斯和助手哈珀帮助不同的警察分局解决棘手案件。尽管一直被忽视，但埃利斯始终意志坚定，胸怀正义和同情。</t>
  </si>
  <si>
    <t>Inspector Ellis Ep02</t>
  </si>
  <si>
    <t>探长埃利斯 2</t>
  </si>
  <si>
    <t>Inspector Ellis Ep01</t>
  </si>
  <si>
    <t>探长埃利斯 1</t>
  </si>
  <si>
    <t>Air Panorama International Outbound</t>
  </si>
  <si>
    <t>Air Panorama collects short videos from across the world that focus on people and events making headlines. The aim of the videos is to explore the small beauties in everyday life. The contents capture diverse topics ranging from business brands and charity work to travel, food and entertainment. Air Panorama is committed to creating meaningful and substantial in-flight cultural experience.</t>
  </si>
  <si>
    <t>Désolé, ce programme n'est pas disponible en français.</t>
  </si>
  <si>
    <t>空中博览3月国际去程</t>
  </si>
  <si>
    <t>《空中博览》全球热搜综合短视频集萃栏目。打造精品化短视频合集，将镜头对准时代下的人和物，探索与人们生活美好点滴，内容以热点性、文化性、多元性为特点，涵盖各界KOL、旅游、美食、娱乐、商业品牌、公益等，致力于打造有料、有情怀的飞行文化体验。</t>
  </si>
  <si>
    <t>Air Panorama International Inbound</t>
  </si>
  <si>
    <t>空中博览3月国际回程</t>
  </si>
  <si>
    <t>Air Panorama Domestic Outbound</t>
  </si>
  <si>
    <t>空中博览3月国内去程</t>
  </si>
  <si>
    <t>Air Panorama Domestic Inbound</t>
  </si>
  <si>
    <t>空中博览3月国内回程</t>
  </si>
  <si>
    <t>Quzhou, a City of Courtesy, Connecting to the Future</t>
  </si>
  <si>
    <t>In the western part of Zhejiang Province, there lies a city that exudes a unique charm. With profound heritage, it seamlessly integrates culture, nature, and cuisine. This is Quzhou, which warmly welcomes every guest from afar.</t>
  </si>
  <si>
    <t>衢州有礼，通达未来</t>
  </si>
  <si>
    <t>在浙江西部，有一座散发独特魅力，底蕴深厚且融合文化、自然与美食的城市——衢州，热情欢迎每一位远方来客。</t>
  </si>
  <si>
    <t>Charming Jiangsu S02E02</t>
  </si>
  <si>
    <t>Tell a good Chinese story that happened in Jiangsu.</t>
  </si>
  <si>
    <t>你所不知道的水韵江苏 第二季 2</t>
  </si>
  <si>
    <t>挖掘街区文旅资源，以街区文化故事为切入点，讲好发生在江苏大地的中国故事。</t>
  </si>
  <si>
    <t>Charming Jiangsu S02E01</t>
  </si>
  <si>
    <t>你所不知道的水韵江苏 第二季 1</t>
  </si>
  <si>
    <t>Beyond Travel: Traveling with the Waves through Switzerland and France</t>
  </si>
  <si>
    <t>Exploring the meaning of travel on the road.</t>
  </si>
  <si>
    <t>不止旅行 随波而至穿越瑞法</t>
  </si>
  <si>
    <t>在旅途中探寻旅行的意义。</t>
  </si>
  <si>
    <t>100 Places to Visit in This Lifetime 10 Lotus Flower</t>
  </si>
  <si>
    <t>With beautiful scenery, food, culture and life as the starting point, we will explore local scenery, experience local intangible cultural heritage projects and feel local customs and customs in the form of reality shows.</t>
  </si>
  <si>
    <t>此生要去的100个地方 10 荷花</t>
  </si>
  <si>
    <t>以美景、美食、文化、生活为原点出发，以真人秀的形式发掘各地风景、体验当地非遗项目、感受地方风土人情。</t>
  </si>
  <si>
    <t>100 Places to Visit in This Lifetime 9 Michelia Alba</t>
  </si>
  <si>
    <t>此生要去的100个地方 9 黄桷兰</t>
  </si>
  <si>
    <t>A Record of the City Suzhou</t>
  </si>
  <si>
    <t>Walk into the city, through the form of visits, documentary and other forms, show the myriad weather of Chinese modernization, highlight the city style and the new form of human civilization in the new era.</t>
  </si>
  <si>
    <t>城市风华录 苏州</t>
  </si>
  <si>
    <t>走进城市市井之间，通过探访、纪实等形式，展现中国式现代化的万千气象，彰显新时代宜居宜业的城市风貌和人类文明新形态。</t>
  </si>
  <si>
    <t>The Lijiang River 2 The Four Seasons</t>
  </si>
  <si>
    <t>As a typical representative of karst in South China, Guilin landscape has been selected as a World Natural Heritage site. It has abundant natural resources, rich human history, and a happy life for residents on both sides of the river. The millennium culture nourishes the land of Bagui.</t>
  </si>
  <si>
    <t>漓江 2 四季</t>
  </si>
  <si>
    <t>桂林山水作为中国南方喀斯特的典型代表被入选世界自然遗产，这里物产资源丰盛、人文历史丰厚，沿江两岸居民生活幸福，千年文脉滋养着八桂大地。</t>
  </si>
  <si>
    <t>Lili Ancient Town 3 The Appearance of Hometown</t>
  </si>
  <si>
    <t>Lili Ancient Town, as a spatial coordinate, traces the source and flow of Jiangnan water towns, tells the story of Jiangnan historical and cultural celebrities, the story of intangible cultural heritage inheritance, and the story of the integrated development of the Yangtze River Delta, and fully shows the unique regional spiritual characteristics and the light of The Times emanating from the economic development pattern of the new era.</t>
  </si>
  <si>
    <t>江南之黎里繁花 3 原乡图</t>
  </si>
  <si>
    <t>黎里古镇，作为空间坐标来回溯江南水乡的源与流，讲述江南历史文化名人故事、非物质文化遗产传承故事，以及长三角一体化发展的时代故事，全面展现独有的地域精神特质和新时代经济发展格局所散发的时代之光。</t>
  </si>
  <si>
    <t>Travel with Tang Poetry S02E03 Frontier Fortress Poems</t>
  </si>
  <si>
    <t>Follow the pace of Tang poets and immortal poems, go to the vast mountains and rivers of the motherland, find the scene of the birth of Tang poetry, feel the land of China, still vigorous poetry.</t>
  </si>
  <si>
    <t>跟着唐诗去旅行 第二季 3 出塞曲</t>
  </si>
  <si>
    <t>跟随唐代诗人和不朽诗歌的步伐，去往祖国广阔的山河，寻找唐诗诞生的现场，感受华夏大地之上，依然蓬勃的诗情。</t>
  </si>
  <si>
    <t>Human Memory - China's World Heritage Sites 76 Potala Palace Architectural Complex (Part 2)</t>
  </si>
  <si>
    <t>The Memory of Humanity - China's World Heritage is a TV project in the "National Cultural Memory and Inheritance" project of the Central Propaganda Department's "Chinese Excellent Traditional Culture Inheritance and Development Project". It is an overall inventory and systematic review of all current world heritage sites in China in the form of documentaries.</t>
  </si>
  <si>
    <t>人类的记忆—中国的世界遗产 76 布达拉宫建筑群（下）</t>
  </si>
  <si>
    <t>《人类的记忆——中国的世界遗产》是中宣部“中华优秀传统文化传承发展工程”十四五重点项目——“国家文化记忆和传承”中国的世界遗产记录传播项目中的电视项目，是用纪录片的形式对中国当前所有世界遗产进行的整体盘点和系统梳理。</t>
  </si>
  <si>
    <t>Human Memory - China's World Heritage Sites 75 Potala Palace Architectural Complex (Part 1)</t>
  </si>
  <si>
    <t>人类的记忆—中国的世界遗产 75 布达拉宫建筑群（上）</t>
  </si>
  <si>
    <t>Côte d'Ivoire, the African Melting Pot Ep02</t>
  </si>
  <si>
    <t>The Côte d'Ivoire is one of the most important states in West Africa, sharing borders with 5 countries, including Ghana, Mali, and Burkina Faso.</t>
  </si>
  <si>
    <t>科特迪瓦，非洲的大熔炉 2</t>
  </si>
  <si>
    <t>丰富的语言和民族，热情的庆祝活动和舞蹈展现了非洲十字路口的活力和丰富多彩的文化。</t>
  </si>
  <si>
    <t>Côte d'Ivoire, the African Melting Pot Ep01</t>
  </si>
  <si>
    <t>科特迪瓦，非洲的大熔炉 1</t>
  </si>
  <si>
    <t>Silk Road From Above Ep03</t>
  </si>
  <si>
    <t>The program retraces the legendary Silk Road from above.</t>
  </si>
  <si>
    <t>鸟瞰丝路 3</t>
  </si>
  <si>
    <t>本片以高空俯瞰视角重走从中国西安一路向西至意大利科莫地区的这条传奇之路。</t>
  </si>
  <si>
    <t>Silk Road From Above Ep02</t>
  </si>
  <si>
    <t>鸟瞰丝路 2</t>
  </si>
  <si>
    <t>The Garfield Show Ep12</t>
  </si>
  <si>
    <t>A lasagne-loving pussycat adventures and explores the differences between good and bad, and right and wrong.</t>
  </si>
  <si>
    <t>加菲猫的幸福生活 12</t>
  </si>
  <si>
    <t>超级活泼可爱的加菲猫回来啦！看起来好吃懒做的他也会有机会成为盖世英雄。</t>
  </si>
  <si>
    <t>The Garfield Show Ep11</t>
  </si>
  <si>
    <t>加菲猫的幸福生活 11</t>
  </si>
  <si>
    <t>If History Is a Group of Cats S01E08 Yi Yin Assisting in Governance</t>
  </si>
  <si>
    <t>Cats transform into historical figures and present five thousand years of Chinese history. "If History Is a Group of Cats" leads you into the fascinating world of history.</t>
  </si>
  <si>
    <t>如果历史是一群喵 第一季 8 伊尹辅政</t>
  </si>
  <si>
    <t>猫咪化身历史人物，演绎华夏上下五千年，《如果历史是一群喵》带您走进趣味历史世界。</t>
  </si>
  <si>
    <t>If History Is a Group of Cats S01E07 Shang Tang's Destruction of the Xia Dynasty</t>
  </si>
  <si>
    <t>如果历史是一群喵 第一季 7 商汤灭夏</t>
  </si>
  <si>
    <t>Jing-Ju Cats S02E17</t>
  </si>
  <si>
    <t>The first animation IP in China to combine elements of traditional Beijing Opera with animation, featuring cats as the main character and the essence of Chinese Peking Opera as the core.</t>
  </si>
  <si>
    <t>京剧猫之信念的冒险 17</t>
  </si>
  <si>
    <t>中国首部将传统文化中的京剧元素与动画相结合的动画IP，以猫为主角，以国粹京剧为核心。</t>
  </si>
  <si>
    <t>Boonie Bears Project Monster 2 (9-10)</t>
  </si>
  <si>
    <t>In order to maintain the harmony and peace of the forest and the safety of the animal partners, the thrilling and amusing battle for the energy stone fragments began.</t>
  </si>
  <si>
    <t>熊出没 怪兽计划2（9-10）</t>
  </si>
  <si>
    <t>为了维护森林的和谐安宁和动物伙伴们的安全，于是，惊险而逗趣的能量石碎片争夺战开始了。</t>
  </si>
  <si>
    <t>Legends of Mountains and Seas 9</t>
  </si>
  <si>
    <t>The animation is based on legends and historical books such as "Classic of Mountains and Seas", "Records of the Grand Historian(Shi Ji)", "Yue Jue Shu" and "History of the Later Han Dynasty", and chooses Da Yu as the protagonist, showing the persistent spirit of exploration of the ancestors of the Chinese nation.</t>
  </si>
  <si>
    <t>山海传奇 9</t>
  </si>
  <si>
    <t>动画片取材于《山海经》《史记》《越绝书》《后汉书》等神话传说及历史典籍，选取大禹为主角，呈现中华民族先民执着的探索精神。</t>
  </si>
  <si>
    <t>Tianzhen and Kung Fu Socks 47-48</t>
  </si>
  <si>
    <t>The ordinary girl suddenly found a strange sock in the washing machine at home, a talking sock! It's kungfu socks. Kungfu socks are actually kungfu masters from another world. Naively put kungfu socks on their feet, they can become superheroes - kungfu women heroes.</t>
  </si>
  <si>
    <t>天真与功夫袜 47-48</t>
  </si>
  <si>
    <t>平凡的女孩天真突然在家里的洗衣机里发现了一只奇怪的袜子，一只会说话的袜子！它就是功夫袜。功夫袜实际上是来自另一个世界的功夫大师。天真把功夫袜穿在自己的脚上，他们就可以变成超级英雄——功夫女侠。</t>
  </si>
  <si>
    <t>Chicky Rainbow Season 7 23-24</t>
  </si>
  <si>
    <t>In the vast blue sky, there is a large island of clouds, here is full of dreams and wonders. Red, orange, yellow, green, blue, blue, purple seven rainbow chicks live on this cloud island, they play together, explore together, and frolic together.</t>
  </si>
  <si>
    <t>小鸡彩虹 第七季 23-24</t>
  </si>
  <si>
    <t>在蔚蓝无垠的天空中，有一片大大的云岛，这里充满着梦幻奇妙。红橙黄绿青蓝紫七只彩虹里的小鸡就生活在这片云岛上，他们一起玩耍、一起探险、一起嬉闹。</t>
  </si>
  <si>
    <t>Happy Friends S02E10</t>
  </si>
  <si>
    <t>The friends participated in 12 "life themes" to tell more stories that belong to "home".</t>
  </si>
  <si>
    <t>快乐老友记 第二季 第10期</t>
  </si>
  <si>
    <t>老友们以“组团”的形式，参与12个不同的“生活主题”，讲述更多独属于“家”的故事。</t>
  </si>
  <si>
    <t>Happy Friends S02E09</t>
  </si>
  <si>
    <t>快乐老友记 第二季 第9期</t>
  </si>
  <si>
    <t>Happy Friends S02E07</t>
  </si>
  <si>
    <t>快乐老友记 第二季 第7期</t>
  </si>
  <si>
    <t>Happy Friends S02E06</t>
  </si>
  <si>
    <t>快乐老友记 第二季 第6期</t>
  </si>
  <si>
    <t>Chinese Flavour: Delicious Jingzhou (Part 2)</t>
  </si>
  <si>
    <t>"Chinese Flavour" is a food and culture TV series produced by CCTV-10 (science and education channel) as its signature show. The show's host, together with gourmets and food lovers, travel around China and the world to look for various foods and get to know the culture behind food. The audience can learn about different foods and interesting folk-customs.</t>
  </si>
  <si>
    <t>味道 美味荆州（下）</t>
  </si>
  <si>
    <t>《味道》是中央电视台科教频道精心打造的大型美食文化类系列节目，也是科教频道重点推广的品牌节目，内容围绕中国及世界各地的美食、及美食背后的风俗文化展开，由主持人（及美食家、美食爱好者）组成“味道调查团”，去到各地，以调查美食悬念任务为主要形式，向观众展现各异的饕餮美食，有趣的民风民俗。</t>
  </si>
  <si>
    <t>Chinese Flavour: Delicious Jingzhou (Part 1)</t>
  </si>
  <si>
    <t>味道 美味荆州（上）</t>
  </si>
  <si>
    <t>Exploring Civilization by Farming 2 Guangchang, Jiangxi Traditional Lotus Culture System</t>
  </si>
  <si>
    <t>Focusing on the conservation, inheritance, development, utilization and innovation achievements of China's important agricultural cultural heritage, exploring the Chinese nation's concept of sustainable development in accordance with the laws of nature from a global perspective, vividly presenting the genetic code of Chinese civilization carried by farming civilization, and showing how the ancient farming civilization develops and innovates through inheritance. It is a Chinese modernization story of harmonious coexistence between man and nature.</t>
  </si>
  <si>
    <t>农耕探文明 2 江西广昌 传统莲作文化系统</t>
  </si>
  <si>
    <t>聚焦我国重要农业文化遗产的保护传承、开发利用和创新成果，以全球化视野挖掘中华民族遵循自然规律的可持续发展理念，生动呈现农耕文明所承载的中华文明生生不息的基因密码，展现古老的农耕文明如何在传承中发展创新，书写人与自然和谐共生的中国式现代化故事。</t>
  </si>
  <si>
    <t>Peakedness Food Moment - Chinese and French Chef Competition - Idyllic Pastoral</t>
  </si>
  <si>
    <t>Explore Chinese and French cooking skills and food culture.</t>
  </si>
  <si>
    <t>巅峰食刻—中法厨王竞技 田园牧歌</t>
  </si>
  <si>
    <t>探寻中法两国烹饪技艺与饮食文化。</t>
  </si>
  <si>
    <t>Three Meals and Four Seasons 20240721</t>
  </si>
  <si>
    <t>Show the local unique food and local customs, present the hot social life in the new era and the myriad weather of Chinese modernization.</t>
  </si>
  <si>
    <t>三餐四季 20240721</t>
  </si>
  <si>
    <t>展现地方独特美食和风土人情，呈现各地新时代火热的社会生活面貌和中国式现代化的万千气象。</t>
  </si>
  <si>
    <t>A Home among Mountains and Rivers Season 3 20240929</t>
  </si>
  <si>
    <t>Lead the audience to immerse themselves in rural production and life, visit the beautiful transformations between the mountains and rivers from the first perspective, and record the magnificent picture of rural revitalization.</t>
  </si>
  <si>
    <t>山水间的家 第三季 20240929</t>
  </si>
  <si>
    <t>带领观众沉浸式体验乡村生产生活，以第一视角探访山水间的美丽蝶变，记录乡村振兴壮美画卷。</t>
  </si>
  <si>
    <t>Legends of the Fork Ep02</t>
  </si>
  <si>
    <t>Unscripted and authentic, this cross-country journey uses food as the lens to bring history to life. There's a story in every bite.</t>
  </si>
  <si>
    <t>美食传奇 2</t>
  </si>
  <si>
    <t>以食物为镜头，将过往记忆带入生活，每一口美味都有一个故事。</t>
  </si>
  <si>
    <t>Legends of the Fork Ep01</t>
  </si>
  <si>
    <t>美食传奇 1</t>
  </si>
  <si>
    <t>Sort Your Life Out S03E02</t>
  </si>
  <si>
    <t>Stacey Solomon and her team of experts help makeover Britain's cluttered homes.</t>
  </si>
  <si>
    <t>居家断舍离 第三季 2</t>
  </si>
  <si>
    <t>斯泰西·所罗门和她的专家团队来帮人整理房间。房主的物品都将被安置到一个仓库，斯泰西和专家们根据房主的生活习惯对它们进行筛选。经过一番断舍离后的新家会是什么样呢？我们拭目以待。</t>
  </si>
  <si>
    <t>Sort Your Life Out S03E01</t>
  </si>
  <si>
    <t>居家断舍离 第三季 1</t>
  </si>
  <si>
    <t>World's Most Secret Hotels Ep02</t>
  </si>
  <si>
    <t>This enchanting series goes behind-the-scenes of the world's most remote hotels.</t>
  </si>
  <si>
    <t>宝藏酒店度假地 2</t>
  </si>
  <si>
    <t>探索壮观空间和精心设计的度假胜地，从水下度假胜地和偏远的沙漠小屋，令人心动的旅程即将开始。</t>
  </si>
  <si>
    <t>Jamie Cooks the Mediterranean Ep04</t>
  </si>
  <si>
    <t>Follow Jamie as he travels around the Mediterranean, soaking up inspiration to create delicious new recipes that bring the taste of holidays home.</t>
  </si>
  <si>
    <t>地中海的美食路 4</t>
  </si>
  <si>
    <t>跟随名厨杰米在地中海旅行，汲取独特文化的灵感，创造美味的新食谱，把假期的味道带回家。</t>
  </si>
  <si>
    <t>Jamie Cooks the Mediterranean Ep03</t>
  </si>
  <si>
    <t>地中海的美食路 3</t>
  </si>
  <si>
    <t>Ping Pong ITTF Singles World Cup Semi-Final: Wang Chuqin VS Ma Long</t>
  </si>
  <si>
    <t>The semi-finals of the 2024 ITTF Singles World Cup were contested, with Ma Long beating Wang Chuqin 4-0 to advance to the final.</t>
  </si>
  <si>
    <t>乒乓球 国际乒联单打世界杯半决赛：王楚钦VS马龙</t>
  </si>
  <si>
    <t>2024年国际乒联单打世界杯半决赛展开争夺，马龙4-0战胜王楚钦，晋级决赛。</t>
  </si>
  <si>
    <t>Badminton World Tour Finals Women's Singles Final: Han Yue VS Wang Zhiyi</t>
  </si>
  <si>
    <t>The women's singles final of 2024 BWF World Tour Finals was contested, and Wang Zhiyi defeated Han Yue 2-1 to win the championship.</t>
  </si>
  <si>
    <t>羽毛球 世界巡回赛总决赛女单决赛：韩悦VS王祉怡</t>
  </si>
  <si>
    <t>2024年世界羽联世界巡回赛总决赛女单决赛展开争夺，王祉怡2-1战胜韩悦，获得冠军。</t>
  </si>
  <si>
    <t>Total Soccer: Lamine Yamal - Youth Has No Limits</t>
  </si>
  <si>
    <t>A column focusing on reporting the latest events and news in international football.</t>
  </si>
  <si>
    <t>天下足球 亚马尔：青春无极限</t>
  </si>
  <si>
    <t>一个以报道国际足坛最新赛事和新闻为主的栏目。</t>
  </si>
  <si>
    <t>Total Soccer: Bellingham - Breaking Through the "Rookie Wall"</t>
  </si>
  <si>
    <t>天下足球 贝林厄姆：撞开“新秀墙”</t>
  </si>
  <si>
    <t>Basketball Park: A City, A Team, A Coach - Liu Weiwei</t>
  </si>
  <si>
    <t>Basketball themed sports programs, covering entertainment basketball, NBA basketball, world basketball, etc.</t>
  </si>
  <si>
    <t>篮球公园 一城一队一帅——刘维伟</t>
  </si>
  <si>
    <t>以篮球为主题的体育节目，节目内容涵盖娱乐篮球、NBA篮球、世界篮球等。</t>
  </si>
  <si>
    <t>Basketball Park: Relive the "Maddie Moment"</t>
  </si>
  <si>
    <t>篮球公园 重温“麦迪时刻”</t>
  </si>
  <si>
    <t>Bayern Munich: Rise of a Legend Ep01</t>
  </si>
  <si>
    <t>An uplifting drama of ambition, success, friendship and rivalry during the golden era of FC Bayern Munich.</t>
  </si>
  <si>
    <t>拜仁慕尼黑：传奇崛起 1</t>
  </si>
  <si>
    <t>在拜仁慕尼黑足球俱乐部的黄金时代，精彩故事层出不穷，历代传奇人物的故事造就了拜仁慕尼黑从默默无闻到传奇的转变。</t>
  </si>
  <si>
    <t>FIBA World Basketball Ep04</t>
  </si>
  <si>
    <t>The very best basketball action, news and results from the world over, every week.</t>
  </si>
  <si>
    <t>国际篮联赛事集锦 4</t>
  </si>
  <si>
    <t>最全面的国际篮联全球赛事信息，更多内幕球员访谈，尽在本片。</t>
  </si>
  <si>
    <t>How Good Is Golf Ep04</t>
  </si>
  <si>
    <t>A premium high end golf/lifestyle program and it has a bit of everything including rounds with celebrities, instructional tips, travel and features exploration of Australia's most beautiful golf courses.</t>
  </si>
  <si>
    <t>燃情竞技高尔夫 4</t>
  </si>
  <si>
    <t>跟随前职业高尔夫巡回赛球员，从职业赛事到技术训练，走入火热的竞技世界。</t>
  </si>
  <si>
    <t>The Greatest of All Time Ep06</t>
  </si>
  <si>
    <t>It pays tributes to the greatest athletes of all time.</t>
  </si>
  <si>
    <t>体坛最极致 6</t>
  </si>
  <si>
    <t>盘点体坛史上那些最极致的传奇和纪录，各种运动项目的王者之选尽在本片。</t>
  </si>
  <si>
    <t>Brilliant Corners S03E05</t>
  </si>
  <si>
    <t>Brilliant Corners is an adventure activism series about surfing and surf communities in some of the most exciting and unusual locations on the planet.</t>
  </si>
  <si>
    <t>完美冲浪地 第三季 5</t>
  </si>
  <si>
    <t>跟随长板冠军挑战非洲的冲浪胜地。</t>
  </si>
  <si>
    <t>Go Fighting S10E02</t>
  </si>
  <si>
    <t>It leads the audience to explore the magnificent rivers and mountains of the motherland.</t>
  </si>
  <si>
    <t>极限挑战 第十季 2</t>
  </si>
  <si>
    <t>“极挑团”走遍中华大地，带领观众一起探索祖国的壮丽河山。</t>
  </si>
  <si>
    <t>Go Fighting S10E01</t>
  </si>
  <si>
    <t>极限挑战 第十季 1</t>
  </si>
  <si>
    <t>Super Sketch Show S01E06</t>
  </si>
  <si>
    <t>Original comedy variety show.</t>
  </si>
  <si>
    <t>一年一度喜剧大赛 第一季 6</t>
  </si>
  <si>
    <t>原创喜剧竞演综艺。</t>
  </si>
  <si>
    <t>Super Sketch Show S01E05</t>
  </si>
  <si>
    <t>一年一度喜剧大赛 第一季 5</t>
  </si>
  <si>
    <t>Super Sketch Show S01E04</t>
  </si>
  <si>
    <t>一年一度喜剧大赛 第一季 4</t>
  </si>
  <si>
    <t>Avenue of Stars: Game 1 of the 2024 Finals</t>
  </si>
  <si>
    <t>To provide a stage for ordinary workers from all over the country and in various industries to sing and showcase themselves.</t>
  </si>
  <si>
    <t>星光大道 2024年度总决赛第一场分赛</t>
  </si>
  <si>
    <t>为全国各地，各行各业的普通劳动者提供一个放声歌唱，展现自我的舞台。</t>
  </si>
  <si>
    <t>Open the Door and Be Happy 20241125</t>
  </si>
  <si>
    <t>The program encourages ordinary people to realize their family dreams through games, excavates and shows the brilliance of ordinary people's humanity through various artistic methods, and resonates with the audience emotionally.</t>
  </si>
  <si>
    <t>开门大吉 20241125</t>
  </si>
  <si>
    <t>节目鼓励普通人通过游戏闯关的方式实现自己的家庭梦想，通过多种艺术方法挖掘、展现普通人的人性光辉，和观众进行情感共鸣。</t>
  </si>
  <si>
    <t>Open the Door and Be Happy 20241118</t>
  </si>
  <si>
    <t>开门大吉 20241118</t>
  </si>
  <si>
    <t>Time Concert·Old Friends Ep08</t>
  </si>
  <si>
    <t>Singers use music to connect emotional stories and awaken common memories of The Times.</t>
  </si>
  <si>
    <t>时光音乐会·老友记 8</t>
  </si>
  <si>
    <t>节目邀请一众时光家族成员入驻“时光之家”，歌手们用音乐串联情感故事，唤醒时代的共同记忆。</t>
  </si>
  <si>
    <t>Time Concert·Old Friends Ep07</t>
  </si>
  <si>
    <t>时光音乐会·老友记 7</t>
  </si>
  <si>
    <t>Time Concert·Old Friends Ep06</t>
  </si>
  <si>
    <t>时光音乐会·老友记 6</t>
  </si>
  <si>
    <t>Time Concert·Old Friends Ep05</t>
  </si>
  <si>
    <t>时光音乐会·老友记 5</t>
  </si>
  <si>
    <t>Hi! AI - Music Season 20240802</t>
  </si>
  <si>
    <t>Show the interest and achievements in the cooperation between human and artificial intelligence, and create a new form of experimental variety with both thinking and aftertaste.</t>
  </si>
  <si>
    <t>嗨！AI-音乐季 20240802</t>
  </si>
  <si>
    <t>展示人与人工智能相处合作中的趣味和成就，打造思考与回味兼具的新形态实验综艺。</t>
  </si>
  <si>
    <t>Wonderful Music Collection: My Love Says to You 20241215</t>
  </si>
  <si>
    <t>Wonderful Music Collection is an editorial comprehensive music show by CCTV-15 Music Channel, which compiles the best classic songs and the most popular hits.</t>
  </si>
  <si>
    <t>精彩音乐汇 我的爱对你说 20241215</t>
  </si>
  <si>
    <t>《精彩音乐汇》是CCTV-15音乐频道一档编辑性综合音乐类节目。汇聚最好听的经典老歌，网罗最热门的流行金曲。</t>
  </si>
  <si>
    <t>China Before China Ep07</t>
  </si>
  <si>
    <t>The story of the formation of the Chinese nation and the creation of Chinese civilization. Best Series Documentary of The 29th Shanghai TV Festival Magnolia Awards.</t>
  </si>
  <si>
    <t>何以中国 7</t>
  </si>
  <si>
    <t>多元一体中华民族的形成和中华文明创生的故事，以影像溯源历史、寻脉中华。第29届上海电视节白玉兰奖 纪录片 最佳系列纪录片。</t>
  </si>
  <si>
    <t>The Villages in China Ep06</t>
  </si>
  <si>
    <t>The "little people" and "little stories" that happen in the village.</t>
  </si>
  <si>
    <t>中国村落 6</t>
  </si>
  <si>
    <t>通过纪实手法讲述发生在村落里的“小人物”“小故事”，传递出深埋在乡土间的脉脉温情。</t>
  </si>
  <si>
    <t>National Backbone 2 Mission</t>
  </si>
  <si>
    <t>With scientists as the core of the characters and major events as the historical clues, it tells the story of Chinese scientists who have been striving to serve the country since modern times, and connects the brilliant history of China's science and technology cause with one story after another.</t>
  </si>
  <si>
    <t>大国脊梁 2 使命</t>
  </si>
  <si>
    <t>以科学家为人物核心，以重大事件为历史线索，讲述近代以来，矢志报国的中国科学家们砥砺奋斗的故事，用一个个故事，串联起中国科技事业的辉煌历史。</t>
  </si>
  <si>
    <t>National Backbone 1 Original Intention</t>
  </si>
  <si>
    <t>大国脊梁 1 初心</t>
  </si>
  <si>
    <t>Poetry and Painting in China: Rivers Flow Through the Ages 20240706</t>
  </si>
  <si>
    <t>With the river culture of the motherland as the clue, poetry and painting as the carrier, in the process of exploring the development track and spiritual vein of Chinese culture, drawing a new picture of "modern civilization".</t>
  </si>
  <si>
    <t>诗画中国 江河万古流 20240706</t>
  </si>
  <si>
    <t>以祖国的江河文脉为线索，以诗画为载体，在探寻中国文化发展轨迹和精神脉络的过程中，绘就“现代文明”的崭新画卷。</t>
  </si>
  <si>
    <t>The Colours of China Ep05</t>
  </si>
  <si>
    <t>Show the unique charm of Chinese nature and humanity through five colors.</t>
  </si>
  <si>
    <t>色彩中国 5</t>
  </si>
  <si>
    <t>该片通过五种颜色展示中华自然人文的独特魅力。</t>
  </si>
  <si>
    <t>The Colours of China Ep04</t>
  </si>
  <si>
    <t>色彩中国 4</t>
  </si>
  <si>
    <t>Wonderful Navigation</t>
  </si>
  <si>
    <t>Enjoy your dream flight with our superb collection of audio-visual entertaining content. Welcome aboard this Air China flight. This month, we are offering a wide variety of Chinese and international drama series, documentaries on Chinese and Western culture and the hottest sports programs. In addition to those, we also have comedy, travel shows and children's programs in store that are hand-tailored to your taste. Relax and enjoy your flight!</t>
  </si>
  <si>
    <t>精彩导航</t>
  </si>
  <si>
    <t>梦幻视听，乐享飞行。欢迎您搭乘中国国际航空公司的航班。本月国航为您汇聚了丰富多样的中外剧集，品味中西文化的纪录节目和最时尚的体育节目。此外，我们还准备了幽默、旅游、儿童等类型的节目，让您放松心情，享受飞行。</t>
  </si>
  <si>
    <t>Dream Telepathy</t>
  </si>
  <si>
    <t>梦境感应</t>
  </si>
  <si>
    <t>Cicada</t>
  </si>
  <si>
    <t>野乌翅</t>
  </si>
  <si>
    <t>Dedication to the Night</t>
  </si>
  <si>
    <t>黑夜的献诗</t>
  </si>
  <si>
    <t>More Precious Than Gold</t>
  </si>
  <si>
    <t>比黄金更珍贵</t>
  </si>
  <si>
    <t>Fire</t>
  </si>
  <si>
    <t>燃</t>
  </si>
  <si>
    <t>Licorice</t>
  </si>
  <si>
    <t>甘草</t>
  </si>
  <si>
    <t>Get Off My Back（Dance Version）</t>
  </si>
  <si>
    <t>不完美女生（舞蹈版）</t>
  </si>
  <si>
    <t>Aria of Peach</t>
  </si>
  <si>
    <t>桃子的咏叹</t>
  </si>
  <si>
    <t>Honey (Melt version)</t>
  </si>
  <si>
    <t>蜂蜜（融化版）</t>
  </si>
  <si>
    <t>Long Day's Journey into Night</t>
  </si>
  <si>
    <t>地球最后的夜晚</t>
  </si>
  <si>
    <t>Jiao Yuan Cha Fang (Song for the 10th Anniversary of PlayStation China)</t>
  </si>
  <si>
    <t>角圆叉方（PlayStation中国十周年纪念曲）</t>
  </si>
  <si>
    <t>Do Not Answer</t>
  </si>
  <si>
    <t>不要回答</t>
  </si>
  <si>
    <t>Lingering Snow on the Broken Bridge</t>
  </si>
  <si>
    <t>断桥残雪</t>
  </si>
  <si>
    <t>Winter Trees</t>
  </si>
  <si>
    <t>冬天的树</t>
  </si>
  <si>
    <t>Take Me Home</t>
  </si>
  <si>
    <t>带我回家</t>
  </si>
  <si>
    <t>C Major / Initial</t>
  </si>
  <si>
    <t>C大调 / 最初C</t>
  </si>
  <si>
    <t>Do "healthy fat people" really exist?</t>
  </si>
  <si>
    <t>“健康的胖子”真的存在吗？</t>
  </si>
  <si>
    <t>What can fire do for a Chinese medicine practitioner?</t>
  </si>
  <si>
    <t>一把火，在中医手里可以做什么？</t>
  </si>
  <si>
    <t>Weight loss: moderate rather than rapid, stable rather than passive</t>
  </si>
  <si>
    <t>减轻体重：要温和不要极速，要稳定不要被动</t>
  </si>
  <si>
    <t>Vitamin D is best taken in the morning</t>
  </si>
  <si>
    <t>补充维生素D，早上最好</t>
  </si>
  <si>
    <t>My paper airplane flew into Tsinghua University</t>
  </si>
  <si>
    <t>我的纸飞机飞进清华园</t>
  </si>
  <si>
    <t>What are the most effective ways to resolve conflicts with roommates?</t>
  </si>
  <si>
    <t>当和室友出现矛盾时，哪些方法能有效解决？</t>
  </si>
  <si>
    <t>One-minute review: "People's Famous Doctors" entered the special session of Tsinghua University</t>
  </si>
  <si>
    <t>一分钟回顾：《人民名医》进清华特别专场</t>
  </si>
  <si>
    <t>Can obesity lead to various diseases? Be the first responsible person for your own health</t>
  </si>
  <si>
    <t>肥胖竟能引发多种疾病？做自己的健康第一责任人</t>
  </si>
  <si>
    <t>Weight loss = a big challenge for mentality</t>
  </si>
  <si>
    <t>减重=心态大挑战</t>
  </si>
  <si>
    <t>Firm your waist and abdomen with the Olympic champion</t>
  </si>
  <si>
    <t>跟着奥运冠军一起紧致腰腹</t>
  </si>
  <si>
    <t>There's just too much to see! Experience the charm of traditional Chinese medicine at the night market in Nanchuan, Chongqing.</t>
  </si>
  <si>
    <t>根本逛不过来！重庆南川夜市里感受中医药魅力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</si>
</sst>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General"/>
  </numFmts>
  <fonts count="34">
    <font>
      <sz val="11"/>
      <color theme="1"/>
      <name val="宋体"/>
      <charset val="134"/>
      <scheme val="minor"/>
    </font>
    <font>
      <sz val="10"/>
      <color theme="1"/>
      <name val="Arial"/>
      <charset val="134"/>
    </font>
    <font>
      <sz val="10"/>
      <name val="Arial"/>
      <charset val="134"/>
    </font>
    <font>
      <b/>
      <sz val="10"/>
      <color theme="1"/>
      <name val="Arial"/>
      <charset val="134"/>
    </font>
    <font>
      <b/>
      <sz val="10"/>
      <name val="Arial"/>
      <charset val="134"/>
    </font>
    <font>
      <sz val="10"/>
      <color theme="1"/>
      <name val="宋体"/>
      <charset val="134"/>
    </font>
    <font>
      <sz val="10"/>
      <color theme="1"/>
      <name val="宋体"/>
      <charset val="134"/>
      <scheme val="major"/>
    </font>
    <font>
      <sz val="10"/>
      <color theme="1"/>
      <name val="宋体"/>
      <charset val="134"/>
      <scheme val="minor"/>
    </font>
    <font>
      <sz val="10"/>
      <name val="宋体"/>
      <charset val="134"/>
      <scheme val="minor"/>
    </font>
    <font>
      <sz val="10"/>
      <name val="宋体"/>
      <charset val="134"/>
    </font>
    <font>
      <b/>
      <sz val="12"/>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Verdana"/>
      <charset val="134"/>
    </font>
    <font>
      <sz val="12"/>
      <name val="Times New Roman"/>
      <charset val="134"/>
    </font>
    <font>
      <sz val="10"/>
      <name val="MS Gothic"/>
      <charset val="134"/>
    </font>
  </fonts>
  <fills count="36">
    <fill>
      <patternFill patternType="none"/>
    </fill>
    <fill>
      <patternFill patternType="gray125"/>
    </fill>
    <fill>
      <patternFill patternType="solid">
        <fgColor theme="0" tint="-0.25"/>
        <bgColor indexed="64"/>
      </patternFill>
    </fill>
    <fill>
      <patternFill patternType="solid">
        <fgColor rgb="FFFFFF00"/>
        <bgColor indexed="64"/>
      </patternFill>
    </fill>
    <fill>
      <patternFill patternType="solid">
        <fgColor rgb="FFD883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6" borderId="8" applyNumberFormat="0" applyAlignment="0" applyProtection="0">
      <alignment vertical="center"/>
    </xf>
    <xf numFmtId="0" fontId="21" fillId="7" borderId="9" applyNumberFormat="0" applyAlignment="0" applyProtection="0">
      <alignment vertical="center"/>
    </xf>
    <xf numFmtId="0" fontId="22" fillId="7" borderId="8" applyNumberFormat="0" applyAlignment="0" applyProtection="0">
      <alignment vertical="center"/>
    </xf>
    <xf numFmtId="0" fontId="23" fillId="8"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 fillId="0" borderId="0"/>
    <xf numFmtId="0" fontId="31" fillId="0" borderId="0" applyNumberFormat="0" applyFill="0" applyBorder="0" applyProtection="0">
      <alignment vertical="top" wrapText="1"/>
    </xf>
    <xf numFmtId="0" fontId="0" fillId="0" borderId="0" applyBorder="0">
      <alignment vertical="center"/>
    </xf>
    <xf numFmtId="0" fontId="32" fillId="0" borderId="0">
      <alignment vertical="center"/>
    </xf>
  </cellStyleXfs>
  <cellXfs count="63">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 fillId="0" borderId="1" xfId="0" applyNumberFormat="1" applyFont="1" applyBorder="1" applyAlignment="1">
      <alignment horizontal="center" vertical="center"/>
    </xf>
    <xf numFmtId="0" fontId="1" fillId="0" borderId="1" xfId="0" applyNumberFormat="1" applyFont="1" applyBorder="1" applyAlignment="1">
      <alignment horizontal="left" vertical="center"/>
    </xf>
    <xf numFmtId="0" fontId="5" fillId="0" borderId="1" xfId="0" applyFont="1" applyBorder="1" applyAlignment="1">
      <alignment horizontal="center" vertical="center"/>
    </xf>
    <xf numFmtId="0" fontId="2" fillId="0" borderId="1" xfId="0" applyNumberFormat="1" applyFont="1" applyFill="1" applyBorder="1" applyAlignment="1">
      <alignment horizontal="left" vertical="center"/>
    </xf>
    <xf numFmtId="0" fontId="1" fillId="0" borderId="1" xfId="0" applyFont="1" applyBorder="1" applyAlignment="1">
      <alignment horizontal="center" vertical="center"/>
    </xf>
    <xf numFmtId="0" fontId="6" fillId="0" borderId="1" xfId="0" applyNumberFormat="1" applyFont="1" applyFill="1" applyBorder="1" applyAlignment="1">
      <alignment horizontal="left" vertical="center"/>
    </xf>
    <xf numFmtId="0" fontId="1" fillId="0" borderId="0" xfId="0" applyNumberFormat="1" applyFont="1">
      <alignment vertical="center"/>
    </xf>
    <xf numFmtId="0" fontId="1" fillId="0" borderId="0" xfId="0" applyFont="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xf>
    <xf numFmtId="0" fontId="5" fillId="0" borderId="1" xfId="0"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left" vertical="center"/>
    </xf>
    <xf numFmtId="0" fontId="5"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left" vertical="center" wrapText="1"/>
    </xf>
    <xf numFmtId="0" fontId="2" fillId="3" borderId="1" xfId="0" applyNumberFormat="1"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4" xfId="0" applyFont="1" applyFill="1" applyBorder="1" applyAlignment="1">
      <alignment horizontal="left" vertical="center"/>
    </xf>
    <xf numFmtId="0" fontId="5" fillId="4" borderId="1" xfId="0" applyFont="1" applyFill="1" applyBorder="1" applyAlignment="1">
      <alignment horizontal="center" vertical="center"/>
    </xf>
    <xf numFmtId="176" fontId="2"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0" fontId="7" fillId="3"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3" fillId="0" borderId="0" xfId="0" applyFont="1">
      <alignment vertical="center"/>
    </xf>
    <xf numFmtId="0" fontId="1" fillId="0" borderId="0" xfId="0" applyFont="1" applyAlignment="1">
      <alignment horizontal="left" vertical="center"/>
    </xf>
    <xf numFmtId="0" fontId="1" fillId="0" borderId="2" xfId="0" applyFont="1" applyBorder="1" applyAlignment="1">
      <alignment horizontal="center" vertical="center"/>
    </xf>
    <xf numFmtId="0" fontId="5" fillId="0" borderId="2" xfId="0" applyFont="1" applyBorder="1" applyAlignment="1">
      <alignment horizontal="center" vertical="center"/>
    </xf>
    <xf numFmtId="1" fontId="1" fillId="0" borderId="1" xfId="0" applyNumberFormat="1" applyFont="1" applyFill="1" applyBorder="1" applyAlignment="1">
      <alignment horizontal="left" vertical="center"/>
    </xf>
    <xf numFmtId="0" fontId="1" fillId="0" borderId="1" xfId="0" applyNumberFormat="1" applyFont="1" applyFill="1" applyBorder="1" applyAlignment="1">
      <alignment horizontal="left" vertical="center"/>
    </xf>
    <xf numFmtId="0" fontId="1" fillId="0" borderId="3"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7" fillId="0" borderId="1" xfId="0" applyNumberFormat="1" applyFont="1" applyFill="1" applyBorder="1" applyAlignment="1">
      <alignment horizontal="left" vertical="center"/>
    </xf>
    <xf numFmtId="1" fontId="7" fillId="0" borderId="1" xfId="0" applyNumberFormat="1" applyFont="1" applyFill="1" applyBorder="1" applyAlignment="1">
      <alignment horizontal="left" vertical="center"/>
    </xf>
    <xf numFmtId="1" fontId="7"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0" fontId="9" fillId="0" borderId="1" xfId="0" applyNumberFormat="1" applyFont="1" applyFill="1" applyBorder="1" applyAlignment="1">
      <alignment horizontal="left" vertical="center"/>
    </xf>
    <xf numFmtId="0" fontId="1" fillId="0" borderId="4" xfId="0" applyFont="1" applyBorder="1" applyAlignment="1">
      <alignment horizontal="center" vertical="center"/>
    </xf>
    <xf numFmtId="0" fontId="5" fillId="0" borderId="4" xfId="0" applyFont="1" applyBorder="1" applyAlignment="1">
      <alignment horizontal="center" vertical="center"/>
    </xf>
    <xf numFmtId="0" fontId="8" fillId="0" borderId="1" xfId="0" applyNumberFormat="1" applyFont="1" applyFill="1" applyBorder="1" applyAlignment="1">
      <alignment horizontal="left" vertical="center"/>
    </xf>
    <xf numFmtId="0" fontId="9" fillId="0" borderId="1" xfId="0" applyNumberFormat="1" applyFont="1" applyFill="1" applyBorder="1" applyAlignment="1">
      <alignment horizontal="left" vertical="center" wrapText="1"/>
    </xf>
    <xf numFmtId="176"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NumberFormat="1" applyFont="1" applyBorder="1" applyAlignment="1">
      <alignment horizontal="left" vertical="center" wrapText="1"/>
    </xf>
    <xf numFmtId="0"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7" fillId="0" borderId="1" xfId="0" applyNumberFormat="1" applyFont="1" applyBorder="1" applyAlignment="1">
      <alignment horizontal="left" vertical="center" wrapText="1"/>
    </xf>
    <xf numFmtId="0" fontId="10"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176" fontId="11" fillId="0" borderId="1" xfId="0" applyNumberFormat="1" applyFont="1" applyFill="1" applyBorder="1" applyAlignment="1">
      <alignmen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AFE 2" xfId="49"/>
    <cellStyle name="常规 2" xfId="50"/>
    <cellStyle name="常规 5" xfId="51"/>
    <cellStyle name="常规 32" xfId="52"/>
  </cellStyles>
  <tableStyles count="0" defaultTableStyle="TableStyleMedium2" defaultPivotStyle="PivotStyleLight16"/>
  <colors>
    <mruColors>
      <color rgb="00D883FF"/>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14"/>
  <sheetViews>
    <sheetView workbookViewId="0">
      <selection activeCell="B8" sqref="B8"/>
    </sheetView>
  </sheetViews>
  <sheetFormatPr defaultColWidth="9" defaultRowHeight="13.5" outlineLevelCol="3"/>
  <cols>
    <col min="1" max="1" width="10.25" customWidth="1"/>
    <col min="2" max="2" width="55.375" customWidth="1"/>
    <col min="3" max="3" width="13.5" customWidth="1"/>
    <col min="4" max="4" width="12.5" customWidth="1"/>
  </cols>
  <sheetData>
    <row r="1" ht="20" customHeight="1" spans="1:4">
      <c r="A1" s="59" t="s">
        <v>0</v>
      </c>
      <c r="B1" s="59" t="s">
        <v>1</v>
      </c>
      <c r="C1" s="59" t="s">
        <v>2</v>
      </c>
      <c r="D1" s="59" t="s">
        <v>3</v>
      </c>
    </row>
    <row r="2" ht="20" customHeight="1" spans="1:4">
      <c r="A2" s="60" t="s">
        <v>4</v>
      </c>
      <c r="B2" s="60" t="s">
        <v>5</v>
      </c>
      <c r="C2" s="60" t="s">
        <v>6</v>
      </c>
      <c r="D2" s="60" t="s">
        <v>7</v>
      </c>
    </row>
    <row r="3" ht="48" customHeight="1" spans="1:4">
      <c r="A3" s="60" t="s">
        <v>8</v>
      </c>
      <c r="B3" s="61" t="s">
        <v>9</v>
      </c>
      <c r="C3" s="60" t="s">
        <v>6</v>
      </c>
      <c r="D3" s="60" t="s">
        <v>10</v>
      </c>
    </row>
    <row r="4" ht="97" customHeight="1" spans="1:4">
      <c r="A4" s="60" t="s">
        <v>11</v>
      </c>
      <c r="B4" s="61" t="s">
        <v>12</v>
      </c>
      <c r="C4" s="60" t="s">
        <v>6</v>
      </c>
      <c r="D4" s="60" t="s">
        <v>13</v>
      </c>
    </row>
    <row r="5" ht="42" customHeight="1" spans="1:4">
      <c r="A5" s="60" t="s">
        <v>14</v>
      </c>
      <c r="B5" s="62" t="s">
        <v>15</v>
      </c>
      <c r="C5" s="60" t="s">
        <v>6</v>
      </c>
      <c r="D5" s="60" t="s">
        <v>16</v>
      </c>
    </row>
    <row r="6" ht="57" customHeight="1" spans="1:4">
      <c r="A6" s="60" t="s">
        <v>17</v>
      </c>
      <c r="B6" s="61"/>
      <c r="C6" s="60"/>
      <c r="D6" s="60"/>
    </row>
    <row r="7" ht="42" customHeight="1" spans="1:4">
      <c r="A7" s="60" t="s">
        <v>18</v>
      </c>
      <c r="B7" s="61"/>
      <c r="C7" s="60"/>
      <c r="D7" s="60"/>
    </row>
    <row r="8" ht="36" customHeight="1" spans="1:4">
      <c r="A8" s="60" t="s">
        <v>19</v>
      </c>
      <c r="B8" s="61"/>
      <c r="C8" s="60"/>
      <c r="D8" s="60"/>
    </row>
    <row r="9" ht="44" customHeight="1" spans="1:4">
      <c r="A9" s="60" t="s">
        <v>20</v>
      </c>
      <c r="B9" s="61"/>
      <c r="C9" s="60"/>
      <c r="D9" s="60"/>
    </row>
    <row r="10" ht="20" customHeight="1" spans="1:4">
      <c r="A10" s="60"/>
      <c r="B10" s="60"/>
      <c r="C10" s="60"/>
      <c r="D10" s="60"/>
    </row>
    <row r="11" ht="20" customHeight="1"/>
    <row r="12" ht="20" customHeight="1"/>
    <row r="13" ht="20" customHeight="1"/>
    <row r="14" ht="20"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K71"/>
  <sheetViews>
    <sheetView workbookViewId="0">
      <pane ySplit="1" topLeftCell="A2" activePane="bottomLeft" state="frozen"/>
      <selection/>
      <selection pane="bottomLeft" activeCell="G6" sqref="G6"/>
    </sheetView>
  </sheetViews>
  <sheetFormatPr defaultColWidth="9" defaultRowHeight="12.75"/>
  <cols>
    <col min="1" max="1" width="5" style="2" customWidth="1"/>
    <col min="2" max="2" width="20.7" style="2" customWidth="1"/>
    <col min="3" max="3" width="12.125" style="2" customWidth="1"/>
    <col min="4" max="4" width="29.125" style="36" customWidth="1"/>
    <col min="5" max="5" width="21.5" style="36" customWidth="1"/>
    <col min="6" max="6" width="43.875" style="36" customWidth="1"/>
    <col min="7" max="7" width="97.625" style="4" customWidth="1"/>
    <col min="8" max="11" width="9" style="2"/>
    <col min="12" max="16384" width="9" style="1"/>
  </cols>
  <sheetData>
    <row r="1" s="35" customFormat="1" ht="39" customHeight="1" spans="1:11">
      <c r="A1" s="6" t="s">
        <v>21</v>
      </c>
      <c r="B1" s="6" t="s">
        <v>22</v>
      </c>
      <c r="C1" s="6" t="s">
        <v>23</v>
      </c>
      <c r="D1" s="6" t="s">
        <v>24</v>
      </c>
      <c r="E1" s="6" t="s">
        <v>25</v>
      </c>
      <c r="F1" s="6" t="s">
        <v>26</v>
      </c>
      <c r="G1" s="5" t="s">
        <v>27</v>
      </c>
      <c r="H1" s="6" t="s">
        <v>28</v>
      </c>
      <c r="I1" s="6" t="s">
        <v>25</v>
      </c>
      <c r="J1" s="6" t="s">
        <v>26</v>
      </c>
      <c r="K1" s="6" t="s">
        <v>27</v>
      </c>
    </row>
    <row r="2" ht="40" customHeight="1" spans="1:11">
      <c r="A2" s="37">
        <v>1</v>
      </c>
      <c r="B2" s="38" t="str">
        <f>D3</f>
        <v>重生</v>
      </c>
      <c r="C2" s="10" t="s">
        <v>29</v>
      </c>
      <c r="D2" s="39" t="s">
        <v>30</v>
      </c>
      <c r="E2" s="40" t="s">
        <v>31</v>
      </c>
      <c r="F2" s="11" t="s">
        <v>32</v>
      </c>
      <c r="G2" s="20" t="s">
        <v>33</v>
      </c>
      <c r="H2" s="12">
        <f t="shared" ref="H2:H54" si="0">LEN(D2)</f>
        <v>12</v>
      </c>
      <c r="I2" s="12">
        <f t="shared" ref="I2:I54" si="1">LEN(E2)</f>
        <v>7</v>
      </c>
      <c r="J2" s="12">
        <f t="shared" ref="J2:J54" si="2">LEN(F2)</f>
        <v>39</v>
      </c>
      <c r="K2" s="12">
        <f t="shared" ref="K2:K54" si="3">LEN(G2)</f>
        <v>102</v>
      </c>
    </row>
    <row r="3" ht="40" hidden="1" customHeight="1" spans="1:11">
      <c r="A3" s="41"/>
      <c r="B3" s="42"/>
      <c r="C3" s="43" t="s">
        <v>34</v>
      </c>
      <c r="D3" s="44" t="s">
        <v>35</v>
      </c>
      <c r="E3" s="44" t="s">
        <v>36</v>
      </c>
      <c r="F3" s="44" t="s">
        <v>37</v>
      </c>
      <c r="G3" s="25" t="s">
        <v>38</v>
      </c>
      <c r="H3" s="12">
        <f t="shared" si="0"/>
        <v>2</v>
      </c>
      <c r="I3" s="12">
        <f t="shared" si="1"/>
        <v>3</v>
      </c>
      <c r="J3" s="12">
        <f t="shared" si="2"/>
        <v>15</v>
      </c>
      <c r="K3" s="12">
        <f t="shared" si="3"/>
        <v>66</v>
      </c>
    </row>
    <row r="4" ht="40" customHeight="1" spans="1:11">
      <c r="A4" s="37">
        <v>2</v>
      </c>
      <c r="B4" s="38" t="str">
        <f>D5</f>
        <v>明日战记</v>
      </c>
      <c r="C4" s="10" t="s">
        <v>29</v>
      </c>
      <c r="D4" s="39" t="s">
        <v>39</v>
      </c>
      <c r="E4" s="40" t="s">
        <v>40</v>
      </c>
      <c r="F4" s="11" t="s">
        <v>41</v>
      </c>
      <c r="G4" s="20" t="s">
        <v>42</v>
      </c>
      <c r="H4" s="12">
        <f t="shared" si="0"/>
        <v>18</v>
      </c>
      <c r="I4" s="12">
        <f t="shared" si="1"/>
        <v>10</v>
      </c>
      <c r="J4" s="12">
        <f t="shared" si="2"/>
        <v>31</v>
      </c>
      <c r="K4" s="12">
        <f t="shared" si="3"/>
        <v>79</v>
      </c>
    </row>
    <row r="5" ht="40" hidden="1" customHeight="1" spans="1:11">
      <c r="A5" s="41"/>
      <c r="B5" s="42"/>
      <c r="C5" s="43" t="s">
        <v>34</v>
      </c>
      <c r="D5" s="44" t="s">
        <v>43</v>
      </c>
      <c r="E5" s="44" t="s">
        <v>44</v>
      </c>
      <c r="F5" s="44" t="s">
        <v>45</v>
      </c>
      <c r="G5" s="25" t="s">
        <v>46</v>
      </c>
      <c r="H5" s="12">
        <f t="shared" si="0"/>
        <v>4</v>
      </c>
      <c r="I5" s="12">
        <f t="shared" si="1"/>
        <v>3</v>
      </c>
      <c r="J5" s="12">
        <f t="shared" si="2"/>
        <v>15</v>
      </c>
      <c r="K5" s="12">
        <f t="shared" si="3"/>
        <v>40</v>
      </c>
    </row>
    <row r="6" ht="40" customHeight="1" spans="1:11">
      <c r="A6" s="37">
        <v>3</v>
      </c>
      <c r="B6" s="38" t="str">
        <f>D7</f>
        <v>目中无人2</v>
      </c>
      <c r="C6" s="10" t="s">
        <v>29</v>
      </c>
      <c r="D6" s="39" t="s">
        <v>47</v>
      </c>
      <c r="E6" s="40" t="s">
        <v>48</v>
      </c>
      <c r="F6" s="11" t="s">
        <v>49</v>
      </c>
      <c r="G6" s="20" t="s">
        <v>50</v>
      </c>
      <c r="H6" s="12">
        <f t="shared" si="0"/>
        <v>16</v>
      </c>
      <c r="I6" s="12">
        <f t="shared" si="1"/>
        <v>12</v>
      </c>
      <c r="J6" s="12">
        <f t="shared" si="2"/>
        <v>30</v>
      </c>
      <c r="K6" s="12">
        <f t="shared" si="3"/>
        <v>86</v>
      </c>
    </row>
    <row r="7" ht="40" hidden="1" customHeight="1" spans="1:11">
      <c r="A7" s="41"/>
      <c r="B7" s="42"/>
      <c r="C7" s="43" t="s">
        <v>34</v>
      </c>
      <c r="D7" s="44" t="s">
        <v>51</v>
      </c>
      <c r="E7" s="44" t="s">
        <v>52</v>
      </c>
      <c r="F7" s="44" t="s">
        <v>53</v>
      </c>
      <c r="G7" s="25" t="s">
        <v>54</v>
      </c>
      <c r="H7" s="12">
        <f t="shared" si="0"/>
        <v>5</v>
      </c>
      <c r="I7" s="12">
        <f t="shared" si="1"/>
        <v>3</v>
      </c>
      <c r="J7" s="12">
        <f t="shared" si="2"/>
        <v>13</v>
      </c>
      <c r="K7" s="12">
        <f t="shared" si="3"/>
        <v>26</v>
      </c>
    </row>
    <row r="8" ht="40" customHeight="1" spans="1:11">
      <c r="A8" s="37">
        <v>4</v>
      </c>
      <c r="B8" s="38" t="str">
        <f>D9</f>
        <v>又是充满希望的一天</v>
      </c>
      <c r="C8" s="10" t="s">
        <v>29</v>
      </c>
      <c r="D8" s="40" t="s">
        <v>55</v>
      </c>
      <c r="E8" s="40" t="s">
        <v>56</v>
      </c>
      <c r="F8" s="11" t="s">
        <v>57</v>
      </c>
      <c r="G8" s="20" t="s">
        <v>58</v>
      </c>
      <c r="H8" s="12">
        <f t="shared" si="0"/>
        <v>19</v>
      </c>
      <c r="I8" s="12">
        <f t="shared" si="1"/>
        <v>11</v>
      </c>
      <c r="J8" s="12">
        <f t="shared" si="2"/>
        <v>49</v>
      </c>
      <c r="K8" s="12">
        <f t="shared" si="3"/>
        <v>218</v>
      </c>
    </row>
    <row r="9" ht="40" hidden="1" customHeight="1" spans="1:11">
      <c r="A9" s="41"/>
      <c r="B9" s="42"/>
      <c r="C9" s="43" t="s">
        <v>34</v>
      </c>
      <c r="D9" s="44" t="s">
        <v>59</v>
      </c>
      <c r="E9" s="44" t="s">
        <v>60</v>
      </c>
      <c r="F9" s="44" t="s">
        <v>61</v>
      </c>
      <c r="G9" s="25" t="s">
        <v>62</v>
      </c>
      <c r="H9" s="12">
        <f t="shared" si="0"/>
        <v>9</v>
      </c>
      <c r="I9" s="12">
        <f t="shared" si="1"/>
        <v>3</v>
      </c>
      <c r="J9" s="12">
        <f t="shared" si="2"/>
        <v>21</v>
      </c>
      <c r="K9" s="12">
        <f t="shared" si="3"/>
        <v>60</v>
      </c>
    </row>
    <row r="10" ht="40" customHeight="1" spans="1:11">
      <c r="A10" s="37">
        <v>5</v>
      </c>
      <c r="B10" s="38" t="str">
        <f>D11</f>
        <v>乔妍的心事</v>
      </c>
      <c r="C10" s="10" t="s">
        <v>29</v>
      </c>
      <c r="D10" s="39" t="s">
        <v>63</v>
      </c>
      <c r="E10" s="40" t="s">
        <v>64</v>
      </c>
      <c r="F10" s="11" t="s">
        <v>65</v>
      </c>
      <c r="G10" s="20" t="s">
        <v>66</v>
      </c>
      <c r="H10" s="12">
        <f t="shared" si="0"/>
        <v>17</v>
      </c>
      <c r="I10" s="12">
        <f t="shared" si="1"/>
        <v>6</v>
      </c>
      <c r="J10" s="12">
        <f t="shared" si="2"/>
        <v>23</v>
      </c>
      <c r="K10" s="12">
        <f t="shared" si="3"/>
        <v>105</v>
      </c>
    </row>
    <row r="11" ht="40" hidden="1" customHeight="1" spans="1:11">
      <c r="A11" s="41"/>
      <c r="B11" s="42"/>
      <c r="C11" s="43" t="s">
        <v>34</v>
      </c>
      <c r="D11" s="45" t="s">
        <v>67</v>
      </c>
      <c r="E11" s="44" t="s">
        <v>68</v>
      </c>
      <c r="F11" s="44" t="s">
        <v>69</v>
      </c>
      <c r="G11" s="25" t="s">
        <v>70</v>
      </c>
      <c r="H11" s="12">
        <f t="shared" si="0"/>
        <v>5</v>
      </c>
      <c r="I11" s="12">
        <f t="shared" si="1"/>
        <v>3</v>
      </c>
      <c r="J11" s="12">
        <f t="shared" si="2"/>
        <v>9</v>
      </c>
      <c r="K11" s="12">
        <f t="shared" si="3"/>
        <v>42</v>
      </c>
    </row>
    <row r="12" ht="40" customHeight="1" spans="1:11">
      <c r="A12" s="37">
        <v>6</v>
      </c>
      <c r="B12" s="38" t="str">
        <f>D13</f>
        <v>戴假发的人</v>
      </c>
      <c r="C12" s="10" t="s">
        <v>29</v>
      </c>
      <c r="D12" s="39" t="s">
        <v>71</v>
      </c>
      <c r="E12" s="40" t="s">
        <v>72</v>
      </c>
      <c r="F12" s="11" t="s">
        <v>73</v>
      </c>
      <c r="G12" s="20" t="s">
        <v>74</v>
      </c>
      <c r="H12" s="12">
        <f t="shared" si="0"/>
        <v>7</v>
      </c>
      <c r="I12" s="12">
        <f t="shared" si="1"/>
        <v>8</v>
      </c>
      <c r="J12" s="12">
        <f t="shared" si="2"/>
        <v>38</v>
      </c>
      <c r="K12" s="12">
        <f t="shared" si="3"/>
        <v>160</v>
      </c>
    </row>
    <row r="13" ht="40" hidden="1" customHeight="1" spans="1:11">
      <c r="A13" s="41"/>
      <c r="B13" s="42"/>
      <c r="C13" s="43" t="s">
        <v>34</v>
      </c>
      <c r="D13" s="44" t="s">
        <v>75</v>
      </c>
      <c r="E13" s="44" t="s">
        <v>76</v>
      </c>
      <c r="F13" s="44" t="s">
        <v>77</v>
      </c>
      <c r="G13" s="25" t="s">
        <v>78</v>
      </c>
      <c r="H13" s="12">
        <f t="shared" si="0"/>
        <v>5</v>
      </c>
      <c r="I13" s="12">
        <f t="shared" si="1"/>
        <v>2</v>
      </c>
      <c r="J13" s="12">
        <f t="shared" si="2"/>
        <v>15</v>
      </c>
      <c r="K13" s="12">
        <f t="shared" si="3"/>
        <v>66</v>
      </c>
    </row>
    <row r="14" ht="40" customHeight="1" spans="1:11">
      <c r="A14" s="37">
        <v>7</v>
      </c>
      <c r="B14" s="38" t="str">
        <f>D15</f>
        <v>胜券在握</v>
      </c>
      <c r="C14" s="10" t="s">
        <v>29</v>
      </c>
      <c r="D14" s="39" t="s">
        <v>79</v>
      </c>
      <c r="E14" s="40" t="s">
        <v>80</v>
      </c>
      <c r="F14" s="11" t="s">
        <v>81</v>
      </c>
      <c r="G14" s="20" t="s">
        <v>82</v>
      </c>
      <c r="H14" s="12">
        <f t="shared" si="0"/>
        <v>16</v>
      </c>
      <c r="I14" s="12">
        <f t="shared" si="1"/>
        <v>11</v>
      </c>
      <c r="J14" s="12">
        <f t="shared" si="2"/>
        <v>37</v>
      </c>
      <c r="K14" s="12">
        <f t="shared" si="3"/>
        <v>85</v>
      </c>
    </row>
    <row r="15" ht="40" hidden="1" customHeight="1" spans="1:11">
      <c r="A15" s="41"/>
      <c r="B15" s="42"/>
      <c r="C15" s="43" t="s">
        <v>34</v>
      </c>
      <c r="D15" s="44" t="s">
        <v>83</v>
      </c>
      <c r="E15" s="44" t="s">
        <v>84</v>
      </c>
      <c r="F15" s="44" t="s">
        <v>85</v>
      </c>
      <c r="G15" s="25" t="s">
        <v>86</v>
      </c>
      <c r="H15" s="12">
        <f t="shared" si="0"/>
        <v>4</v>
      </c>
      <c r="I15" s="12">
        <f t="shared" si="1"/>
        <v>4</v>
      </c>
      <c r="J15" s="12">
        <f t="shared" si="2"/>
        <v>14</v>
      </c>
      <c r="K15" s="12">
        <f t="shared" si="3"/>
        <v>41</v>
      </c>
    </row>
    <row r="16" ht="40" customHeight="1" spans="1:11">
      <c r="A16" s="37">
        <v>8</v>
      </c>
      <c r="B16" s="38" t="str">
        <f>D17</f>
        <v>灿烂的她</v>
      </c>
      <c r="C16" s="10" t="s">
        <v>29</v>
      </c>
      <c r="D16" s="40" t="s">
        <v>87</v>
      </c>
      <c r="E16" s="40" t="s">
        <v>88</v>
      </c>
      <c r="F16" s="11" t="s">
        <v>89</v>
      </c>
      <c r="G16" s="20" t="s">
        <v>90</v>
      </c>
      <c r="H16" s="12">
        <f t="shared" si="0"/>
        <v>11</v>
      </c>
      <c r="I16" s="12">
        <f t="shared" si="1"/>
        <v>6</v>
      </c>
      <c r="J16" s="12">
        <f t="shared" si="2"/>
        <v>30</v>
      </c>
      <c r="K16" s="12">
        <f t="shared" si="3"/>
        <v>170</v>
      </c>
    </row>
    <row r="17" ht="40" hidden="1" customHeight="1" spans="1:11">
      <c r="A17" s="41"/>
      <c r="B17" s="42"/>
      <c r="C17" s="43" t="s">
        <v>34</v>
      </c>
      <c r="D17" s="44" t="s">
        <v>91</v>
      </c>
      <c r="E17" s="44" t="s">
        <v>92</v>
      </c>
      <c r="F17" s="44" t="s">
        <v>93</v>
      </c>
      <c r="G17" s="25" t="s">
        <v>94</v>
      </c>
      <c r="H17" s="12">
        <f t="shared" si="0"/>
        <v>4</v>
      </c>
      <c r="I17" s="12">
        <f t="shared" si="1"/>
        <v>2</v>
      </c>
      <c r="J17" s="12">
        <f t="shared" si="2"/>
        <v>9</v>
      </c>
      <c r="K17" s="12">
        <f t="shared" si="3"/>
        <v>38</v>
      </c>
    </row>
    <row r="18" ht="40" customHeight="1" spans="1:11">
      <c r="A18" s="37">
        <v>9</v>
      </c>
      <c r="B18" s="38" t="str">
        <f>D19</f>
        <v>流浪地球2</v>
      </c>
      <c r="C18" s="10" t="s">
        <v>29</v>
      </c>
      <c r="D18" s="39" t="s">
        <v>95</v>
      </c>
      <c r="E18" s="40" t="s">
        <v>96</v>
      </c>
      <c r="F18" s="11" t="s">
        <v>97</v>
      </c>
      <c r="G18" s="20" t="s">
        <v>98</v>
      </c>
      <c r="H18" s="12">
        <f t="shared" si="0"/>
        <v>21</v>
      </c>
      <c r="I18" s="12">
        <f t="shared" si="1"/>
        <v>7</v>
      </c>
      <c r="J18" s="12">
        <f t="shared" si="2"/>
        <v>29</v>
      </c>
      <c r="K18" s="12">
        <f t="shared" si="3"/>
        <v>134</v>
      </c>
    </row>
    <row r="19" ht="40" hidden="1" customHeight="1" spans="1:11">
      <c r="A19" s="41"/>
      <c r="B19" s="42"/>
      <c r="C19" s="46" t="s">
        <v>34</v>
      </c>
      <c r="D19" s="44" t="s">
        <v>99</v>
      </c>
      <c r="E19" s="44" t="s">
        <v>100</v>
      </c>
      <c r="F19" s="44" t="s">
        <v>101</v>
      </c>
      <c r="G19" s="25" t="s">
        <v>102</v>
      </c>
      <c r="H19" s="12">
        <f t="shared" si="0"/>
        <v>5</v>
      </c>
      <c r="I19" s="12">
        <f t="shared" si="1"/>
        <v>2</v>
      </c>
      <c r="J19" s="12">
        <f t="shared" si="2"/>
        <v>14</v>
      </c>
      <c r="K19" s="12">
        <f t="shared" si="3"/>
        <v>66</v>
      </c>
    </row>
    <row r="20" ht="40" customHeight="1" spans="1:11">
      <c r="A20" s="37">
        <v>10</v>
      </c>
      <c r="B20" s="38" t="str">
        <f>D21</f>
        <v>记忆大师</v>
      </c>
      <c r="C20" s="47" t="s">
        <v>29</v>
      </c>
      <c r="D20" s="40" t="s">
        <v>103</v>
      </c>
      <c r="E20" s="40" t="s">
        <v>104</v>
      </c>
      <c r="F20" s="11" t="s">
        <v>105</v>
      </c>
      <c r="G20" s="20" t="s">
        <v>106</v>
      </c>
      <c r="H20" s="12">
        <f t="shared" si="0"/>
        <v>18</v>
      </c>
      <c r="I20" s="12">
        <f t="shared" si="1"/>
        <v>10</v>
      </c>
      <c r="J20" s="12">
        <f t="shared" si="2"/>
        <v>46</v>
      </c>
      <c r="K20" s="12">
        <f t="shared" si="3"/>
        <v>151</v>
      </c>
    </row>
    <row r="21" ht="40" hidden="1" customHeight="1" spans="1:11">
      <c r="A21" s="41"/>
      <c r="B21" s="42"/>
      <c r="C21" s="43" t="s">
        <v>34</v>
      </c>
      <c r="D21" s="44" t="s">
        <v>107</v>
      </c>
      <c r="E21" s="44" t="s">
        <v>108</v>
      </c>
      <c r="F21" s="44" t="s">
        <v>109</v>
      </c>
      <c r="G21" s="25" t="s">
        <v>110</v>
      </c>
      <c r="H21" s="12">
        <f t="shared" si="0"/>
        <v>4</v>
      </c>
      <c r="I21" s="12">
        <f t="shared" si="1"/>
        <v>3</v>
      </c>
      <c r="J21" s="12">
        <f t="shared" si="2"/>
        <v>20</v>
      </c>
      <c r="K21" s="12">
        <f t="shared" si="3"/>
        <v>35</v>
      </c>
    </row>
    <row r="22" ht="40" customHeight="1" spans="1:11">
      <c r="A22" s="37">
        <v>11</v>
      </c>
      <c r="B22" s="38" t="str">
        <f>D23</f>
        <v>永远的姐妹</v>
      </c>
      <c r="C22" s="10" t="s">
        <v>29</v>
      </c>
      <c r="D22" s="40" t="s">
        <v>111</v>
      </c>
      <c r="E22" s="40" t="s">
        <v>112</v>
      </c>
      <c r="F22" s="40" t="s">
        <v>113</v>
      </c>
      <c r="G22" s="20" t="s">
        <v>114</v>
      </c>
      <c r="H22" s="12">
        <f t="shared" si="0"/>
        <v>7</v>
      </c>
      <c r="I22" s="12">
        <f t="shared" si="1"/>
        <v>15</v>
      </c>
      <c r="J22" s="12">
        <f t="shared" si="2"/>
        <v>59</v>
      </c>
      <c r="K22" s="12">
        <f t="shared" si="3"/>
        <v>111</v>
      </c>
    </row>
    <row r="23" ht="40" hidden="1" customHeight="1" spans="1:11">
      <c r="A23" s="41"/>
      <c r="B23" s="42"/>
      <c r="C23" s="43" t="s">
        <v>34</v>
      </c>
      <c r="D23" s="44" t="s">
        <v>115</v>
      </c>
      <c r="E23" s="48" t="s">
        <v>116</v>
      </c>
      <c r="F23" s="44" t="s">
        <v>117</v>
      </c>
      <c r="G23" s="25" t="s">
        <v>118</v>
      </c>
      <c r="H23" s="12">
        <f t="shared" si="0"/>
        <v>5</v>
      </c>
      <c r="I23" s="12">
        <f t="shared" si="1"/>
        <v>8</v>
      </c>
      <c r="J23" s="12">
        <f t="shared" si="2"/>
        <v>41</v>
      </c>
      <c r="K23" s="12">
        <f t="shared" si="3"/>
        <v>36</v>
      </c>
    </row>
    <row r="24" ht="33" customHeight="1" spans="1:11">
      <c r="A24" s="37">
        <v>12</v>
      </c>
      <c r="B24" s="38" t="str">
        <f>D25</f>
        <v>女生们</v>
      </c>
      <c r="C24" s="10" t="s">
        <v>29</v>
      </c>
      <c r="D24" s="40" t="s">
        <v>119</v>
      </c>
      <c r="E24" s="40" t="s">
        <v>120</v>
      </c>
      <c r="F24" s="40" t="s">
        <v>121</v>
      </c>
      <c r="G24" s="20" t="s">
        <v>122</v>
      </c>
      <c r="H24" s="12">
        <f t="shared" si="0"/>
        <v>9</v>
      </c>
      <c r="I24" s="12">
        <f t="shared" si="1"/>
        <v>14</v>
      </c>
      <c r="J24" s="12">
        <f t="shared" si="2"/>
        <v>60</v>
      </c>
      <c r="K24" s="12">
        <f t="shared" si="3"/>
        <v>172</v>
      </c>
    </row>
    <row r="25" ht="33" hidden="1" customHeight="1" spans="1:11">
      <c r="A25" s="41"/>
      <c r="B25" s="42"/>
      <c r="C25" s="43" t="s">
        <v>34</v>
      </c>
      <c r="D25" s="44" t="s">
        <v>123</v>
      </c>
      <c r="E25" s="44" t="s">
        <v>124</v>
      </c>
      <c r="F25" s="44" t="s">
        <v>125</v>
      </c>
      <c r="G25" s="25" t="s">
        <v>126</v>
      </c>
      <c r="H25" s="12">
        <f t="shared" si="0"/>
        <v>3</v>
      </c>
      <c r="I25" s="12">
        <f t="shared" si="1"/>
        <v>8</v>
      </c>
      <c r="J25" s="12">
        <f t="shared" si="2"/>
        <v>41</v>
      </c>
      <c r="K25" s="12">
        <f t="shared" si="3"/>
        <v>58</v>
      </c>
    </row>
    <row r="26" ht="33" customHeight="1" spans="1:11">
      <c r="A26" s="37">
        <v>13</v>
      </c>
      <c r="B26" s="38" t="str">
        <f>D27</f>
        <v>女老板</v>
      </c>
      <c r="C26" s="10" t="s">
        <v>29</v>
      </c>
      <c r="D26" s="40" t="s">
        <v>127</v>
      </c>
      <c r="E26" s="40" t="s">
        <v>128</v>
      </c>
      <c r="F26" s="40" t="s">
        <v>129</v>
      </c>
      <c r="G26" s="20" t="s">
        <v>130</v>
      </c>
      <c r="H26" s="12">
        <f t="shared" si="0"/>
        <v>8</v>
      </c>
      <c r="I26" s="12">
        <f t="shared" si="1"/>
        <v>11</v>
      </c>
      <c r="J26" s="12">
        <f t="shared" si="2"/>
        <v>52</v>
      </c>
      <c r="K26" s="12">
        <f t="shared" si="3"/>
        <v>97</v>
      </c>
    </row>
    <row r="27" ht="33" hidden="1" customHeight="1" spans="1:11">
      <c r="A27" s="41"/>
      <c r="B27" s="42"/>
      <c r="C27" s="43" t="s">
        <v>34</v>
      </c>
      <c r="D27" s="44" t="s">
        <v>131</v>
      </c>
      <c r="E27" s="44" t="s">
        <v>132</v>
      </c>
      <c r="F27" s="44" t="s">
        <v>133</v>
      </c>
      <c r="G27" s="25" t="s">
        <v>134</v>
      </c>
      <c r="H27" s="12">
        <f t="shared" si="0"/>
        <v>3</v>
      </c>
      <c r="I27" s="12">
        <f t="shared" si="1"/>
        <v>6</v>
      </c>
      <c r="J27" s="12">
        <f t="shared" si="2"/>
        <v>32</v>
      </c>
      <c r="K27" s="12">
        <f t="shared" si="3"/>
        <v>33</v>
      </c>
    </row>
    <row r="28" ht="33" customHeight="1" spans="1:11">
      <c r="A28" s="37">
        <v>14</v>
      </c>
      <c r="B28" s="38" t="str">
        <f>D29</f>
        <v>金的音像店</v>
      </c>
      <c r="C28" s="10" t="s">
        <v>29</v>
      </c>
      <c r="D28" s="40" t="s">
        <v>135</v>
      </c>
      <c r="E28" s="40" t="s">
        <v>136</v>
      </c>
      <c r="F28" s="40" t="s">
        <v>137</v>
      </c>
      <c r="G28" s="20" t="s">
        <v>138</v>
      </c>
      <c r="H28" s="12">
        <f t="shared" si="0"/>
        <v>11</v>
      </c>
      <c r="I28" s="12">
        <f t="shared" si="1"/>
        <v>26</v>
      </c>
      <c r="J28" s="12">
        <f t="shared" si="2"/>
        <v>26</v>
      </c>
      <c r="K28" s="12">
        <f t="shared" si="3"/>
        <v>163</v>
      </c>
    </row>
    <row r="29" ht="33" hidden="1" customHeight="1" spans="1:11">
      <c r="A29" s="41"/>
      <c r="B29" s="42"/>
      <c r="C29" s="43" t="s">
        <v>34</v>
      </c>
      <c r="D29" s="44" t="s">
        <v>139</v>
      </c>
      <c r="E29" s="44" t="s">
        <v>140</v>
      </c>
      <c r="F29" s="44" t="s">
        <v>141</v>
      </c>
      <c r="G29" s="25" t="s">
        <v>142</v>
      </c>
      <c r="H29" s="12">
        <f t="shared" si="0"/>
        <v>5</v>
      </c>
      <c r="I29" s="12">
        <f t="shared" si="1"/>
        <v>15</v>
      </c>
      <c r="J29" s="12">
        <f t="shared" si="2"/>
        <v>12</v>
      </c>
      <c r="K29" s="12">
        <f t="shared" si="3"/>
        <v>37</v>
      </c>
    </row>
    <row r="30" ht="33" customHeight="1" spans="1:11">
      <c r="A30" s="37">
        <v>15</v>
      </c>
      <c r="B30" s="38" t="str">
        <f>D31</f>
        <v>不受欢迎的人</v>
      </c>
      <c r="C30" s="10" t="s">
        <v>29</v>
      </c>
      <c r="D30" s="40" t="s">
        <v>143</v>
      </c>
      <c r="E30" s="40" t="s">
        <v>144</v>
      </c>
      <c r="F30" s="40" t="s">
        <v>145</v>
      </c>
      <c r="G30" s="20" t="s">
        <v>146</v>
      </c>
      <c r="H30" s="12">
        <f t="shared" si="0"/>
        <v>17</v>
      </c>
      <c r="I30" s="12">
        <f t="shared" si="1"/>
        <v>15</v>
      </c>
      <c r="J30" s="12">
        <f t="shared" si="2"/>
        <v>24</v>
      </c>
      <c r="K30" s="12">
        <f t="shared" si="3"/>
        <v>151</v>
      </c>
    </row>
    <row r="31" ht="33" hidden="1" customHeight="1" spans="1:11">
      <c r="A31" s="41"/>
      <c r="B31" s="42"/>
      <c r="C31" s="43" t="s">
        <v>34</v>
      </c>
      <c r="D31" s="44" t="s">
        <v>147</v>
      </c>
      <c r="E31" s="44" t="s">
        <v>148</v>
      </c>
      <c r="F31" s="44" t="s">
        <v>149</v>
      </c>
      <c r="G31" s="25" t="s">
        <v>150</v>
      </c>
      <c r="H31" s="12">
        <f t="shared" si="0"/>
        <v>6</v>
      </c>
      <c r="I31" s="12">
        <f t="shared" si="1"/>
        <v>8</v>
      </c>
      <c r="J31" s="12">
        <f t="shared" si="2"/>
        <v>16</v>
      </c>
      <c r="K31" s="12">
        <f t="shared" si="3"/>
        <v>36</v>
      </c>
    </row>
    <row r="32" ht="33" customHeight="1" spans="1:11">
      <c r="A32" s="37">
        <v>16</v>
      </c>
      <c r="B32" s="38" t="str">
        <f>D34</f>
        <v>再无可失</v>
      </c>
      <c r="C32" s="10" t="s">
        <v>29</v>
      </c>
      <c r="D32" s="40" t="s">
        <v>151</v>
      </c>
      <c r="E32" s="40" t="s">
        <v>152</v>
      </c>
      <c r="F32" s="40" t="s">
        <v>153</v>
      </c>
      <c r="G32" s="20" t="s">
        <v>154</v>
      </c>
      <c r="H32" s="12">
        <f t="shared" si="0"/>
        <v>15</v>
      </c>
      <c r="I32" s="12">
        <f t="shared" si="1"/>
        <v>16</v>
      </c>
      <c r="J32" s="12">
        <f t="shared" si="2"/>
        <v>30</v>
      </c>
      <c r="K32" s="12">
        <f t="shared" si="3"/>
        <v>154</v>
      </c>
    </row>
    <row r="33" ht="33" hidden="1" customHeight="1" spans="1:11">
      <c r="A33" s="49"/>
      <c r="B33" s="50"/>
      <c r="C33" s="29" t="s">
        <v>155</v>
      </c>
      <c r="D33" s="40" t="s">
        <v>156</v>
      </c>
      <c r="E33" s="40" t="s">
        <v>152</v>
      </c>
      <c r="F33" s="40" t="s">
        <v>153</v>
      </c>
      <c r="G33" s="20" t="s">
        <v>154</v>
      </c>
      <c r="H33" s="12">
        <f t="shared" si="0"/>
        <v>13</v>
      </c>
      <c r="I33" s="12">
        <f t="shared" si="1"/>
        <v>16</v>
      </c>
      <c r="J33" s="12">
        <f t="shared" si="2"/>
        <v>30</v>
      </c>
      <c r="K33" s="12">
        <f t="shared" si="3"/>
        <v>154</v>
      </c>
    </row>
    <row r="34" ht="33" hidden="1" customHeight="1" spans="1:11">
      <c r="A34" s="41"/>
      <c r="B34" s="42"/>
      <c r="C34" s="43" t="s">
        <v>34</v>
      </c>
      <c r="D34" s="44" t="s">
        <v>157</v>
      </c>
      <c r="E34" s="44" t="s">
        <v>158</v>
      </c>
      <c r="F34" s="44" t="s">
        <v>159</v>
      </c>
      <c r="G34" s="25" t="s">
        <v>160</v>
      </c>
      <c r="H34" s="12">
        <f t="shared" si="0"/>
        <v>4</v>
      </c>
      <c r="I34" s="12">
        <f t="shared" si="1"/>
        <v>8</v>
      </c>
      <c r="J34" s="12">
        <f t="shared" si="2"/>
        <v>20</v>
      </c>
      <c r="K34" s="12">
        <f t="shared" si="3"/>
        <v>41</v>
      </c>
    </row>
    <row r="35" ht="33" customHeight="1" spans="1:11">
      <c r="A35" s="37">
        <v>17</v>
      </c>
      <c r="B35" s="38" t="str">
        <f>D36</f>
        <v>孤身二人</v>
      </c>
      <c r="C35" s="10" t="s">
        <v>29</v>
      </c>
      <c r="D35" s="40" t="s">
        <v>161</v>
      </c>
      <c r="E35" s="40" t="s">
        <v>162</v>
      </c>
      <c r="F35" s="40" t="s">
        <v>163</v>
      </c>
      <c r="G35" s="20" t="s">
        <v>164</v>
      </c>
      <c r="H35" s="12">
        <f t="shared" si="0"/>
        <v>8</v>
      </c>
      <c r="I35" s="12">
        <f t="shared" si="1"/>
        <v>17</v>
      </c>
      <c r="J35" s="12">
        <f t="shared" si="2"/>
        <v>42</v>
      </c>
      <c r="K35" s="12">
        <f t="shared" si="3"/>
        <v>206</v>
      </c>
    </row>
    <row r="36" ht="33" hidden="1" customHeight="1" spans="1:11">
      <c r="A36" s="41"/>
      <c r="B36" s="42"/>
      <c r="C36" s="43" t="s">
        <v>34</v>
      </c>
      <c r="D36" s="44" t="s">
        <v>165</v>
      </c>
      <c r="E36" s="44" t="s">
        <v>166</v>
      </c>
      <c r="F36" s="44" t="s">
        <v>167</v>
      </c>
      <c r="G36" s="25" t="s">
        <v>168</v>
      </c>
      <c r="H36" s="12">
        <f t="shared" si="0"/>
        <v>4</v>
      </c>
      <c r="I36" s="12">
        <f t="shared" si="1"/>
        <v>9</v>
      </c>
      <c r="J36" s="12">
        <f t="shared" si="2"/>
        <v>22</v>
      </c>
      <c r="K36" s="12">
        <f t="shared" si="3"/>
        <v>73</v>
      </c>
    </row>
    <row r="37" ht="33" customHeight="1" spans="1:11">
      <c r="A37" s="37">
        <v>18</v>
      </c>
      <c r="B37" s="38" t="str">
        <f>D38</f>
        <v>我谈的那场恋爱</v>
      </c>
      <c r="C37" s="10" t="s">
        <v>29</v>
      </c>
      <c r="D37" s="39" t="s">
        <v>169</v>
      </c>
      <c r="E37" s="40" t="s">
        <v>170</v>
      </c>
      <c r="F37" s="40" t="s">
        <v>171</v>
      </c>
      <c r="G37" s="20" t="s">
        <v>172</v>
      </c>
      <c r="H37" s="12">
        <f t="shared" si="0"/>
        <v>9</v>
      </c>
      <c r="I37" s="12">
        <f t="shared" si="1"/>
        <v>10</v>
      </c>
      <c r="J37" s="12">
        <f t="shared" si="2"/>
        <v>38</v>
      </c>
      <c r="K37" s="12">
        <f t="shared" si="3"/>
        <v>154</v>
      </c>
    </row>
    <row r="38" ht="33" hidden="1" customHeight="1" spans="1:11">
      <c r="A38" s="41"/>
      <c r="B38" s="42"/>
      <c r="C38" s="43" t="s">
        <v>34</v>
      </c>
      <c r="D38" s="44" t="s">
        <v>173</v>
      </c>
      <c r="E38" s="44" t="s">
        <v>174</v>
      </c>
      <c r="F38" s="44" t="s">
        <v>175</v>
      </c>
      <c r="G38" s="25" t="s">
        <v>176</v>
      </c>
      <c r="H38" s="12">
        <f t="shared" si="0"/>
        <v>7</v>
      </c>
      <c r="I38" s="12">
        <f t="shared" si="1"/>
        <v>3</v>
      </c>
      <c r="J38" s="12">
        <f t="shared" si="2"/>
        <v>15</v>
      </c>
      <c r="K38" s="12">
        <f t="shared" si="3"/>
        <v>52</v>
      </c>
    </row>
    <row r="39" ht="33" customHeight="1" spans="1:11">
      <c r="A39" s="37">
        <v>19</v>
      </c>
      <c r="B39" s="38" t="str">
        <f>D40</f>
        <v>那个不为人知的故事</v>
      </c>
      <c r="C39" s="10" t="s">
        <v>29</v>
      </c>
      <c r="D39" s="39" t="s">
        <v>177</v>
      </c>
      <c r="E39" s="40" t="s">
        <v>178</v>
      </c>
      <c r="F39" s="40" t="s">
        <v>179</v>
      </c>
      <c r="G39" s="20" t="s">
        <v>180</v>
      </c>
      <c r="H39" s="12">
        <f t="shared" si="0"/>
        <v>17</v>
      </c>
      <c r="I39" s="12">
        <f t="shared" si="1"/>
        <v>9</v>
      </c>
      <c r="J39" s="12">
        <f t="shared" si="2"/>
        <v>35</v>
      </c>
      <c r="K39" s="12">
        <f t="shared" si="3"/>
        <v>70</v>
      </c>
    </row>
    <row r="40" ht="33" hidden="1" customHeight="1" spans="1:11">
      <c r="A40" s="41"/>
      <c r="B40" s="42"/>
      <c r="C40" s="43" t="s">
        <v>34</v>
      </c>
      <c r="D40" s="44" t="s">
        <v>181</v>
      </c>
      <c r="E40" s="51" t="s">
        <v>182</v>
      </c>
      <c r="F40" s="51" t="s">
        <v>183</v>
      </c>
      <c r="G40" s="25" t="s">
        <v>184</v>
      </c>
      <c r="H40" s="12">
        <f t="shared" si="0"/>
        <v>9</v>
      </c>
      <c r="I40" s="12">
        <f t="shared" si="1"/>
        <v>2</v>
      </c>
      <c r="J40" s="12">
        <f t="shared" si="2"/>
        <v>14</v>
      </c>
      <c r="K40" s="12">
        <f t="shared" si="3"/>
        <v>44</v>
      </c>
    </row>
    <row r="41" ht="33" customHeight="1" spans="1:11">
      <c r="A41" s="37">
        <v>20</v>
      </c>
      <c r="B41" s="38" t="str">
        <f>D42</f>
        <v>瘦身大作战</v>
      </c>
      <c r="C41" s="10" t="s">
        <v>29</v>
      </c>
      <c r="D41" s="40" t="s">
        <v>185</v>
      </c>
      <c r="E41" s="40" t="s">
        <v>186</v>
      </c>
      <c r="F41" s="40" t="s">
        <v>187</v>
      </c>
      <c r="G41" s="20" t="s">
        <v>188</v>
      </c>
      <c r="H41" s="12">
        <f t="shared" si="0"/>
        <v>18</v>
      </c>
      <c r="I41" s="12">
        <f t="shared" si="1"/>
        <v>13</v>
      </c>
      <c r="J41" s="12">
        <f t="shared" si="2"/>
        <v>65</v>
      </c>
      <c r="K41" s="12">
        <f t="shared" si="3"/>
        <v>82</v>
      </c>
    </row>
    <row r="42" ht="33" hidden="1" customHeight="1" spans="1:11">
      <c r="A42" s="41"/>
      <c r="B42" s="42"/>
      <c r="C42" s="43" t="s">
        <v>34</v>
      </c>
      <c r="D42" s="44" t="s">
        <v>189</v>
      </c>
      <c r="E42" s="44" t="s">
        <v>190</v>
      </c>
      <c r="F42" s="44" t="s">
        <v>191</v>
      </c>
      <c r="G42" s="25" t="s">
        <v>192</v>
      </c>
      <c r="H42" s="12">
        <f t="shared" si="0"/>
        <v>5</v>
      </c>
      <c r="I42" s="12">
        <f t="shared" si="1"/>
        <v>8</v>
      </c>
      <c r="J42" s="12">
        <f t="shared" si="2"/>
        <v>41</v>
      </c>
      <c r="K42" s="12">
        <f t="shared" si="3"/>
        <v>40</v>
      </c>
    </row>
    <row r="43" ht="33" customHeight="1" spans="1:11">
      <c r="A43" s="37">
        <v>21</v>
      </c>
      <c r="B43" s="38" t="str">
        <f>D44</f>
        <v>刺猬</v>
      </c>
      <c r="C43" s="10" t="s">
        <v>29</v>
      </c>
      <c r="D43" s="40" t="s">
        <v>193</v>
      </c>
      <c r="E43" s="40" t="s">
        <v>194</v>
      </c>
      <c r="F43" s="40" t="s">
        <v>195</v>
      </c>
      <c r="G43" s="20" t="s">
        <v>196</v>
      </c>
      <c r="H43" s="12">
        <f t="shared" si="0"/>
        <v>12</v>
      </c>
      <c r="I43" s="12">
        <f t="shared" si="1"/>
        <v>11</v>
      </c>
      <c r="J43" s="12">
        <f t="shared" si="2"/>
        <v>49</v>
      </c>
      <c r="K43" s="12">
        <f t="shared" si="3"/>
        <v>245</v>
      </c>
    </row>
    <row r="44" ht="33" hidden="1" customHeight="1" spans="1:11">
      <c r="A44" s="41"/>
      <c r="B44" s="42"/>
      <c r="C44" s="43" t="s">
        <v>34</v>
      </c>
      <c r="D44" s="44" t="s">
        <v>197</v>
      </c>
      <c r="E44" s="44" t="s">
        <v>198</v>
      </c>
      <c r="F44" s="44" t="s">
        <v>199</v>
      </c>
      <c r="G44" s="25" t="s">
        <v>200</v>
      </c>
      <c r="H44" s="12">
        <f t="shared" si="0"/>
        <v>2</v>
      </c>
      <c r="I44" s="12">
        <f t="shared" si="1"/>
        <v>3</v>
      </c>
      <c r="J44" s="12">
        <f t="shared" si="2"/>
        <v>24</v>
      </c>
      <c r="K44" s="12">
        <f t="shared" si="3"/>
        <v>72</v>
      </c>
    </row>
    <row r="45" ht="33" customHeight="1" spans="1:11">
      <c r="A45" s="37">
        <v>22</v>
      </c>
      <c r="B45" s="38" t="str">
        <f>D46</f>
        <v>大场面</v>
      </c>
      <c r="C45" s="10" t="s">
        <v>29</v>
      </c>
      <c r="D45" s="39" t="s">
        <v>201</v>
      </c>
      <c r="E45" s="40" t="s">
        <v>202</v>
      </c>
      <c r="F45" s="40" t="s">
        <v>203</v>
      </c>
      <c r="G45" s="20" t="s">
        <v>204</v>
      </c>
      <c r="H45" s="12">
        <f t="shared" si="0"/>
        <v>12</v>
      </c>
      <c r="I45" s="12">
        <f t="shared" si="1"/>
        <v>5</v>
      </c>
      <c r="J45" s="12">
        <f t="shared" si="2"/>
        <v>24</v>
      </c>
      <c r="K45" s="12">
        <f t="shared" si="3"/>
        <v>111</v>
      </c>
    </row>
    <row r="46" ht="33" hidden="1" customHeight="1" spans="1:11">
      <c r="A46" s="41"/>
      <c r="B46" s="42"/>
      <c r="C46" s="43" t="s">
        <v>34</v>
      </c>
      <c r="D46" s="45" t="s">
        <v>205</v>
      </c>
      <c r="E46" s="44" t="s">
        <v>206</v>
      </c>
      <c r="F46" s="44" t="s">
        <v>207</v>
      </c>
      <c r="G46" s="25" t="s">
        <v>208</v>
      </c>
      <c r="H46" s="12">
        <f t="shared" si="0"/>
        <v>3</v>
      </c>
      <c r="I46" s="12">
        <f t="shared" si="1"/>
        <v>2</v>
      </c>
      <c r="J46" s="12">
        <f t="shared" si="2"/>
        <v>9</v>
      </c>
      <c r="K46" s="12">
        <f t="shared" si="3"/>
        <v>38</v>
      </c>
    </row>
    <row r="47" ht="33" customHeight="1" spans="1:11">
      <c r="A47" s="37">
        <v>23</v>
      </c>
      <c r="B47" s="38" t="str">
        <f>D48</f>
        <v>宇宙探索编辑部</v>
      </c>
      <c r="C47" s="10" t="s">
        <v>29</v>
      </c>
      <c r="D47" s="39" t="s">
        <v>209</v>
      </c>
      <c r="E47" s="40" t="s">
        <v>210</v>
      </c>
      <c r="F47" s="40" t="s">
        <v>211</v>
      </c>
      <c r="G47" s="20" t="s">
        <v>212</v>
      </c>
      <c r="H47" s="12">
        <f t="shared" si="0"/>
        <v>19</v>
      </c>
      <c r="I47" s="12">
        <f t="shared" si="1"/>
        <v>11</v>
      </c>
      <c r="J47" s="12">
        <f t="shared" si="2"/>
        <v>32</v>
      </c>
      <c r="K47" s="12">
        <f t="shared" si="3"/>
        <v>142</v>
      </c>
    </row>
    <row r="48" ht="33" hidden="1" customHeight="1" spans="1:11">
      <c r="A48" s="41"/>
      <c r="B48" s="42"/>
      <c r="C48" s="43" t="s">
        <v>34</v>
      </c>
      <c r="D48" s="45" t="s">
        <v>213</v>
      </c>
      <c r="E48" s="44" t="s">
        <v>214</v>
      </c>
      <c r="F48" s="44" t="s">
        <v>215</v>
      </c>
      <c r="G48" s="25" t="s">
        <v>216</v>
      </c>
      <c r="H48" s="12">
        <f t="shared" si="0"/>
        <v>7</v>
      </c>
      <c r="I48" s="12">
        <f t="shared" si="1"/>
        <v>3</v>
      </c>
      <c r="J48" s="12">
        <f t="shared" si="2"/>
        <v>15</v>
      </c>
      <c r="K48" s="12">
        <f t="shared" si="3"/>
        <v>62</v>
      </c>
    </row>
    <row r="49" ht="33" customHeight="1" spans="1:11">
      <c r="A49" s="37">
        <v>24</v>
      </c>
      <c r="B49" s="38" t="str">
        <f>D50</f>
        <v>米歇拉·吉罗：句句属实</v>
      </c>
      <c r="C49" s="10" t="s">
        <v>29</v>
      </c>
      <c r="D49" s="40" t="s">
        <v>217</v>
      </c>
      <c r="E49" s="40" t="s">
        <v>218</v>
      </c>
      <c r="F49" s="40" t="s">
        <v>219</v>
      </c>
      <c r="G49" s="20" t="s">
        <v>220</v>
      </c>
      <c r="H49" s="12">
        <f t="shared" si="0"/>
        <v>35</v>
      </c>
      <c r="I49" s="12">
        <f t="shared" si="1"/>
        <v>18</v>
      </c>
      <c r="J49" s="12">
        <f t="shared" si="2"/>
        <v>14</v>
      </c>
      <c r="K49" s="12">
        <f t="shared" si="3"/>
        <v>80</v>
      </c>
    </row>
    <row r="50" ht="33" hidden="1" customHeight="1" spans="1:11">
      <c r="A50" s="41"/>
      <c r="B50" s="42"/>
      <c r="C50" s="43" t="s">
        <v>34</v>
      </c>
      <c r="D50" s="44" t="s">
        <v>221</v>
      </c>
      <c r="E50" s="48" t="s">
        <v>222</v>
      </c>
      <c r="F50" s="44" t="s">
        <v>223</v>
      </c>
      <c r="G50" s="52" t="s">
        <v>224</v>
      </c>
      <c r="H50" s="12">
        <f t="shared" si="0"/>
        <v>11</v>
      </c>
      <c r="I50" s="12">
        <f t="shared" si="1"/>
        <v>9</v>
      </c>
      <c r="J50" s="12">
        <f t="shared" si="2"/>
        <v>6</v>
      </c>
      <c r="K50" s="12">
        <f t="shared" si="3"/>
        <v>33</v>
      </c>
    </row>
    <row r="51" ht="33" customHeight="1" spans="1:11">
      <c r="A51" s="37">
        <v>25</v>
      </c>
      <c r="B51" s="38" t="str">
        <f>D52</f>
        <v>七美疑云</v>
      </c>
      <c r="C51" s="10" t="s">
        <v>29</v>
      </c>
      <c r="D51" s="40" t="s">
        <v>225</v>
      </c>
      <c r="E51" s="40" t="s">
        <v>226</v>
      </c>
      <c r="F51" s="40" t="s">
        <v>227</v>
      </c>
      <c r="G51" s="20" t="s">
        <v>228</v>
      </c>
      <c r="H51" s="12">
        <f t="shared" si="0"/>
        <v>20</v>
      </c>
      <c r="I51" s="12">
        <f t="shared" si="1"/>
        <v>19</v>
      </c>
      <c r="J51" s="12">
        <f t="shared" si="2"/>
        <v>77</v>
      </c>
      <c r="K51" s="12">
        <f t="shared" si="3"/>
        <v>160</v>
      </c>
    </row>
    <row r="52" ht="33" hidden="1" customHeight="1" spans="1:11">
      <c r="A52" s="41"/>
      <c r="B52" s="42"/>
      <c r="C52" s="43" t="s">
        <v>34</v>
      </c>
      <c r="D52" s="44" t="s">
        <v>229</v>
      </c>
      <c r="E52" s="44" t="s">
        <v>230</v>
      </c>
      <c r="F52" s="44" t="s">
        <v>231</v>
      </c>
      <c r="G52" s="25" t="s">
        <v>232</v>
      </c>
      <c r="H52" s="12">
        <f t="shared" ref="H52:H71" si="4">LEN(D52)</f>
        <v>4</v>
      </c>
      <c r="I52" s="12">
        <f t="shared" ref="I52:I71" si="5">LEN(E52)</f>
        <v>10</v>
      </c>
      <c r="J52" s="12">
        <f t="shared" ref="J52:J71" si="6">LEN(F52)</f>
        <v>45</v>
      </c>
      <c r="K52" s="12">
        <f t="shared" ref="K52:K71" si="7">LEN(G52)</f>
        <v>64</v>
      </c>
    </row>
    <row r="53" ht="33" customHeight="1" spans="1:11">
      <c r="A53" s="37">
        <v>26</v>
      </c>
      <c r="B53" s="38" t="str">
        <f>D54</f>
        <v>辣俏护卫队</v>
      </c>
      <c r="C53" s="10" t="s">
        <v>29</v>
      </c>
      <c r="D53" s="40" t="s">
        <v>233</v>
      </c>
      <c r="E53" s="40" t="s">
        <v>234</v>
      </c>
      <c r="F53" s="40" t="s">
        <v>235</v>
      </c>
      <c r="G53" s="20" t="s">
        <v>236</v>
      </c>
      <c r="H53" s="12">
        <f t="shared" si="4"/>
        <v>11</v>
      </c>
      <c r="I53" s="12">
        <f t="shared" si="5"/>
        <v>12</v>
      </c>
      <c r="J53" s="12">
        <f t="shared" si="6"/>
        <v>79</v>
      </c>
      <c r="K53" s="12">
        <f t="shared" si="7"/>
        <v>134</v>
      </c>
    </row>
    <row r="54" ht="33" hidden="1" customHeight="1" spans="1:11">
      <c r="A54" s="41"/>
      <c r="B54" s="42"/>
      <c r="C54" s="43" t="s">
        <v>34</v>
      </c>
      <c r="D54" s="44" t="s">
        <v>237</v>
      </c>
      <c r="E54" s="48" t="s">
        <v>238</v>
      </c>
      <c r="F54" s="44" t="s">
        <v>239</v>
      </c>
      <c r="G54" s="25" t="s">
        <v>240</v>
      </c>
      <c r="H54" s="12">
        <f t="shared" si="4"/>
        <v>5</v>
      </c>
      <c r="I54" s="12">
        <f t="shared" si="5"/>
        <v>5</v>
      </c>
      <c r="J54" s="12">
        <f t="shared" si="6"/>
        <v>47</v>
      </c>
      <c r="K54" s="12">
        <f t="shared" si="7"/>
        <v>52</v>
      </c>
    </row>
    <row r="55" ht="33" customHeight="1" spans="1:11">
      <c r="A55" s="37">
        <v>27</v>
      </c>
      <c r="B55" s="38" t="str">
        <f>D56</f>
        <v>挖掘者</v>
      </c>
      <c r="C55" s="10" t="s">
        <v>29</v>
      </c>
      <c r="D55" s="40" t="s">
        <v>241</v>
      </c>
      <c r="E55" s="40" t="s">
        <v>242</v>
      </c>
      <c r="F55" s="40" t="s">
        <v>243</v>
      </c>
      <c r="G55" s="20" t="s">
        <v>244</v>
      </c>
      <c r="H55" s="12">
        <f t="shared" si="4"/>
        <v>7</v>
      </c>
      <c r="I55" s="12">
        <f t="shared" si="5"/>
        <v>19</v>
      </c>
      <c r="J55" s="12">
        <f t="shared" si="6"/>
        <v>21</v>
      </c>
      <c r="K55" s="12">
        <f t="shared" si="7"/>
        <v>147</v>
      </c>
    </row>
    <row r="56" ht="33" hidden="1" customHeight="1" spans="1:11">
      <c r="A56" s="41"/>
      <c r="B56" s="42"/>
      <c r="C56" s="43" t="s">
        <v>34</v>
      </c>
      <c r="D56" s="44" t="s">
        <v>245</v>
      </c>
      <c r="E56" s="44" t="s">
        <v>246</v>
      </c>
      <c r="F56" s="44" t="s">
        <v>247</v>
      </c>
      <c r="G56" s="25" t="s">
        <v>248</v>
      </c>
      <c r="H56" s="12">
        <f t="shared" si="4"/>
        <v>3</v>
      </c>
      <c r="I56" s="12">
        <f t="shared" si="5"/>
        <v>7</v>
      </c>
      <c r="J56" s="12">
        <f t="shared" si="6"/>
        <v>13</v>
      </c>
      <c r="K56" s="12">
        <f t="shared" si="7"/>
        <v>39</v>
      </c>
    </row>
    <row r="57" ht="33" customHeight="1" spans="1:11">
      <c r="A57" s="37">
        <v>28</v>
      </c>
      <c r="B57" s="38" t="str">
        <f>D58</f>
        <v>浦安之争</v>
      </c>
      <c r="C57" s="10" t="s">
        <v>29</v>
      </c>
      <c r="D57" s="40" t="s">
        <v>249</v>
      </c>
      <c r="E57" s="40" t="s">
        <v>250</v>
      </c>
      <c r="F57" s="40" t="s">
        <v>251</v>
      </c>
      <c r="G57" s="20" t="s">
        <v>252</v>
      </c>
      <c r="H57" s="12">
        <f t="shared" si="4"/>
        <v>4</v>
      </c>
      <c r="I57" s="12">
        <f t="shared" si="5"/>
        <v>30</v>
      </c>
      <c r="J57" s="12">
        <f t="shared" si="6"/>
        <v>36</v>
      </c>
      <c r="K57" s="12">
        <f t="shared" si="7"/>
        <v>262</v>
      </c>
    </row>
    <row r="58" ht="33" hidden="1" customHeight="1" spans="1:11">
      <c r="A58" s="41"/>
      <c r="B58" s="42"/>
      <c r="C58" s="43" t="s">
        <v>34</v>
      </c>
      <c r="D58" s="44" t="s">
        <v>253</v>
      </c>
      <c r="E58" s="44" t="s">
        <v>254</v>
      </c>
      <c r="F58" s="44" t="s">
        <v>255</v>
      </c>
      <c r="G58" s="25" t="s">
        <v>256</v>
      </c>
      <c r="H58" s="12">
        <f t="shared" si="4"/>
        <v>4</v>
      </c>
      <c r="I58" s="12">
        <f t="shared" si="5"/>
        <v>18</v>
      </c>
      <c r="J58" s="12">
        <f t="shared" si="6"/>
        <v>22</v>
      </c>
      <c r="K58" s="12">
        <f t="shared" si="7"/>
        <v>75</v>
      </c>
    </row>
    <row r="59" ht="33" customHeight="1" spans="1:11">
      <c r="A59" s="37">
        <v>29</v>
      </c>
      <c r="B59" s="38" t="str">
        <f>D61</f>
        <v>皇宫酒店大作战</v>
      </c>
      <c r="C59" s="10" t="s">
        <v>29</v>
      </c>
      <c r="D59" s="40" t="s">
        <v>257</v>
      </c>
      <c r="E59" s="40" t="s">
        <v>258</v>
      </c>
      <c r="F59" s="40" t="s">
        <v>259</v>
      </c>
      <c r="G59" s="20" t="s">
        <v>260</v>
      </c>
      <c r="H59" s="12">
        <f t="shared" si="4"/>
        <v>19</v>
      </c>
      <c r="I59" s="12">
        <f t="shared" si="5"/>
        <v>16</v>
      </c>
      <c r="J59" s="12">
        <f t="shared" si="6"/>
        <v>37</v>
      </c>
      <c r="K59" s="12">
        <f t="shared" si="7"/>
        <v>158</v>
      </c>
    </row>
    <row r="60" ht="33" hidden="1" customHeight="1" spans="1:11">
      <c r="A60" s="49"/>
      <c r="B60" s="50"/>
      <c r="C60" s="29" t="s">
        <v>155</v>
      </c>
      <c r="D60" s="40" t="s">
        <v>261</v>
      </c>
      <c r="E60" s="40" t="s">
        <v>258</v>
      </c>
      <c r="F60" s="40" t="s">
        <v>259</v>
      </c>
      <c r="G60" s="20" t="s">
        <v>260</v>
      </c>
      <c r="H60" s="12">
        <f t="shared" si="4"/>
        <v>13</v>
      </c>
      <c r="I60" s="12">
        <f t="shared" si="5"/>
        <v>16</v>
      </c>
      <c r="J60" s="12">
        <f t="shared" si="6"/>
        <v>37</v>
      </c>
      <c r="K60" s="12">
        <f t="shared" si="7"/>
        <v>158</v>
      </c>
    </row>
    <row r="61" ht="33" hidden="1" customHeight="1" spans="1:11">
      <c r="A61" s="41"/>
      <c r="B61" s="42"/>
      <c r="C61" s="43" t="s">
        <v>34</v>
      </c>
      <c r="D61" s="44" t="s">
        <v>262</v>
      </c>
      <c r="E61" s="51" t="s">
        <v>263</v>
      </c>
      <c r="F61" s="51" t="s">
        <v>264</v>
      </c>
      <c r="G61" s="25" t="s">
        <v>265</v>
      </c>
      <c r="H61" s="12">
        <f t="shared" si="4"/>
        <v>7</v>
      </c>
      <c r="I61" s="12">
        <f t="shared" si="5"/>
        <v>7</v>
      </c>
      <c r="J61" s="12">
        <f t="shared" si="6"/>
        <v>22</v>
      </c>
      <c r="K61" s="12">
        <f t="shared" si="7"/>
        <v>44</v>
      </c>
    </row>
    <row r="62" ht="33" customHeight="1" spans="1:11">
      <c r="A62" s="37">
        <v>30</v>
      </c>
      <c r="B62" s="38" t="str">
        <f>D63</f>
        <v>安德里亚离婚记</v>
      </c>
      <c r="C62" s="10" t="s">
        <v>29</v>
      </c>
      <c r="D62" s="40" t="s">
        <v>266</v>
      </c>
      <c r="E62" s="40" t="s">
        <v>267</v>
      </c>
      <c r="F62" s="40" t="s">
        <v>268</v>
      </c>
      <c r="G62" s="20" t="s">
        <v>269</v>
      </c>
      <c r="H62" s="12">
        <f t="shared" si="4"/>
        <v>21</v>
      </c>
      <c r="I62" s="12">
        <f t="shared" si="5"/>
        <v>11</v>
      </c>
      <c r="J62" s="12">
        <f t="shared" si="6"/>
        <v>30</v>
      </c>
      <c r="K62" s="12">
        <f t="shared" si="7"/>
        <v>176</v>
      </c>
    </row>
    <row r="63" ht="33" hidden="1" customHeight="1" spans="1:11">
      <c r="A63" s="41"/>
      <c r="B63" s="42"/>
      <c r="C63" s="43" t="s">
        <v>34</v>
      </c>
      <c r="D63" s="44" t="s">
        <v>270</v>
      </c>
      <c r="E63" s="51" t="s">
        <v>271</v>
      </c>
      <c r="F63" s="51" t="s">
        <v>272</v>
      </c>
      <c r="G63" s="25" t="s">
        <v>273</v>
      </c>
      <c r="H63" s="12">
        <f t="shared" si="4"/>
        <v>7</v>
      </c>
      <c r="I63" s="12">
        <f t="shared" si="5"/>
        <v>6</v>
      </c>
      <c r="J63" s="12">
        <f t="shared" si="6"/>
        <v>18</v>
      </c>
      <c r="K63" s="12">
        <f t="shared" si="7"/>
        <v>42</v>
      </c>
    </row>
    <row r="64" ht="33" customHeight="1" spans="1:11">
      <c r="A64" s="37">
        <v>31</v>
      </c>
      <c r="B64" s="38" t="str">
        <f>D65</f>
        <v>五五分的家</v>
      </c>
      <c r="C64" s="10" t="s">
        <v>29</v>
      </c>
      <c r="D64" s="40" t="s">
        <v>274</v>
      </c>
      <c r="E64" s="40" t="s">
        <v>275</v>
      </c>
      <c r="F64" s="40" t="s">
        <v>276</v>
      </c>
      <c r="G64" s="20" t="s">
        <v>277</v>
      </c>
      <c r="H64" s="12">
        <f t="shared" si="4"/>
        <v>24</v>
      </c>
      <c r="I64" s="12">
        <f t="shared" si="5"/>
        <v>17</v>
      </c>
      <c r="J64" s="12">
        <f t="shared" si="6"/>
        <v>33</v>
      </c>
      <c r="K64" s="12">
        <f t="shared" si="7"/>
        <v>105</v>
      </c>
    </row>
    <row r="65" ht="33" hidden="1" customHeight="1" spans="1:11">
      <c r="A65" s="41"/>
      <c r="B65" s="42"/>
      <c r="C65" s="43" t="s">
        <v>34</v>
      </c>
      <c r="D65" s="44" t="s">
        <v>278</v>
      </c>
      <c r="E65" s="51" t="s">
        <v>279</v>
      </c>
      <c r="F65" s="51" t="s">
        <v>280</v>
      </c>
      <c r="G65" s="25" t="s">
        <v>281</v>
      </c>
      <c r="H65" s="12">
        <f t="shared" si="4"/>
        <v>5</v>
      </c>
      <c r="I65" s="12">
        <f t="shared" si="5"/>
        <v>9</v>
      </c>
      <c r="J65" s="12">
        <f t="shared" si="6"/>
        <v>16</v>
      </c>
      <c r="K65" s="12">
        <f t="shared" si="7"/>
        <v>43</v>
      </c>
    </row>
    <row r="66" ht="33" customHeight="1" spans="1:11">
      <c r="A66" s="37">
        <v>32</v>
      </c>
      <c r="B66" s="38" t="str">
        <f>D67</f>
        <v>熊出没·伴我“熊芯”</v>
      </c>
      <c r="C66" s="10" t="s">
        <v>29</v>
      </c>
      <c r="D66" s="39" t="s">
        <v>282</v>
      </c>
      <c r="E66" s="40" t="s">
        <v>283</v>
      </c>
      <c r="F66" s="40" t="s">
        <v>284</v>
      </c>
      <c r="G66" s="20" t="s">
        <v>285</v>
      </c>
      <c r="H66" s="12">
        <f t="shared" si="4"/>
        <v>27</v>
      </c>
      <c r="I66" s="12">
        <f t="shared" si="5"/>
        <v>24</v>
      </c>
      <c r="J66" s="12">
        <f t="shared" si="6"/>
        <v>34</v>
      </c>
      <c r="K66" s="12">
        <f t="shared" si="7"/>
        <v>83</v>
      </c>
    </row>
    <row r="67" ht="33" hidden="1" customHeight="1" spans="1:11">
      <c r="A67" s="41"/>
      <c r="B67" s="42"/>
      <c r="C67" s="43" t="s">
        <v>34</v>
      </c>
      <c r="D67" s="44" t="s">
        <v>286</v>
      </c>
      <c r="E67" s="44" t="s">
        <v>287</v>
      </c>
      <c r="F67" s="44" t="s">
        <v>288</v>
      </c>
      <c r="G67" s="25" t="s">
        <v>289</v>
      </c>
      <c r="H67" s="12">
        <f t="shared" si="4"/>
        <v>10</v>
      </c>
      <c r="I67" s="12">
        <f t="shared" si="5"/>
        <v>9</v>
      </c>
      <c r="J67" s="12">
        <f t="shared" si="6"/>
        <v>13</v>
      </c>
      <c r="K67" s="12">
        <f t="shared" si="7"/>
        <v>45</v>
      </c>
    </row>
    <row r="68" ht="33" customHeight="1" spans="1:11">
      <c r="A68" s="37">
        <v>33</v>
      </c>
      <c r="B68" s="38" t="str">
        <f>D69</f>
        <v>外太空的莫扎特</v>
      </c>
      <c r="C68" s="10" t="s">
        <v>29</v>
      </c>
      <c r="D68" s="39" t="s">
        <v>290</v>
      </c>
      <c r="E68" s="40" t="s">
        <v>291</v>
      </c>
      <c r="F68" s="40" t="s">
        <v>292</v>
      </c>
      <c r="G68" s="20" t="s">
        <v>293</v>
      </c>
      <c r="H68" s="12">
        <f t="shared" si="4"/>
        <v>17</v>
      </c>
      <c r="I68" s="12">
        <f t="shared" si="5"/>
        <v>12</v>
      </c>
      <c r="J68" s="12">
        <f t="shared" si="6"/>
        <v>31</v>
      </c>
      <c r="K68" s="12">
        <f t="shared" si="7"/>
        <v>146</v>
      </c>
    </row>
    <row r="69" ht="33" hidden="1" customHeight="1" spans="1:11">
      <c r="A69" s="41"/>
      <c r="B69" s="42"/>
      <c r="C69" s="43" t="s">
        <v>34</v>
      </c>
      <c r="D69" s="44" t="s">
        <v>294</v>
      </c>
      <c r="E69" s="44" t="s">
        <v>295</v>
      </c>
      <c r="F69" s="44" t="s">
        <v>296</v>
      </c>
      <c r="G69" s="25" t="s">
        <v>297</v>
      </c>
      <c r="H69" s="12">
        <f t="shared" si="4"/>
        <v>7</v>
      </c>
      <c r="I69" s="12">
        <f t="shared" si="5"/>
        <v>3</v>
      </c>
      <c r="J69" s="12">
        <f t="shared" si="6"/>
        <v>13</v>
      </c>
      <c r="K69" s="12">
        <f t="shared" si="7"/>
        <v>55</v>
      </c>
    </row>
    <row r="70" ht="33" customHeight="1" spans="1:11">
      <c r="A70" s="37">
        <v>34</v>
      </c>
      <c r="B70" s="38" t="str">
        <f>D71</f>
        <v>佳片速递</v>
      </c>
      <c r="C70" s="10" t="s">
        <v>29</v>
      </c>
      <c r="D70" s="53" t="s">
        <v>298</v>
      </c>
      <c r="E70" s="54"/>
      <c r="F70" s="54"/>
      <c r="G70" s="55" t="s">
        <v>299</v>
      </c>
      <c r="H70" s="12">
        <f t="shared" si="4"/>
        <v>11</v>
      </c>
      <c r="I70" s="12">
        <f t="shared" si="5"/>
        <v>0</v>
      </c>
      <c r="J70" s="12">
        <f t="shared" si="6"/>
        <v>0</v>
      </c>
      <c r="K70" s="12">
        <f t="shared" si="7"/>
        <v>358</v>
      </c>
    </row>
    <row r="71" ht="32" hidden="1" customHeight="1" spans="1:11">
      <c r="A71" s="41"/>
      <c r="B71" s="42"/>
      <c r="C71" s="43" t="s">
        <v>34</v>
      </c>
      <c r="D71" s="56" t="s">
        <v>300</v>
      </c>
      <c r="E71" s="57"/>
      <c r="F71" s="57"/>
      <c r="G71" s="58" t="s">
        <v>301</v>
      </c>
      <c r="H71" s="12">
        <f t="shared" si="4"/>
        <v>4</v>
      </c>
      <c r="I71" s="12">
        <f t="shared" si="5"/>
        <v>0</v>
      </c>
      <c r="J71" s="12">
        <f t="shared" si="6"/>
        <v>0</v>
      </c>
      <c r="K71" s="12">
        <f t="shared" si="7"/>
        <v>86</v>
      </c>
    </row>
  </sheetData>
  <autoFilter xmlns:etc="http://www.wps.cn/officeDocument/2017/etCustomData" ref="A1:K71" etc:filterBottomFollowUsedRange="0">
    <filterColumn colId="2">
      <customFilters>
        <customFilter operator="equal" val="英"/>
      </customFilters>
    </filterColumn>
    <extLst/>
  </autoFilter>
  <mergeCells count="68">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4"/>
    <mergeCell ref="A35:A36"/>
    <mergeCell ref="A37:A38"/>
    <mergeCell ref="A39:A40"/>
    <mergeCell ref="A41:A42"/>
    <mergeCell ref="A43:A44"/>
    <mergeCell ref="A45:A46"/>
    <mergeCell ref="A47:A48"/>
    <mergeCell ref="A49:A50"/>
    <mergeCell ref="A51:A52"/>
    <mergeCell ref="A53:A54"/>
    <mergeCell ref="A55:A56"/>
    <mergeCell ref="A57:A58"/>
    <mergeCell ref="A59:A61"/>
    <mergeCell ref="A62:A63"/>
    <mergeCell ref="A64:A65"/>
    <mergeCell ref="A66:A67"/>
    <mergeCell ref="A68:A69"/>
    <mergeCell ref="A70:A71"/>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4"/>
    <mergeCell ref="B35:B36"/>
    <mergeCell ref="B37:B38"/>
    <mergeCell ref="B39:B40"/>
    <mergeCell ref="B41:B42"/>
    <mergeCell ref="B43:B44"/>
    <mergeCell ref="B45:B46"/>
    <mergeCell ref="B47:B48"/>
    <mergeCell ref="B49:B50"/>
    <mergeCell ref="B51:B52"/>
    <mergeCell ref="B53:B54"/>
    <mergeCell ref="B55:B56"/>
    <mergeCell ref="B57:B58"/>
    <mergeCell ref="B59:B61"/>
    <mergeCell ref="B62:B63"/>
    <mergeCell ref="B64:B65"/>
    <mergeCell ref="B66:B67"/>
    <mergeCell ref="B68:B69"/>
    <mergeCell ref="B70:B71"/>
  </mergeCells>
  <dataValidations count="2">
    <dataValidation type="textLength" operator="lessThanOrEqual" allowBlank="1" showInputMessage="1" showErrorMessage="1" sqref="L7">
      <formula1>255</formula1>
    </dataValidation>
    <dataValidation allowBlank="1" showInputMessage="1" showErrorMessage="1" sqref="G24:G71"/>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275"/>
  <sheetViews>
    <sheetView tabSelected="1" workbookViewId="0">
      <pane ySplit="1" topLeftCell="A234" activePane="bottomLeft" state="frozen"/>
      <selection/>
      <selection pane="bottomLeft" activeCell="D241" sqref="D241"/>
    </sheetView>
  </sheetViews>
  <sheetFormatPr defaultColWidth="9" defaultRowHeight="36" customHeight="1" outlineLevelCol="6"/>
  <cols>
    <col min="1" max="1" width="5.625" style="1" customWidth="1"/>
    <col min="2" max="2" width="32.125" style="1" customWidth="1"/>
    <col min="3" max="3" width="9" style="2"/>
    <col min="4" max="4" width="75" style="15" customWidth="1"/>
    <col min="5" max="5" width="83.125" style="4" customWidth="1"/>
    <col min="6" max="7" width="9" style="2"/>
    <col min="8" max="16384" width="9" style="1"/>
  </cols>
  <sheetData>
    <row r="1" customHeight="1" spans="1:7">
      <c r="A1" s="6" t="s">
        <v>21</v>
      </c>
      <c r="B1" s="6" t="s">
        <v>22</v>
      </c>
      <c r="C1" s="6" t="s">
        <v>23</v>
      </c>
      <c r="D1" s="5" t="s">
        <v>24</v>
      </c>
      <c r="E1" s="5" t="s">
        <v>27</v>
      </c>
      <c r="F1" s="6" t="s">
        <v>302</v>
      </c>
      <c r="G1" s="6" t="s">
        <v>303</v>
      </c>
    </row>
    <row r="2" customHeight="1" spans="1:7">
      <c r="A2" s="16">
        <v>1</v>
      </c>
      <c r="B2" s="17" t="str">
        <f>D3</f>
        <v>度华年 5</v>
      </c>
      <c r="C2" s="18" t="s">
        <v>29</v>
      </c>
      <c r="D2" s="19" t="s">
        <v>304</v>
      </c>
      <c r="E2" s="20" t="s">
        <v>305</v>
      </c>
      <c r="F2" s="21">
        <f>LEN(D2)</f>
        <v>20</v>
      </c>
      <c r="G2" s="21">
        <f>LEN(E2)</f>
        <v>431</v>
      </c>
    </row>
    <row r="3" customHeight="1" spans="1:7">
      <c r="A3" s="22"/>
      <c r="B3" s="23"/>
      <c r="C3" s="18" t="s">
        <v>34</v>
      </c>
      <c r="D3" s="24" t="s">
        <v>306</v>
      </c>
      <c r="E3" s="25" t="s">
        <v>307</v>
      </c>
      <c r="F3" s="21">
        <f>LEN(D3)</f>
        <v>5</v>
      </c>
      <c r="G3" s="21">
        <f>LEN(E3)</f>
        <v>96</v>
      </c>
    </row>
    <row r="4" customHeight="1" spans="1:7">
      <c r="A4" s="16">
        <v>2</v>
      </c>
      <c r="B4" s="17" t="str">
        <f>D5</f>
        <v>墨雨云间 8</v>
      </c>
      <c r="C4" s="18" t="s">
        <v>29</v>
      </c>
      <c r="D4" s="19" t="s">
        <v>308</v>
      </c>
      <c r="E4" s="20" t="s">
        <v>309</v>
      </c>
      <c r="F4" s="21">
        <f>LEN(D4)</f>
        <v>12</v>
      </c>
      <c r="G4" s="21">
        <f>LEN(E4)</f>
        <v>551</v>
      </c>
    </row>
    <row r="5" customHeight="1" spans="1:7">
      <c r="A5" s="22"/>
      <c r="B5" s="23"/>
      <c r="C5" s="18" t="s">
        <v>34</v>
      </c>
      <c r="D5" s="24" t="s">
        <v>310</v>
      </c>
      <c r="E5" s="25" t="s">
        <v>311</v>
      </c>
      <c r="F5" s="21">
        <f>LEN(D5)</f>
        <v>6</v>
      </c>
      <c r="G5" s="21">
        <f>LEN(E5)</f>
        <v>130</v>
      </c>
    </row>
    <row r="6" customHeight="1" spans="1:7">
      <c r="A6" s="16">
        <v>3</v>
      </c>
      <c r="B6" s="17" t="str">
        <f>D7</f>
        <v>听你这么说 8 王潮歌：只有王潮歌</v>
      </c>
      <c r="C6" s="18" t="s">
        <v>29</v>
      </c>
      <c r="D6" s="19" t="s">
        <v>312</v>
      </c>
      <c r="E6" s="20" t="s">
        <v>313</v>
      </c>
      <c r="F6" s="21">
        <f t="shared" ref="F6:F46" si="0">LEN(D6)</f>
        <v>42</v>
      </c>
      <c r="G6" s="21">
        <f t="shared" ref="G6:G46" si="1">LEN(E6)</f>
        <v>307</v>
      </c>
    </row>
    <row r="7" customHeight="1" spans="1:7">
      <c r="A7" s="22"/>
      <c r="B7" s="23"/>
      <c r="C7" s="18" t="s">
        <v>34</v>
      </c>
      <c r="D7" s="24" t="s">
        <v>314</v>
      </c>
      <c r="E7" s="25" t="s">
        <v>315</v>
      </c>
      <c r="F7" s="21">
        <f t="shared" si="0"/>
        <v>17</v>
      </c>
      <c r="G7" s="21">
        <f t="shared" si="1"/>
        <v>79</v>
      </c>
    </row>
    <row r="8" customHeight="1" spans="1:7">
      <c r="A8" s="16">
        <v>4</v>
      </c>
      <c r="B8" s="17" t="str">
        <f>D9</f>
        <v>锵锵拾遗 8 世家大族做官的理由是什么？</v>
      </c>
      <c r="C8" s="18" t="s">
        <v>29</v>
      </c>
      <c r="D8" s="19" t="s">
        <v>316</v>
      </c>
      <c r="E8" s="20" t="s">
        <v>317</v>
      </c>
      <c r="F8" s="21">
        <f t="shared" si="0"/>
        <v>109</v>
      </c>
      <c r="G8" s="21">
        <f t="shared" si="1"/>
        <v>379</v>
      </c>
    </row>
    <row r="9" customHeight="1" spans="1:7">
      <c r="A9" s="22"/>
      <c r="B9" s="23"/>
      <c r="C9" s="18" t="s">
        <v>34</v>
      </c>
      <c r="D9" s="24" t="s">
        <v>318</v>
      </c>
      <c r="E9" s="25" t="s">
        <v>319</v>
      </c>
      <c r="F9" s="21">
        <f t="shared" si="0"/>
        <v>20</v>
      </c>
      <c r="G9" s="21">
        <f t="shared" si="1"/>
        <v>59</v>
      </c>
    </row>
    <row r="10" customHeight="1" spans="1:7">
      <c r="A10" s="16">
        <v>5</v>
      </c>
      <c r="B10" s="17" t="str">
        <f>D11</f>
        <v>蕃尼看世界之奇遇冒险 8 普者黑摸鱼挖藕挑战</v>
      </c>
      <c r="C10" s="18" t="s">
        <v>29</v>
      </c>
      <c r="D10" s="19" t="s">
        <v>320</v>
      </c>
      <c r="E10" s="20" t="s">
        <v>321</v>
      </c>
      <c r="F10" s="21">
        <f t="shared" si="0"/>
        <v>78</v>
      </c>
      <c r="G10" s="21">
        <f t="shared" si="1"/>
        <v>242</v>
      </c>
    </row>
    <row r="11" customHeight="1" spans="1:7">
      <c r="A11" s="22"/>
      <c r="B11" s="23"/>
      <c r="C11" s="18" t="s">
        <v>34</v>
      </c>
      <c r="D11" s="24" t="s">
        <v>322</v>
      </c>
      <c r="E11" s="25" t="s">
        <v>323</v>
      </c>
      <c r="F11" s="21">
        <f t="shared" si="0"/>
        <v>22</v>
      </c>
      <c r="G11" s="21">
        <f t="shared" si="1"/>
        <v>58</v>
      </c>
    </row>
    <row r="12" customHeight="1" spans="1:7">
      <c r="A12" s="16">
        <v>6</v>
      </c>
      <c r="B12" s="17" t="str">
        <f>D13</f>
        <v>冰火魔厨 8</v>
      </c>
      <c r="C12" s="18" t="s">
        <v>29</v>
      </c>
      <c r="D12" s="19" t="s">
        <v>324</v>
      </c>
      <c r="E12" s="20" t="s">
        <v>325</v>
      </c>
      <c r="F12" s="21">
        <f t="shared" si="0"/>
        <v>32</v>
      </c>
      <c r="G12" s="21">
        <f t="shared" si="1"/>
        <v>447</v>
      </c>
    </row>
    <row r="13" customHeight="1" spans="1:7">
      <c r="A13" s="22"/>
      <c r="B13" s="23"/>
      <c r="C13" s="18" t="s">
        <v>34</v>
      </c>
      <c r="D13" s="24" t="s">
        <v>326</v>
      </c>
      <c r="E13" s="25" t="s">
        <v>327</v>
      </c>
      <c r="F13" s="21">
        <f t="shared" si="0"/>
        <v>6</v>
      </c>
      <c r="G13" s="21">
        <f t="shared" si="1"/>
        <v>74</v>
      </c>
    </row>
    <row r="14" customHeight="1" spans="1:7">
      <c r="A14" s="16">
        <v>7</v>
      </c>
      <c r="B14" s="17" t="str">
        <f>D15</f>
        <v>暗河传 8</v>
      </c>
      <c r="C14" s="18" t="s">
        <v>29</v>
      </c>
      <c r="D14" s="19" t="s">
        <v>328</v>
      </c>
      <c r="E14" s="20" t="s">
        <v>329</v>
      </c>
      <c r="F14" s="21">
        <f t="shared" si="0"/>
        <v>20</v>
      </c>
      <c r="G14" s="21">
        <f t="shared" si="1"/>
        <v>395</v>
      </c>
    </row>
    <row r="15" customHeight="1" spans="1:7">
      <c r="A15" s="22"/>
      <c r="B15" s="23"/>
      <c r="C15" s="18" t="s">
        <v>34</v>
      </c>
      <c r="D15" s="24" t="s">
        <v>330</v>
      </c>
      <c r="E15" s="25" t="s">
        <v>331</v>
      </c>
      <c r="F15" s="21">
        <f t="shared" si="0"/>
        <v>5</v>
      </c>
      <c r="G15" s="21">
        <f t="shared" si="1"/>
        <v>85</v>
      </c>
    </row>
    <row r="16" customHeight="1" spans="1:7">
      <c r="A16" s="16">
        <v>8</v>
      </c>
      <c r="B16" s="17" t="str">
        <f>D17</f>
        <v>沧元图 8</v>
      </c>
      <c r="C16" s="18" t="s">
        <v>29</v>
      </c>
      <c r="D16" s="19" t="s">
        <v>332</v>
      </c>
      <c r="E16" s="20" t="s">
        <v>333</v>
      </c>
      <c r="F16" s="21">
        <f t="shared" si="0"/>
        <v>18</v>
      </c>
      <c r="G16" s="21">
        <f t="shared" si="1"/>
        <v>444</v>
      </c>
    </row>
    <row r="17" customHeight="1" spans="1:7">
      <c r="A17" s="22"/>
      <c r="B17" s="23"/>
      <c r="C17" s="18" t="s">
        <v>34</v>
      </c>
      <c r="D17" s="24" t="s">
        <v>334</v>
      </c>
      <c r="E17" s="25" t="s">
        <v>335</v>
      </c>
      <c r="F17" s="21">
        <f t="shared" si="0"/>
        <v>5</v>
      </c>
      <c r="G17" s="21">
        <f t="shared" si="1"/>
        <v>82</v>
      </c>
    </row>
    <row r="18" customHeight="1" spans="1:7">
      <c r="A18" s="16">
        <v>9</v>
      </c>
      <c r="B18" s="17" t="str">
        <f>D19</f>
        <v>飞驰人生热爱篇 8</v>
      </c>
      <c r="C18" s="18" t="s">
        <v>29</v>
      </c>
      <c r="D18" s="19" t="s">
        <v>336</v>
      </c>
      <c r="E18" s="20" t="s">
        <v>337</v>
      </c>
      <c r="F18" s="21">
        <f t="shared" si="0"/>
        <v>17</v>
      </c>
      <c r="G18" s="21">
        <f t="shared" si="1"/>
        <v>312</v>
      </c>
    </row>
    <row r="19" customHeight="1" spans="1:7">
      <c r="A19" s="22"/>
      <c r="B19" s="23"/>
      <c r="C19" s="18" t="s">
        <v>34</v>
      </c>
      <c r="D19" s="24" t="s">
        <v>338</v>
      </c>
      <c r="E19" s="25" t="s">
        <v>339</v>
      </c>
      <c r="F19" s="21">
        <f t="shared" si="0"/>
        <v>9</v>
      </c>
      <c r="G19" s="21">
        <f t="shared" si="1"/>
        <v>51</v>
      </c>
    </row>
    <row r="20" customHeight="1" spans="1:7">
      <c r="A20" s="16">
        <v>10</v>
      </c>
      <c r="B20" s="17" t="str">
        <f>D21</f>
        <v>别对我动心 8</v>
      </c>
      <c r="C20" s="18" t="s">
        <v>29</v>
      </c>
      <c r="D20" s="19" t="s">
        <v>340</v>
      </c>
      <c r="E20" s="20" t="s">
        <v>341</v>
      </c>
      <c r="F20" s="21">
        <f t="shared" si="0"/>
        <v>19</v>
      </c>
      <c r="G20" s="21">
        <f t="shared" si="1"/>
        <v>616</v>
      </c>
    </row>
    <row r="21" customHeight="1" spans="1:7">
      <c r="A21" s="22"/>
      <c r="B21" s="23"/>
      <c r="C21" s="18" t="s">
        <v>34</v>
      </c>
      <c r="D21" s="24" t="s">
        <v>342</v>
      </c>
      <c r="E21" s="25" t="s">
        <v>343</v>
      </c>
      <c r="F21" s="21">
        <f t="shared" si="0"/>
        <v>7</v>
      </c>
      <c r="G21" s="21">
        <f t="shared" si="1"/>
        <v>137</v>
      </c>
    </row>
    <row r="22" customHeight="1" spans="1:7">
      <c r="A22" s="16">
        <v>11</v>
      </c>
      <c r="B22" s="17" t="str">
        <f>D23</f>
        <v>师兄啊师兄 7</v>
      </c>
      <c r="C22" s="18" t="s">
        <v>29</v>
      </c>
      <c r="D22" s="19" t="s">
        <v>344</v>
      </c>
      <c r="E22" s="20" t="s">
        <v>345</v>
      </c>
      <c r="F22" s="21">
        <f t="shared" si="0"/>
        <v>33</v>
      </c>
      <c r="G22" s="21">
        <f t="shared" si="1"/>
        <v>485</v>
      </c>
    </row>
    <row r="23" customHeight="1" spans="1:7">
      <c r="A23" s="22"/>
      <c r="B23" s="23"/>
      <c r="C23" s="18" t="s">
        <v>34</v>
      </c>
      <c r="D23" s="24" t="s">
        <v>346</v>
      </c>
      <c r="E23" s="25" t="s">
        <v>347</v>
      </c>
      <c r="F23" s="21">
        <f t="shared" si="0"/>
        <v>7</v>
      </c>
      <c r="G23" s="21">
        <f t="shared" si="1"/>
        <v>119</v>
      </c>
    </row>
    <row r="24" customHeight="1" spans="1:7">
      <c r="A24" s="16">
        <v>12</v>
      </c>
      <c r="B24" s="17" t="str">
        <f>D25</f>
        <v>汉唐文化</v>
      </c>
      <c r="C24" s="18" t="s">
        <v>29</v>
      </c>
      <c r="D24" s="19" t="s">
        <v>348</v>
      </c>
      <c r="E24" s="20" t="s">
        <v>349</v>
      </c>
      <c r="F24" s="21">
        <f t="shared" si="0"/>
        <v>15</v>
      </c>
      <c r="G24" s="21">
        <f t="shared" si="1"/>
        <v>190</v>
      </c>
    </row>
    <row r="25" customHeight="1" spans="1:7">
      <c r="A25" s="22"/>
      <c r="B25" s="23"/>
      <c r="C25" s="18" t="s">
        <v>34</v>
      </c>
      <c r="D25" s="24" t="s">
        <v>350</v>
      </c>
      <c r="E25" s="25" t="s">
        <v>351</v>
      </c>
      <c r="F25" s="21">
        <f t="shared" si="0"/>
        <v>4</v>
      </c>
      <c r="G25" s="21">
        <f t="shared" si="1"/>
        <v>44</v>
      </c>
    </row>
    <row r="26" customHeight="1" spans="1:7">
      <c r="A26" s="16">
        <v>13</v>
      </c>
      <c r="B26" s="17" t="str">
        <f>D27</f>
        <v>中国 第一季 5</v>
      </c>
      <c r="C26" s="18" t="s">
        <v>29</v>
      </c>
      <c r="D26" s="19" t="s">
        <v>352</v>
      </c>
      <c r="E26" s="20" t="s">
        <v>353</v>
      </c>
      <c r="F26" s="21">
        <f t="shared" si="0"/>
        <v>12</v>
      </c>
      <c r="G26" s="21">
        <f t="shared" si="1"/>
        <v>133</v>
      </c>
    </row>
    <row r="27" customHeight="1" spans="1:7">
      <c r="A27" s="22"/>
      <c r="B27" s="23"/>
      <c r="C27" s="18" t="s">
        <v>34</v>
      </c>
      <c r="D27" s="24" t="s">
        <v>354</v>
      </c>
      <c r="E27" s="25" t="s">
        <v>355</v>
      </c>
      <c r="F27" s="21">
        <f t="shared" si="0"/>
        <v>8</v>
      </c>
      <c r="G27" s="21">
        <f t="shared" si="1"/>
        <v>59</v>
      </c>
    </row>
    <row r="28" customHeight="1" spans="1:7">
      <c r="A28" s="16">
        <v>14</v>
      </c>
      <c r="B28" s="17" t="str">
        <f>D29</f>
        <v>中国 第一季 4</v>
      </c>
      <c r="C28" s="18" t="s">
        <v>29</v>
      </c>
      <c r="D28" s="19" t="s">
        <v>356</v>
      </c>
      <c r="E28" s="20" t="s">
        <v>353</v>
      </c>
      <c r="F28" s="21">
        <f t="shared" si="0"/>
        <v>12</v>
      </c>
      <c r="G28" s="21">
        <f t="shared" si="1"/>
        <v>133</v>
      </c>
    </row>
    <row r="29" customHeight="1" spans="1:7">
      <c r="A29" s="22"/>
      <c r="B29" s="23"/>
      <c r="C29" s="18" t="s">
        <v>34</v>
      </c>
      <c r="D29" s="24" t="s">
        <v>357</v>
      </c>
      <c r="E29" s="25" t="s">
        <v>355</v>
      </c>
      <c r="F29" s="21">
        <f t="shared" si="0"/>
        <v>8</v>
      </c>
      <c r="G29" s="21">
        <f t="shared" si="1"/>
        <v>59</v>
      </c>
    </row>
    <row r="30" customHeight="1" spans="1:7">
      <c r="A30" s="16">
        <v>15</v>
      </c>
      <c r="B30" s="17" t="str">
        <f>D31</f>
        <v>我的美食向导 14 云之南（下）</v>
      </c>
      <c r="C30" s="18" t="s">
        <v>29</v>
      </c>
      <c r="D30" s="19" t="s">
        <v>358</v>
      </c>
      <c r="E30" s="20" t="s">
        <v>359</v>
      </c>
      <c r="F30" s="21">
        <f t="shared" si="0"/>
        <v>38</v>
      </c>
      <c r="G30" s="21">
        <f t="shared" si="1"/>
        <v>238</v>
      </c>
    </row>
    <row r="31" customHeight="1" spans="1:7">
      <c r="A31" s="22"/>
      <c r="B31" s="23"/>
      <c r="C31" s="18" t="s">
        <v>34</v>
      </c>
      <c r="D31" s="24" t="s">
        <v>360</v>
      </c>
      <c r="E31" s="25" t="s">
        <v>361</v>
      </c>
      <c r="F31" s="21">
        <f t="shared" si="0"/>
        <v>16</v>
      </c>
      <c r="G31" s="21">
        <f t="shared" si="1"/>
        <v>59</v>
      </c>
    </row>
    <row r="32" customHeight="1" spans="1:7">
      <c r="A32" s="16">
        <v>16</v>
      </c>
      <c r="B32" s="17" t="str">
        <f>D33</f>
        <v>我的美食向导 13 云之南（上）</v>
      </c>
      <c r="C32" s="18" t="s">
        <v>29</v>
      </c>
      <c r="D32" s="19" t="s">
        <v>362</v>
      </c>
      <c r="E32" s="20" t="s">
        <v>359</v>
      </c>
      <c r="F32" s="21">
        <f t="shared" si="0"/>
        <v>38</v>
      </c>
      <c r="G32" s="21">
        <f t="shared" si="1"/>
        <v>238</v>
      </c>
    </row>
    <row r="33" customHeight="1" spans="1:7">
      <c r="A33" s="22"/>
      <c r="B33" s="23"/>
      <c r="C33" s="18" t="s">
        <v>34</v>
      </c>
      <c r="D33" s="24" t="s">
        <v>363</v>
      </c>
      <c r="E33" s="25" t="s">
        <v>361</v>
      </c>
      <c r="F33" s="21">
        <f t="shared" si="0"/>
        <v>16</v>
      </c>
      <c r="G33" s="21">
        <f t="shared" si="1"/>
        <v>59</v>
      </c>
    </row>
    <row r="34" customHeight="1" spans="1:7">
      <c r="A34" s="16">
        <v>17</v>
      </c>
      <c r="B34" s="17" t="str">
        <f>D35</f>
        <v>新三峡 7 梦</v>
      </c>
      <c r="C34" s="18" t="s">
        <v>29</v>
      </c>
      <c r="D34" s="19" t="s">
        <v>364</v>
      </c>
      <c r="E34" s="20" t="s">
        <v>365</v>
      </c>
      <c r="F34" s="21">
        <f t="shared" si="0"/>
        <v>24</v>
      </c>
      <c r="G34" s="21">
        <f t="shared" si="1"/>
        <v>132</v>
      </c>
    </row>
    <row r="35" customHeight="1" spans="1:7">
      <c r="A35" s="22"/>
      <c r="B35" s="23"/>
      <c r="C35" s="18" t="s">
        <v>34</v>
      </c>
      <c r="D35" s="24" t="s">
        <v>366</v>
      </c>
      <c r="E35" s="25" t="s">
        <v>367</v>
      </c>
      <c r="F35" s="21">
        <f t="shared" si="0"/>
        <v>7</v>
      </c>
      <c r="G35" s="21">
        <f t="shared" si="1"/>
        <v>33</v>
      </c>
    </row>
    <row r="36" customHeight="1" spans="1:7">
      <c r="A36" s="16">
        <v>18</v>
      </c>
      <c r="B36" s="17" t="str">
        <f>D37</f>
        <v>新三峡 6 城</v>
      </c>
      <c r="C36" s="18" t="s">
        <v>29</v>
      </c>
      <c r="D36" s="19" t="s">
        <v>368</v>
      </c>
      <c r="E36" s="20" t="s">
        <v>365</v>
      </c>
      <c r="F36" s="21">
        <f t="shared" si="0"/>
        <v>23</v>
      </c>
      <c r="G36" s="21">
        <f t="shared" si="1"/>
        <v>132</v>
      </c>
    </row>
    <row r="37" customHeight="1" spans="1:7">
      <c r="A37" s="22"/>
      <c r="B37" s="23"/>
      <c r="C37" s="18" t="s">
        <v>34</v>
      </c>
      <c r="D37" s="24" t="s">
        <v>369</v>
      </c>
      <c r="E37" s="25" t="s">
        <v>367</v>
      </c>
      <c r="F37" s="21">
        <f t="shared" si="0"/>
        <v>7</v>
      </c>
      <c r="G37" s="21">
        <f t="shared" si="1"/>
        <v>33</v>
      </c>
    </row>
    <row r="38" customHeight="1" spans="1:7">
      <c r="A38" s="16">
        <v>19</v>
      </c>
      <c r="B38" s="17" t="str">
        <f>D39</f>
        <v>喜事 4 云朵上的婚礼</v>
      </c>
      <c r="C38" s="18" t="s">
        <v>29</v>
      </c>
      <c r="D38" s="19" t="s">
        <v>370</v>
      </c>
      <c r="E38" s="20" t="s">
        <v>371</v>
      </c>
      <c r="F38" s="21">
        <f t="shared" si="0"/>
        <v>31</v>
      </c>
      <c r="G38" s="21">
        <f t="shared" si="1"/>
        <v>134</v>
      </c>
    </row>
    <row r="39" customHeight="1" spans="1:7">
      <c r="A39" s="22"/>
      <c r="B39" s="23"/>
      <c r="C39" s="18" t="s">
        <v>34</v>
      </c>
      <c r="D39" s="24" t="s">
        <v>372</v>
      </c>
      <c r="E39" s="25" t="s">
        <v>373</v>
      </c>
      <c r="F39" s="21">
        <f t="shared" si="0"/>
        <v>11</v>
      </c>
      <c r="G39" s="21">
        <f t="shared" si="1"/>
        <v>27</v>
      </c>
    </row>
    <row r="40" customHeight="1" spans="1:7">
      <c r="A40" s="16">
        <v>20</v>
      </c>
      <c r="B40" s="17" t="str">
        <f>D41</f>
        <v>喜事 3 情系乌苏里</v>
      </c>
      <c r="C40" s="18" t="s">
        <v>29</v>
      </c>
      <c r="D40" s="19" t="s">
        <v>374</v>
      </c>
      <c r="E40" s="20" t="s">
        <v>375</v>
      </c>
      <c r="F40" s="21">
        <f t="shared" si="0"/>
        <v>24</v>
      </c>
      <c r="G40" s="21">
        <f t="shared" si="1"/>
        <v>134</v>
      </c>
    </row>
    <row r="41" customHeight="1" spans="1:7">
      <c r="A41" s="22"/>
      <c r="B41" s="23"/>
      <c r="C41" s="18" t="s">
        <v>34</v>
      </c>
      <c r="D41" s="24" t="s">
        <v>376</v>
      </c>
      <c r="E41" s="25" t="s">
        <v>377</v>
      </c>
      <c r="F41" s="21">
        <f t="shared" si="0"/>
        <v>10</v>
      </c>
      <c r="G41" s="21">
        <f t="shared" si="1"/>
        <v>28</v>
      </c>
    </row>
    <row r="42" customHeight="1" spans="1:7">
      <c r="A42" s="16">
        <v>21</v>
      </c>
      <c r="B42" s="17" t="str">
        <f>D43</f>
        <v>巴金 2 激流火焰</v>
      </c>
      <c r="C42" s="18" t="s">
        <v>29</v>
      </c>
      <c r="D42" s="19" t="s">
        <v>378</v>
      </c>
      <c r="E42" s="20" t="s">
        <v>379</v>
      </c>
      <c r="F42" s="21">
        <f t="shared" si="0"/>
        <v>22</v>
      </c>
      <c r="G42" s="21">
        <f t="shared" si="1"/>
        <v>76</v>
      </c>
    </row>
    <row r="43" customHeight="1" spans="1:7">
      <c r="A43" s="22"/>
      <c r="B43" s="23"/>
      <c r="C43" s="18" t="s">
        <v>34</v>
      </c>
      <c r="D43" s="24" t="s">
        <v>380</v>
      </c>
      <c r="E43" s="25" t="s">
        <v>381</v>
      </c>
      <c r="F43" s="21">
        <f t="shared" si="0"/>
        <v>9</v>
      </c>
      <c r="G43" s="21">
        <f t="shared" si="1"/>
        <v>22</v>
      </c>
    </row>
    <row r="44" customHeight="1" spans="1:7">
      <c r="A44" s="16">
        <v>22</v>
      </c>
      <c r="B44" s="17" t="str">
        <f>D45</f>
        <v>巴金 1 世纪长歌</v>
      </c>
      <c r="C44" s="18" t="s">
        <v>29</v>
      </c>
      <c r="D44" s="19" t="s">
        <v>382</v>
      </c>
      <c r="E44" s="20" t="s">
        <v>379</v>
      </c>
      <c r="F44" s="21">
        <f t="shared" si="0"/>
        <v>33</v>
      </c>
      <c r="G44" s="21">
        <f t="shared" si="1"/>
        <v>76</v>
      </c>
    </row>
    <row r="45" customHeight="1" spans="1:7">
      <c r="A45" s="22"/>
      <c r="B45" s="23"/>
      <c r="C45" s="18" t="s">
        <v>34</v>
      </c>
      <c r="D45" s="24" t="s">
        <v>383</v>
      </c>
      <c r="E45" s="25" t="s">
        <v>381</v>
      </c>
      <c r="F45" s="21">
        <f t="shared" ref="F45:F54" si="2">LEN(D45)</f>
        <v>9</v>
      </c>
      <c r="G45" s="21">
        <f t="shared" ref="G45:G54" si="3">LEN(E45)</f>
        <v>22</v>
      </c>
    </row>
    <row r="46" customHeight="1" spans="1:7">
      <c r="A46" s="16">
        <v>23</v>
      </c>
      <c r="B46" s="17" t="str">
        <f>D47</f>
        <v>敦煌遇见绍兴 2 书法双圣</v>
      </c>
      <c r="C46" s="18" t="s">
        <v>29</v>
      </c>
      <c r="D46" s="19" t="s">
        <v>384</v>
      </c>
      <c r="E46" s="20" t="s">
        <v>385</v>
      </c>
      <c r="F46" s="21">
        <f t="shared" si="2"/>
        <v>50</v>
      </c>
      <c r="G46" s="21">
        <f t="shared" si="3"/>
        <v>275</v>
      </c>
    </row>
    <row r="47" customHeight="1" spans="1:7">
      <c r="A47" s="22"/>
      <c r="B47" s="23"/>
      <c r="C47" s="18" t="s">
        <v>34</v>
      </c>
      <c r="D47" s="24" t="s">
        <v>386</v>
      </c>
      <c r="E47" s="25" t="s">
        <v>387</v>
      </c>
      <c r="F47" s="21">
        <f t="shared" si="2"/>
        <v>13</v>
      </c>
      <c r="G47" s="21">
        <f t="shared" si="3"/>
        <v>61</v>
      </c>
    </row>
    <row r="48" customHeight="1" spans="1:7">
      <c r="A48" s="16">
        <v>24</v>
      </c>
      <c r="B48" s="17" t="str">
        <f>D49</f>
        <v>大泰山 3 与国咸宁</v>
      </c>
      <c r="C48" s="18" t="s">
        <v>29</v>
      </c>
      <c r="D48" s="19" t="s">
        <v>388</v>
      </c>
      <c r="E48" s="20" t="s">
        <v>389</v>
      </c>
      <c r="F48" s="21">
        <f t="shared" si="2"/>
        <v>61</v>
      </c>
      <c r="G48" s="21">
        <f t="shared" si="3"/>
        <v>289</v>
      </c>
    </row>
    <row r="49" customHeight="1" spans="1:7">
      <c r="A49" s="22"/>
      <c r="B49" s="23"/>
      <c r="C49" s="18" t="s">
        <v>34</v>
      </c>
      <c r="D49" s="24" t="s">
        <v>390</v>
      </c>
      <c r="E49" s="25" t="s">
        <v>391</v>
      </c>
      <c r="F49" s="21">
        <f t="shared" si="2"/>
        <v>10</v>
      </c>
      <c r="G49" s="21">
        <f t="shared" si="3"/>
        <v>67</v>
      </c>
    </row>
    <row r="50" customHeight="1" spans="1:7">
      <c r="A50" s="16">
        <v>25</v>
      </c>
      <c r="B50" s="17" t="str">
        <f>D51</f>
        <v>中国草 3 走进春天</v>
      </c>
      <c r="C50" s="18" t="s">
        <v>29</v>
      </c>
      <c r="D50" s="19" t="s">
        <v>392</v>
      </c>
      <c r="E50" s="20" t="s">
        <v>393</v>
      </c>
      <c r="F50" s="21">
        <f t="shared" si="2"/>
        <v>32</v>
      </c>
      <c r="G50" s="21">
        <f t="shared" si="3"/>
        <v>306</v>
      </c>
    </row>
    <row r="51" customHeight="1" spans="1:7">
      <c r="A51" s="22"/>
      <c r="B51" s="23"/>
      <c r="C51" s="18" t="s">
        <v>34</v>
      </c>
      <c r="D51" s="24" t="s">
        <v>394</v>
      </c>
      <c r="E51" s="25" t="s">
        <v>395</v>
      </c>
      <c r="F51" s="21">
        <f t="shared" si="2"/>
        <v>10</v>
      </c>
      <c r="G51" s="21">
        <f t="shared" si="3"/>
        <v>70</v>
      </c>
    </row>
    <row r="52" customHeight="1" spans="1:7">
      <c r="A52" s="16">
        <v>26</v>
      </c>
      <c r="B52" s="17" t="str">
        <f>D53</f>
        <v>行走世界菜市场 12</v>
      </c>
      <c r="C52" s="18" t="s">
        <v>29</v>
      </c>
      <c r="D52" s="19" t="s">
        <v>396</v>
      </c>
      <c r="E52" s="20" t="s">
        <v>397</v>
      </c>
      <c r="F52" s="21">
        <f t="shared" si="2"/>
        <v>17</v>
      </c>
      <c r="G52" s="21">
        <f t="shared" si="3"/>
        <v>158</v>
      </c>
    </row>
    <row r="53" customHeight="1" spans="1:7">
      <c r="A53" s="22"/>
      <c r="B53" s="23"/>
      <c r="C53" s="18" t="s">
        <v>34</v>
      </c>
      <c r="D53" s="24" t="s">
        <v>398</v>
      </c>
      <c r="E53" s="25" t="s">
        <v>399</v>
      </c>
      <c r="F53" s="21">
        <f t="shared" si="2"/>
        <v>10</v>
      </c>
      <c r="G53" s="21">
        <f t="shared" si="3"/>
        <v>72</v>
      </c>
    </row>
    <row r="54" customHeight="1" spans="1:7">
      <c r="A54" s="16">
        <v>27</v>
      </c>
      <c r="B54" s="17" t="str">
        <f>D55</f>
        <v>行走世界菜市场 11</v>
      </c>
      <c r="C54" s="18" t="s">
        <v>29</v>
      </c>
      <c r="D54" s="19" t="s">
        <v>400</v>
      </c>
      <c r="E54" s="20" t="s">
        <v>397</v>
      </c>
      <c r="F54" s="21">
        <f t="shared" si="2"/>
        <v>17</v>
      </c>
      <c r="G54" s="21">
        <f t="shared" si="3"/>
        <v>158</v>
      </c>
    </row>
    <row r="55" customHeight="1" spans="1:7">
      <c r="A55" s="22"/>
      <c r="B55" s="23"/>
      <c r="C55" s="18" t="s">
        <v>34</v>
      </c>
      <c r="D55" s="24" t="s">
        <v>401</v>
      </c>
      <c r="E55" s="25" t="s">
        <v>399</v>
      </c>
      <c r="F55" s="21">
        <f t="shared" ref="F55:F118" si="4">LEN(D55)</f>
        <v>10</v>
      </c>
      <c r="G55" s="21">
        <f t="shared" ref="G55:G118" si="5">LEN(E55)</f>
        <v>72</v>
      </c>
    </row>
    <row r="56" customHeight="1" spans="1:7">
      <c r="A56" s="16">
        <v>28</v>
      </c>
      <c r="B56" s="17" t="str">
        <f>D57</f>
        <v>香港自然故事 8 水岸篇 下</v>
      </c>
      <c r="C56" s="18" t="s">
        <v>29</v>
      </c>
      <c r="D56" s="19" t="s">
        <v>402</v>
      </c>
      <c r="E56" s="20" t="s">
        <v>403</v>
      </c>
      <c r="F56" s="21">
        <f t="shared" si="4"/>
        <v>50</v>
      </c>
      <c r="G56" s="21">
        <f t="shared" si="5"/>
        <v>99</v>
      </c>
    </row>
    <row r="57" customHeight="1" spans="1:7">
      <c r="A57" s="22"/>
      <c r="B57" s="23"/>
      <c r="C57" s="18" t="s">
        <v>34</v>
      </c>
      <c r="D57" s="24" t="s">
        <v>404</v>
      </c>
      <c r="E57" s="25" t="s">
        <v>405</v>
      </c>
      <c r="F57" s="21">
        <f t="shared" si="4"/>
        <v>14</v>
      </c>
      <c r="G57" s="21">
        <f t="shared" si="5"/>
        <v>21</v>
      </c>
    </row>
    <row r="58" customHeight="1" spans="1:7">
      <c r="A58" s="16">
        <v>29</v>
      </c>
      <c r="B58" s="17" t="str">
        <f>D59</f>
        <v>香港自然故事 7 水岸篇 上</v>
      </c>
      <c r="C58" s="18" t="s">
        <v>29</v>
      </c>
      <c r="D58" s="19" t="s">
        <v>406</v>
      </c>
      <c r="E58" s="20" t="s">
        <v>403</v>
      </c>
      <c r="F58" s="21">
        <f t="shared" si="4"/>
        <v>50</v>
      </c>
      <c r="G58" s="21">
        <f t="shared" si="5"/>
        <v>99</v>
      </c>
    </row>
    <row r="59" customHeight="1" spans="1:7">
      <c r="A59" s="22"/>
      <c r="B59" s="23"/>
      <c r="C59" s="18" t="s">
        <v>34</v>
      </c>
      <c r="D59" s="24" t="s">
        <v>407</v>
      </c>
      <c r="E59" s="25" t="s">
        <v>405</v>
      </c>
      <c r="F59" s="21">
        <f t="shared" si="4"/>
        <v>14</v>
      </c>
      <c r="G59" s="21">
        <f t="shared" si="5"/>
        <v>21</v>
      </c>
    </row>
    <row r="60" customHeight="1" spans="1:7">
      <c r="A60" s="16">
        <v>30</v>
      </c>
      <c r="B60" s="17" t="str">
        <f>D61</f>
        <v>青海 我们的国家公园 第二季 1 天地之间</v>
      </c>
      <c r="C60" s="18" t="s">
        <v>29</v>
      </c>
      <c r="D60" s="19" t="s">
        <v>408</v>
      </c>
      <c r="E60" s="20" t="s">
        <v>409</v>
      </c>
      <c r="F60" s="21">
        <f t="shared" si="4"/>
        <v>57</v>
      </c>
      <c r="G60" s="21">
        <f t="shared" si="5"/>
        <v>277</v>
      </c>
    </row>
    <row r="61" customHeight="1" spans="1:7">
      <c r="A61" s="22"/>
      <c r="B61" s="23"/>
      <c r="C61" s="18" t="s">
        <v>34</v>
      </c>
      <c r="D61" s="24" t="s">
        <v>410</v>
      </c>
      <c r="E61" s="25" t="s">
        <v>411</v>
      </c>
      <c r="F61" s="21">
        <f t="shared" si="4"/>
        <v>21</v>
      </c>
      <c r="G61" s="21">
        <f t="shared" si="5"/>
        <v>74</v>
      </c>
    </row>
    <row r="62" customHeight="1" spans="1:7">
      <c r="A62" s="16">
        <v>31</v>
      </c>
      <c r="B62" s="17" t="str">
        <f>D63</f>
        <v>自然传奇 睿智的大象</v>
      </c>
      <c r="C62" s="18" t="s">
        <v>29</v>
      </c>
      <c r="D62" s="19" t="s">
        <v>412</v>
      </c>
      <c r="E62" s="20" t="s">
        <v>413</v>
      </c>
      <c r="F62" s="21">
        <f t="shared" si="4"/>
        <v>29</v>
      </c>
      <c r="G62" s="21">
        <f t="shared" si="5"/>
        <v>241</v>
      </c>
    </row>
    <row r="63" customHeight="1" spans="1:7">
      <c r="A63" s="22"/>
      <c r="B63" s="23"/>
      <c r="C63" s="18" t="s">
        <v>34</v>
      </c>
      <c r="D63" s="24" t="s">
        <v>414</v>
      </c>
      <c r="E63" s="25" t="s">
        <v>415</v>
      </c>
      <c r="F63" s="21">
        <f t="shared" si="4"/>
        <v>10</v>
      </c>
      <c r="G63" s="21">
        <f t="shared" si="5"/>
        <v>59</v>
      </c>
    </row>
    <row r="64" customHeight="1" spans="1:7">
      <c r="A64" s="16">
        <v>32</v>
      </c>
      <c r="B64" s="17" t="str">
        <f>D65</f>
        <v>自然传奇 丛林精灵 狐猴</v>
      </c>
      <c r="C64" s="18" t="s">
        <v>29</v>
      </c>
      <c r="D64" s="19" t="s">
        <v>416</v>
      </c>
      <c r="E64" s="20" t="s">
        <v>413</v>
      </c>
      <c r="F64" s="21">
        <f t="shared" si="4"/>
        <v>35</v>
      </c>
      <c r="G64" s="21">
        <f t="shared" si="5"/>
        <v>241</v>
      </c>
    </row>
    <row r="65" customHeight="1" spans="1:7">
      <c r="A65" s="22"/>
      <c r="B65" s="23"/>
      <c r="C65" s="18" t="s">
        <v>34</v>
      </c>
      <c r="D65" s="24" t="s">
        <v>417</v>
      </c>
      <c r="E65" s="25" t="s">
        <v>415</v>
      </c>
      <c r="F65" s="21">
        <f t="shared" si="4"/>
        <v>12</v>
      </c>
      <c r="G65" s="21">
        <f t="shared" si="5"/>
        <v>59</v>
      </c>
    </row>
    <row r="66" customHeight="1" spans="1:7">
      <c r="A66" s="16">
        <v>33</v>
      </c>
      <c r="B66" s="17" t="str">
        <f>D67</f>
        <v>狩猎倒计时 1</v>
      </c>
      <c r="C66" s="18" t="s">
        <v>29</v>
      </c>
      <c r="D66" s="19" t="s">
        <v>418</v>
      </c>
      <c r="E66" s="20" t="s">
        <v>419</v>
      </c>
      <c r="F66" s="21">
        <f t="shared" si="4"/>
        <v>23</v>
      </c>
      <c r="G66" s="21">
        <f t="shared" si="5"/>
        <v>135</v>
      </c>
    </row>
    <row r="67" customHeight="1" spans="1:7">
      <c r="A67" s="22"/>
      <c r="B67" s="23"/>
      <c r="C67" s="18" t="s">
        <v>34</v>
      </c>
      <c r="D67" s="24" t="s">
        <v>420</v>
      </c>
      <c r="E67" s="25" t="s">
        <v>421</v>
      </c>
      <c r="F67" s="21">
        <f t="shared" si="4"/>
        <v>7</v>
      </c>
      <c r="G67" s="21">
        <f t="shared" si="5"/>
        <v>40</v>
      </c>
    </row>
    <row r="68" customHeight="1" spans="1:7">
      <c r="A68" s="16">
        <v>34</v>
      </c>
      <c r="B68" s="17" t="str">
        <f>D69</f>
        <v>迁徙的鸟 2</v>
      </c>
      <c r="C68" s="18" t="s">
        <v>29</v>
      </c>
      <c r="D68" s="19" t="s">
        <v>422</v>
      </c>
      <c r="E68" s="20" t="s">
        <v>423</v>
      </c>
      <c r="F68" s="21">
        <f t="shared" si="4"/>
        <v>20</v>
      </c>
      <c r="G68" s="21">
        <f t="shared" si="5"/>
        <v>104</v>
      </c>
    </row>
    <row r="69" customHeight="1" spans="1:7">
      <c r="A69" s="22"/>
      <c r="B69" s="23"/>
      <c r="C69" s="18" t="s">
        <v>34</v>
      </c>
      <c r="D69" s="24" t="s">
        <v>424</v>
      </c>
      <c r="E69" s="25" t="s">
        <v>425</v>
      </c>
      <c r="F69" s="21">
        <f t="shared" si="4"/>
        <v>6</v>
      </c>
      <c r="G69" s="21">
        <f t="shared" si="5"/>
        <v>27</v>
      </c>
    </row>
    <row r="70" customHeight="1" spans="1:7">
      <c r="A70" s="16">
        <v>35</v>
      </c>
      <c r="B70" s="17" t="str">
        <f>D71</f>
        <v>与鲸共舞 2</v>
      </c>
      <c r="C70" s="18" t="s">
        <v>29</v>
      </c>
      <c r="D70" s="19" t="s">
        <v>426</v>
      </c>
      <c r="E70" s="20" t="s">
        <v>427</v>
      </c>
      <c r="F70" s="21">
        <f t="shared" si="4"/>
        <v>31</v>
      </c>
      <c r="G70" s="21">
        <f t="shared" si="5"/>
        <v>148</v>
      </c>
    </row>
    <row r="71" customHeight="1" spans="1:7">
      <c r="A71" s="22"/>
      <c r="B71" s="23"/>
      <c r="C71" s="18" t="s">
        <v>34</v>
      </c>
      <c r="D71" s="24" t="s">
        <v>428</v>
      </c>
      <c r="E71" s="25" t="s">
        <v>429</v>
      </c>
      <c r="F71" s="21">
        <f t="shared" si="4"/>
        <v>6</v>
      </c>
      <c r="G71" s="21">
        <f t="shared" si="5"/>
        <v>47</v>
      </c>
    </row>
    <row r="72" customHeight="1" spans="1:7">
      <c r="A72" s="16">
        <v>36</v>
      </c>
      <c r="B72" s="17" t="str">
        <f>D73</f>
        <v>我在他乡挺好的 12</v>
      </c>
      <c r="C72" s="18" t="s">
        <v>29</v>
      </c>
      <c r="D72" s="26" t="s">
        <v>430</v>
      </c>
      <c r="E72" s="20" t="s">
        <v>431</v>
      </c>
      <c r="F72" s="21">
        <f t="shared" si="4"/>
        <v>31</v>
      </c>
      <c r="G72" s="21">
        <f t="shared" si="5"/>
        <v>144</v>
      </c>
    </row>
    <row r="73" customHeight="1" spans="1:7">
      <c r="A73" s="22"/>
      <c r="B73" s="23"/>
      <c r="C73" s="18" t="s">
        <v>34</v>
      </c>
      <c r="D73" s="24" t="s">
        <v>432</v>
      </c>
      <c r="E73" s="25" t="s">
        <v>433</v>
      </c>
      <c r="F73" s="21">
        <f t="shared" si="4"/>
        <v>10</v>
      </c>
      <c r="G73" s="21">
        <f t="shared" si="5"/>
        <v>63</v>
      </c>
    </row>
    <row r="74" customHeight="1" spans="1:7">
      <c r="A74" s="16">
        <v>37</v>
      </c>
      <c r="B74" s="17" t="str">
        <f>D75</f>
        <v>我在他乡挺好的 11</v>
      </c>
      <c r="C74" s="18" t="s">
        <v>29</v>
      </c>
      <c r="D74" s="26" t="s">
        <v>434</v>
      </c>
      <c r="E74" s="20" t="s">
        <v>431</v>
      </c>
      <c r="F74" s="21">
        <f t="shared" si="4"/>
        <v>31</v>
      </c>
      <c r="G74" s="21">
        <f t="shared" si="5"/>
        <v>144</v>
      </c>
    </row>
    <row r="75" customHeight="1" spans="1:7">
      <c r="A75" s="22"/>
      <c r="B75" s="23"/>
      <c r="C75" s="18" t="s">
        <v>34</v>
      </c>
      <c r="D75" s="24" t="s">
        <v>435</v>
      </c>
      <c r="E75" s="25" t="s">
        <v>433</v>
      </c>
      <c r="F75" s="21">
        <f t="shared" si="4"/>
        <v>10</v>
      </c>
      <c r="G75" s="21">
        <f t="shared" si="5"/>
        <v>63</v>
      </c>
    </row>
    <row r="76" customHeight="1" spans="1:7">
      <c r="A76" s="16">
        <v>38</v>
      </c>
      <c r="B76" s="17" t="str">
        <f>D77</f>
        <v>我在他乡挺好的 10</v>
      </c>
      <c r="C76" s="18" t="s">
        <v>29</v>
      </c>
      <c r="D76" s="26" t="s">
        <v>436</v>
      </c>
      <c r="E76" s="20" t="s">
        <v>431</v>
      </c>
      <c r="F76" s="21">
        <f t="shared" si="4"/>
        <v>31</v>
      </c>
      <c r="G76" s="21">
        <f t="shared" si="5"/>
        <v>144</v>
      </c>
    </row>
    <row r="77" customHeight="1" spans="1:7">
      <c r="A77" s="22"/>
      <c r="B77" s="23"/>
      <c r="C77" s="18" t="s">
        <v>34</v>
      </c>
      <c r="D77" s="24" t="s">
        <v>437</v>
      </c>
      <c r="E77" s="25" t="s">
        <v>433</v>
      </c>
      <c r="F77" s="21">
        <f t="shared" si="4"/>
        <v>10</v>
      </c>
      <c r="G77" s="21">
        <f t="shared" si="5"/>
        <v>63</v>
      </c>
    </row>
    <row r="78" customHeight="1" spans="1:7">
      <c r="A78" s="16">
        <v>39</v>
      </c>
      <c r="B78" s="17" t="str">
        <f>D79</f>
        <v>我在他乡挺好的 9</v>
      </c>
      <c r="C78" s="18" t="s">
        <v>29</v>
      </c>
      <c r="D78" s="26" t="s">
        <v>438</v>
      </c>
      <c r="E78" s="20" t="s">
        <v>431</v>
      </c>
      <c r="F78" s="21">
        <f t="shared" si="4"/>
        <v>31</v>
      </c>
      <c r="G78" s="21">
        <f t="shared" si="5"/>
        <v>144</v>
      </c>
    </row>
    <row r="79" customHeight="1" spans="1:7">
      <c r="A79" s="22"/>
      <c r="B79" s="23"/>
      <c r="C79" s="18" t="s">
        <v>34</v>
      </c>
      <c r="D79" s="24" t="s">
        <v>439</v>
      </c>
      <c r="E79" s="25" t="s">
        <v>433</v>
      </c>
      <c r="F79" s="21">
        <f t="shared" si="4"/>
        <v>9</v>
      </c>
      <c r="G79" s="21">
        <f t="shared" si="5"/>
        <v>63</v>
      </c>
    </row>
    <row r="80" customHeight="1" spans="1:7">
      <c r="A80" s="16">
        <v>40</v>
      </c>
      <c r="B80" s="17" t="str">
        <f>D81</f>
        <v>我在他乡挺好的 8</v>
      </c>
      <c r="C80" s="18" t="s">
        <v>29</v>
      </c>
      <c r="D80" s="26" t="s">
        <v>440</v>
      </c>
      <c r="E80" s="20" t="s">
        <v>431</v>
      </c>
      <c r="F80" s="21">
        <f t="shared" si="4"/>
        <v>31</v>
      </c>
      <c r="G80" s="21">
        <f t="shared" si="5"/>
        <v>144</v>
      </c>
    </row>
    <row r="81" customHeight="1" spans="1:7">
      <c r="A81" s="22"/>
      <c r="B81" s="23"/>
      <c r="C81" s="18" t="s">
        <v>34</v>
      </c>
      <c r="D81" s="24" t="s">
        <v>441</v>
      </c>
      <c r="E81" s="25" t="s">
        <v>433</v>
      </c>
      <c r="F81" s="21">
        <f t="shared" si="4"/>
        <v>9</v>
      </c>
      <c r="G81" s="21">
        <f t="shared" si="5"/>
        <v>63</v>
      </c>
    </row>
    <row r="82" customHeight="1" spans="1:7">
      <c r="A82" s="16">
        <v>41</v>
      </c>
      <c r="B82" s="17" t="str">
        <f>D83</f>
        <v>我在他乡挺好的 7</v>
      </c>
      <c r="C82" s="18" t="s">
        <v>29</v>
      </c>
      <c r="D82" s="26" t="s">
        <v>442</v>
      </c>
      <c r="E82" s="20" t="s">
        <v>431</v>
      </c>
      <c r="F82" s="21">
        <f t="shared" si="4"/>
        <v>31</v>
      </c>
      <c r="G82" s="21">
        <f t="shared" si="5"/>
        <v>144</v>
      </c>
    </row>
    <row r="83" customHeight="1" spans="1:7">
      <c r="A83" s="22"/>
      <c r="B83" s="23"/>
      <c r="C83" s="18" t="s">
        <v>34</v>
      </c>
      <c r="D83" s="24" t="s">
        <v>443</v>
      </c>
      <c r="E83" s="25" t="s">
        <v>433</v>
      </c>
      <c r="F83" s="21">
        <f t="shared" si="4"/>
        <v>9</v>
      </c>
      <c r="G83" s="21">
        <f t="shared" si="5"/>
        <v>63</v>
      </c>
    </row>
    <row r="84" customHeight="1" spans="1:7">
      <c r="A84" s="16">
        <v>42</v>
      </c>
      <c r="B84" s="17" t="str">
        <f>D85</f>
        <v>我在他乡挺好的 6</v>
      </c>
      <c r="C84" s="18" t="s">
        <v>29</v>
      </c>
      <c r="D84" s="26" t="s">
        <v>444</v>
      </c>
      <c r="E84" s="20" t="s">
        <v>431</v>
      </c>
      <c r="F84" s="21">
        <f t="shared" si="4"/>
        <v>31</v>
      </c>
      <c r="G84" s="21">
        <f t="shared" si="5"/>
        <v>144</v>
      </c>
    </row>
    <row r="85" customHeight="1" spans="1:7">
      <c r="A85" s="22"/>
      <c r="B85" s="23"/>
      <c r="C85" s="18" t="s">
        <v>34</v>
      </c>
      <c r="D85" s="24" t="s">
        <v>445</v>
      </c>
      <c r="E85" s="25" t="s">
        <v>433</v>
      </c>
      <c r="F85" s="21">
        <f t="shared" si="4"/>
        <v>9</v>
      </c>
      <c r="G85" s="21">
        <f t="shared" si="5"/>
        <v>63</v>
      </c>
    </row>
    <row r="86" customHeight="1" spans="1:7">
      <c r="A86" s="16">
        <v>43</v>
      </c>
      <c r="B86" s="17" t="str">
        <f>D87</f>
        <v>我在他乡挺好的 5</v>
      </c>
      <c r="C86" s="18" t="s">
        <v>29</v>
      </c>
      <c r="D86" s="26" t="s">
        <v>446</v>
      </c>
      <c r="E86" s="20" t="s">
        <v>431</v>
      </c>
      <c r="F86" s="21">
        <f t="shared" si="4"/>
        <v>31</v>
      </c>
      <c r="G86" s="21">
        <f t="shared" si="5"/>
        <v>144</v>
      </c>
    </row>
    <row r="87" customHeight="1" spans="1:7">
      <c r="A87" s="22"/>
      <c r="B87" s="23"/>
      <c r="C87" s="18" t="s">
        <v>34</v>
      </c>
      <c r="D87" s="24" t="s">
        <v>447</v>
      </c>
      <c r="E87" s="25" t="s">
        <v>433</v>
      </c>
      <c r="F87" s="21">
        <f t="shared" si="4"/>
        <v>9</v>
      </c>
      <c r="G87" s="21">
        <f t="shared" si="5"/>
        <v>63</v>
      </c>
    </row>
    <row r="88" customHeight="1" spans="1:7">
      <c r="A88" s="16">
        <v>44</v>
      </c>
      <c r="B88" s="17" t="str">
        <f>D89</f>
        <v>我在他乡挺好的 4</v>
      </c>
      <c r="C88" s="18" t="s">
        <v>29</v>
      </c>
      <c r="D88" s="26" t="s">
        <v>448</v>
      </c>
      <c r="E88" s="20" t="s">
        <v>431</v>
      </c>
      <c r="F88" s="21">
        <f t="shared" si="4"/>
        <v>31</v>
      </c>
      <c r="G88" s="21">
        <f t="shared" si="5"/>
        <v>144</v>
      </c>
    </row>
    <row r="89" customHeight="1" spans="1:7">
      <c r="A89" s="22"/>
      <c r="B89" s="23"/>
      <c r="C89" s="18" t="s">
        <v>34</v>
      </c>
      <c r="D89" s="24" t="s">
        <v>449</v>
      </c>
      <c r="E89" s="25" t="s">
        <v>433</v>
      </c>
      <c r="F89" s="21">
        <f t="shared" si="4"/>
        <v>9</v>
      </c>
      <c r="G89" s="21">
        <f t="shared" si="5"/>
        <v>63</v>
      </c>
    </row>
    <row r="90" customHeight="1" spans="1:7">
      <c r="A90" s="16">
        <v>45</v>
      </c>
      <c r="B90" s="17" t="str">
        <f>D91</f>
        <v>我在他乡挺好的 3</v>
      </c>
      <c r="C90" s="18" t="s">
        <v>29</v>
      </c>
      <c r="D90" s="26" t="s">
        <v>450</v>
      </c>
      <c r="E90" s="20" t="s">
        <v>431</v>
      </c>
      <c r="F90" s="21">
        <f t="shared" si="4"/>
        <v>31</v>
      </c>
      <c r="G90" s="21">
        <f t="shared" si="5"/>
        <v>144</v>
      </c>
    </row>
    <row r="91" customHeight="1" spans="1:7">
      <c r="A91" s="22"/>
      <c r="B91" s="23"/>
      <c r="C91" s="18" t="s">
        <v>34</v>
      </c>
      <c r="D91" s="24" t="s">
        <v>451</v>
      </c>
      <c r="E91" s="25" t="s">
        <v>433</v>
      </c>
      <c r="F91" s="21">
        <f t="shared" si="4"/>
        <v>9</v>
      </c>
      <c r="G91" s="21">
        <f t="shared" si="5"/>
        <v>63</v>
      </c>
    </row>
    <row r="92" customHeight="1" spans="1:7">
      <c r="A92" s="16">
        <v>46</v>
      </c>
      <c r="B92" s="17" t="str">
        <f>D93</f>
        <v>我在他乡挺好的 2</v>
      </c>
      <c r="C92" s="18" t="s">
        <v>29</v>
      </c>
      <c r="D92" s="26" t="s">
        <v>452</v>
      </c>
      <c r="E92" s="20" t="s">
        <v>431</v>
      </c>
      <c r="F92" s="21">
        <f t="shared" si="4"/>
        <v>31</v>
      </c>
      <c r="G92" s="21">
        <f t="shared" si="5"/>
        <v>144</v>
      </c>
    </row>
    <row r="93" customHeight="1" spans="1:7">
      <c r="A93" s="22"/>
      <c r="B93" s="23"/>
      <c r="C93" s="18" t="s">
        <v>34</v>
      </c>
      <c r="D93" s="24" t="s">
        <v>453</v>
      </c>
      <c r="E93" s="25" t="s">
        <v>433</v>
      </c>
      <c r="F93" s="21">
        <f t="shared" si="4"/>
        <v>9</v>
      </c>
      <c r="G93" s="21">
        <f t="shared" si="5"/>
        <v>63</v>
      </c>
    </row>
    <row r="94" customHeight="1" spans="1:7">
      <c r="A94" s="16">
        <v>47</v>
      </c>
      <c r="B94" s="17" t="str">
        <f>D95</f>
        <v>我在他乡挺好的 1</v>
      </c>
      <c r="C94" s="18" t="s">
        <v>29</v>
      </c>
      <c r="D94" s="26" t="s">
        <v>454</v>
      </c>
      <c r="E94" s="20" t="s">
        <v>431</v>
      </c>
      <c r="F94" s="21">
        <f t="shared" si="4"/>
        <v>31</v>
      </c>
      <c r="G94" s="21">
        <f t="shared" si="5"/>
        <v>144</v>
      </c>
    </row>
    <row r="95" customHeight="1" spans="1:7">
      <c r="A95" s="22"/>
      <c r="B95" s="23"/>
      <c r="C95" s="18" t="s">
        <v>34</v>
      </c>
      <c r="D95" s="24" t="s">
        <v>455</v>
      </c>
      <c r="E95" s="25" t="s">
        <v>433</v>
      </c>
      <c r="F95" s="21">
        <f t="shared" si="4"/>
        <v>9</v>
      </c>
      <c r="G95" s="21">
        <f t="shared" si="5"/>
        <v>63</v>
      </c>
    </row>
    <row r="96" customHeight="1" spans="1:7">
      <c r="A96" s="16">
        <v>48</v>
      </c>
      <c r="B96" s="17" t="str">
        <f>D97</f>
        <v>股掌之间 第三季 6</v>
      </c>
      <c r="C96" s="18" t="s">
        <v>29</v>
      </c>
      <c r="D96" s="19" t="s">
        <v>456</v>
      </c>
      <c r="E96" s="20" t="s">
        <v>457</v>
      </c>
      <c r="F96" s="21">
        <f t="shared" si="4"/>
        <v>20</v>
      </c>
      <c r="G96" s="21">
        <f t="shared" si="5"/>
        <v>72</v>
      </c>
    </row>
    <row r="97" customHeight="1" spans="1:7">
      <c r="A97" s="22"/>
      <c r="B97" s="23"/>
      <c r="C97" s="18" t="s">
        <v>34</v>
      </c>
      <c r="D97" s="24" t="s">
        <v>458</v>
      </c>
      <c r="E97" s="25" t="s">
        <v>459</v>
      </c>
      <c r="F97" s="21">
        <f t="shared" si="4"/>
        <v>10</v>
      </c>
      <c r="G97" s="21">
        <f t="shared" si="5"/>
        <v>43</v>
      </c>
    </row>
    <row r="98" customHeight="1" spans="1:7">
      <c r="A98" s="16">
        <v>49</v>
      </c>
      <c r="B98" s="17" t="str">
        <f>D99</f>
        <v>股掌之间 第三季 5</v>
      </c>
      <c r="C98" s="18" t="s">
        <v>29</v>
      </c>
      <c r="D98" s="19" t="s">
        <v>460</v>
      </c>
      <c r="E98" s="20" t="s">
        <v>457</v>
      </c>
      <c r="F98" s="21">
        <f t="shared" si="4"/>
        <v>20</v>
      </c>
      <c r="G98" s="21">
        <f t="shared" si="5"/>
        <v>72</v>
      </c>
    </row>
    <row r="99" customHeight="1" spans="1:7">
      <c r="A99" s="22"/>
      <c r="B99" s="23"/>
      <c r="C99" s="18" t="s">
        <v>34</v>
      </c>
      <c r="D99" s="24" t="s">
        <v>461</v>
      </c>
      <c r="E99" s="25" t="s">
        <v>459</v>
      </c>
      <c r="F99" s="21">
        <f t="shared" si="4"/>
        <v>10</v>
      </c>
      <c r="G99" s="21">
        <f t="shared" si="5"/>
        <v>43</v>
      </c>
    </row>
    <row r="100" customHeight="1" spans="1:7">
      <c r="A100" s="16">
        <v>50</v>
      </c>
      <c r="B100" s="17" t="str">
        <f>D101</f>
        <v>股掌之间 第三季 4</v>
      </c>
      <c r="C100" s="18" t="s">
        <v>29</v>
      </c>
      <c r="D100" s="19" t="s">
        <v>462</v>
      </c>
      <c r="E100" s="20" t="s">
        <v>457</v>
      </c>
      <c r="F100" s="21">
        <f t="shared" si="4"/>
        <v>20</v>
      </c>
      <c r="G100" s="21">
        <f t="shared" si="5"/>
        <v>72</v>
      </c>
    </row>
    <row r="101" customHeight="1" spans="1:7">
      <c r="A101" s="22"/>
      <c r="B101" s="23"/>
      <c r="C101" s="18" t="s">
        <v>34</v>
      </c>
      <c r="D101" s="24" t="s">
        <v>463</v>
      </c>
      <c r="E101" s="25" t="s">
        <v>459</v>
      </c>
      <c r="F101" s="21">
        <f t="shared" si="4"/>
        <v>10</v>
      </c>
      <c r="G101" s="21">
        <f t="shared" si="5"/>
        <v>43</v>
      </c>
    </row>
    <row r="102" customHeight="1" spans="1:7">
      <c r="A102" s="16">
        <v>51</v>
      </c>
      <c r="B102" s="17" t="str">
        <f>D103</f>
        <v>股掌之间 第三季 3</v>
      </c>
      <c r="C102" s="18" t="s">
        <v>29</v>
      </c>
      <c r="D102" s="19" t="s">
        <v>464</v>
      </c>
      <c r="E102" s="20" t="s">
        <v>457</v>
      </c>
      <c r="F102" s="21">
        <f t="shared" si="4"/>
        <v>20</v>
      </c>
      <c r="G102" s="21">
        <f t="shared" si="5"/>
        <v>72</v>
      </c>
    </row>
    <row r="103" customHeight="1" spans="1:7">
      <c r="A103" s="22"/>
      <c r="B103" s="23"/>
      <c r="C103" s="18" t="s">
        <v>34</v>
      </c>
      <c r="D103" s="24" t="s">
        <v>465</v>
      </c>
      <c r="E103" s="25" t="s">
        <v>459</v>
      </c>
      <c r="F103" s="21">
        <f t="shared" si="4"/>
        <v>10</v>
      </c>
      <c r="G103" s="21">
        <f t="shared" si="5"/>
        <v>43</v>
      </c>
    </row>
    <row r="104" customHeight="1" spans="1:7">
      <c r="A104" s="16">
        <v>52</v>
      </c>
      <c r="B104" s="17" t="str">
        <f>D105</f>
        <v>股掌之间 第三季 2</v>
      </c>
      <c r="C104" s="18" t="s">
        <v>29</v>
      </c>
      <c r="D104" s="19" t="s">
        <v>466</v>
      </c>
      <c r="E104" s="20" t="s">
        <v>457</v>
      </c>
      <c r="F104" s="21">
        <f t="shared" si="4"/>
        <v>20</v>
      </c>
      <c r="G104" s="21">
        <f t="shared" si="5"/>
        <v>72</v>
      </c>
    </row>
    <row r="105" customHeight="1" spans="1:7">
      <c r="A105" s="22"/>
      <c r="B105" s="23"/>
      <c r="C105" s="18" t="s">
        <v>34</v>
      </c>
      <c r="D105" s="24" t="s">
        <v>467</v>
      </c>
      <c r="E105" s="25" t="s">
        <v>459</v>
      </c>
      <c r="F105" s="21">
        <f t="shared" si="4"/>
        <v>10</v>
      </c>
      <c r="G105" s="21">
        <f t="shared" si="5"/>
        <v>43</v>
      </c>
    </row>
    <row r="106" customHeight="1" spans="1:7">
      <c r="A106" s="16">
        <v>53</v>
      </c>
      <c r="B106" s="17" t="str">
        <f>D107</f>
        <v>股掌之间 第三季 1</v>
      </c>
      <c r="C106" s="18" t="s">
        <v>29</v>
      </c>
      <c r="D106" s="19" t="s">
        <v>468</v>
      </c>
      <c r="E106" s="20" t="s">
        <v>457</v>
      </c>
      <c r="F106" s="21">
        <f t="shared" si="4"/>
        <v>20</v>
      </c>
      <c r="G106" s="21">
        <f t="shared" si="5"/>
        <v>72</v>
      </c>
    </row>
    <row r="107" customHeight="1" spans="1:7">
      <c r="A107" s="22"/>
      <c r="B107" s="23"/>
      <c r="C107" s="18" t="s">
        <v>34</v>
      </c>
      <c r="D107" s="24" t="s">
        <v>469</v>
      </c>
      <c r="E107" s="25" t="s">
        <v>459</v>
      </c>
      <c r="F107" s="21">
        <f t="shared" si="4"/>
        <v>10</v>
      </c>
      <c r="G107" s="21">
        <f t="shared" si="5"/>
        <v>43</v>
      </c>
    </row>
    <row r="108" customHeight="1" spans="1:7">
      <c r="A108" s="16">
        <v>54</v>
      </c>
      <c r="B108" s="17" t="str">
        <f>D109</f>
        <v>探长埃利斯 3</v>
      </c>
      <c r="C108" s="18" t="s">
        <v>29</v>
      </c>
      <c r="D108" s="26" t="s">
        <v>470</v>
      </c>
      <c r="E108" s="20" t="s">
        <v>471</v>
      </c>
      <c r="F108" s="21">
        <f t="shared" si="4"/>
        <v>20</v>
      </c>
      <c r="G108" s="21">
        <f t="shared" si="5"/>
        <v>176</v>
      </c>
    </row>
    <row r="109" customHeight="1" spans="1:7">
      <c r="A109" s="22"/>
      <c r="B109" s="23"/>
      <c r="C109" s="18" t="s">
        <v>34</v>
      </c>
      <c r="D109" s="24" t="s">
        <v>472</v>
      </c>
      <c r="E109" s="25" t="s">
        <v>473</v>
      </c>
      <c r="F109" s="21">
        <f t="shared" si="4"/>
        <v>7</v>
      </c>
      <c r="G109" s="21">
        <f t="shared" si="5"/>
        <v>53</v>
      </c>
    </row>
    <row r="110" customHeight="1" spans="1:7">
      <c r="A110" s="16">
        <v>55</v>
      </c>
      <c r="B110" s="17" t="str">
        <f>D111</f>
        <v>探长埃利斯 2</v>
      </c>
      <c r="C110" s="18" t="s">
        <v>29</v>
      </c>
      <c r="D110" s="26" t="s">
        <v>474</v>
      </c>
      <c r="E110" s="20" t="s">
        <v>471</v>
      </c>
      <c r="F110" s="21">
        <f t="shared" si="4"/>
        <v>20</v>
      </c>
      <c r="G110" s="21">
        <f t="shared" si="5"/>
        <v>176</v>
      </c>
    </row>
    <row r="111" customHeight="1" spans="1:7">
      <c r="A111" s="22"/>
      <c r="B111" s="23"/>
      <c r="C111" s="18" t="s">
        <v>34</v>
      </c>
      <c r="D111" s="24" t="s">
        <v>475</v>
      </c>
      <c r="E111" s="25" t="s">
        <v>473</v>
      </c>
      <c r="F111" s="21">
        <f t="shared" si="4"/>
        <v>7</v>
      </c>
      <c r="G111" s="21">
        <f t="shared" si="5"/>
        <v>53</v>
      </c>
    </row>
    <row r="112" customHeight="1" spans="1:7">
      <c r="A112" s="16">
        <v>56</v>
      </c>
      <c r="B112" s="17" t="str">
        <f>D113</f>
        <v>探长埃利斯 1</v>
      </c>
      <c r="C112" s="18" t="s">
        <v>29</v>
      </c>
      <c r="D112" s="26" t="s">
        <v>476</v>
      </c>
      <c r="E112" s="20" t="s">
        <v>471</v>
      </c>
      <c r="F112" s="21">
        <f t="shared" si="4"/>
        <v>20</v>
      </c>
      <c r="G112" s="21">
        <f t="shared" si="5"/>
        <v>176</v>
      </c>
    </row>
    <row r="113" customHeight="1" spans="1:7">
      <c r="A113" s="22"/>
      <c r="B113" s="23"/>
      <c r="C113" s="18" t="s">
        <v>34</v>
      </c>
      <c r="D113" s="24" t="s">
        <v>477</v>
      </c>
      <c r="E113" s="25" t="s">
        <v>473</v>
      </c>
      <c r="F113" s="21">
        <f t="shared" si="4"/>
        <v>7</v>
      </c>
      <c r="G113" s="21">
        <f t="shared" si="5"/>
        <v>53</v>
      </c>
    </row>
    <row r="114" customHeight="1" spans="1:7">
      <c r="A114" s="16">
        <v>57</v>
      </c>
      <c r="B114" s="17" t="str">
        <f>D116</f>
        <v>空中博览3月国际去程</v>
      </c>
      <c r="C114" s="18" t="s">
        <v>29</v>
      </c>
      <c r="D114" s="19" t="s">
        <v>478</v>
      </c>
      <c r="E114" s="20" t="s">
        <v>479</v>
      </c>
      <c r="F114" s="21">
        <f t="shared" si="4"/>
        <v>35</v>
      </c>
      <c r="G114" s="21">
        <f t="shared" si="5"/>
        <v>392</v>
      </c>
    </row>
    <row r="115" customHeight="1" spans="1:7">
      <c r="A115" s="27"/>
      <c r="B115" s="28"/>
      <c r="C115" s="29" t="s">
        <v>155</v>
      </c>
      <c r="D115" s="19" t="s">
        <v>478</v>
      </c>
      <c r="E115" s="20" t="s">
        <v>480</v>
      </c>
      <c r="F115" s="21">
        <f t="shared" ref="F115:F127" si="6">LEN(D115)</f>
        <v>35</v>
      </c>
      <c r="G115" s="21">
        <f t="shared" ref="G115:G127" si="7">LEN(E115)</f>
        <v>54</v>
      </c>
    </row>
    <row r="116" customHeight="1" spans="1:7">
      <c r="A116" s="22"/>
      <c r="B116" s="23"/>
      <c r="C116" s="18" t="s">
        <v>34</v>
      </c>
      <c r="D116" s="24" t="s">
        <v>481</v>
      </c>
      <c r="E116" s="25" t="s">
        <v>482</v>
      </c>
      <c r="F116" s="21">
        <f t="shared" si="6"/>
        <v>10</v>
      </c>
      <c r="G116" s="21">
        <f t="shared" si="7"/>
        <v>119</v>
      </c>
    </row>
    <row r="117" customHeight="1" spans="1:7">
      <c r="A117" s="16">
        <v>58</v>
      </c>
      <c r="B117" s="17" t="str">
        <f>D119</f>
        <v>空中博览3月国际回程</v>
      </c>
      <c r="C117" s="18" t="s">
        <v>29</v>
      </c>
      <c r="D117" s="19" t="s">
        <v>483</v>
      </c>
      <c r="E117" s="20" t="s">
        <v>479</v>
      </c>
      <c r="F117" s="21">
        <f t="shared" si="6"/>
        <v>34</v>
      </c>
      <c r="G117" s="21">
        <f t="shared" si="7"/>
        <v>392</v>
      </c>
    </row>
    <row r="118" customHeight="1" spans="1:7">
      <c r="A118" s="27"/>
      <c r="B118" s="28"/>
      <c r="C118" s="29" t="s">
        <v>155</v>
      </c>
      <c r="D118" s="19" t="s">
        <v>483</v>
      </c>
      <c r="E118" s="20" t="s">
        <v>480</v>
      </c>
      <c r="F118" s="21">
        <f t="shared" si="6"/>
        <v>34</v>
      </c>
      <c r="G118" s="21">
        <f t="shared" si="7"/>
        <v>54</v>
      </c>
    </row>
    <row r="119" customHeight="1" spans="1:7">
      <c r="A119" s="22"/>
      <c r="B119" s="23"/>
      <c r="C119" s="18" t="s">
        <v>34</v>
      </c>
      <c r="D119" s="24" t="s">
        <v>484</v>
      </c>
      <c r="E119" s="25" t="s">
        <v>482</v>
      </c>
      <c r="F119" s="21">
        <f t="shared" si="6"/>
        <v>10</v>
      </c>
      <c r="G119" s="21">
        <f t="shared" si="7"/>
        <v>119</v>
      </c>
    </row>
    <row r="120" customHeight="1" spans="1:7">
      <c r="A120" s="16">
        <v>59</v>
      </c>
      <c r="B120" s="17" t="str">
        <f>D122</f>
        <v>空中博览3月国内去程</v>
      </c>
      <c r="C120" s="18" t="s">
        <v>29</v>
      </c>
      <c r="D120" s="19" t="s">
        <v>485</v>
      </c>
      <c r="E120" s="20" t="s">
        <v>479</v>
      </c>
      <c r="F120" s="21">
        <f t="shared" si="6"/>
        <v>30</v>
      </c>
      <c r="G120" s="21">
        <f t="shared" si="7"/>
        <v>392</v>
      </c>
    </row>
    <row r="121" customHeight="1" spans="1:7">
      <c r="A121" s="27"/>
      <c r="B121" s="28"/>
      <c r="C121" s="29" t="s">
        <v>155</v>
      </c>
      <c r="D121" s="19" t="s">
        <v>485</v>
      </c>
      <c r="E121" s="20" t="s">
        <v>480</v>
      </c>
      <c r="F121" s="21">
        <f t="shared" si="6"/>
        <v>30</v>
      </c>
      <c r="G121" s="21">
        <f t="shared" si="7"/>
        <v>54</v>
      </c>
    </row>
    <row r="122" customHeight="1" spans="1:7">
      <c r="A122" s="22"/>
      <c r="B122" s="23"/>
      <c r="C122" s="18" t="s">
        <v>34</v>
      </c>
      <c r="D122" s="24" t="s">
        <v>486</v>
      </c>
      <c r="E122" s="25" t="s">
        <v>482</v>
      </c>
      <c r="F122" s="21">
        <f t="shared" si="6"/>
        <v>10</v>
      </c>
      <c r="G122" s="21">
        <f t="shared" si="7"/>
        <v>119</v>
      </c>
    </row>
    <row r="123" customHeight="1" spans="1:7">
      <c r="A123" s="16">
        <v>60</v>
      </c>
      <c r="B123" s="17" t="str">
        <f>D125</f>
        <v>空中博览3月国内回程</v>
      </c>
      <c r="C123" s="18" t="s">
        <v>29</v>
      </c>
      <c r="D123" s="19" t="s">
        <v>487</v>
      </c>
      <c r="E123" s="20" t="s">
        <v>479</v>
      </c>
      <c r="F123" s="21">
        <f t="shared" si="6"/>
        <v>29</v>
      </c>
      <c r="G123" s="21">
        <f t="shared" si="7"/>
        <v>392</v>
      </c>
    </row>
    <row r="124" customHeight="1" spans="1:7">
      <c r="A124" s="27"/>
      <c r="B124" s="28"/>
      <c r="C124" s="29" t="s">
        <v>155</v>
      </c>
      <c r="D124" s="19" t="s">
        <v>487</v>
      </c>
      <c r="E124" s="20" t="s">
        <v>480</v>
      </c>
      <c r="F124" s="21">
        <f t="shared" si="6"/>
        <v>29</v>
      </c>
      <c r="G124" s="21">
        <f t="shared" si="7"/>
        <v>54</v>
      </c>
    </row>
    <row r="125" customHeight="1" spans="1:7">
      <c r="A125" s="22"/>
      <c r="B125" s="23"/>
      <c r="C125" s="18" t="s">
        <v>34</v>
      </c>
      <c r="D125" s="24" t="s">
        <v>488</v>
      </c>
      <c r="E125" s="25" t="s">
        <v>482</v>
      </c>
      <c r="F125" s="21">
        <f t="shared" si="6"/>
        <v>10</v>
      </c>
      <c r="G125" s="21">
        <f t="shared" si="7"/>
        <v>119</v>
      </c>
    </row>
    <row r="126" customHeight="1" spans="1:7">
      <c r="A126" s="16">
        <v>61</v>
      </c>
      <c r="B126" s="17" t="str">
        <f>D127</f>
        <v>衢州有礼，通达未来</v>
      </c>
      <c r="C126" s="18" t="s">
        <v>29</v>
      </c>
      <c r="D126" s="19" t="s">
        <v>489</v>
      </c>
      <c r="E126" s="20" t="s">
        <v>490</v>
      </c>
      <c r="F126" s="21">
        <f t="shared" si="6"/>
        <v>52</v>
      </c>
      <c r="G126" s="21">
        <f t="shared" si="7"/>
        <v>227</v>
      </c>
    </row>
    <row r="127" customHeight="1" spans="1:7">
      <c r="A127" s="22"/>
      <c r="B127" s="23"/>
      <c r="C127" s="18" t="s">
        <v>34</v>
      </c>
      <c r="D127" s="24" t="s">
        <v>491</v>
      </c>
      <c r="E127" s="25" t="s">
        <v>492</v>
      </c>
      <c r="F127" s="21">
        <f t="shared" si="6"/>
        <v>9</v>
      </c>
      <c r="G127" s="21">
        <f t="shared" si="7"/>
        <v>51</v>
      </c>
    </row>
    <row r="128" customHeight="1" spans="1:7">
      <c r="A128" s="16">
        <v>62</v>
      </c>
      <c r="B128" s="17" t="str">
        <f>D129</f>
        <v>你所不知道的水韵江苏 第二季 2</v>
      </c>
      <c r="C128" s="18" t="s">
        <v>29</v>
      </c>
      <c r="D128" s="19" t="s">
        <v>493</v>
      </c>
      <c r="E128" s="20" t="s">
        <v>494</v>
      </c>
      <c r="F128" s="21">
        <f t="shared" ref="F128:F170" si="8">LEN(D128)</f>
        <v>23</v>
      </c>
      <c r="G128" s="21">
        <f t="shared" ref="G128:G170" si="9">LEN(E128)</f>
        <v>51</v>
      </c>
    </row>
    <row r="129" customHeight="1" spans="1:7">
      <c r="A129" s="22"/>
      <c r="B129" s="23"/>
      <c r="C129" s="18" t="s">
        <v>34</v>
      </c>
      <c r="D129" s="24" t="s">
        <v>495</v>
      </c>
      <c r="E129" s="25" t="s">
        <v>496</v>
      </c>
      <c r="F129" s="21">
        <f t="shared" si="8"/>
        <v>16</v>
      </c>
      <c r="G129" s="21">
        <f t="shared" si="9"/>
        <v>36</v>
      </c>
    </row>
    <row r="130" customHeight="1" spans="1:7">
      <c r="A130" s="16">
        <v>63</v>
      </c>
      <c r="B130" s="17" t="str">
        <f>D131</f>
        <v>你所不知道的水韵江苏 第二季 1</v>
      </c>
      <c r="C130" s="18" t="s">
        <v>29</v>
      </c>
      <c r="D130" s="19" t="s">
        <v>497</v>
      </c>
      <c r="E130" s="20" t="s">
        <v>494</v>
      </c>
      <c r="F130" s="21">
        <f t="shared" si="8"/>
        <v>23</v>
      </c>
      <c r="G130" s="21">
        <f t="shared" si="9"/>
        <v>51</v>
      </c>
    </row>
    <row r="131" customHeight="1" spans="1:7">
      <c r="A131" s="22"/>
      <c r="B131" s="23"/>
      <c r="C131" s="18" t="s">
        <v>34</v>
      </c>
      <c r="D131" s="24" t="s">
        <v>498</v>
      </c>
      <c r="E131" s="25" t="s">
        <v>496</v>
      </c>
      <c r="F131" s="21">
        <f t="shared" si="8"/>
        <v>16</v>
      </c>
      <c r="G131" s="21">
        <f t="shared" si="9"/>
        <v>36</v>
      </c>
    </row>
    <row r="132" customHeight="1" spans="1:7">
      <c r="A132" s="16">
        <v>64</v>
      </c>
      <c r="B132" s="17" t="str">
        <f>D133</f>
        <v>不止旅行 随波而至穿越瑞法</v>
      </c>
      <c r="C132" s="18" t="s">
        <v>29</v>
      </c>
      <c r="D132" s="19" t="s">
        <v>499</v>
      </c>
      <c r="E132" s="20" t="s">
        <v>500</v>
      </c>
      <c r="F132" s="21">
        <f t="shared" si="8"/>
        <v>70</v>
      </c>
      <c r="G132" s="21">
        <f t="shared" si="9"/>
        <v>44</v>
      </c>
    </row>
    <row r="133" customHeight="1" spans="1:7">
      <c r="A133" s="22"/>
      <c r="B133" s="23"/>
      <c r="C133" s="18" t="s">
        <v>34</v>
      </c>
      <c r="D133" s="24" t="s">
        <v>501</v>
      </c>
      <c r="E133" s="25" t="s">
        <v>502</v>
      </c>
      <c r="F133" s="21">
        <f t="shared" si="8"/>
        <v>13</v>
      </c>
      <c r="G133" s="21">
        <f t="shared" si="9"/>
        <v>12</v>
      </c>
    </row>
    <row r="134" customHeight="1" spans="1:7">
      <c r="A134" s="16">
        <v>65</v>
      </c>
      <c r="B134" s="17" t="str">
        <f>D135</f>
        <v>此生要去的100个地方 10 荷花</v>
      </c>
      <c r="C134" s="18" t="s">
        <v>29</v>
      </c>
      <c r="D134" s="30" t="s">
        <v>503</v>
      </c>
      <c r="E134" s="20" t="s">
        <v>504</v>
      </c>
      <c r="F134" s="21">
        <f t="shared" si="8"/>
        <v>52</v>
      </c>
      <c r="G134" s="21">
        <f t="shared" si="9"/>
        <v>220</v>
      </c>
    </row>
    <row r="135" customHeight="1" spans="1:7">
      <c r="A135" s="22"/>
      <c r="B135" s="23"/>
      <c r="C135" s="18" t="s">
        <v>34</v>
      </c>
      <c r="D135" s="24" t="s">
        <v>505</v>
      </c>
      <c r="E135" s="25" t="s">
        <v>506</v>
      </c>
      <c r="F135" s="21">
        <f t="shared" si="8"/>
        <v>17</v>
      </c>
      <c r="G135" s="21">
        <f t="shared" si="9"/>
        <v>50</v>
      </c>
    </row>
    <row r="136" customHeight="1" spans="1:7">
      <c r="A136" s="16">
        <v>66</v>
      </c>
      <c r="B136" s="17" t="str">
        <f>D137</f>
        <v>此生要去的100个地方 9 黄桷兰</v>
      </c>
      <c r="C136" s="18" t="s">
        <v>29</v>
      </c>
      <c r="D136" s="30" t="s">
        <v>507</v>
      </c>
      <c r="E136" s="20" t="s">
        <v>504</v>
      </c>
      <c r="F136" s="21">
        <f t="shared" si="8"/>
        <v>52</v>
      </c>
      <c r="G136" s="21">
        <f t="shared" si="9"/>
        <v>220</v>
      </c>
    </row>
    <row r="137" customHeight="1" spans="1:7">
      <c r="A137" s="22"/>
      <c r="B137" s="23"/>
      <c r="C137" s="18" t="s">
        <v>34</v>
      </c>
      <c r="D137" s="24" t="s">
        <v>508</v>
      </c>
      <c r="E137" s="25" t="s">
        <v>506</v>
      </c>
      <c r="F137" s="21">
        <f t="shared" si="8"/>
        <v>17</v>
      </c>
      <c r="G137" s="21">
        <f t="shared" si="9"/>
        <v>50</v>
      </c>
    </row>
    <row r="138" customHeight="1" spans="1:7">
      <c r="A138" s="16">
        <v>67</v>
      </c>
      <c r="B138" s="17" t="str">
        <f>D139</f>
        <v>城市风华录 苏州</v>
      </c>
      <c r="C138" s="18" t="s">
        <v>29</v>
      </c>
      <c r="D138" s="30" t="s">
        <v>509</v>
      </c>
      <c r="E138" s="20" t="s">
        <v>510</v>
      </c>
      <c r="F138" s="21">
        <f t="shared" si="8"/>
        <v>27</v>
      </c>
      <c r="G138" s="21">
        <f t="shared" si="9"/>
        <v>206</v>
      </c>
    </row>
    <row r="139" customHeight="1" spans="1:7">
      <c r="A139" s="22"/>
      <c r="B139" s="23"/>
      <c r="C139" s="18" t="s">
        <v>34</v>
      </c>
      <c r="D139" s="24" t="s">
        <v>511</v>
      </c>
      <c r="E139" s="25" t="s">
        <v>512</v>
      </c>
      <c r="F139" s="21">
        <f t="shared" si="8"/>
        <v>8</v>
      </c>
      <c r="G139" s="21">
        <f t="shared" si="9"/>
        <v>57</v>
      </c>
    </row>
    <row r="140" customHeight="1" spans="1:7">
      <c r="A140" s="16">
        <v>68</v>
      </c>
      <c r="B140" s="17" t="str">
        <f>D141</f>
        <v>漓江 2 四季</v>
      </c>
      <c r="C140" s="18" t="s">
        <v>29</v>
      </c>
      <c r="D140" s="30" t="s">
        <v>513</v>
      </c>
      <c r="E140" s="20" t="s">
        <v>514</v>
      </c>
      <c r="F140" s="21">
        <f t="shared" si="8"/>
        <v>36</v>
      </c>
      <c r="G140" s="21">
        <f t="shared" si="9"/>
        <v>287</v>
      </c>
    </row>
    <row r="141" customHeight="1" spans="1:7">
      <c r="A141" s="22"/>
      <c r="B141" s="23"/>
      <c r="C141" s="18" t="s">
        <v>34</v>
      </c>
      <c r="D141" s="24" t="s">
        <v>515</v>
      </c>
      <c r="E141" s="25" t="s">
        <v>516</v>
      </c>
      <c r="F141" s="21">
        <f t="shared" si="8"/>
        <v>7</v>
      </c>
      <c r="G141" s="21">
        <f t="shared" si="9"/>
        <v>67</v>
      </c>
    </row>
    <row r="142" customHeight="1" spans="1:7">
      <c r="A142" s="16">
        <v>69</v>
      </c>
      <c r="B142" s="17" t="str">
        <f>D143</f>
        <v>江南之黎里繁花 3 原乡图</v>
      </c>
      <c r="C142" s="18" t="s">
        <v>29</v>
      </c>
      <c r="D142" s="30" t="s">
        <v>517</v>
      </c>
      <c r="E142" s="20" t="s">
        <v>518</v>
      </c>
      <c r="F142" s="21">
        <f t="shared" si="8"/>
        <v>46</v>
      </c>
      <c r="G142" s="21">
        <f t="shared" si="9"/>
        <v>440</v>
      </c>
    </row>
    <row r="143" customHeight="1" spans="1:7">
      <c r="A143" s="22"/>
      <c r="B143" s="23"/>
      <c r="C143" s="18" t="s">
        <v>34</v>
      </c>
      <c r="D143" s="24" t="s">
        <v>519</v>
      </c>
      <c r="E143" s="25" t="s">
        <v>520</v>
      </c>
      <c r="F143" s="21">
        <f t="shared" si="8"/>
        <v>13</v>
      </c>
      <c r="G143" s="21">
        <f t="shared" si="9"/>
        <v>96</v>
      </c>
    </row>
    <row r="144" customHeight="1" spans="1:7">
      <c r="A144" s="16">
        <v>70</v>
      </c>
      <c r="B144" s="17" t="str">
        <f>D145</f>
        <v>跟着唐诗去旅行 第二季 3 出塞曲</v>
      </c>
      <c r="C144" s="18" t="s">
        <v>29</v>
      </c>
      <c r="D144" s="30" t="s">
        <v>521</v>
      </c>
      <c r="E144" s="20" t="s">
        <v>522</v>
      </c>
      <c r="F144" s="21">
        <f t="shared" si="8"/>
        <v>54</v>
      </c>
      <c r="G144" s="21">
        <f t="shared" si="9"/>
        <v>195</v>
      </c>
    </row>
    <row r="145" customHeight="1" spans="1:7">
      <c r="A145" s="22"/>
      <c r="B145" s="23"/>
      <c r="C145" s="18" t="s">
        <v>34</v>
      </c>
      <c r="D145" s="24" t="s">
        <v>523</v>
      </c>
      <c r="E145" s="25" t="s">
        <v>524</v>
      </c>
      <c r="F145" s="21">
        <f t="shared" si="8"/>
        <v>17</v>
      </c>
      <c r="G145" s="21">
        <f t="shared" si="9"/>
        <v>52</v>
      </c>
    </row>
    <row r="146" customHeight="1" spans="1:7">
      <c r="A146" s="16">
        <v>71</v>
      </c>
      <c r="B146" s="17" t="str">
        <f>D147</f>
        <v>人类的记忆—中国的世界遗产 76 布达拉宫建筑群（下）</v>
      </c>
      <c r="C146" s="18" t="s">
        <v>29</v>
      </c>
      <c r="D146" s="30" t="s">
        <v>525</v>
      </c>
      <c r="E146" s="20" t="s">
        <v>526</v>
      </c>
      <c r="F146" s="21">
        <f t="shared" si="8"/>
        <v>91</v>
      </c>
      <c r="G146" s="21">
        <f t="shared" si="9"/>
        <v>361</v>
      </c>
    </row>
    <row r="147" customHeight="1" spans="1:7">
      <c r="A147" s="22"/>
      <c r="B147" s="23"/>
      <c r="C147" s="18" t="s">
        <v>34</v>
      </c>
      <c r="D147" s="24" t="s">
        <v>527</v>
      </c>
      <c r="E147" s="25" t="s">
        <v>528</v>
      </c>
      <c r="F147" s="21">
        <f t="shared" si="8"/>
        <v>27</v>
      </c>
      <c r="G147" s="21">
        <f t="shared" si="9"/>
        <v>108</v>
      </c>
    </row>
    <row r="148" customHeight="1" spans="1:7">
      <c r="A148" s="16">
        <v>72</v>
      </c>
      <c r="B148" s="17" t="str">
        <f>D149</f>
        <v>人类的记忆—中国的世界遗产 75 布达拉宫建筑群（上）</v>
      </c>
      <c r="C148" s="18" t="s">
        <v>29</v>
      </c>
      <c r="D148" s="30" t="s">
        <v>529</v>
      </c>
      <c r="E148" s="20" t="s">
        <v>526</v>
      </c>
      <c r="F148" s="21">
        <f t="shared" si="8"/>
        <v>91</v>
      </c>
      <c r="G148" s="21">
        <f t="shared" si="9"/>
        <v>361</v>
      </c>
    </row>
    <row r="149" customHeight="1" spans="1:7">
      <c r="A149" s="22"/>
      <c r="B149" s="23"/>
      <c r="C149" s="18" t="s">
        <v>34</v>
      </c>
      <c r="D149" s="24" t="s">
        <v>530</v>
      </c>
      <c r="E149" s="25" t="s">
        <v>528</v>
      </c>
      <c r="F149" s="21">
        <f t="shared" si="8"/>
        <v>27</v>
      </c>
      <c r="G149" s="21">
        <f t="shared" si="9"/>
        <v>108</v>
      </c>
    </row>
    <row r="150" customHeight="1" spans="1:7">
      <c r="A150" s="16">
        <v>73</v>
      </c>
      <c r="B150" s="17" t="str">
        <f>D151</f>
        <v>科特迪瓦，非洲的大熔炉 2</v>
      </c>
      <c r="C150" s="18" t="s">
        <v>29</v>
      </c>
      <c r="D150" s="19" t="s">
        <v>531</v>
      </c>
      <c r="E150" s="20" t="s">
        <v>532</v>
      </c>
      <c r="F150" s="21">
        <f t="shared" si="8"/>
        <v>43</v>
      </c>
      <c r="G150" s="21">
        <f t="shared" si="9"/>
        <v>144</v>
      </c>
    </row>
    <row r="151" customHeight="1" spans="1:7">
      <c r="A151" s="22"/>
      <c r="B151" s="23"/>
      <c r="C151" s="18" t="s">
        <v>34</v>
      </c>
      <c r="D151" s="24" t="s">
        <v>533</v>
      </c>
      <c r="E151" s="25" t="s">
        <v>534</v>
      </c>
      <c r="F151" s="21">
        <f t="shared" si="8"/>
        <v>13</v>
      </c>
      <c r="G151" s="21">
        <f t="shared" si="9"/>
        <v>40</v>
      </c>
    </row>
    <row r="152" customHeight="1" spans="1:7">
      <c r="A152" s="16">
        <v>74</v>
      </c>
      <c r="B152" s="17" t="str">
        <f>D153</f>
        <v>科特迪瓦，非洲的大熔炉 1</v>
      </c>
      <c r="C152" s="18" t="s">
        <v>29</v>
      </c>
      <c r="D152" s="19" t="s">
        <v>535</v>
      </c>
      <c r="E152" s="20" t="s">
        <v>532</v>
      </c>
      <c r="F152" s="21">
        <f t="shared" si="8"/>
        <v>43</v>
      </c>
      <c r="G152" s="21">
        <f t="shared" si="9"/>
        <v>144</v>
      </c>
    </row>
    <row r="153" customHeight="1" spans="1:7">
      <c r="A153" s="22"/>
      <c r="B153" s="23"/>
      <c r="C153" s="18" t="s">
        <v>34</v>
      </c>
      <c r="D153" s="24" t="s">
        <v>536</v>
      </c>
      <c r="E153" s="31" t="s">
        <v>534</v>
      </c>
      <c r="F153" s="21">
        <f t="shared" si="8"/>
        <v>13</v>
      </c>
      <c r="G153" s="21">
        <f t="shared" si="9"/>
        <v>40</v>
      </c>
    </row>
    <row r="154" customHeight="1" spans="1:7">
      <c r="A154" s="16">
        <v>75</v>
      </c>
      <c r="B154" s="17" t="str">
        <f>D155</f>
        <v>鸟瞰丝路 3</v>
      </c>
      <c r="C154" s="18" t="s">
        <v>29</v>
      </c>
      <c r="D154" s="19" t="s">
        <v>537</v>
      </c>
      <c r="E154" s="20" t="s">
        <v>538</v>
      </c>
      <c r="F154" s="21">
        <f t="shared" si="8"/>
        <v>25</v>
      </c>
      <c r="G154" s="21">
        <f t="shared" si="9"/>
        <v>56</v>
      </c>
    </row>
    <row r="155" customHeight="1" spans="1:7">
      <c r="A155" s="22"/>
      <c r="B155" s="23"/>
      <c r="C155" s="18" t="s">
        <v>34</v>
      </c>
      <c r="D155" s="24" t="s">
        <v>539</v>
      </c>
      <c r="E155" s="25" t="s">
        <v>540</v>
      </c>
      <c r="F155" s="21">
        <f t="shared" si="8"/>
        <v>6</v>
      </c>
      <c r="G155" s="21">
        <f t="shared" si="9"/>
        <v>36</v>
      </c>
    </row>
    <row r="156" customHeight="1" spans="1:7">
      <c r="A156" s="16">
        <v>76</v>
      </c>
      <c r="B156" s="17" t="str">
        <f>D157</f>
        <v>鸟瞰丝路 2</v>
      </c>
      <c r="C156" s="18" t="s">
        <v>29</v>
      </c>
      <c r="D156" s="19" t="s">
        <v>541</v>
      </c>
      <c r="E156" s="20" t="s">
        <v>538</v>
      </c>
      <c r="F156" s="21">
        <f t="shared" si="8"/>
        <v>25</v>
      </c>
      <c r="G156" s="21">
        <f t="shared" si="9"/>
        <v>56</v>
      </c>
    </row>
    <row r="157" customHeight="1" spans="1:7">
      <c r="A157" s="22"/>
      <c r="B157" s="23"/>
      <c r="C157" s="18" t="s">
        <v>34</v>
      </c>
      <c r="D157" s="24" t="s">
        <v>542</v>
      </c>
      <c r="E157" s="25" t="s">
        <v>540</v>
      </c>
      <c r="F157" s="21">
        <f t="shared" si="8"/>
        <v>6</v>
      </c>
      <c r="G157" s="21">
        <f t="shared" si="9"/>
        <v>36</v>
      </c>
    </row>
    <row r="158" customHeight="1" spans="1:7">
      <c r="A158" s="16">
        <v>77</v>
      </c>
      <c r="B158" s="17" t="str">
        <f>D159</f>
        <v>加菲猫的幸福生活 12</v>
      </c>
      <c r="C158" s="18" t="s">
        <v>29</v>
      </c>
      <c r="D158" s="19" t="s">
        <v>543</v>
      </c>
      <c r="E158" s="20" t="s">
        <v>544</v>
      </c>
      <c r="F158" s="21">
        <f t="shared" si="8"/>
        <v>22</v>
      </c>
      <c r="G158" s="21">
        <f t="shared" si="9"/>
        <v>108</v>
      </c>
    </row>
    <row r="159" customHeight="1" spans="1:7">
      <c r="A159" s="22"/>
      <c r="B159" s="23"/>
      <c r="C159" s="18" t="s">
        <v>34</v>
      </c>
      <c r="D159" s="24" t="s">
        <v>545</v>
      </c>
      <c r="E159" s="25" t="s">
        <v>546</v>
      </c>
      <c r="F159" s="21">
        <f t="shared" si="8"/>
        <v>11</v>
      </c>
      <c r="G159" s="21">
        <f t="shared" si="9"/>
        <v>35</v>
      </c>
    </row>
    <row r="160" customHeight="1" spans="1:7">
      <c r="A160" s="16">
        <v>78</v>
      </c>
      <c r="B160" s="17" t="str">
        <f>D161</f>
        <v>加菲猫的幸福生活 11</v>
      </c>
      <c r="C160" s="18" t="s">
        <v>29</v>
      </c>
      <c r="D160" s="19" t="s">
        <v>547</v>
      </c>
      <c r="E160" s="20" t="s">
        <v>544</v>
      </c>
      <c r="F160" s="21">
        <f t="shared" si="8"/>
        <v>22</v>
      </c>
      <c r="G160" s="21">
        <f t="shared" si="9"/>
        <v>108</v>
      </c>
    </row>
    <row r="161" customHeight="1" spans="1:7">
      <c r="A161" s="22"/>
      <c r="B161" s="23"/>
      <c r="C161" s="18" t="s">
        <v>34</v>
      </c>
      <c r="D161" s="24" t="s">
        <v>548</v>
      </c>
      <c r="E161" s="25" t="s">
        <v>546</v>
      </c>
      <c r="F161" s="21">
        <f t="shared" si="8"/>
        <v>11</v>
      </c>
      <c r="G161" s="21">
        <f t="shared" si="9"/>
        <v>35</v>
      </c>
    </row>
    <row r="162" customHeight="1" spans="1:7">
      <c r="A162" s="16">
        <v>79</v>
      </c>
      <c r="B162" s="17" t="str">
        <f>D163</f>
        <v>如果历史是一群喵 第一季 8 伊尹辅政</v>
      </c>
      <c r="C162" s="18" t="s">
        <v>29</v>
      </c>
      <c r="D162" s="19" t="s">
        <v>549</v>
      </c>
      <c r="E162" s="20" t="s">
        <v>550</v>
      </c>
      <c r="F162" s="21">
        <f t="shared" si="8"/>
        <v>67</v>
      </c>
      <c r="G162" s="21">
        <f t="shared" si="9"/>
        <v>171</v>
      </c>
    </row>
    <row r="163" customHeight="1" spans="1:7">
      <c r="A163" s="22"/>
      <c r="B163" s="23"/>
      <c r="C163" s="18" t="s">
        <v>34</v>
      </c>
      <c r="D163" s="24" t="s">
        <v>551</v>
      </c>
      <c r="E163" s="25" t="s">
        <v>552</v>
      </c>
      <c r="F163" s="21">
        <f t="shared" si="8"/>
        <v>19</v>
      </c>
      <c r="G163" s="21">
        <f t="shared" si="9"/>
        <v>40</v>
      </c>
    </row>
    <row r="164" customHeight="1" spans="1:7">
      <c r="A164" s="16">
        <v>80</v>
      </c>
      <c r="B164" s="17" t="str">
        <f>D165</f>
        <v>如果历史是一群喵 第一季 7 商汤灭夏</v>
      </c>
      <c r="C164" s="18" t="s">
        <v>29</v>
      </c>
      <c r="D164" s="19" t="s">
        <v>553</v>
      </c>
      <c r="E164" s="20" t="s">
        <v>550</v>
      </c>
      <c r="F164" s="21">
        <f t="shared" si="8"/>
        <v>80</v>
      </c>
      <c r="G164" s="21">
        <f t="shared" si="9"/>
        <v>171</v>
      </c>
    </row>
    <row r="165" customHeight="1" spans="1:7">
      <c r="A165" s="22"/>
      <c r="B165" s="23"/>
      <c r="C165" s="18" t="s">
        <v>34</v>
      </c>
      <c r="D165" s="24" t="s">
        <v>554</v>
      </c>
      <c r="E165" s="25" t="s">
        <v>552</v>
      </c>
      <c r="F165" s="21">
        <f t="shared" si="8"/>
        <v>19</v>
      </c>
      <c r="G165" s="21">
        <f t="shared" si="9"/>
        <v>40</v>
      </c>
    </row>
    <row r="166" customHeight="1" spans="1:7">
      <c r="A166" s="16">
        <v>81</v>
      </c>
      <c r="B166" s="17" t="str">
        <f>D167</f>
        <v>京剧猫之信念的冒险 17</v>
      </c>
      <c r="C166" s="18" t="s">
        <v>29</v>
      </c>
      <c r="D166" s="19" t="s">
        <v>555</v>
      </c>
      <c r="E166" s="20" t="s">
        <v>556</v>
      </c>
      <c r="F166" s="21">
        <f t="shared" si="8"/>
        <v>19</v>
      </c>
      <c r="G166" s="21">
        <f t="shared" si="9"/>
        <v>186</v>
      </c>
    </row>
    <row r="167" customHeight="1" spans="1:7">
      <c r="A167" s="22"/>
      <c r="B167" s="23"/>
      <c r="C167" s="18" t="s">
        <v>34</v>
      </c>
      <c r="D167" s="24" t="s">
        <v>557</v>
      </c>
      <c r="E167" s="25" t="s">
        <v>558</v>
      </c>
      <c r="F167" s="21">
        <f t="shared" si="8"/>
        <v>12</v>
      </c>
      <c r="G167" s="21">
        <f t="shared" si="9"/>
        <v>42</v>
      </c>
    </row>
    <row r="168" customHeight="1" spans="1:7">
      <c r="A168" s="16">
        <v>82</v>
      </c>
      <c r="B168" s="17" t="str">
        <f>D169</f>
        <v>熊出没 怪兽计划2（9-10）</v>
      </c>
      <c r="C168" s="18" t="s">
        <v>29</v>
      </c>
      <c r="D168" s="30" t="s">
        <v>559</v>
      </c>
      <c r="E168" s="20" t="s">
        <v>560</v>
      </c>
      <c r="F168" s="21">
        <f t="shared" si="8"/>
        <v>37</v>
      </c>
      <c r="G168" s="21">
        <f t="shared" si="9"/>
        <v>166</v>
      </c>
    </row>
    <row r="169" customHeight="1" spans="1:7">
      <c r="A169" s="22"/>
      <c r="B169" s="23"/>
      <c r="C169" s="18" t="s">
        <v>34</v>
      </c>
      <c r="D169" s="24" t="s">
        <v>561</v>
      </c>
      <c r="E169" s="25" t="s">
        <v>562</v>
      </c>
      <c r="F169" s="21">
        <f t="shared" si="8"/>
        <v>15</v>
      </c>
      <c r="G169" s="21">
        <f t="shared" si="9"/>
        <v>42</v>
      </c>
    </row>
    <row r="170" customHeight="1" spans="1:7">
      <c r="A170" s="16">
        <v>83</v>
      </c>
      <c r="B170" s="17" t="str">
        <f>D171</f>
        <v>山海传奇 9</v>
      </c>
      <c r="C170" s="18" t="s">
        <v>29</v>
      </c>
      <c r="D170" s="30" t="s">
        <v>563</v>
      </c>
      <c r="E170" s="20" t="s">
        <v>564</v>
      </c>
      <c r="F170" s="21">
        <f t="shared" si="8"/>
        <v>31</v>
      </c>
      <c r="G170" s="21">
        <f t="shared" si="9"/>
        <v>314</v>
      </c>
    </row>
    <row r="171" customHeight="1" spans="1:7">
      <c r="A171" s="22"/>
      <c r="B171" s="23"/>
      <c r="C171" s="18" t="s">
        <v>34</v>
      </c>
      <c r="D171" s="24" t="s">
        <v>565</v>
      </c>
      <c r="E171" s="25" t="s">
        <v>566</v>
      </c>
      <c r="F171" s="21">
        <f t="shared" ref="F171:F197" si="10">LEN(D171)</f>
        <v>6</v>
      </c>
      <c r="G171" s="21">
        <f t="shared" ref="G171:G197" si="11">LEN(E171)</f>
        <v>60</v>
      </c>
    </row>
    <row r="172" customHeight="1" spans="1:7">
      <c r="A172" s="16">
        <v>84</v>
      </c>
      <c r="B172" s="17" t="str">
        <f>D173</f>
        <v>天真与功夫袜 47-48</v>
      </c>
      <c r="C172" s="18" t="s">
        <v>29</v>
      </c>
      <c r="D172" s="19" t="s">
        <v>567</v>
      </c>
      <c r="E172" s="20" t="s">
        <v>568</v>
      </c>
      <c r="F172" s="21">
        <f t="shared" si="10"/>
        <v>32</v>
      </c>
      <c r="G172" s="21">
        <f t="shared" si="11"/>
        <v>266</v>
      </c>
    </row>
    <row r="173" customHeight="1" spans="1:7">
      <c r="A173" s="22"/>
      <c r="B173" s="23"/>
      <c r="C173" s="18" t="s">
        <v>34</v>
      </c>
      <c r="D173" s="24" t="s">
        <v>569</v>
      </c>
      <c r="E173" s="25" t="s">
        <v>570</v>
      </c>
      <c r="F173" s="21">
        <f t="shared" si="10"/>
        <v>12</v>
      </c>
      <c r="G173" s="21">
        <f t="shared" si="11"/>
        <v>96</v>
      </c>
    </row>
    <row r="174" customHeight="1" spans="1:7">
      <c r="A174" s="16">
        <v>85</v>
      </c>
      <c r="B174" s="17" t="str">
        <f>D175</f>
        <v>小鸡彩虹 第七季 23-24</v>
      </c>
      <c r="C174" s="18" t="s">
        <v>29</v>
      </c>
      <c r="D174" s="19" t="s">
        <v>571</v>
      </c>
      <c r="E174" s="20" t="s">
        <v>572</v>
      </c>
      <c r="F174" s="21">
        <f t="shared" si="10"/>
        <v>29</v>
      </c>
      <c r="G174" s="21">
        <f t="shared" si="11"/>
        <v>246</v>
      </c>
    </row>
    <row r="175" customHeight="1" spans="1:7">
      <c r="A175" s="22"/>
      <c r="B175" s="23"/>
      <c r="C175" s="18" t="s">
        <v>34</v>
      </c>
      <c r="D175" s="24" t="s">
        <v>573</v>
      </c>
      <c r="E175" s="25" t="s">
        <v>574</v>
      </c>
      <c r="F175" s="21">
        <f t="shared" si="10"/>
        <v>14</v>
      </c>
      <c r="G175" s="21">
        <f t="shared" si="11"/>
        <v>71</v>
      </c>
    </row>
    <row r="176" customHeight="1" spans="1:7">
      <c r="A176" s="16">
        <v>86</v>
      </c>
      <c r="B176" s="17" t="str">
        <f>D177</f>
        <v>快乐老友记 第二季 第10期</v>
      </c>
      <c r="C176" s="18" t="s">
        <v>29</v>
      </c>
      <c r="D176" s="19" t="s">
        <v>575</v>
      </c>
      <c r="E176" s="32" t="s">
        <v>576</v>
      </c>
      <c r="F176" s="21">
        <f t="shared" si="10"/>
        <v>20</v>
      </c>
      <c r="G176" s="21">
        <f t="shared" si="11"/>
        <v>88</v>
      </c>
    </row>
    <row r="177" customHeight="1" spans="1:7">
      <c r="A177" s="22"/>
      <c r="B177" s="23"/>
      <c r="C177" s="18" t="s">
        <v>34</v>
      </c>
      <c r="D177" s="24" t="s">
        <v>577</v>
      </c>
      <c r="E177" s="25" t="s">
        <v>578</v>
      </c>
      <c r="F177" s="21">
        <f t="shared" si="10"/>
        <v>14</v>
      </c>
      <c r="G177" s="21">
        <f t="shared" si="11"/>
        <v>41</v>
      </c>
    </row>
    <row r="178" customHeight="1" spans="1:7">
      <c r="A178" s="16">
        <v>87</v>
      </c>
      <c r="B178" s="17" t="str">
        <f>D179</f>
        <v>快乐老友记 第二季 第9期</v>
      </c>
      <c r="C178" s="18" t="s">
        <v>29</v>
      </c>
      <c r="D178" s="19" t="s">
        <v>579</v>
      </c>
      <c r="E178" s="20" t="s">
        <v>576</v>
      </c>
      <c r="F178" s="21">
        <f t="shared" si="10"/>
        <v>20</v>
      </c>
      <c r="G178" s="21">
        <f t="shared" si="11"/>
        <v>88</v>
      </c>
    </row>
    <row r="179" customHeight="1" spans="1:7">
      <c r="A179" s="22"/>
      <c r="B179" s="23"/>
      <c r="C179" s="18" t="s">
        <v>34</v>
      </c>
      <c r="D179" s="24" t="s">
        <v>580</v>
      </c>
      <c r="E179" s="25" t="s">
        <v>578</v>
      </c>
      <c r="F179" s="21">
        <f t="shared" si="10"/>
        <v>13</v>
      </c>
      <c r="G179" s="21">
        <f t="shared" si="11"/>
        <v>41</v>
      </c>
    </row>
    <row r="180" customHeight="1" spans="1:7">
      <c r="A180" s="16">
        <v>88</v>
      </c>
      <c r="B180" s="17" t="str">
        <f>D181</f>
        <v>快乐老友记 第二季 第7期</v>
      </c>
      <c r="C180" s="18" t="s">
        <v>29</v>
      </c>
      <c r="D180" s="19" t="s">
        <v>581</v>
      </c>
      <c r="E180" s="20" t="s">
        <v>576</v>
      </c>
      <c r="F180" s="21">
        <f t="shared" si="10"/>
        <v>20</v>
      </c>
      <c r="G180" s="21">
        <f t="shared" si="11"/>
        <v>88</v>
      </c>
    </row>
    <row r="181" customHeight="1" spans="1:7">
      <c r="A181" s="22"/>
      <c r="B181" s="23"/>
      <c r="C181" s="18" t="s">
        <v>34</v>
      </c>
      <c r="D181" s="24" t="s">
        <v>582</v>
      </c>
      <c r="E181" s="25" t="s">
        <v>578</v>
      </c>
      <c r="F181" s="21">
        <f t="shared" si="10"/>
        <v>13</v>
      </c>
      <c r="G181" s="21">
        <f t="shared" si="11"/>
        <v>41</v>
      </c>
    </row>
    <row r="182" customHeight="1" spans="1:7">
      <c r="A182" s="16">
        <v>89</v>
      </c>
      <c r="B182" s="17" t="str">
        <f>D183</f>
        <v>快乐老友记 第二季 第6期</v>
      </c>
      <c r="C182" s="18" t="s">
        <v>29</v>
      </c>
      <c r="D182" s="19" t="s">
        <v>583</v>
      </c>
      <c r="E182" s="20" t="s">
        <v>576</v>
      </c>
      <c r="F182" s="21">
        <f t="shared" si="10"/>
        <v>20</v>
      </c>
      <c r="G182" s="21">
        <f t="shared" si="11"/>
        <v>88</v>
      </c>
    </row>
    <row r="183" customHeight="1" spans="1:7">
      <c r="A183" s="22"/>
      <c r="B183" s="23"/>
      <c r="C183" s="18" t="s">
        <v>34</v>
      </c>
      <c r="D183" s="24" t="s">
        <v>584</v>
      </c>
      <c r="E183" s="25" t="s">
        <v>578</v>
      </c>
      <c r="F183" s="21">
        <f t="shared" si="10"/>
        <v>13</v>
      </c>
      <c r="G183" s="21">
        <f t="shared" si="11"/>
        <v>41</v>
      </c>
    </row>
    <row r="184" customHeight="1" spans="1:7">
      <c r="A184" s="16">
        <v>90</v>
      </c>
      <c r="B184" s="17" t="str">
        <f>D185</f>
        <v>味道 美味荆州（下）</v>
      </c>
      <c r="C184" s="18" t="s">
        <v>29</v>
      </c>
      <c r="D184" s="19" t="s">
        <v>585</v>
      </c>
      <c r="E184" s="20" t="s">
        <v>586</v>
      </c>
      <c r="F184" s="21">
        <f t="shared" si="10"/>
        <v>44</v>
      </c>
      <c r="G184" s="21">
        <f t="shared" si="11"/>
        <v>357</v>
      </c>
    </row>
    <row r="185" customHeight="1" spans="1:7">
      <c r="A185" s="22"/>
      <c r="B185" s="23"/>
      <c r="C185" s="18" t="s">
        <v>34</v>
      </c>
      <c r="D185" s="24" t="s">
        <v>587</v>
      </c>
      <c r="E185" s="25" t="s">
        <v>588</v>
      </c>
      <c r="F185" s="21">
        <f t="shared" si="10"/>
        <v>10</v>
      </c>
      <c r="G185" s="21">
        <f t="shared" si="11"/>
        <v>142</v>
      </c>
    </row>
    <row r="186" customHeight="1" spans="1:7">
      <c r="A186" s="16">
        <v>91</v>
      </c>
      <c r="B186" s="17" t="str">
        <f>D187</f>
        <v>味道 美味荆州（上）</v>
      </c>
      <c r="C186" s="18" t="s">
        <v>29</v>
      </c>
      <c r="D186" s="19" t="s">
        <v>589</v>
      </c>
      <c r="E186" s="20" t="s">
        <v>586</v>
      </c>
      <c r="F186" s="21">
        <f t="shared" si="10"/>
        <v>44</v>
      </c>
      <c r="G186" s="21">
        <f t="shared" si="11"/>
        <v>357</v>
      </c>
    </row>
    <row r="187" customHeight="1" spans="1:7">
      <c r="A187" s="22"/>
      <c r="B187" s="23"/>
      <c r="C187" s="18" t="s">
        <v>34</v>
      </c>
      <c r="D187" s="24" t="s">
        <v>590</v>
      </c>
      <c r="E187" s="25" t="s">
        <v>588</v>
      </c>
      <c r="F187" s="21">
        <f t="shared" si="10"/>
        <v>10</v>
      </c>
      <c r="G187" s="21">
        <f t="shared" si="11"/>
        <v>142</v>
      </c>
    </row>
    <row r="188" customHeight="1" spans="1:7">
      <c r="A188" s="16">
        <v>92</v>
      </c>
      <c r="B188" s="17" t="str">
        <f>D189</f>
        <v>农耕探文明 2 江西广昌 传统莲作文化系统</v>
      </c>
      <c r="C188" s="18" t="s">
        <v>29</v>
      </c>
      <c r="D188" s="19" t="s">
        <v>591</v>
      </c>
      <c r="E188" s="20" t="s">
        <v>592</v>
      </c>
      <c r="F188" s="21">
        <f t="shared" si="10"/>
        <v>88</v>
      </c>
      <c r="G188" s="21">
        <f t="shared" si="11"/>
        <v>551</v>
      </c>
    </row>
    <row r="189" customHeight="1" spans="1:7">
      <c r="A189" s="22"/>
      <c r="B189" s="23"/>
      <c r="C189" s="18" t="s">
        <v>34</v>
      </c>
      <c r="D189" s="24" t="s">
        <v>593</v>
      </c>
      <c r="E189" s="25" t="s">
        <v>594</v>
      </c>
      <c r="F189" s="21">
        <f t="shared" si="10"/>
        <v>21</v>
      </c>
      <c r="G189" s="21">
        <f t="shared" si="11"/>
        <v>121</v>
      </c>
    </row>
    <row r="190" customHeight="1" spans="1:7">
      <c r="A190" s="16">
        <v>93</v>
      </c>
      <c r="B190" s="17" t="str">
        <f>D191</f>
        <v>巅峰食刻—中法厨王竞技 田园牧歌</v>
      </c>
      <c r="C190" s="18" t="s">
        <v>29</v>
      </c>
      <c r="D190" s="19" t="s">
        <v>595</v>
      </c>
      <c r="E190" s="20" t="s">
        <v>596</v>
      </c>
      <c r="F190" s="21">
        <f t="shared" si="10"/>
        <v>79</v>
      </c>
      <c r="G190" s="21">
        <f t="shared" si="11"/>
        <v>59</v>
      </c>
    </row>
    <row r="191" customHeight="1" spans="1:7">
      <c r="A191" s="22"/>
      <c r="B191" s="23"/>
      <c r="C191" s="18" t="s">
        <v>34</v>
      </c>
      <c r="D191" s="24" t="s">
        <v>597</v>
      </c>
      <c r="E191" s="25" t="s">
        <v>598</v>
      </c>
      <c r="F191" s="21">
        <f t="shared" si="10"/>
        <v>16</v>
      </c>
      <c r="G191" s="21">
        <f t="shared" si="11"/>
        <v>16</v>
      </c>
    </row>
    <row r="192" customHeight="1" spans="1:7">
      <c r="A192" s="16">
        <v>94</v>
      </c>
      <c r="B192" s="17" t="str">
        <f>D193</f>
        <v>三餐四季 20240721</v>
      </c>
      <c r="C192" s="18" t="s">
        <v>29</v>
      </c>
      <c r="D192" s="19" t="s">
        <v>599</v>
      </c>
      <c r="E192" s="20" t="s">
        <v>600</v>
      </c>
      <c r="F192" s="21">
        <f t="shared" si="10"/>
        <v>37</v>
      </c>
      <c r="G192" s="21">
        <f t="shared" si="11"/>
        <v>137</v>
      </c>
    </row>
    <row r="193" customHeight="1" spans="1:7">
      <c r="A193" s="22"/>
      <c r="B193" s="23"/>
      <c r="C193" s="18" t="s">
        <v>34</v>
      </c>
      <c r="D193" s="24" t="s">
        <v>601</v>
      </c>
      <c r="E193" s="25" t="s">
        <v>602</v>
      </c>
      <c r="F193" s="21">
        <f t="shared" si="10"/>
        <v>13</v>
      </c>
      <c r="G193" s="21">
        <f t="shared" si="11"/>
        <v>43</v>
      </c>
    </row>
    <row r="194" customHeight="1" spans="1:7">
      <c r="A194" s="16">
        <v>95</v>
      </c>
      <c r="B194" s="17" t="str">
        <f>D195</f>
        <v>山水间的家 第三季 20240929</v>
      </c>
      <c r="C194" s="18" t="s">
        <v>29</v>
      </c>
      <c r="D194" s="19" t="s">
        <v>603</v>
      </c>
      <c r="E194" s="20" t="s">
        <v>604</v>
      </c>
      <c r="F194" s="21">
        <f t="shared" si="10"/>
        <v>51</v>
      </c>
      <c r="G194" s="21">
        <f t="shared" si="11"/>
        <v>226</v>
      </c>
    </row>
    <row r="195" customHeight="1" spans="1:7">
      <c r="A195" s="22"/>
      <c r="B195" s="23"/>
      <c r="C195" s="18" t="s">
        <v>34</v>
      </c>
      <c r="D195" s="24" t="s">
        <v>605</v>
      </c>
      <c r="E195" s="25" t="s">
        <v>606</v>
      </c>
      <c r="F195" s="21">
        <f t="shared" si="10"/>
        <v>18</v>
      </c>
      <c r="G195" s="21">
        <f t="shared" si="11"/>
        <v>43</v>
      </c>
    </row>
    <row r="196" customHeight="1" spans="1:7">
      <c r="A196" s="16">
        <v>96</v>
      </c>
      <c r="B196" s="17" t="str">
        <f>D197</f>
        <v>美食传奇 2</v>
      </c>
      <c r="C196" s="18" t="s">
        <v>29</v>
      </c>
      <c r="D196" s="19" t="s">
        <v>607</v>
      </c>
      <c r="E196" s="20" t="s">
        <v>608</v>
      </c>
      <c r="F196" s="21">
        <f t="shared" si="10"/>
        <v>24</v>
      </c>
      <c r="G196" s="21">
        <f t="shared" si="11"/>
        <v>131</v>
      </c>
    </row>
    <row r="197" customHeight="1" spans="1:7">
      <c r="A197" s="22"/>
      <c r="B197" s="23"/>
      <c r="C197" s="18" t="s">
        <v>34</v>
      </c>
      <c r="D197" s="24" t="s">
        <v>609</v>
      </c>
      <c r="E197" s="25" t="s">
        <v>610</v>
      </c>
      <c r="F197" s="21">
        <f t="shared" si="10"/>
        <v>6</v>
      </c>
      <c r="G197" s="21">
        <f t="shared" si="11"/>
        <v>29</v>
      </c>
    </row>
    <row r="198" customHeight="1" spans="1:7">
      <c r="A198" s="16">
        <v>97</v>
      </c>
      <c r="B198" s="17" t="str">
        <f>D199</f>
        <v>美食传奇 1</v>
      </c>
      <c r="C198" s="18" t="s">
        <v>29</v>
      </c>
      <c r="D198" s="19" t="s">
        <v>611</v>
      </c>
      <c r="E198" s="20" t="s">
        <v>608</v>
      </c>
      <c r="F198" s="21">
        <f t="shared" ref="F198:F233" si="12">LEN(D198)</f>
        <v>24</v>
      </c>
      <c r="G198" s="21">
        <f t="shared" ref="G198:G233" si="13">LEN(E198)</f>
        <v>131</v>
      </c>
    </row>
    <row r="199" customHeight="1" spans="1:7">
      <c r="A199" s="22"/>
      <c r="B199" s="23"/>
      <c r="C199" s="18" t="s">
        <v>34</v>
      </c>
      <c r="D199" s="24" t="s">
        <v>612</v>
      </c>
      <c r="E199" s="25" t="s">
        <v>610</v>
      </c>
      <c r="F199" s="21">
        <f t="shared" si="12"/>
        <v>6</v>
      </c>
      <c r="G199" s="21">
        <f t="shared" si="13"/>
        <v>29</v>
      </c>
    </row>
    <row r="200" customHeight="1" spans="1:7">
      <c r="A200" s="16">
        <v>98</v>
      </c>
      <c r="B200" s="17" t="str">
        <f>D201</f>
        <v>居家断舍离 第三季 2</v>
      </c>
      <c r="C200" s="18" t="s">
        <v>29</v>
      </c>
      <c r="D200" s="19" t="s">
        <v>613</v>
      </c>
      <c r="E200" s="20" t="s">
        <v>614</v>
      </c>
      <c r="F200" s="21">
        <f t="shared" si="12"/>
        <v>25</v>
      </c>
      <c r="G200" s="21">
        <f t="shared" si="13"/>
        <v>79</v>
      </c>
    </row>
    <row r="201" customHeight="1" spans="1:7">
      <c r="A201" s="22"/>
      <c r="B201" s="23"/>
      <c r="C201" s="18" t="s">
        <v>34</v>
      </c>
      <c r="D201" s="24" t="s">
        <v>615</v>
      </c>
      <c r="E201" s="25" t="s">
        <v>616</v>
      </c>
      <c r="F201" s="21">
        <f t="shared" si="12"/>
        <v>11</v>
      </c>
      <c r="G201" s="21">
        <f t="shared" si="13"/>
        <v>87</v>
      </c>
    </row>
    <row r="202" customHeight="1" spans="1:7">
      <c r="A202" s="16">
        <v>99</v>
      </c>
      <c r="B202" s="17" t="str">
        <f>D203</f>
        <v>居家断舍离 第三季 1</v>
      </c>
      <c r="C202" s="18" t="s">
        <v>29</v>
      </c>
      <c r="D202" s="19" t="s">
        <v>617</v>
      </c>
      <c r="E202" s="20" t="s">
        <v>614</v>
      </c>
      <c r="F202" s="21">
        <f t="shared" si="12"/>
        <v>25</v>
      </c>
      <c r="G202" s="21">
        <f t="shared" si="13"/>
        <v>79</v>
      </c>
    </row>
    <row r="203" customHeight="1" spans="1:7">
      <c r="A203" s="22"/>
      <c r="B203" s="23"/>
      <c r="C203" s="18" t="s">
        <v>34</v>
      </c>
      <c r="D203" s="24" t="s">
        <v>618</v>
      </c>
      <c r="E203" s="25" t="s">
        <v>616</v>
      </c>
      <c r="F203" s="21">
        <f t="shared" si="12"/>
        <v>11</v>
      </c>
      <c r="G203" s="21">
        <f t="shared" si="13"/>
        <v>87</v>
      </c>
    </row>
    <row r="204" customHeight="1" spans="1:7">
      <c r="A204" s="16">
        <v>100</v>
      </c>
      <c r="B204" s="17" t="str">
        <f>D205</f>
        <v>宝藏酒店度假地 2</v>
      </c>
      <c r="C204" s="18" t="s">
        <v>29</v>
      </c>
      <c r="D204" s="19" t="s">
        <v>619</v>
      </c>
      <c r="E204" s="20" t="s">
        <v>620</v>
      </c>
      <c r="F204" s="21">
        <f t="shared" si="12"/>
        <v>31</v>
      </c>
      <c r="G204" s="21">
        <f t="shared" si="13"/>
        <v>80</v>
      </c>
    </row>
    <row r="205" customHeight="1" spans="1:7">
      <c r="A205" s="22"/>
      <c r="B205" s="23"/>
      <c r="C205" s="18" t="s">
        <v>34</v>
      </c>
      <c r="D205" s="24" t="s">
        <v>621</v>
      </c>
      <c r="E205" s="25" t="s">
        <v>622</v>
      </c>
      <c r="F205" s="21">
        <f t="shared" si="12"/>
        <v>9</v>
      </c>
      <c r="G205" s="21">
        <f t="shared" si="13"/>
        <v>45</v>
      </c>
    </row>
    <row r="206" customHeight="1" spans="1:7">
      <c r="A206" s="16">
        <v>101</v>
      </c>
      <c r="B206" s="17" t="str">
        <f>D207</f>
        <v>地中海的美食路 4</v>
      </c>
      <c r="C206" s="18" t="s">
        <v>29</v>
      </c>
      <c r="D206" s="19" t="s">
        <v>623</v>
      </c>
      <c r="E206" s="20" t="s">
        <v>624</v>
      </c>
      <c r="F206" s="21">
        <f t="shared" si="12"/>
        <v>34</v>
      </c>
      <c r="G206" s="21">
        <f t="shared" si="13"/>
        <v>146</v>
      </c>
    </row>
    <row r="207" customHeight="1" spans="1:7">
      <c r="A207" s="22"/>
      <c r="B207" s="23"/>
      <c r="C207" s="18" t="s">
        <v>34</v>
      </c>
      <c r="D207" s="24" t="s">
        <v>625</v>
      </c>
      <c r="E207" s="25" t="s">
        <v>626</v>
      </c>
      <c r="F207" s="21">
        <f t="shared" si="12"/>
        <v>9</v>
      </c>
      <c r="G207" s="21">
        <f t="shared" si="13"/>
        <v>42</v>
      </c>
    </row>
    <row r="208" customHeight="1" spans="1:7">
      <c r="A208" s="16">
        <v>102</v>
      </c>
      <c r="B208" s="17" t="str">
        <f>D209</f>
        <v>地中海的美食路 3</v>
      </c>
      <c r="C208" s="18" t="s">
        <v>29</v>
      </c>
      <c r="D208" s="19" t="s">
        <v>627</v>
      </c>
      <c r="E208" s="20" t="s">
        <v>624</v>
      </c>
      <c r="F208" s="21">
        <f t="shared" si="12"/>
        <v>34</v>
      </c>
      <c r="G208" s="21">
        <f t="shared" si="13"/>
        <v>146</v>
      </c>
    </row>
    <row r="209" customHeight="1" spans="1:7">
      <c r="A209" s="22"/>
      <c r="B209" s="23"/>
      <c r="C209" s="18" t="s">
        <v>34</v>
      </c>
      <c r="D209" s="24" t="s">
        <v>628</v>
      </c>
      <c r="E209" s="25" t="s">
        <v>626</v>
      </c>
      <c r="F209" s="21">
        <f t="shared" si="12"/>
        <v>9</v>
      </c>
      <c r="G209" s="21">
        <f t="shared" si="13"/>
        <v>42</v>
      </c>
    </row>
    <row r="210" customHeight="1" spans="1:7">
      <c r="A210" s="16">
        <v>103</v>
      </c>
      <c r="B210" s="17" t="str">
        <f>D211</f>
        <v>乒乓球 国际乒联单打世界杯半决赛：王楚钦VS马龙</v>
      </c>
      <c r="C210" s="18" t="s">
        <v>29</v>
      </c>
      <c r="D210" s="19" t="s">
        <v>629</v>
      </c>
      <c r="E210" s="20" t="s">
        <v>630</v>
      </c>
      <c r="F210" s="21">
        <f t="shared" si="12"/>
        <v>67</v>
      </c>
      <c r="G210" s="21">
        <f t="shared" si="13"/>
        <v>128</v>
      </c>
    </row>
    <row r="211" customHeight="1" spans="1:7">
      <c r="A211" s="22"/>
      <c r="B211" s="23"/>
      <c r="C211" s="18" t="s">
        <v>34</v>
      </c>
      <c r="D211" s="24" t="s">
        <v>631</v>
      </c>
      <c r="E211" s="25" t="s">
        <v>632</v>
      </c>
      <c r="F211" s="21">
        <f t="shared" si="12"/>
        <v>24</v>
      </c>
      <c r="G211" s="21">
        <f t="shared" si="13"/>
        <v>38</v>
      </c>
    </row>
    <row r="212" customHeight="1" spans="1:7">
      <c r="A212" s="16">
        <v>104</v>
      </c>
      <c r="B212" s="17" t="str">
        <f>D213</f>
        <v>羽毛球 世界巡回赛总决赛女单决赛：韩悦VS王祉怡</v>
      </c>
      <c r="C212" s="18" t="s">
        <v>29</v>
      </c>
      <c r="D212" s="19" t="s">
        <v>633</v>
      </c>
      <c r="E212" s="20" t="s">
        <v>634</v>
      </c>
      <c r="F212" s="21">
        <f t="shared" si="12"/>
        <v>72</v>
      </c>
      <c r="G212" s="21">
        <f t="shared" si="13"/>
        <v>131</v>
      </c>
    </row>
    <row r="213" customHeight="1" spans="1:7">
      <c r="A213" s="22"/>
      <c r="B213" s="23"/>
      <c r="C213" s="18" t="s">
        <v>34</v>
      </c>
      <c r="D213" s="24" t="s">
        <v>635</v>
      </c>
      <c r="E213" s="25" t="s">
        <v>636</v>
      </c>
      <c r="F213" s="21">
        <f t="shared" si="12"/>
        <v>24</v>
      </c>
      <c r="G213" s="21">
        <f t="shared" si="13"/>
        <v>42</v>
      </c>
    </row>
    <row r="214" customHeight="1" spans="1:7">
      <c r="A214" s="16">
        <v>105</v>
      </c>
      <c r="B214" s="17" t="str">
        <f>D215</f>
        <v>天下足球 亚马尔：青春无极限</v>
      </c>
      <c r="C214" s="18" t="s">
        <v>29</v>
      </c>
      <c r="D214" s="19" t="s">
        <v>637</v>
      </c>
      <c r="E214" s="20" t="s">
        <v>638</v>
      </c>
      <c r="F214" s="21">
        <f t="shared" si="12"/>
        <v>48</v>
      </c>
      <c r="G214" s="21">
        <f t="shared" si="13"/>
        <v>84</v>
      </c>
    </row>
    <row r="215" customHeight="1" spans="1:7">
      <c r="A215" s="22"/>
      <c r="B215" s="23"/>
      <c r="C215" s="18" t="s">
        <v>34</v>
      </c>
      <c r="D215" s="24" t="s">
        <v>639</v>
      </c>
      <c r="E215" s="25" t="s">
        <v>640</v>
      </c>
      <c r="F215" s="21">
        <f t="shared" si="12"/>
        <v>14</v>
      </c>
      <c r="G215" s="21">
        <f t="shared" si="13"/>
        <v>22</v>
      </c>
    </row>
    <row r="216" customHeight="1" spans="1:7">
      <c r="A216" s="16">
        <v>106</v>
      </c>
      <c r="B216" s="17" t="str">
        <f>D217</f>
        <v>天下足球 贝林厄姆：撞开“新秀墙”</v>
      </c>
      <c r="C216" s="18" t="s">
        <v>29</v>
      </c>
      <c r="D216" s="19" t="s">
        <v>641</v>
      </c>
      <c r="E216" s="20" t="s">
        <v>638</v>
      </c>
      <c r="F216" s="21">
        <f t="shared" si="12"/>
        <v>61</v>
      </c>
      <c r="G216" s="21">
        <f t="shared" si="13"/>
        <v>84</v>
      </c>
    </row>
    <row r="217" customHeight="1" spans="1:7">
      <c r="A217" s="22"/>
      <c r="B217" s="23"/>
      <c r="C217" s="18" t="s">
        <v>34</v>
      </c>
      <c r="D217" s="24" t="s">
        <v>642</v>
      </c>
      <c r="E217" s="25" t="s">
        <v>640</v>
      </c>
      <c r="F217" s="21">
        <f t="shared" si="12"/>
        <v>17</v>
      </c>
      <c r="G217" s="21">
        <f t="shared" si="13"/>
        <v>22</v>
      </c>
    </row>
    <row r="218" customHeight="1" spans="1:7">
      <c r="A218" s="16">
        <v>107</v>
      </c>
      <c r="B218" s="17" t="str">
        <f>D219</f>
        <v>篮球公园 一城一队一帅——刘维伟</v>
      </c>
      <c r="C218" s="18" t="s">
        <v>29</v>
      </c>
      <c r="D218" s="19" t="s">
        <v>643</v>
      </c>
      <c r="E218" s="20" t="s">
        <v>644</v>
      </c>
      <c r="F218" s="21">
        <f t="shared" si="12"/>
        <v>53</v>
      </c>
      <c r="G218" s="21">
        <f t="shared" si="13"/>
        <v>108</v>
      </c>
    </row>
    <row r="219" customHeight="1" spans="1:7">
      <c r="A219" s="22"/>
      <c r="B219" s="23"/>
      <c r="C219" s="18" t="s">
        <v>34</v>
      </c>
      <c r="D219" s="24" t="s">
        <v>645</v>
      </c>
      <c r="E219" s="25" t="s">
        <v>646</v>
      </c>
      <c r="F219" s="21">
        <f t="shared" si="12"/>
        <v>16</v>
      </c>
      <c r="G219" s="21">
        <f t="shared" si="13"/>
        <v>35</v>
      </c>
    </row>
    <row r="220" customHeight="1" spans="1:7">
      <c r="A220" s="16">
        <v>108</v>
      </c>
      <c r="B220" s="17" t="str">
        <f>D221</f>
        <v>篮球公园 重温“麦迪时刻”</v>
      </c>
      <c r="C220" s="18" t="s">
        <v>29</v>
      </c>
      <c r="D220" s="19" t="s">
        <v>647</v>
      </c>
      <c r="E220" s="20" t="s">
        <v>644</v>
      </c>
      <c r="F220" s="21">
        <f t="shared" si="12"/>
        <v>43</v>
      </c>
      <c r="G220" s="21">
        <f t="shared" si="13"/>
        <v>108</v>
      </c>
    </row>
    <row r="221" customHeight="1" spans="1:7">
      <c r="A221" s="22"/>
      <c r="B221" s="23"/>
      <c r="C221" s="18" t="s">
        <v>34</v>
      </c>
      <c r="D221" s="24" t="s">
        <v>648</v>
      </c>
      <c r="E221" s="25" t="s">
        <v>646</v>
      </c>
      <c r="F221" s="21">
        <f t="shared" si="12"/>
        <v>13</v>
      </c>
      <c r="G221" s="21">
        <f t="shared" si="13"/>
        <v>35</v>
      </c>
    </row>
    <row r="222" customHeight="1" spans="1:7">
      <c r="A222" s="16">
        <v>109</v>
      </c>
      <c r="B222" s="17" t="str">
        <f>D223</f>
        <v>拜仁慕尼黑：传奇崛起 1</v>
      </c>
      <c r="C222" s="18" t="s">
        <v>29</v>
      </c>
      <c r="D222" s="30" t="s">
        <v>649</v>
      </c>
      <c r="E222" s="20" t="s">
        <v>650</v>
      </c>
      <c r="F222" s="21">
        <f t="shared" si="12"/>
        <v>36</v>
      </c>
      <c r="G222" s="21">
        <f t="shared" si="13"/>
        <v>106</v>
      </c>
    </row>
    <row r="223" customHeight="1" spans="1:7">
      <c r="A223" s="22"/>
      <c r="B223" s="23"/>
      <c r="C223" s="18" t="s">
        <v>34</v>
      </c>
      <c r="D223" s="24" t="s">
        <v>651</v>
      </c>
      <c r="E223" s="25" t="s">
        <v>652</v>
      </c>
      <c r="F223" s="21">
        <f t="shared" si="12"/>
        <v>12</v>
      </c>
      <c r="G223" s="21">
        <f t="shared" si="13"/>
        <v>55</v>
      </c>
    </row>
    <row r="224" customHeight="1" spans="1:7">
      <c r="A224" s="16">
        <v>110</v>
      </c>
      <c r="B224" s="17" t="str">
        <f>D225</f>
        <v>国际篮联赛事集锦 4</v>
      </c>
      <c r="C224" s="18" t="s">
        <v>29</v>
      </c>
      <c r="D224" s="19" t="s">
        <v>653</v>
      </c>
      <c r="E224" s="20" t="s">
        <v>654</v>
      </c>
      <c r="F224" s="21">
        <f t="shared" si="12"/>
        <v>26</v>
      </c>
      <c r="G224" s="21">
        <f t="shared" si="13"/>
        <v>82</v>
      </c>
    </row>
    <row r="225" customHeight="1" spans="1:7">
      <c r="A225" s="22"/>
      <c r="B225" s="23"/>
      <c r="C225" s="18" t="s">
        <v>34</v>
      </c>
      <c r="D225" s="24" t="s">
        <v>655</v>
      </c>
      <c r="E225" s="25" t="s">
        <v>656</v>
      </c>
      <c r="F225" s="21">
        <f t="shared" si="12"/>
        <v>10</v>
      </c>
      <c r="G225" s="21">
        <f t="shared" si="13"/>
        <v>29</v>
      </c>
    </row>
    <row r="226" customHeight="1" spans="1:7">
      <c r="A226" s="16">
        <v>111</v>
      </c>
      <c r="B226" s="17" t="str">
        <f>D227</f>
        <v>燃情竞技高尔夫 4</v>
      </c>
      <c r="C226" s="18" t="s">
        <v>29</v>
      </c>
      <c r="D226" s="19" t="s">
        <v>657</v>
      </c>
      <c r="E226" s="20" t="s">
        <v>658</v>
      </c>
      <c r="F226" s="21">
        <f t="shared" si="12"/>
        <v>21</v>
      </c>
      <c r="G226" s="21">
        <f t="shared" si="13"/>
        <v>203</v>
      </c>
    </row>
    <row r="227" customHeight="1" spans="1:7">
      <c r="A227" s="22"/>
      <c r="B227" s="23"/>
      <c r="C227" s="18" t="s">
        <v>34</v>
      </c>
      <c r="D227" s="24" t="s">
        <v>659</v>
      </c>
      <c r="E227" s="25" t="s">
        <v>660</v>
      </c>
      <c r="F227" s="21">
        <f t="shared" si="12"/>
        <v>9</v>
      </c>
      <c r="G227" s="21">
        <f t="shared" si="13"/>
        <v>35</v>
      </c>
    </row>
    <row r="228" customHeight="1" spans="1:7">
      <c r="A228" s="16">
        <v>112</v>
      </c>
      <c r="B228" s="17" t="str">
        <f>D229</f>
        <v>体坛最极致 6</v>
      </c>
      <c r="C228" s="18" t="s">
        <v>29</v>
      </c>
      <c r="D228" s="19" t="s">
        <v>661</v>
      </c>
      <c r="E228" s="20" t="s">
        <v>662</v>
      </c>
      <c r="F228" s="21">
        <f t="shared" si="12"/>
        <v>29</v>
      </c>
      <c r="G228" s="21">
        <f t="shared" si="13"/>
        <v>54</v>
      </c>
    </row>
    <row r="229" customHeight="1" spans="1:7">
      <c r="A229" s="22"/>
      <c r="B229" s="23"/>
      <c r="C229" s="18" t="s">
        <v>34</v>
      </c>
      <c r="D229" s="24" t="s">
        <v>663</v>
      </c>
      <c r="E229" s="25" t="s">
        <v>664</v>
      </c>
      <c r="F229" s="21">
        <f t="shared" si="12"/>
        <v>7</v>
      </c>
      <c r="G229" s="21">
        <f t="shared" si="13"/>
        <v>34</v>
      </c>
    </row>
    <row r="230" customHeight="1" spans="1:7">
      <c r="A230" s="16">
        <v>113</v>
      </c>
      <c r="B230" s="17" t="str">
        <f>D231</f>
        <v>完美冲浪地 第三季 5</v>
      </c>
      <c r="C230" s="18" t="s">
        <v>29</v>
      </c>
      <c r="D230" s="30" t="s">
        <v>665</v>
      </c>
      <c r="E230" s="20" t="s">
        <v>666</v>
      </c>
      <c r="F230" s="21">
        <f t="shared" si="12"/>
        <v>24</v>
      </c>
      <c r="G230" s="21">
        <f t="shared" si="13"/>
        <v>150</v>
      </c>
    </row>
    <row r="231" customHeight="1" spans="1:7">
      <c r="A231" s="22"/>
      <c r="B231" s="23"/>
      <c r="C231" s="18" t="s">
        <v>34</v>
      </c>
      <c r="D231" s="24" t="s">
        <v>667</v>
      </c>
      <c r="E231" s="25" t="s">
        <v>668</v>
      </c>
      <c r="F231" s="21">
        <f t="shared" si="12"/>
        <v>11</v>
      </c>
      <c r="G231" s="21">
        <f t="shared" si="13"/>
        <v>16</v>
      </c>
    </row>
    <row r="232" customHeight="1" spans="1:7">
      <c r="A232" s="16">
        <v>114</v>
      </c>
      <c r="B232" s="17" t="str">
        <f>D233</f>
        <v>极限挑战 第十季 2</v>
      </c>
      <c r="C232" s="18" t="s">
        <v>29</v>
      </c>
      <c r="D232" s="19" t="s">
        <v>669</v>
      </c>
      <c r="E232" s="20" t="s">
        <v>670</v>
      </c>
      <c r="F232" s="21">
        <f t="shared" si="12"/>
        <v>18</v>
      </c>
      <c r="G232" s="21">
        <f t="shared" si="13"/>
        <v>88</v>
      </c>
    </row>
    <row r="233" customHeight="1" spans="1:7">
      <c r="A233" s="22"/>
      <c r="B233" s="23"/>
      <c r="C233" s="18" t="s">
        <v>34</v>
      </c>
      <c r="D233" s="24" t="s">
        <v>671</v>
      </c>
      <c r="E233" s="25" t="s">
        <v>672</v>
      </c>
      <c r="F233" s="21">
        <f t="shared" si="12"/>
        <v>10</v>
      </c>
      <c r="G233" s="21">
        <f t="shared" si="13"/>
        <v>28</v>
      </c>
    </row>
    <row r="234" customHeight="1" spans="1:7">
      <c r="A234" s="16">
        <v>115</v>
      </c>
      <c r="B234" s="17" t="str">
        <f>D235</f>
        <v>极限挑战 第十季 1</v>
      </c>
      <c r="C234" s="18" t="s">
        <v>29</v>
      </c>
      <c r="D234" s="19" t="s">
        <v>673</v>
      </c>
      <c r="E234" s="20" t="s">
        <v>670</v>
      </c>
      <c r="F234" s="21">
        <f t="shared" ref="F234:F263" si="14">LEN(D234)</f>
        <v>18</v>
      </c>
      <c r="G234" s="21">
        <f t="shared" ref="G234:G263" si="15">LEN(E234)</f>
        <v>88</v>
      </c>
    </row>
    <row r="235" customHeight="1" spans="1:7">
      <c r="A235" s="22"/>
      <c r="B235" s="23"/>
      <c r="C235" s="18" t="s">
        <v>34</v>
      </c>
      <c r="D235" s="24" t="s">
        <v>674</v>
      </c>
      <c r="E235" s="25" t="s">
        <v>672</v>
      </c>
      <c r="F235" s="21">
        <f t="shared" si="14"/>
        <v>10</v>
      </c>
      <c r="G235" s="21">
        <f t="shared" si="15"/>
        <v>28</v>
      </c>
    </row>
    <row r="236" customHeight="1" spans="1:7">
      <c r="A236" s="16">
        <v>116</v>
      </c>
      <c r="B236" s="17" t="str">
        <f>D237</f>
        <v>一年一度喜剧大赛 第一季 6</v>
      </c>
      <c r="C236" s="18" t="s">
        <v>29</v>
      </c>
      <c r="D236" s="19" t="s">
        <v>675</v>
      </c>
      <c r="E236" s="20" t="s">
        <v>676</v>
      </c>
      <c r="F236" s="21">
        <f t="shared" si="14"/>
        <v>24</v>
      </c>
      <c r="G236" s="21">
        <f t="shared" si="15"/>
        <v>29</v>
      </c>
    </row>
    <row r="237" customHeight="1" spans="1:7">
      <c r="A237" s="22"/>
      <c r="B237" s="23"/>
      <c r="C237" s="18" t="s">
        <v>34</v>
      </c>
      <c r="D237" s="24" t="s">
        <v>677</v>
      </c>
      <c r="E237" s="33" t="s">
        <v>678</v>
      </c>
      <c r="F237" s="21">
        <f t="shared" si="14"/>
        <v>14</v>
      </c>
      <c r="G237" s="21">
        <f t="shared" si="15"/>
        <v>9</v>
      </c>
    </row>
    <row r="238" customHeight="1" spans="1:7">
      <c r="A238" s="16">
        <v>117</v>
      </c>
      <c r="B238" s="17" t="str">
        <f>D239</f>
        <v>一年一度喜剧大赛 第一季 5</v>
      </c>
      <c r="C238" s="18" t="s">
        <v>29</v>
      </c>
      <c r="D238" s="19" t="s">
        <v>679</v>
      </c>
      <c r="E238" s="20" t="s">
        <v>676</v>
      </c>
      <c r="F238" s="21">
        <f t="shared" si="14"/>
        <v>24</v>
      </c>
      <c r="G238" s="21">
        <f t="shared" si="15"/>
        <v>29</v>
      </c>
    </row>
    <row r="239" customHeight="1" spans="1:7">
      <c r="A239" s="22"/>
      <c r="B239" s="23"/>
      <c r="C239" s="18" t="s">
        <v>34</v>
      </c>
      <c r="D239" s="24" t="s">
        <v>680</v>
      </c>
      <c r="E239" s="33" t="s">
        <v>678</v>
      </c>
      <c r="F239" s="21">
        <f t="shared" si="14"/>
        <v>14</v>
      </c>
      <c r="G239" s="21">
        <f t="shared" si="15"/>
        <v>9</v>
      </c>
    </row>
    <row r="240" customHeight="1" spans="1:7">
      <c r="A240" s="16">
        <v>118</v>
      </c>
      <c r="B240" s="17" t="str">
        <f>D241</f>
        <v>一年一度喜剧大赛 第一季 4</v>
      </c>
      <c r="C240" s="18" t="s">
        <v>29</v>
      </c>
      <c r="D240" s="19" t="s">
        <v>681</v>
      </c>
      <c r="E240" s="20" t="s">
        <v>676</v>
      </c>
      <c r="F240" s="21">
        <f t="shared" si="14"/>
        <v>24</v>
      </c>
      <c r="G240" s="21">
        <f t="shared" si="15"/>
        <v>29</v>
      </c>
    </row>
    <row r="241" customHeight="1" spans="1:7">
      <c r="A241" s="22"/>
      <c r="B241" s="23"/>
      <c r="C241" s="18" t="s">
        <v>34</v>
      </c>
      <c r="D241" s="24" t="s">
        <v>682</v>
      </c>
      <c r="E241" s="33" t="s">
        <v>678</v>
      </c>
      <c r="F241" s="21">
        <f t="shared" si="14"/>
        <v>14</v>
      </c>
      <c r="G241" s="21">
        <f t="shared" si="15"/>
        <v>9</v>
      </c>
    </row>
    <row r="242" customHeight="1" spans="1:7">
      <c r="A242" s="16">
        <v>119</v>
      </c>
      <c r="B242" s="17" t="str">
        <f>D243</f>
        <v>星光大道 2024年度总决赛第一场分赛</v>
      </c>
      <c r="C242" s="18" t="s">
        <v>29</v>
      </c>
      <c r="D242" s="19" t="s">
        <v>683</v>
      </c>
      <c r="E242" s="20" t="s">
        <v>684</v>
      </c>
      <c r="F242" s="21">
        <f t="shared" si="14"/>
        <v>42</v>
      </c>
      <c r="G242" s="21">
        <f t="shared" si="15"/>
        <v>124</v>
      </c>
    </row>
    <row r="243" customHeight="1" spans="1:7">
      <c r="A243" s="22"/>
      <c r="B243" s="23"/>
      <c r="C243" s="18" t="s">
        <v>34</v>
      </c>
      <c r="D243" s="24" t="s">
        <v>685</v>
      </c>
      <c r="E243" s="25" t="s">
        <v>686</v>
      </c>
      <c r="F243" s="21">
        <f t="shared" si="14"/>
        <v>19</v>
      </c>
      <c r="G243" s="21">
        <f t="shared" si="15"/>
        <v>33</v>
      </c>
    </row>
    <row r="244" customHeight="1" spans="1:7">
      <c r="A244" s="16">
        <v>120</v>
      </c>
      <c r="B244" s="17" t="str">
        <f>D245</f>
        <v>开门大吉 20241125</v>
      </c>
      <c r="C244" s="18" t="s">
        <v>29</v>
      </c>
      <c r="D244" s="19" t="s">
        <v>687</v>
      </c>
      <c r="E244" s="20" t="s">
        <v>688</v>
      </c>
      <c r="F244" s="21">
        <f t="shared" si="14"/>
        <v>35</v>
      </c>
      <c r="G244" s="21">
        <f t="shared" si="15"/>
        <v>228</v>
      </c>
    </row>
    <row r="245" customHeight="1" spans="1:7">
      <c r="A245" s="22"/>
      <c r="B245" s="23"/>
      <c r="C245" s="18" t="s">
        <v>34</v>
      </c>
      <c r="D245" s="24" t="s">
        <v>689</v>
      </c>
      <c r="E245" s="25" t="s">
        <v>690</v>
      </c>
      <c r="F245" s="21">
        <f t="shared" si="14"/>
        <v>13</v>
      </c>
      <c r="G245" s="21">
        <f t="shared" si="15"/>
        <v>58</v>
      </c>
    </row>
    <row r="246" customHeight="1" spans="1:7">
      <c r="A246" s="16">
        <v>121</v>
      </c>
      <c r="B246" s="17" t="str">
        <f>D247</f>
        <v>开门大吉 20241118</v>
      </c>
      <c r="C246" s="18" t="s">
        <v>29</v>
      </c>
      <c r="D246" s="19" t="s">
        <v>691</v>
      </c>
      <c r="E246" s="20" t="s">
        <v>688</v>
      </c>
      <c r="F246" s="21">
        <f t="shared" si="14"/>
        <v>35</v>
      </c>
      <c r="G246" s="21">
        <f t="shared" si="15"/>
        <v>228</v>
      </c>
    </row>
    <row r="247" customHeight="1" spans="1:7">
      <c r="A247" s="22"/>
      <c r="B247" s="23"/>
      <c r="C247" s="18" t="s">
        <v>34</v>
      </c>
      <c r="D247" s="24" t="s">
        <v>692</v>
      </c>
      <c r="E247" s="25" t="s">
        <v>690</v>
      </c>
      <c r="F247" s="21">
        <f t="shared" si="14"/>
        <v>13</v>
      </c>
      <c r="G247" s="21">
        <f t="shared" si="15"/>
        <v>58</v>
      </c>
    </row>
    <row r="248" customHeight="1" spans="1:7">
      <c r="A248" s="16">
        <v>122</v>
      </c>
      <c r="B248" s="17" t="str">
        <f>D249</f>
        <v>时光音乐会·老友记 8</v>
      </c>
      <c r="C248" s="18" t="s">
        <v>29</v>
      </c>
      <c r="D248" s="19" t="s">
        <v>693</v>
      </c>
      <c r="E248" s="20" t="s">
        <v>694</v>
      </c>
      <c r="F248" s="21">
        <f t="shared" si="14"/>
        <v>29</v>
      </c>
      <c r="G248" s="21">
        <f t="shared" si="15"/>
        <v>87</v>
      </c>
    </row>
    <row r="249" customHeight="1" spans="1:7">
      <c r="A249" s="22"/>
      <c r="B249" s="23"/>
      <c r="C249" s="18" t="s">
        <v>34</v>
      </c>
      <c r="D249" s="24" t="s">
        <v>695</v>
      </c>
      <c r="E249" s="25" t="s">
        <v>696</v>
      </c>
      <c r="F249" s="21">
        <f t="shared" si="14"/>
        <v>11</v>
      </c>
      <c r="G249" s="21">
        <f t="shared" si="15"/>
        <v>44</v>
      </c>
    </row>
    <row r="250" customHeight="1" spans="1:7">
      <c r="A250" s="16">
        <v>123</v>
      </c>
      <c r="B250" s="17" t="str">
        <f>D251</f>
        <v>时光音乐会·老友记 7</v>
      </c>
      <c r="C250" s="18" t="s">
        <v>29</v>
      </c>
      <c r="D250" s="19" t="s">
        <v>697</v>
      </c>
      <c r="E250" s="20" t="s">
        <v>694</v>
      </c>
      <c r="F250" s="21">
        <f t="shared" si="14"/>
        <v>29</v>
      </c>
      <c r="G250" s="21">
        <f t="shared" si="15"/>
        <v>87</v>
      </c>
    </row>
    <row r="251" customHeight="1" spans="1:7">
      <c r="A251" s="22"/>
      <c r="B251" s="23"/>
      <c r="C251" s="18" t="s">
        <v>34</v>
      </c>
      <c r="D251" s="24" t="s">
        <v>698</v>
      </c>
      <c r="E251" s="25" t="s">
        <v>696</v>
      </c>
      <c r="F251" s="21">
        <f t="shared" si="14"/>
        <v>11</v>
      </c>
      <c r="G251" s="21">
        <f t="shared" si="15"/>
        <v>44</v>
      </c>
    </row>
    <row r="252" customHeight="1" spans="1:7">
      <c r="A252" s="16">
        <v>124</v>
      </c>
      <c r="B252" s="17" t="str">
        <f>D253</f>
        <v>时光音乐会·老友记 6</v>
      </c>
      <c r="C252" s="18" t="s">
        <v>29</v>
      </c>
      <c r="D252" s="19" t="s">
        <v>699</v>
      </c>
      <c r="E252" s="20" t="s">
        <v>694</v>
      </c>
      <c r="F252" s="21">
        <f t="shared" si="14"/>
        <v>29</v>
      </c>
      <c r="G252" s="21">
        <f t="shared" si="15"/>
        <v>87</v>
      </c>
    </row>
    <row r="253" customHeight="1" spans="1:7">
      <c r="A253" s="22"/>
      <c r="B253" s="23"/>
      <c r="C253" s="18" t="s">
        <v>34</v>
      </c>
      <c r="D253" s="24" t="s">
        <v>700</v>
      </c>
      <c r="E253" s="25" t="s">
        <v>696</v>
      </c>
      <c r="F253" s="21">
        <f t="shared" si="14"/>
        <v>11</v>
      </c>
      <c r="G253" s="21">
        <f t="shared" si="15"/>
        <v>44</v>
      </c>
    </row>
    <row r="254" customHeight="1" spans="1:7">
      <c r="A254" s="16">
        <v>125</v>
      </c>
      <c r="B254" s="17" t="str">
        <f>D255</f>
        <v>时光音乐会·老友记 5</v>
      </c>
      <c r="C254" s="18" t="s">
        <v>29</v>
      </c>
      <c r="D254" s="19" t="s">
        <v>701</v>
      </c>
      <c r="E254" s="20" t="s">
        <v>694</v>
      </c>
      <c r="F254" s="21">
        <f t="shared" si="14"/>
        <v>29</v>
      </c>
      <c r="G254" s="21">
        <f t="shared" si="15"/>
        <v>87</v>
      </c>
    </row>
    <row r="255" customHeight="1" spans="1:7">
      <c r="A255" s="22"/>
      <c r="B255" s="23"/>
      <c r="C255" s="18" t="s">
        <v>34</v>
      </c>
      <c r="D255" s="24" t="s">
        <v>702</v>
      </c>
      <c r="E255" s="25" t="s">
        <v>696</v>
      </c>
      <c r="F255" s="21">
        <f t="shared" si="14"/>
        <v>11</v>
      </c>
      <c r="G255" s="21">
        <f t="shared" si="15"/>
        <v>44</v>
      </c>
    </row>
    <row r="256" customHeight="1" spans="1:7">
      <c r="A256" s="16">
        <v>126</v>
      </c>
      <c r="B256" s="17" t="str">
        <f>D257</f>
        <v>嗨！AI-音乐季 20240802</v>
      </c>
      <c r="C256" s="18" t="s">
        <v>29</v>
      </c>
      <c r="D256" s="30" t="s">
        <v>703</v>
      </c>
      <c r="E256" s="20" t="s">
        <v>704</v>
      </c>
      <c r="F256" s="21">
        <f t="shared" si="14"/>
        <v>30</v>
      </c>
      <c r="G256" s="21">
        <f t="shared" si="15"/>
        <v>177</v>
      </c>
    </row>
    <row r="257" customHeight="1" spans="1:7">
      <c r="A257" s="22"/>
      <c r="B257" s="23"/>
      <c r="C257" s="18" t="s">
        <v>34</v>
      </c>
      <c r="D257" s="24" t="s">
        <v>705</v>
      </c>
      <c r="E257" s="25" t="s">
        <v>706</v>
      </c>
      <c r="F257" s="21">
        <f t="shared" si="14"/>
        <v>17</v>
      </c>
      <c r="G257" s="21">
        <f t="shared" si="15"/>
        <v>38</v>
      </c>
    </row>
    <row r="258" customHeight="1" spans="1:7">
      <c r="A258" s="16">
        <v>127</v>
      </c>
      <c r="B258" s="17" t="str">
        <f>D259</f>
        <v>精彩音乐汇 我的爱对你说 20241215</v>
      </c>
      <c r="C258" s="18" t="s">
        <v>29</v>
      </c>
      <c r="D258" s="30" t="s">
        <v>707</v>
      </c>
      <c r="E258" s="20" t="s">
        <v>708</v>
      </c>
      <c r="F258" s="21">
        <f t="shared" si="14"/>
        <v>56</v>
      </c>
      <c r="G258" s="21">
        <f t="shared" si="15"/>
        <v>158</v>
      </c>
    </row>
    <row r="259" customHeight="1" spans="1:7">
      <c r="A259" s="22"/>
      <c r="B259" s="23"/>
      <c r="C259" s="18" t="s">
        <v>34</v>
      </c>
      <c r="D259" s="24" t="s">
        <v>709</v>
      </c>
      <c r="E259" s="25" t="s">
        <v>710</v>
      </c>
      <c r="F259" s="21">
        <f t="shared" si="14"/>
        <v>21</v>
      </c>
      <c r="G259" s="21">
        <f t="shared" si="15"/>
        <v>54</v>
      </c>
    </row>
    <row r="260" customHeight="1" spans="1:7">
      <c r="A260" s="16">
        <v>128</v>
      </c>
      <c r="B260" s="17" t="str">
        <f>D261</f>
        <v>何以中国 7</v>
      </c>
      <c r="C260" s="18" t="s">
        <v>29</v>
      </c>
      <c r="D260" s="19" t="s">
        <v>711</v>
      </c>
      <c r="E260" s="20" t="s">
        <v>712</v>
      </c>
      <c r="F260" s="21">
        <f t="shared" si="14"/>
        <v>23</v>
      </c>
      <c r="G260" s="21">
        <f t="shared" si="15"/>
        <v>164</v>
      </c>
    </row>
    <row r="261" customHeight="1" spans="1:7">
      <c r="A261" s="22"/>
      <c r="B261" s="23"/>
      <c r="C261" s="18" t="s">
        <v>34</v>
      </c>
      <c r="D261" s="24" t="s">
        <v>713</v>
      </c>
      <c r="E261" s="25" t="s">
        <v>714</v>
      </c>
      <c r="F261" s="21">
        <f t="shared" si="14"/>
        <v>6</v>
      </c>
      <c r="G261" s="21">
        <f t="shared" si="15"/>
        <v>61</v>
      </c>
    </row>
    <row r="262" customHeight="1" spans="1:7">
      <c r="A262" s="16">
        <v>129</v>
      </c>
      <c r="B262" s="17" t="str">
        <f>D263</f>
        <v>中国村落 6</v>
      </c>
      <c r="C262" s="18" t="s">
        <v>29</v>
      </c>
      <c r="D262" s="19" t="s">
        <v>715</v>
      </c>
      <c r="E262" s="20" t="s">
        <v>716</v>
      </c>
      <c r="F262" s="21">
        <f t="shared" si="14"/>
        <v>26</v>
      </c>
      <c r="G262" s="21">
        <f t="shared" si="15"/>
        <v>68</v>
      </c>
    </row>
    <row r="263" customHeight="1" spans="1:7">
      <c r="A263" s="22"/>
      <c r="B263" s="23"/>
      <c r="C263" s="18" t="s">
        <v>34</v>
      </c>
      <c r="D263" s="24" t="s">
        <v>717</v>
      </c>
      <c r="E263" s="25" t="s">
        <v>718</v>
      </c>
      <c r="F263" s="21">
        <f t="shared" si="14"/>
        <v>6</v>
      </c>
      <c r="G263" s="21">
        <f t="shared" si="15"/>
        <v>41</v>
      </c>
    </row>
    <row r="264" customHeight="1" spans="1:7">
      <c r="A264" s="16">
        <v>130</v>
      </c>
      <c r="B264" s="17" t="str">
        <f>D265</f>
        <v>大国脊梁 2 使命</v>
      </c>
      <c r="C264" s="18" t="s">
        <v>29</v>
      </c>
      <c r="D264" s="30" t="s">
        <v>719</v>
      </c>
      <c r="E264" s="20" t="s">
        <v>720</v>
      </c>
      <c r="F264" s="21">
        <f t="shared" ref="F264:F279" si="16">LEN(D264)</f>
        <v>27</v>
      </c>
      <c r="G264" s="21">
        <f t="shared" ref="G264:G279" si="17">LEN(E264)</f>
        <v>297</v>
      </c>
    </row>
    <row r="265" customHeight="1" spans="1:7">
      <c r="A265" s="22"/>
      <c r="B265" s="23"/>
      <c r="C265" s="18" t="s">
        <v>34</v>
      </c>
      <c r="D265" s="24" t="s">
        <v>721</v>
      </c>
      <c r="E265" s="25" t="s">
        <v>722</v>
      </c>
      <c r="F265" s="21">
        <f t="shared" si="16"/>
        <v>9</v>
      </c>
      <c r="G265" s="21">
        <f t="shared" si="17"/>
        <v>69</v>
      </c>
    </row>
    <row r="266" customHeight="1" spans="1:7">
      <c r="A266" s="16">
        <v>131</v>
      </c>
      <c r="B266" s="17" t="str">
        <f>D267</f>
        <v>大国脊梁 1 初心</v>
      </c>
      <c r="C266" s="18" t="s">
        <v>29</v>
      </c>
      <c r="D266" s="30" t="s">
        <v>723</v>
      </c>
      <c r="E266" s="20" t="s">
        <v>720</v>
      </c>
      <c r="F266" s="21">
        <f t="shared" si="16"/>
        <v>38</v>
      </c>
      <c r="G266" s="21">
        <f t="shared" si="17"/>
        <v>297</v>
      </c>
    </row>
    <row r="267" customHeight="1" spans="1:7">
      <c r="A267" s="22"/>
      <c r="B267" s="23"/>
      <c r="C267" s="18" t="s">
        <v>34</v>
      </c>
      <c r="D267" s="24" t="s">
        <v>724</v>
      </c>
      <c r="E267" s="25" t="s">
        <v>722</v>
      </c>
      <c r="F267" s="21">
        <f t="shared" si="16"/>
        <v>9</v>
      </c>
      <c r="G267" s="21">
        <f t="shared" si="17"/>
        <v>69</v>
      </c>
    </row>
    <row r="268" customHeight="1" spans="1:7">
      <c r="A268" s="16">
        <v>132</v>
      </c>
      <c r="B268" s="17" t="str">
        <f>D269</f>
        <v>诗画中国 江河万古流 20240706</v>
      </c>
      <c r="C268" s="18" t="s">
        <v>29</v>
      </c>
      <c r="D268" s="30" t="s">
        <v>725</v>
      </c>
      <c r="E268" s="20" t="s">
        <v>726</v>
      </c>
      <c r="F268" s="21">
        <f t="shared" si="16"/>
        <v>67</v>
      </c>
      <c r="G268" s="21">
        <f t="shared" si="17"/>
        <v>226</v>
      </c>
    </row>
    <row r="269" customHeight="1" spans="1:7">
      <c r="A269" s="22"/>
      <c r="B269" s="23"/>
      <c r="C269" s="18" t="s">
        <v>34</v>
      </c>
      <c r="D269" s="24" t="s">
        <v>727</v>
      </c>
      <c r="E269" s="25" t="s">
        <v>728</v>
      </c>
      <c r="F269" s="21">
        <f t="shared" si="16"/>
        <v>19</v>
      </c>
      <c r="G269" s="21">
        <f t="shared" si="17"/>
        <v>54</v>
      </c>
    </row>
    <row r="270" customHeight="1" spans="1:7">
      <c r="A270" s="16">
        <v>133</v>
      </c>
      <c r="B270" s="17" t="str">
        <f>D271</f>
        <v>色彩中国 5</v>
      </c>
      <c r="C270" s="18" t="s">
        <v>29</v>
      </c>
      <c r="D270" s="19" t="s">
        <v>729</v>
      </c>
      <c r="E270" s="20" t="s">
        <v>730</v>
      </c>
      <c r="F270" s="21">
        <f t="shared" si="16"/>
        <v>25</v>
      </c>
      <c r="G270" s="21">
        <f t="shared" si="17"/>
        <v>73</v>
      </c>
    </row>
    <row r="271" customHeight="1" spans="1:7">
      <c r="A271" s="22"/>
      <c r="B271" s="23"/>
      <c r="C271" s="18" t="s">
        <v>34</v>
      </c>
      <c r="D271" s="24" t="s">
        <v>731</v>
      </c>
      <c r="E271" s="25" t="s">
        <v>732</v>
      </c>
      <c r="F271" s="21">
        <f t="shared" si="16"/>
        <v>6</v>
      </c>
      <c r="G271" s="21">
        <f t="shared" si="17"/>
        <v>22</v>
      </c>
    </row>
    <row r="272" customHeight="1" spans="1:7">
      <c r="A272" s="16">
        <v>134</v>
      </c>
      <c r="B272" s="17" t="str">
        <f>D273</f>
        <v>色彩中国 4</v>
      </c>
      <c r="C272" s="18" t="s">
        <v>29</v>
      </c>
      <c r="D272" s="19" t="s">
        <v>733</v>
      </c>
      <c r="E272" s="20" t="s">
        <v>730</v>
      </c>
      <c r="F272" s="21">
        <f t="shared" si="16"/>
        <v>25</v>
      </c>
      <c r="G272" s="21">
        <f t="shared" si="17"/>
        <v>73</v>
      </c>
    </row>
    <row r="273" customHeight="1" spans="1:7">
      <c r="A273" s="22"/>
      <c r="B273" s="23"/>
      <c r="C273" s="18" t="s">
        <v>34</v>
      </c>
      <c r="D273" s="24" t="s">
        <v>734</v>
      </c>
      <c r="E273" s="25" t="s">
        <v>732</v>
      </c>
      <c r="F273" s="21">
        <f t="shared" si="16"/>
        <v>6</v>
      </c>
      <c r="G273" s="21">
        <f t="shared" si="17"/>
        <v>22</v>
      </c>
    </row>
    <row r="274" customHeight="1" spans="1:7">
      <c r="A274" s="16">
        <v>135</v>
      </c>
      <c r="B274" s="17" t="str">
        <f>D275</f>
        <v>精彩导航</v>
      </c>
      <c r="C274" s="18" t="s">
        <v>29</v>
      </c>
      <c r="D274" s="30" t="s">
        <v>735</v>
      </c>
      <c r="E274" s="20" t="s">
        <v>736</v>
      </c>
      <c r="F274" s="21">
        <f t="shared" ref="F274:F294" si="18">LEN(D274)</f>
        <v>20</v>
      </c>
      <c r="G274" s="21">
        <f t="shared" ref="G274:G294" si="19">LEN(E274)</f>
        <v>446</v>
      </c>
    </row>
    <row r="275" customHeight="1" spans="1:7">
      <c r="A275" s="22"/>
      <c r="B275" s="23"/>
      <c r="C275" s="18" t="s">
        <v>34</v>
      </c>
      <c r="D275" s="34" t="s">
        <v>737</v>
      </c>
      <c r="E275" s="25" t="s">
        <v>738</v>
      </c>
      <c r="F275" s="21">
        <f t="shared" si="18"/>
        <v>4</v>
      </c>
      <c r="G275" s="21">
        <f t="shared" si="19"/>
        <v>103</v>
      </c>
    </row>
  </sheetData>
  <autoFilter xmlns:etc="http://www.wps.cn/officeDocument/2017/etCustomData" ref="A1:G275" etc:filterBottomFollowUsedRange="0">
    <extLst/>
  </autoFilter>
  <mergeCells count="270">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6"/>
    <mergeCell ref="A117:A119"/>
    <mergeCell ref="A120:A122"/>
    <mergeCell ref="A123: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168:A169"/>
    <mergeCell ref="A170:A171"/>
    <mergeCell ref="A172:A173"/>
    <mergeCell ref="A174:A175"/>
    <mergeCell ref="A176:A177"/>
    <mergeCell ref="A178:A179"/>
    <mergeCell ref="A180:A181"/>
    <mergeCell ref="A182:A183"/>
    <mergeCell ref="A184:A185"/>
    <mergeCell ref="A186:A187"/>
    <mergeCell ref="A188:A189"/>
    <mergeCell ref="A190:A191"/>
    <mergeCell ref="A192:A193"/>
    <mergeCell ref="A194:A195"/>
    <mergeCell ref="A196:A197"/>
    <mergeCell ref="A198:A199"/>
    <mergeCell ref="A200:A201"/>
    <mergeCell ref="A202:A203"/>
    <mergeCell ref="A204:A205"/>
    <mergeCell ref="A206:A207"/>
    <mergeCell ref="A208:A209"/>
    <mergeCell ref="A210:A211"/>
    <mergeCell ref="A212:A213"/>
    <mergeCell ref="A214:A215"/>
    <mergeCell ref="A216:A217"/>
    <mergeCell ref="A218:A219"/>
    <mergeCell ref="A220:A221"/>
    <mergeCell ref="A222:A223"/>
    <mergeCell ref="A224:A225"/>
    <mergeCell ref="A226:A227"/>
    <mergeCell ref="A228:A229"/>
    <mergeCell ref="A230:A231"/>
    <mergeCell ref="A232:A233"/>
    <mergeCell ref="A234:A235"/>
    <mergeCell ref="A236:A237"/>
    <mergeCell ref="A238:A239"/>
    <mergeCell ref="A240:A241"/>
    <mergeCell ref="A242:A243"/>
    <mergeCell ref="A244:A245"/>
    <mergeCell ref="A246:A247"/>
    <mergeCell ref="A248:A249"/>
    <mergeCell ref="A250:A251"/>
    <mergeCell ref="A252:A253"/>
    <mergeCell ref="A254:A255"/>
    <mergeCell ref="A256:A257"/>
    <mergeCell ref="A258:A259"/>
    <mergeCell ref="A260:A261"/>
    <mergeCell ref="A262:A263"/>
    <mergeCell ref="A264:A265"/>
    <mergeCell ref="A266:A267"/>
    <mergeCell ref="A268:A269"/>
    <mergeCell ref="A270:A271"/>
    <mergeCell ref="A272:A273"/>
    <mergeCell ref="A274:A275"/>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14:B116"/>
    <mergeCell ref="B117:B119"/>
    <mergeCell ref="B120:B122"/>
    <mergeCell ref="B123: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 ref="B170:B171"/>
    <mergeCell ref="B172:B173"/>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55"/>
  <sheetViews>
    <sheetView workbookViewId="0">
      <pane ySplit="1" topLeftCell="A2" activePane="bottomLeft" state="frozen"/>
      <selection/>
      <selection pane="bottomLeft" activeCell="E10" sqref="E10"/>
    </sheetView>
  </sheetViews>
  <sheetFormatPr defaultColWidth="9" defaultRowHeight="12.75" outlineLevelCol="7"/>
  <cols>
    <col min="1" max="1" width="6.375" style="1" customWidth="1"/>
    <col min="2" max="2" width="27.5" style="1" customWidth="1"/>
    <col min="3" max="3" width="8.875" style="2" customWidth="1"/>
    <col min="4" max="4" width="54.625" style="3" customWidth="1"/>
    <col min="5" max="5" width="54.625" style="4" customWidth="1"/>
    <col min="6" max="7" width="9" style="2"/>
    <col min="8" max="16384" width="9" style="1"/>
  </cols>
  <sheetData>
    <row r="1" s="1" customFormat="1" ht="40" customHeight="1" spans="1:7">
      <c r="A1" s="5" t="s">
        <v>21</v>
      </c>
      <c r="B1" s="5" t="s">
        <v>22</v>
      </c>
      <c r="C1" s="6" t="s">
        <v>23</v>
      </c>
      <c r="D1" s="7" t="s">
        <v>24</v>
      </c>
      <c r="E1" s="5" t="s">
        <v>27</v>
      </c>
      <c r="F1" s="6" t="s">
        <v>302</v>
      </c>
      <c r="G1" s="6" t="s">
        <v>303</v>
      </c>
    </row>
    <row r="2" ht="30" customHeight="1" spans="1:7">
      <c r="A2" s="8">
        <v>1</v>
      </c>
      <c r="B2" s="9" t="str">
        <f>D3</f>
        <v>梦境感应</v>
      </c>
      <c r="C2" s="10" t="s">
        <v>29</v>
      </c>
      <c r="D2" s="11" t="s">
        <v>739</v>
      </c>
      <c r="E2" s="11" t="s">
        <v>739</v>
      </c>
      <c r="F2" s="12">
        <f t="shared" ref="F2:F15" si="0">LEN(D2)</f>
        <v>15</v>
      </c>
      <c r="G2" s="12">
        <f t="shared" ref="G2:G15" si="1">LEN(E2)</f>
        <v>15</v>
      </c>
    </row>
    <row r="3" ht="30" customHeight="1" spans="1:8">
      <c r="A3" s="8"/>
      <c r="B3" s="9"/>
      <c r="C3" s="10" t="s">
        <v>34</v>
      </c>
      <c r="D3" s="13" t="s">
        <v>740</v>
      </c>
      <c r="E3" s="13" t="s">
        <v>740</v>
      </c>
      <c r="F3" s="12">
        <f t="shared" si="0"/>
        <v>4</v>
      </c>
      <c r="G3" s="12">
        <f t="shared" si="1"/>
        <v>4</v>
      </c>
      <c r="H3" s="14"/>
    </row>
    <row r="4" ht="30" customHeight="1" spans="1:7">
      <c r="A4" s="8">
        <v>2</v>
      </c>
      <c r="B4" s="9" t="str">
        <f>D5</f>
        <v>野乌翅</v>
      </c>
      <c r="C4" s="10" t="s">
        <v>29</v>
      </c>
      <c r="D4" s="11" t="s">
        <v>741</v>
      </c>
      <c r="E4" s="11" t="s">
        <v>741</v>
      </c>
      <c r="F4" s="12">
        <f t="shared" si="0"/>
        <v>6</v>
      </c>
      <c r="G4" s="12">
        <f t="shared" si="1"/>
        <v>6</v>
      </c>
    </row>
    <row r="5" ht="30" customHeight="1" spans="1:8">
      <c r="A5" s="8"/>
      <c r="B5" s="9"/>
      <c r="C5" s="10" t="s">
        <v>34</v>
      </c>
      <c r="D5" s="13" t="s">
        <v>742</v>
      </c>
      <c r="E5" s="13" t="s">
        <v>742</v>
      </c>
      <c r="F5" s="12">
        <f t="shared" si="0"/>
        <v>3</v>
      </c>
      <c r="G5" s="12">
        <f t="shared" si="1"/>
        <v>3</v>
      </c>
      <c r="H5" s="14"/>
    </row>
    <row r="6" ht="30" customHeight="1" spans="1:7">
      <c r="A6" s="8">
        <v>3</v>
      </c>
      <c r="B6" s="9" t="str">
        <f>D7</f>
        <v>黑夜的献诗</v>
      </c>
      <c r="C6" s="10" t="s">
        <v>29</v>
      </c>
      <c r="D6" s="11" t="s">
        <v>743</v>
      </c>
      <c r="E6" s="11" t="s">
        <v>743</v>
      </c>
      <c r="F6" s="12">
        <f t="shared" si="0"/>
        <v>23</v>
      </c>
      <c r="G6" s="12">
        <f t="shared" si="1"/>
        <v>23</v>
      </c>
    </row>
    <row r="7" ht="30" customHeight="1" spans="1:8">
      <c r="A7" s="8"/>
      <c r="B7" s="9"/>
      <c r="C7" s="10" t="s">
        <v>34</v>
      </c>
      <c r="D7" s="13" t="s">
        <v>744</v>
      </c>
      <c r="E7" s="13" t="s">
        <v>744</v>
      </c>
      <c r="F7" s="12">
        <f t="shared" si="0"/>
        <v>5</v>
      </c>
      <c r="G7" s="12">
        <f t="shared" si="1"/>
        <v>5</v>
      </c>
      <c r="H7" s="14"/>
    </row>
    <row r="8" ht="30" customHeight="1" spans="1:7">
      <c r="A8" s="8">
        <v>4</v>
      </c>
      <c r="B8" s="9" t="str">
        <f>D9</f>
        <v>比黄金更珍贵</v>
      </c>
      <c r="C8" s="10" t="s">
        <v>29</v>
      </c>
      <c r="D8" s="11" t="s">
        <v>745</v>
      </c>
      <c r="E8" s="11" t="s">
        <v>745</v>
      </c>
      <c r="F8" s="12">
        <f t="shared" si="0"/>
        <v>23</v>
      </c>
      <c r="G8" s="12">
        <f t="shared" si="1"/>
        <v>23</v>
      </c>
    </row>
    <row r="9" ht="30" customHeight="1" spans="1:8">
      <c r="A9" s="8"/>
      <c r="B9" s="9"/>
      <c r="C9" s="10" t="s">
        <v>34</v>
      </c>
      <c r="D9" s="13" t="s">
        <v>746</v>
      </c>
      <c r="E9" s="13" t="s">
        <v>746</v>
      </c>
      <c r="F9" s="12">
        <f t="shared" si="0"/>
        <v>6</v>
      </c>
      <c r="G9" s="12">
        <f t="shared" si="1"/>
        <v>6</v>
      </c>
      <c r="H9" s="14"/>
    </row>
    <row r="10" ht="30" customHeight="1" spans="1:7">
      <c r="A10" s="8">
        <v>5</v>
      </c>
      <c r="B10" s="9" t="str">
        <f>D11</f>
        <v>燃</v>
      </c>
      <c r="C10" s="10" t="s">
        <v>29</v>
      </c>
      <c r="D10" s="11" t="s">
        <v>747</v>
      </c>
      <c r="E10" s="11" t="s">
        <v>747</v>
      </c>
      <c r="F10" s="12">
        <f t="shared" si="0"/>
        <v>4</v>
      </c>
      <c r="G10" s="12">
        <f t="shared" si="1"/>
        <v>4</v>
      </c>
    </row>
    <row r="11" ht="30" customHeight="1" spans="1:8">
      <c r="A11" s="8"/>
      <c r="B11" s="9"/>
      <c r="C11" s="10" t="s">
        <v>34</v>
      </c>
      <c r="D11" s="13" t="s">
        <v>748</v>
      </c>
      <c r="E11" s="13" t="s">
        <v>748</v>
      </c>
      <c r="F11" s="12">
        <f t="shared" si="0"/>
        <v>1</v>
      </c>
      <c r="G11" s="12">
        <f t="shared" si="1"/>
        <v>1</v>
      </c>
      <c r="H11" s="14"/>
    </row>
    <row r="12" ht="30" customHeight="1" spans="1:7">
      <c r="A12" s="8">
        <v>6</v>
      </c>
      <c r="B12" s="9" t="str">
        <f>D13</f>
        <v>甘草</v>
      </c>
      <c r="C12" s="10" t="s">
        <v>29</v>
      </c>
      <c r="D12" s="11" t="s">
        <v>749</v>
      </c>
      <c r="E12" s="11" t="s">
        <v>749</v>
      </c>
      <c r="F12" s="12">
        <f t="shared" si="0"/>
        <v>8</v>
      </c>
      <c r="G12" s="12">
        <f t="shared" si="1"/>
        <v>8</v>
      </c>
    </row>
    <row r="13" ht="30" customHeight="1" spans="1:8">
      <c r="A13" s="8"/>
      <c r="B13" s="9"/>
      <c r="C13" s="10" t="s">
        <v>34</v>
      </c>
      <c r="D13" s="13" t="s">
        <v>750</v>
      </c>
      <c r="E13" s="13" t="s">
        <v>750</v>
      </c>
      <c r="F13" s="12">
        <f t="shared" si="0"/>
        <v>2</v>
      </c>
      <c r="G13" s="12">
        <f t="shared" si="1"/>
        <v>2</v>
      </c>
      <c r="H13" s="14"/>
    </row>
    <row r="14" ht="30" customHeight="1" spans="1:7">
      <c r="A14" s="8">
        <v>7</v>
      </c>
      <c r="B14" s="9" t="str">
        <f>D15</f>
        <v>不完美女生（舞蹈版）</v>
      </c>
      <c r="C14" s="10" t="s">
        <v>29</v>
      </c>
      <c r="D14" s="11" t="s">
        <v>751</v>
      </c>
      <c r="E14" s="11" t="s">
        <v>751</v>
      </c>
      <c r="F14" s="12">
        <f t="shared" si="0"/>
        <v>30</v>
      </c>
      <c r="G14" s="12">
        <f t="shared" si="1"/>
        <v>30</v>
      </c>
    </row>
    <row r="15" ht="30" customHeight="1" spans="1:8">
      <c r="A15" s="8"/>
      <c r="B15" s="9"/>
      <c r="C15" s="10" t="s">
        <v>34</v>
      </c>
      <c r="D15" s="13" t="s">
        <v>752</v>
      </c>
      <c r="E15" s="13" t="s">
        <v>752</v>
      </c>
      <c r="F15" s="12">
        <f t="shared" si="0"/>
        <v>10</v>
      </c>
      <c r="G15" s="12">
        <f t="shared" si="1"/>
        <v>10</v>
      </c>
      <c r="H15" s="14"/>
    </row>
    <row r="16" ht="30" customHeight="1" spans="1:7">
      <c r="A16" s="8">
        <v>8</v>
      </c>
      <c r="B16" s="9" t="str">
        <f>D17</f>
        <v>桃子的咏叹</v>
      </c>
      <c r="C16" s="10" t="s">
        <v>29</v>
      </c>
      <c r="D16" s="11" t="s">
        <v>753</v>
      </c>
      <c r="E16" s="11" t="s">
        <v>753</v>
      </c>
      <c r="F16" s="12">
        <f t="shared" ref="F16:F41" si="2">LEN(D16)</f>
        <v>13</v>
      </c>
      <c r="G16" s="12">
        <f t="shared" ref="G16:G41" si="3">LEN(E16)</f>
        <v>13</v>
      </c>
    </row>
    <row r="17" ht="30" customHeight="1" spans="1:8">
      <c r="A17" s="8"/>
      <c r="B17" s="9"/>
      <c r="C17" s="10" t="s">
        <v>34</v>
      </c>
      <c r="D17" s="13" t="s">
        <v>754</v>
      </c>
      <c r="E17" s="13" t="s">
        <v>754</v>
      </c>
      <c r="F17" s="12">
        <f t="shared" si="2"/>
        <v>5</v>
      </c>
      <c r="G17" s="12">
        <f t="shared" si="3"/>
        <v>5</v>
      </c>
      <c r="H17" s="14"/>
    </row>
    <row r="18" ht="30" customHeight="1" spans="1:7">
      <c r="A18" s="8">
        <v>9</v>
      </c>
      <c r="B18" s="9" t="str">
        <f>D19</f>
        <v>蜂蜜（融化版）</v>
      </c>
      <c r="C18" s="10" t="s">
        <v>29</v>
      </c>
      <c r="D18" s="11" t="s">
        <v>755</v>
      </c>
      <c r="E18" s="11" t="s">
        <v>755</v>
      </c>
      <c r="F18" s="12">
        <f t="shared" si="2"/>
        <v>20</v>
      </c>
      <c r="G18" s="12">
        <f t="shared" si="3"/>
        <v>20</v>
      </c>
    </row>
    <row r="19" ht="30" customHeight="1" spans="1:8">
      <c r="A19" s="8"/>
      <c r="B19" s="9"/>
      <c r="C19" s="10" t="s">
        <v>34</v>
      </c>
      <c r="D19" s="13" t="s">
        <v>756</v>
      </c>
      <c r="E19" s="13" t="s">
        <v>756</v>
      </c>
      <c r="F19" s="12">
        <f t="shared" si="2"/>
        <v>7</v>
      </c>
      <c r="G19" s="12">
        <f t="shared" si="3"/>
        <v>7</v>
      </c>
      <c r="H19" s="14"/>
    </row>
    <row r="20" ht="30" customHeight="1" spans="1:7">
      <c r="A20" s="8">
        <v>10</v>
      </c>
      <c r="B20" s="9" t="str">
        <f>D21</f>
        <v>地球最后的夜晚</v>
      </c>
      <c r="C20" s="10" t="s">
        <v>29</v>
      </c>
      <c r="D20" s="11" t="s">
        <v>757</v>
      </c>
      <c r="E20" s="11" t="s">
        <v>757</v>
      </c>
      <c r="F20" s="12">
        <f t="shared" si="2"/>
        <v>29</v>
      </c>
      <c r="G20" s="12">
        <f t="shared" si="3"/>
        <v>29</v>
      </c>
    </row>
    <row r="21" ht="30" customHeight="1" spans="1:8">
      <c r="A21" s="8"/>
      <c r="B21" s="9"/>
      <c r="C21" s="10" t="s">
        <v>34</v>
      </c>
      <c r="D21" s="13" t="s">
        <v>758</v>
      </c>
      <c r="E21" s="13" t="s">
        <v>758</v>
      </c>
      <c r="F21" s="12">
        <f t="shared" si="2"/>
        <v>7</v>
      </c>
      <c r="G21" s="12">
        <f t="shared" si="3"/>
        <v>7</v>
      </c>
      <c r="H21" s="14"/>
    </row>
    <row r="22" ht="30" customHeight="1" spans="1:7">
      <c r="A22" s="8">
        <v>11</v>
      </c>
      <c r="B22" s="9" t="str">
        <f>D23</f>
        <v>角圆叉方（PlayStation中国十周年纪念曲）</v>
      </c>
      <c r="C22" s="10" t="s">
        <v>29</v>
      </c>
      <c r="D22" s="11" t="s">
        <v>759</v>
      </c>
      <c r="E22" s="11" t="s">
        <v>759</v>
      </c>
      <c r="F22" s="12">
        <f t="shared" si="2"/>
        <v>71</v>
      </c>
      <c r="G22" s="12">
        <f t="shared" si="3"/>
        <v>71</v>
      </c>
    </row>
    <row r="23" ht="30" customHeight="1" spans="1:8">
      <c r="A23" s="8"/>
      <c r="B23" s="9"/>
      <c r="C23" s="10" t="s">
        <v>34</v>
      </c>
      <c r="D23" s="13" t="s">
        <v>760</v>
      </c>
      <c r="E23" s="13" t="s">
        <v>760</v>
      </c>
      <c r="F23" s="12">
        <f t="shared" si="2"/>
        <v>25</v>
      </c>
      <c r="G23" s="12">
        <f t="shared" si="3"/>
        <v>25</v>
      </c>
      <c r="H23" s="14"/>
    </row>
    <row r="24" ht="30" customHeight="1" spans="1:7">
      <c r="A24" s="8">
        <v>12</v>
      </c>
      <c r="B24" s="9" t="str">
        <f>D25</f>
        <v>不要回答</v>
      </c>
      <c r="C24" s="10" t="s">
        <v>29</v>
      </c>
      <c r="D24" s="11" t="s">
        <v>761</v>
      </c>
      <c r="E24" s="11" t="s">
        <v>761</v>
      </c>
      <c r="F24" s="12">
        <f t="shared" si="2"/>
        <v>13</v>
      </c>
      <c r="G24" s="12">
        <f t="shared" si="3"/>
        <v>13</v>
      </c>
    </row>
    <row r="25" ht="30" customHeight="1" spans="1:8">
      <c r="A25" s="8"/>
      <c r="B25" s="9"/>
      <c r="C25" s="10" t="s">
        <v>34</v>
      </c>
      <c r="D25" s="13" t="s">
        <v>762</v>
      </c>
      <c r="E25" s="13" t="s">
        <v>762</v>
      </c>
      <c r="F25" s="12">
        <f t="shared" si="2"/>
        <v>4</v>
      </c>
      <c r="G25" s="12">
        <f t="shared" si="3"/>
        <v>4</v>
      </c>
      <c r="H25" s="14"/>
    </row>
    <row r="26" ht="30" customHeight="1" spans="1:7">
      <c r="A26" s="8">
        <v>13</v>
      </c>
      <c r="B26" s="9" t="str">
        <f>D27</f>
        <v>断桥残雪</v>
      </c>
      <c r="C26" s="10" t="s">
        <v>29</v>
      </c>
      <c r="D26" s="11" t="s">
        <v>763</v>
      </c>
      <c r="E26" s="11" t="s">
        <v>763</v>
      </c>
      <c r="F26" s="12">
        <f t="shared" si="2"/>
        <v>35</v>
      </c>
      <c r="G26" s="12">
        <f t="shared" si="3"/>
        <v>35</v>
      </c>
    </row>
    <row r="27" ht="30" customHeight="1" spans="1:8">
      <c r="A27" s="8"/>
      <c r="B27" s="9"/>
      <c r="C27" s="10" t="s">
        <v>34</v>
      </c>
      <c r="D27" s="13" t="s">
        <v>764</v>
      </c>
      <c r="E27" s="13" t="s">
        <v>764</v>
      </c>
      <c r="F27" s="12">
        <f t="shared" si="2"/>
        <v>4</v>
      </c>
      <c r="G27" s="12">
        <f t="shared" si="3"/>
        <v>4</v>
      </c>
      <c r="H27" s="14"/>
    </row>
    <row r="28" ht="30" customHeight="1" spans="1:7">
      <c r="A28" s="8">
        <v>14</v>
      </c>
      <c r="B28" s="9" t="str">
        <f>D29</f>
        <v>冬天的树</v>
      </c>
      <c r="C28" s="10" t="s">
        <v>29</v>
      </c>
      <c r="D28" s="11" t="s">
        <v>765</v>
      </c>
      <c r="E28" s="11" t="s">
        <v>765</v>
      </c>
      <c r="F28" s="12">
        <f t="shared" si="2"/>
        <v>12</v>
      </c>
      <c r="G28" s="12">
        <f t="shared" si="3"/>
        <v>12</v>
      </c>
    </row>
    <row r="29" ht="30" customHeight="1" spans="1:8">
      <c r="A29" s="8"/>
      <c r="B29" s="9"/>
      <c r="C29" s="10" t="s">
        <v>34</v>
      </c>
      <c r="D29" s="13" t="s">
        <v>766</v>
      </c>
      <c r="E29" s="13" t="s">
        <v>766</v>
      </c>
      <c r="F29" s="12">
        <f t="shared" si="2"/>
        <v>4</v>
      </c>
      <c r="G29" s="12">
        <f t="shared" si="3"/>
        <v>4</v>
      </c>
      <c r="H29" s="14"/>
    </row>
    <row r="30" ht="30" customHeight="1" spans="1:7">
      <c r="A30" s="8">
        <v>15</v>
      </c>
      <c r="B30" s="9" t="str">
        <f>D31</f>
        <v>带我回家</v>
      </c>
      <c r="C30" s="10" t="s">
        <v>29</v>
      </c>
      <c r="D30" s="11" t="s">
        <v>767</v>
      </c>
      <c r="E30" s="11" t="s">
        <v>767</v>
      </c>
      <c r="F30" s="12">
        <f t="shared" si="2"/>
        <v>12</v>
      </c>
      <c r="G30" s="12">
        <f t="shared" si="3"/>
        <v>12</v>
      </c>
    </row>
    <row r="31" ht="30" customHeight="1" spans="1:8">
      <c r="A31" s="8"/>
      <c r="B31" s="9"/>
      <c r="C31" s="10" t="s">
        <v>34</v>
      </c>
      <c r="D31" s="13" t="s">
        <v>768</v>
      </c>
      <c r="E31" s="13" t="s">
        <v>768</v>
      </c>
      <c r="F31" s="12">
        <f t="shared" si="2"/>
        <v>4</v>
      </c>
      <c r="G31" s="12">
        <f t="shared" si="3"/>
        <v>4</v>
      </c>
      <c r="H31" s="14"/>
    </row>
    <row r="32" ht="30" customHeight="1" spans="1:7">
      <c r="A32" s="8">
        <v>16</v>
      </c>
      <c r="B32" s="9" t="str">
        <f>D33</f>
        <v>C大调 / 最初C</v>
      </c>
      <c r="C32" s="10" t="s">
        <v>29</v>
      </c>
      <c r="D32" s="11" t="s">
        <v>769</v>
      </c>
      <c r="E32" s="11" t="s">
        <v>769</v>
      </c>
      <c r="F32" s="12">
        <f t="shared" si="2"/>
        <v>17</v>
      </c>
      <c r="G32" s="12">
        <f t="shared" si="3"/>
        <v>17</v>
      </c>
    </row>
    <row r="33" ht="30" customHeight="1" spans="1:8">
      <c r="A33" s="8"/>
      <c r="B33" s="9"/>
      <c r="C33" s="10" t="s">
        <v>34</v>
      </c>
      <c r="D33" s="13" t="s">
        <v>770</v>
      </c>
      <c r="E33" s="13" t="s">
        <v>770</v>
      </c>
      <c r="F33" s="12">
        <f t="shared" si="2"/>
        <v>9</v>
      </c>
      <c r="G33" s="12">
        <f t="shared" si="3"/>
        <v>9</v>
      </c>
      <c r="H33" s="14"/>
    </row>
    <row r="34" ht="30" customHeight="1" spans="1:7">
      <c r="A34" s="8">
        <v>17</v>
      </c>
      <c r="B34" s="9" t="str">
        <f>D35</f>
        <v>“健康的胖子”真的存在吗？</v>
      </c>
      <c r="C34" s="10" t="s">
        <v>29</v>
      </c>
      <c r="D34" s="11" t="s">
        <v>771</v>
      </c>
      <c r="E34" s="11" t="s">
        <v>771</v>
      </c>
      <c r="F34" s="12">
        <f t="shared" si="2"/>
        <v>37</v>
      </c>
      <c r="G34" s="12">
        <f t="shared" si="3"/>
        <v>37</v>
      </c>
    </row>
    <row r="35" ht="30" customHeight="1" spans="1:8">
      <c r="A35" s="8"/>
      <c r="B35" s="9"/>
      <c r="C35" s="10" t="s">
        <v>34</v>
      </c>
      <c r="D35" s="13" t="s">
        <v>772</v>
      </c>
      <c r="E35" s="13" t="s">
        <v>772</v>
      </c>
      <c r="F35" s="12">
        <f t="shared" si="2"/>
        <v>13</v>
      </c>
      <c r="G35" s="12">
        <f t="shared" si="3"/>
        <v>13</v>
      </c>
      <c r="H35" s="14"/>
    </row>
    <row r="36" ht="30" customHeight="1" spans="1:7">
      <c r="A36" s="8">
        <v>18</v>
      </c>
      <c r="B36" s="9" t="str">
        <f>D37</f>
        <v>一把火，在中医手里可以做什么？</v>
      </c>
      <c r="C36" s="10" t="s">
        <v>29</v>
      </c>
      <c r="D36" s="11" t="s">
        <v>773</v>
      </c>
      <c r="E36" s="11" t="s">
        <v>773</v>
      </c>
      <c r="F36" s="12">
        <f t="shared" si="2"/>
        <v>53</v>
      </c>
      <c r="G36" s="12">
        <f t="shared" si="3"/>
        <v>53</v>
      </c>
    </row>
    <row r="37" ht="30" customHeight="1" spans="1:8">
      <c r="A37" s="8"/>
      <c r="B37" s="9"/>
      <c r="C37" s="10" t="s">
        <v>34</v>
      </c>
      <c r="D37" s="13" t="s">
        <v>774</v>
      </c>
      <c r="E37" s="13" t="s">
        <v>774</v>
      </c>
      <c r="F37" s="12">
        <f t="shared" si="2"/>
        <v>15</v>
      </c>
      <c r="G37" s="12">
        <f t="shared" si="3"/>
        <v>15</v>
      </c>
      <c r="H37" s="14"/>
    </row>
    <row r="38" ht="30" customHeight="1" spans="1:7">
      <c r="A38" s="8">
        <v>19</v>
      </c>
      <c r="B38" s="9" t="str">
        <f>D39</f>
        <v>减轻体重：要温和不要极速，要稳定不要被动</v>
      </c>
      <c r="C38" s="10" t="s">
        <v>29</v>
      </c>
      <c r="D38" s="11" t="s">
        <v>775</v>
      </c>
      <c r="E38" s="11" t="s">
        <v>775</v>
      </c>
      <c r="F38" s="12">
        <f t="shared" si="2"/>
        <v>67</v>
      </c>
      <c r="G38" s="12">
        <f t="shared" si="3"/>
        <v>67</v>
      </c>
    </row>
    <row r="39" ht="30" customHeight="1" spans="1:8">
      <c r="A39" s="8"/>
      <c r="B39" s="9"/>
      <c r="C39" s="10" t="s">
        <v>34</v>
      </c>
      <c r="D39" s="13" t="s">
        <v>776</v>
      </c>
      <c r="E39" s="13" t="s">
        <v>776</v>
      </c>
      <c r="F39" s="12">
        <f t="shared" si="2"/>
        <v>20</v>
      </c>
      <c r="G39" s="12">
        <f t="shared" si="3"/>
        <v>20</v>
      </c>
      <c r="H39" s="14"/>
    </row>
    <row r="40" ht="30" customHeight="1" spans="1:7">
      <c r="A40" s="8">
        <v>20</v>
      </c>
      <c r="B40" s="9" t="str">
        <f>D41</f>
        <v>补充维生素D，早上最好</v>
      </c>
      <c r="C40" s="10" t="s">
        <v>29</v>
      </c>
      <c r="D40" s="11" t="s">
        <v>777</v>
      </c>
      <c r="E40" s="11" t="s">
        <v>777</v>
      </c>
      <c r="F40" s="12">
        <f t="shared" ref="F40:F83" si="4">LEN(D40)</f>
        <v>38</v>
      </c>
      <c r="G40" s="12">
        <f t="shared" ref="G40:G83" si="5">LEN(E40)</f>
        <v>38</v>
      </c>
    </row>
    <row r="41" ht="30" customHeight="1" spans="1:8">
      <c r="A41" s="8"/>
      <c r="B41" s="9"/>
      <c r="C41" s="10" t="s">
        <v>34</v>
      </c>
      <c r="D41" s="13" t="s">
        <v>778</v>
      </c>
      <c r="E41" s="13" t="s">
        <v>778</v>
      </c>
      <c r="F41" s="12">
        <f t="shared" si="4"/>
        <v>11</v>
      </c>
      <c r="G41" s="12">
        <f t="shared" si="5"/>
        <v>11</v>
      </c>
      <c r="H41" s="14"/>
    </row>
    <row r="42" ht="30" customHeight="1" spans="1:7">
      <c r="A42" s="8">
        <v>21</v>
      </c>
      <c r="B42" s="9" t="str">
        <f>D43</f>
        <v>我的纸飞机飞进清华园</v>
      </c>
      <c r="C42" s="10" t="s">
        <v>29</v>
      </c>
      <c r="D42" s="11" t="s">
        <v>779</v>
      </c>
      <c r="E42" s="11" t="s">
        <v>779</v>
      </c>
      <c r="F42" s="12">
        <f t="shared" si="4"/>
        <v>47</v>
      </c>
      <c r="G42" s="12">
        <f t="shared" si="5"/>
        <v>47</v>
      </c>
    </row>
    <row r="43" ht="30" customHeight="1" spans="1:8">
      <c r="A43" s="8"/>
      <c r="B43" s="9"/>
      <c r="C43" s="10" t="s">
        <v>34</v>
      </c>
      <c r="D43" s="13" t="s">
        <v>780</v>
      </c>
      <c r="E43" s="13" t="s">
        <v>780</v>
      </c>
      <c r="F43" s="12">
        <f t="shared" si="4"/>
        <v>10</v>
      </c>
      <c r="G43" s="12">
        <f t="shared" si="5"/>
        <v>10</v>
      </c>
      <c r="H43" s="14"/>
    </row>
    <row r="44" ht="30" customHeight="1" spans="1:7">
      <c r="A44" s="8">
        <v>22</v>
      </c>
      <c r="B44" s="9" t="str">
        <f t="shared" ref="B44:B48" si="6">D45</f>
        <v>当和室友出现矛盾时，哪些方法能有效解决？</v>
      </c>
      <c r="C44" s="10" t="s">
        <v>29</v>
      </c>
      <c r="D44" s="11" t="s">
        <v>781</v>
      </c>
      <c r="E44" s="11" t="s">
        <v>781</v>
      </c>
      <c r="F44" s="12">
        <f t="shared" si="4"/>
        <v>69</v>
      </c>
      <c r="G44" s="12">
        <f t="shared" si="5"/>
        <v>69</v>
      </c>
    </row>
    <row r="45" ht="30" customHeight="1" spans="1:8">
      <c r="A45" s="8"/>
      <c r="B45" s="9"/>
      <c r="C45" s="10" t="s">
        <v>34</v>
      </c>
      <c r="D45" s="13" t="s">
        <v>782</v>
      </c>
      <c r="E45" s="13" t="s">
        <v>782</v>
      </c>
      <c r="F45" s="12">
        <f t="shared" si="4"/>
        <v>20</v>
      </c>
      <c r="G45" s="12">
        <f t="shared" si="5"/>
        <v>20</v>
      </c>
      <c r="H45" s="14"/>
    </row>
    <row r="46" ht="30" customHeight="1" spans="1:7">
      <c r="A46" s="8">
        <v>23</v>
      </c>
      <c r="B46" s="9" t="str">
        <f t="shared" si="6"/>
        <v>一分钟回顾：《人民名医》进清华特别专场</v>
      </c>
      <c r="C46" s="10" t="s">
        <v>29</v>
      </c>
      <c r="D46" s="11" t="s">
        <v>783</v>
      </c>
      <c r="E46" s="11" t="s">
        <v>783</v>
      </c>
      <c r="F46" s="12">
        <f t="shared" si="4"/>
        <v>95</v>
      </c>
      <c r="G46" s="12">
        <f t="shared" si="5"/>
        <v>95</v>
      </c>
    </row>
    <row r="47" ht="30" customHeight="1" spans="1:8">
      <c r="A47" s="8"/>
      <c r="B47" s="9"/>
      <c r="C47" s="10" t="s">
        <v>34</v>
      </c>
      <c r="D47" s="13" t="s">
        <v>784</v>
      </c>
      <c r="E47" s="13" t="s">
        <v>784</v>
      </c>
      <c r="F47" s="12">
        <f t="shared" si="4"/>
        <v>19</v>
      </c>
      <c r="G47" s="12">
        <f t="shared" si="5"/>
        <v>19</v>
      </c>
      <c r="H47" s="14"/>
    </row>
    <row r="48" ht="30" customHeight="1" spans="1:7">
      <c r="A48" s="8">
        <v>24</v>
      </c>
      <c r="B48" s="9" t="str">
        <f t="shared" si="6"/>
        <v>肥胖竟能引发多种疾病？做自己的健康第一责任人</v>
      </c>
      <c r="C48" s="10" t="s">
        <v>29</v>
      </c>
      <c r="D48" s="11" t="s">
        <v>785</v>
      </c>
      <c r="E48" s="11" t="s">
        <v>785</v>
      </c>
      <c r="F48" s="12">
        <f t="shared" si="4"/>
        <v>89</v>
      </c>
      <c r="G48" s="12">
        <f t="shared" si="5"/>
        <v>89</v>
      </c>
    </row>
    <row r="49" ht="30" customHeight="1" spans="1:8">
      <c r="A49" s="8"/>
      <c r="B49" s="9"/>
      <c r="C49" s="10" t="s">
        <v>34</v>
      </c>
      <c r="D49" s="13" t="s">
        <v>786</v>
      </c>
      <c r="E49" s="13" t="s">
        <v>786</v>
      </c>
      <c r="F49" s="12">
        <f t="shared" si="4"/>
        <v>22</v>
      </c>
      <c r="G49" s="12">
        <f t="shared" si="5"/>
        <v>22</v>
      </c>
      <c r="H49" s="14"/>
    </row>
    <row r="50" ht="30" customHeight="1" spans="1:7">
      <c r="A50" s="8">
        <v>25</v>
      </c>
      <c r="B50" s="9" t="str">
        <f t="shared" ref="B50:B54" si="7">D51</f>
        <v>减重=心态大挑战</v>
      </c>
      <c r="C50" s="10" t="s">
        <v>29</v>
      </c>
      <c r="D50" s="11" t="s">
        <v>787</v>
      </c>
      <c r="E50" s="11" t="s">
        <v>787</v>
      </c>
      <c r="F50" s="12">
        <f t="shared" si="4"/>
        <v>43</v>
      </c>
      <c r="G50" s="12">
        <f t="shared" si="5"/>
        <v>43</v>
      </c>
    </row>
    <row r="51" ht="30" customHeight="1" spans="1:8">
      <c r="A51" s="8"/>
      <c r="B51" s="9"/>
      <c r="C51" s="10" t="s">
        <v>34</v>
      </c>
      <c r="D51" s="13" t="s">
        <v>788</v>
      </c>
      <c r="E51" s="13" t="s">
        <v>788</v>
      </c>
      <c r="F51" s="12">
        <f t="shared" si="4"/>
        <v>8</v>
      </c>
      <c r="G51" s="12">
        <f t="shared" si="5"/>
        <v>8</v>
      </c>
      <c r="H51" s="14"/>
    </row>
    <row r="52" ht="30" customHeight="1" spans="1:7">
      <c r="A52" s="8">
        <v>26</v>
      </c>
      <c r="B52" s="9" t="str">
        <f t="shared" si="7"/>
        <v>跟着奥运冠军一起紧致腰腹</v>
      </c>
      <c r="C52" s="10" t="s">
        <v>29</v>
      </c>
      <c r="D52" s="11" t="s">
        <v>789</v>
      </c>
      <c r="E52" s="11" t="s">
        <v>789</v>
      </c>
      <c r="F52" s="12">
        <f t="shared" si="4"/>
        <v>53</v>
      </c>
      <c r="G52" s="12">
        <f t="shared" si="5"/>
        <v>53</v>
      </c>
    </row>
    <row r="53" ht="30" customHeight="1" spans="1:8">
      <c r="A53" s="8"/>
      <c r="B53" s="9"/>
      <c r="C53" s="10" t="s">
        <v>34</v>
      </c>
      <c r="D53" s="13" t="s">
        <v>790</v>
      </c>
      <c r="E53" s="13" t="s">
        <v>790</v>
      </c>
      <c r="F53" s="12">
        <f t="shared" si="4"/>
        <v>12</v>
      </c>
      <c r="G53" s="12">
        <f t="shared" si="5"/>
        <v>12</v>
      </c>
      <c r="H53" s="14"/>
    </row>
    <row r="54" ht="30" customHeight="1" spans="1:7">
      <c r="A54" s="8">
        <v>27</v>
      </c>
      <c r="B54" s="9" t="str">
        <f t="shared" si="7"/>
        <v>根本逛不过来！重庆南川夜市里感受中医药魅力</v>
      </c>
      <c r="C54" s="10" t="s">
        <v>29</v>
      </c>
      <c r="D54" s="11" t="s">
        <v>791</v>
      </c>
      <c r="E54" s="11" t="s">
        <v>791</v>
      </c>
      <c r="F54" s="12">
        <f t="shared" si="4"/>
        <v>126</v>
      </c>
      <c r="G54" s="12">
        <f t="shared" si="5"/>
        <v>126</v>
      </c>
    </row>
    <row r="55" ht="30" customHeight="1" spans="1:8">
      <c r="A55" s="8"/>
      <c r="B55" s="9"/>
      <c r="C55" s="10" t="s">
        <v>34</v>
      </c>
      <c r="D55" s="13" t="s">
        <v>792</v>
      </c>
      <c r="E55" s="13" t="s">
        <v>792</v>
      </c>
      <c r="F55" s="12">
        <f t="shared" si="4"/>
        <v>21</v>
      </c>
      <c r="G55" s="12">
        <f t="shared" si="5"/>
        <v>21</v>
      </c>
      <c r="H55" s="14"/>
    </row>
  </sheetData>
  <mergeCells count="54">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Revision History</vt:lpstr>
      <vt:lpstr>Movie</vt:lpstr>
      <vt:lpstr>TV</vt:lpstr>
      <vt:lpstr>Short video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Isabella</cp:lastModifiedBy>
  <dcterms:created xsi:type="dcterms:W3CDTF">2022-07-14T03:41:00Z</dcterms:created>
  <dcterms:modified xsi:type="dcterms:W3CDTF">2025-01-20T01:47:05Z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A890297347404F26B4DCC54C8DA268D5_13</vt:lpwstr>
  </property>
  <property fmtid="{D5CDD505-2E9C-101B-9397-08002B2CF9AE}" pid="3" name="KSOProductBuildVer">
    <vt:lpwstr>2052-12.1.0.19770</vt:lpwstr>
  </property>
  <property fmtid="{D5CDD505-2E9C-101B-9397-08002B2CF9AE}" pid="4" name="KSOReadingLayout">
    <vt:bool>true</vt:bool>
  </property>
</Properties>
</file>