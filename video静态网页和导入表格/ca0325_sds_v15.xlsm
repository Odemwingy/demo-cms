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510" windowHeight="16380" tabRatio="651" activeTab="7"/>
  </bookViews>
  <sheets>
    <sheet name="Revision History" sheetId="6" r:id="rId1"/>
    <sheet name="Movie" sheetId="7" r:id="rId2"/>
    <sheet name="TV" sheetId="15" r:id="rId3"/>
    <sheet name="Advertising" sheetId="14" r:id="rId4"/>
    <sheet name="Overhead" sheetId="12" r:id="rId5"/>
    <sheet name="Safety Video " sheetId="11" state="hidden" r:id="rId6"/>
    <sheet name="Safety Video" sheetId="20" r:id="rId7"/>
    <sheet name="Broadcast Video " sheetId="16" r:id="rId8"/>
    <sheet name="Daily News" sheetId="9" r:id="rId9"/>
    <sheet name="Audio BGM" sheetId="21" r:id="rId10"/>
    <sheet name="Video BGM" sheetId="13" state="hidden" r:id="rId11"/>
  </sheets>
  <externalReferences>
    <externalReference r:id="rId13"/>
    <externalReference r:id="rId14"/>
  </externalReferences>
  <definedNames>
    <definedName name="_xlnm._FilterDatabase" localSheetId="1" hidden="1">Movie!$A$4:$AM$39</definedName>
    <definedName name="_xlnm._FilterDatabase" localSheetId="2" hidden="1">TV!$A$4:$AHB$166</definedName>
    <definedName name="_xlnm._FilterDatabase" localSheetId="4" hidden="1">Overhead!$A$4:$AQ$73</definedName>
    <definedName name="_xlnm._FilterDatabase" localSheetId="6" hidden="1">'Safety Video'!$A$4:$DM$32</definedName>
    <definedName name="_xlnm._FilterDatabase" localSheetId="3" hidden="1">Advertising!$C$2:$J$3</definedName>
    <definedName name="FM_ATP" localSheetId="3">'[1]FM ATP'!$A$2:$A$71</definedName>
    <definedName name="FM_ATP" localSheetId="7">'[1]FM ATP'!$A$2:$A$71</definedName>
    <definedName name="FM_ATP" localSheetId="8">'[1]FM ATP'!$A$2:$A$71</definedName>
    <definedName name="FM_ATP" localSheetId="1">'[1]FM ATP'!$A$2:$A$71</definedName>
    <definedName name="FM_ATP" localSheetId="4">'[1]FM ATP'!$A$2:$A$71</definedName>
    <definedName name="FM_ATP" localSheetId="0">'[1]FM ATP'!$A$2:$A$71</definedName>
    <definedName name="FM_ATP" localSheetId="5">'[1]FM ATP'!$A$2:$A$71</definedName>
    <definedName name="FM_ATP" localSheetId="2">'[1]FM ATP'!$A$2:$A$71</definedName>
    <definedName name="FM_ATP" localSheetId="10">'[1]FM ATP'!$A$2:$A$71</definedName>
    <definedName name="FM_ATP">'[2]FM ATP'!$A$2:$A$71</definedName>
    <definedName name="FM_CO" localSheetId="3">'[1]FM CloseOut'!$A$2:$A$6</definedName>
    <definedName name="FM_CO" localSheetId="7">'[1]FM CloseOut'!$A$2:$A$6</definedName>
    <definedName name="FM_CO" localSheetId="8">'[1]FM CloseOut'!$A$2:$A$6</definedName>
    <definedName name="FM_CO" localSheetId="1">'[1]FM CloseOut'!$A$2:$A$6</definedName>
    <definedName name="FM_CO" localSheetId="4">'[1]FM CloseOut'!$A$2:$A$6</definedName>
    <definedName name="FM_CO" localSheetId="0">'[1]FM CloseOut'!$A$2:$A$6</definedName>
    <definedName name="FM_CO" localSheetId="5">'[1]FM CloseOut'!$A$2:$A$6</definedName>
    <definedName name="FM_CO" localSheetId="2">'[1]FM CloseOut'!$A$2:$A$6</definedName>
    <definedName name="FM_CO" localSheetId="10">'[1]FM CloseOut'!$A$2:$A$6</definedName>
    <definedName name="FM_CO">'[2]FM CloseOut'!$A$2:$A$6</definedName>
    <definedName name="FM_Config" localSheetId="3">'[1]FM Config'!$A$2:$A$10</definedName>
    <definedName name="FM_Config" localSheetId="7">'[1]FM Config'!$A$2:$A$10</definedName>
    <definedName name="FM_Config" localSheetId="8">'[1]FM Config'!$A$2:$A$10</definedName>
    <definedName name="FM_Config" localSheetId="1">'[1]FM Config'!$A$2:$A$10</definedName>
    <definedName name="FM_Config" localSheetId="4">'[1]FM Config'!$A$2:$A$10</definedName>
    <definedName name="FM_Config" localSheetId="0">'[1]FM Config'!$A$2:$A$10</definedName>
    <definedName name="FM_Config" localSheetId="5">'[1]FM Config'!$A$2:$A$10</definedName>
    <definedName name="FM_Config" localSheetId="2">'[1]FM Config'!$A$2:$A$10</definedName>
    <definedName name="FM_Config" localSheetId="10">'[1]FM Config'!$A$2:$A$10</definedName>
    <definedName name="FM_Config">'[2]FM Config'!$A$2:$A$10</definedName>
    <definedName name="FM_DC" localSheetId="3">'[1]FM Diff'!$A$2:$A$11</definedName>
    <definedName name="FM_DC" localSheetId="7">'[1]FM Diff'!$A$2:$A$11</definedName>
    <definedName name="FM_DC" localSheetId="8">'[1]FM Diff'!$A$2:$A$11</definedName>
    <definedName name="FM_DC" localSheetId="1">'[1]FM Diff'!$A$2:$A$11</definedName>
    <definedName name="FM_DC" localSheetId="4">'[1]FM Diff'!$A$2:$A$11</definedName>
    <definedName name="FM_DC" localSheetId="0">'[1]FM Diff'!$A$2:$A$11</definedName>
    <definedName name="FM_DC" localSheetId="5">'[1]FM Diff'!$A$2:$A$11</definedName>
    <definedName name="FM_DC" localSheetId="2">'[1]FM Diff'!$A$2:$A$11</definedName>
    <definedName name="FM_DC" localSheetId="10">'[1]FM Diff'!$A$2:$A$11</definedName>
    <definedName name="FM_DC">'[2]FM Diff'!$A$2:$A$11</definedName>
    <definedName name="FM_DR" localSheetId="3">'[1]FM DR'!$A$2:$A$58</definedName>
    <definedName name="FM_DR" localSheetId="7">'[1]FM DR'!$A$2:$A$58</definedName>
    <definedName name="FM_DR" localSheetId="8">'[1]FM DR'!$A$2:$A$58</definedName>
    <definedName name="FM_DR" localSheetId="1">'[1]FM DR'!$A$2:$A$58</definedName>
    <definedName name="FM_DR" localSheetId="4">'[1]FM DR'!$A$2:$A$58</definedName>
    <definedName name="FM_DR" localSheetId="0">'[1]FM DR'!$A$2:$A$58</definedName>
    <definedName name="FM_DR" localSheetId="5">'[1]FM DR'!$A$2:$A$58</definedName>
    <definedName name="FM_DR" localSheetId="2">'[1]FM DR'!$A$2:$A$58</definedName>
    <definedName name="FM_DR" localSheetId="10">'[1]FM DR'!$A$2:$A$58</definedName>
    <definedName name="FM_DR">'[2]FM DR'!$A$2:$A$58</definedName>
    <definedName name="FM_Field" localSheetId="3">'[1]FM field'!$A$2:$A$15</definedName>
    <definedName name="FM_Field" localSheetId="7">'[1]FM field'!$A$2:$A$15</definedName>
    <definedName name="FM_Field" localSheetId="8">'[1]FM field'!$A$2:$A$15</definedName>
    <definedName name="FM_Field" localSheetId="1">'[1]FM field'!$A$2:$A$15</definedName>
    <definedName name="FM_Field" localSheetId="4">'[1]FM field'!$A$2:$A$15</definedName>
    <definedName name="FM_Field" localSheetId="0">'[1]FM field'!$A$2:$A$15</definedName>
    <definedName name="FM_Field" localSheetId="5">'[1]FM field'!$A$2:$A$15</definedName>
    <definedName name="FM_Field" localSheetId="2">'[1]FM field'!$A$2:$A$15</definedName>
    <definedName name="FM_Field" localSheetId="10">'[1]FM field'!$A$2:$A$15</definedName>
    <definedName name="FM_Field">'[2]FM field'!$A$2:$A$15</definedName>
    <definedName name="FM_GUI" localSheetId="3">'[1]FM GUI'!$A$2:$A$7</definedName>
    <definedName name="FM_GUI" localSheetId="7">'[1]FM GUI'!$A$2:$A$7</definedName>
    <definedName name="FM_GUI" localSheetId="8">'[1]FM GUI'!$A$2:$A$7</definedName>
    <definedName name="FM_GUI" localSheetId="1">'[1]FM GUI'!$A$2:$A$7</definedName>
    <definedName name="FM_GUI" localSheetId="4">'[1]FM GUI'!$A$2:$A$7</definedName>
    <definedName name="FM_GUI" localSheetId="0">'[1]FM GUI'!$A$2:$A$7</definedName>
    <definedName name="FM_GUI" localSheetId="5">'[1]FM GUI'!$A$2:$A$7</definedName>
    <definedName name="FM_GUI" localSheetId="2">'[1]FM GUI'!$A$2:$A$7</definedName>
    <definedName name="FM_GUI" localSheetId="10">'[1]FM GUI'!$A$2:$A$7</definedName>
    <definedName name="FM_GUI">'[2]FM GUI'!$A$2:$A$7</definedName>
    <definedName name="FM_IM" localSheetId="3">'[1]FM Int Mgmt'!$A$2:$A$13</definedName>
    <definedName name="FM_IM" localSheetId="7">'[1]FM Int Mgmt'!$A$2:$A$13</definedName>
    <definedName name="FM_IM" localSheetId="8">'[1]FM Int Mgmt'!$A$2:$A$13</definedName>
    <definedName name="FM_IM" localSheetId="1">'[1]FM Int Mgmt'!$A$2:$A$13</definedName>
    <definedName name="FM_IM" localSheetId="4">'[1]FM Int Mgmt'!$A$2:$A$13</definedName>
    <definedName name="FM_IM" localSheetId="0">'[1]FM Int Mgmt'!$A$2:$A$13</definedName>
    <definedName name="FM_IM" localSheetId="5">'[1]FM Int Mgmt'!$A$2:$A$13</definedName>
    <definedName name="FM_IM" localSheetId="2">'[1]FM Int Mgmt'!$A$2:$A$13</definedName>
    <definedName name="FM_IM" localSheetId="10">'[1]FM Int Mgmt'!$A$2:$A$13</definedName>
    <definedName name="FM_IM">'[2]FM Int Mgmt'!$A$2:$A$13</definedName>
    <definedName name="FM_MedRec" localSheetId="3">'[1]FM MediaRec'!$A$2:$A$12</definedName>
    <definedName name="FM_MedRec" localSheetId="7">'[1]FM MediaRec'!$A$2:$A$12</definedName>
    <definedName name="FM_MedRec" localSheetId="8">'[1]FM MediaRec'!$A$2:$A$12</definedName>
    <definedName name="FM_MedRec" localSheetId="1">'[1]FM MediaRec'!$A$2:$A$12</definedName>
    <definedName name="FM_MedRec" localSheetId="4">'[1]FM MediaRec'!$A$2:$A$12</definedName>
    <definedName name="FM_MedRec" localSheetId="0">'[1]FM MediaRec'!$A$2:$A$12</definedName>
    <definedName name="FM_MedRec" localSheetId="5">'[1]FM MediaRec'!$A$2:$A$12</definedName>
    <definedName name="FM_MedRec" localSheetId="2">'[1]FM MediaRec'!$A$2:$A$12</definedName>
    <definedName name="FM_MedRec" localSheetId="10">'[1]FM MediaRec'!$A$2:$A$12</definedName>
    <definedName name="FM_MedRec">'[2]FM MediaRec'!$A$2:$A$12</definedName>
    <definedName name="FM_ML" localSheetId="3">'[1]FM ML'!$A$2:$A$25</definedName>
    <definedName name="FM_ML" localSheetId="7">'[1]FM ML'!$A$2:$A$25</definedName>
    <definedName name="FM_ML" localSheetId="8">'[1]FM ML'!$A$2:$A$25</definedName>
    <definedName name="FM_ML" localSheetId="1">'[1]FM ML'!$A$2:$A$25</definedName>
    <definedName name="FM_ML" localSheetId="4">'[1]FM ML'!$A$2:$A$25</definedName>
    <definedName name="FM_ML" localSheetId="0">'[1]FM ML'!$A$2:$A$25</definedName>
    <definedName name="FM_ML" localSheetId="5">'[1]FM ML'!$A$2:$A$25</definedName>
    <definedName name="FM_ML" localSheetId="2">'[1]FM ML'!$A$2:$A$25</definedName>
    <definedName name="FM_ML" localSheetId="10">'[1]FM ML'!$A$2:$A$25</definedName>
    <definedName name="FM_ML">'[2]FM ML'!$A$2:$A$25</definedName>
    <definedName name="FM_OH" localSheetId="3">'[1]FM OnHold'!$A$2:$A$4</definedName>
    <definedName name="FM_OH" localSheetId="7">'[1]FM OnHold'!$A$2:$A$4</definedName>
    <definedName name="FM_OH" localSheetId="8">'[1]FM OnHold'!$A$2:$A$4</definedName>
    <definedName name="FM_OH" localSheetId="1">'[1]FM OnHold'!$A$2:$A$4</definedName>
    <definedName name="FM_OH" localSheetId="4">'[1]FM OnHold'!$A$2:$A$4</definedName>
    <definedName name="FM_OH" localSheetId="0">'[1]FM OnHold'!$A$2:$A$4</definedName>
    <definedName name="FM_OH" localSheetId="5">'[1]FM OnHold'!$A$2:$A$4</definedName>
    <definedName name="FM_OH" localSheetId="2">'[1]FM OnHold'!$A$2:$A$4</definedName>
    <definedName name="FM_OH" localSheetId="10">'[1]FM OnHold'!$A$2:$A$4</definedName>
    <definedName name="FM_OH">'[2]FM OnHold'!$A$2:$A$4</definedName>
    <definedName name="FM_PA" localSheetId="3">'[1]FM PreATP'!$A$2:$A$10</definedName>
    <definedName name="FM_PA" localSheetId="7">'[1]FM PreATP'!$A$2:$A$10</definedName>
    <definedName name="FM_PA" localSheetId="8">'[1]FM PreATP'!$A$2:$A$10</definedName>
    <definedName name="FM_PA" localSheetId="1">'[1]FM PreATP'!$A$2:$A$10</definedName>
    <definedName name="FM_PA" localSheetId="4">'[1]FM PreATP'!$A$2:$A$10</definedName>
    <definedName name="FM_PA" localSheetId="0">'[1]FM PreATP'!$A$2:$A$10</definedName>
    <definedName name="FM_PA" localSheetId="5">'[1]FM PreATP'!$A$2:$A$10</definedName>
    <definedName name="FM_PA" localSheetId="2">'[1]FM PreATP'!$A$2:$A$10</definedName>
    <definedName name="FM_PA" localSheetId="10">'[1]FM PreATP'!$A$2:$A$10</definedName>
    <definedName name="FM_PA">'[2]FM PreATP'!$A$2:$A$10</definedName>
    <definedName name="FM_PATP" localSheetId="3">'[1]FM PostATP'!$A$2:$A$11</definedName>
    <definedName name="FM_PATP" localSheetId="7">'[1]FM PostATP'!$A$2:$A$11</definedName>
    <definedName name="FM_PATP" localSheetId="8">'[1]FM PostATP'!$A$2:$A$11</definedName>
    <definedName name="FM_PATP" localSheetId="1">'[1]FM PostATP'!$A$2:$A$11</definedName>
    <definedName name="FM_PATP" localSheetId="4">'[1]FM PostATP'!$A$2:$A$11</definedName>
    <definedName name="FM_PATP" localSheetId="0">'[1]FM PostATP'!$A$2:$A$11</definedName>
    <definedName name="FM_PATP" localSheetId="5">'[1]FM PostATP'!$A$2:$A$11</definedName>
    <definedName name="FM_PATP" localSheetId="2">'[1]FM PostATP'!$A$2:$A$11</definedName>
    <definedName name="FM_PATP" localSheetId="10">'[1]FM PostATP'!$A$2:$A$11</definedName>
    <definedName name="FM_PATP">'[2]FM PostATP'!$A$2:$A$11</definedName>
    <definedName name="FM_SDS" localSheetId="3">'[1]FM SDS'!$A$2:$A$24</definedName>
    <definedName name="FM_SDS" localSheetId="7">'[1]FM SDS'!$A$2:$A$24</definedName>
    <definedName name="FM_SDS" localSheetId="8">'[1]FM SDS'!$A$2:$A$24</definedName>
    <definedName name="FM_SDS" localSheetId="1">'[1]FM SDS'!$A$2:$A$24</definedName>
    <definedName name="FM_SDS" localSheetId="4">'[1]FM SDS'!$A$2:$A$24</definedName>
    <definedName name="FM_SDS" localSheetId="0">'[1]FM SDS'!$A$2:$A$24</definedName>
    <definedName name="FM_SDS" localSheetId="5">'[1]FM SDS'!$A$2:$A$24</definedName>
    <definedName name="FM_SDS" localSheetId="2">'[1]FM SDS'!$A$2:$A$24</definedName>
    <definedName name="FM_SDS" localSheetId="10">'[1]FM SDS'!$A$2:$A$24</definedName>
    <definedName name="FM_SDS">'[2]FM SDS'!$A$2:$A$24</definedName>
    <definedName name="FM_SOA" localSheetId="3">'[1]FM SOA'!$A$2:$A$10</definedName>
    <definedName name="FM_SOA" localSheetId="7">'[1]FM SOA'!$A$2:$A$10</definedName>
    <definedName name="FM_SOA" localSheetId="8">'[1]FM SOA'!$A$2:$A$10</definedName>
    <definedName name="FM_SOA" localSheetId="1">'[1]FM SOA'!$A$2:$A$10</definedName>
    <definedName name="FM_SOA" localSheetId="4">'[1]FM SOA'!$A$2:$A$10</definedName>
    <definedName name="FM_SOA" localSheetId="0">'[1]FM SOA'!$A$2:$A$10</definedName>
    <definedName name="FM_SOA" localSheetId="5">'[1]FM SOA'!$A$2:$A$10</definedName>
    <definedName name="FM_SOA" localSheetId="2">'[1]FM SOA'!$A$2:$A$10</definedName>
    <definedName name="FM_SOA" localSheetId="10">'[1]FM SOA'!$A$2:$A$10</definedName>
    <definedName name="FM_SOA">'[2]FM SOA'!$A$2:$A$10</definedName>
    <definedName name="FM_SSCM" localSheetId="3">'[1]FM SSCM'!$A$2:$A$6</definedName>
    <definedName name="FM_SSCM" localSheetId="7">'[1]FM SSCM'!$A$2:$A$6</definedName>
    <definedName name="FM_SSCM" localSheetId="8">'[1]FM SSCM'!$A$2:$A$6</definedName>
    <definedName name="FM_SSCM" localSheetId="1">'[1]FM SSCM'!$A$2:$A$6</definedName>
    <definedName name="FM_SSCM" localSheetId="4">'[1]FM SSCM'!$A$2:$A$6</definedName>
    <definedName name="FM_SSCM" localSheetId="0">'[1]FM SSCM'!$A$2:$A$6</definedName>
    <definedName name="FM_SSCM" localSheetId="5">'[1]FM SSCM'!$A$2:$A$6</definedName>
    <definedName name="FM_SSCM" localSheetId="2">'[1]FM SSCM'!$A$2:$A$6</definedName>
    <definedName name="FM_SSCM" localSheetId="10">'[1]FM SSCM'!$A$2:$A$6</definedName>
    <definedName name="FM_SSCM">'[2]FM SSCM'!$A$2:$A$6</definedName>
    <definedName name="Rack_Number" localSheetId="3">[1]Rack!$A$2:$A$31</definedName>
    <definedName name="Rack_Number" localSheetId="7">[1]Rack!$A$2:$A$31</definedName>
    <definedName name="Rack_Number" localSheetId="8">[1]Rack!$A$2:$A$31</definedName>
    <definedName name="Rack_Number" localSheetId="1">[1]Rack!$A$2:$A$31</definedName>
    <definedName name="Rack_Number" localSheetId="4">[1]Rack!$A$2:$A$31</definedName>
    <definedName name="Rack_Number" localSheetId="0">[1]Rack!$A$2:$A$31</definedName>
    <definedName name="Rack_Number" localSheetId="5">[1]Rack!$A$2:$A$31</definedName>
    <definedName name="Rack_Number" localSheetId="2">[1]Rack!$A$2:$A$31</definedName>
    <definedName name="Rack_Number" localSheetId="10">[1]Rack!$A$2:$A$31</definedName>
    <definedName name="Rack_Number">[2]Rack!$A$2:$A$31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F38" authorId="0">
      <text>
        <r>
          <rPr>
            <sz val="14"/>
            <rFont val="宋体"/>
            <charset val="134"/>
          </rPr>
          <t>i4K只有ACTION有导视</t>
        </r>
      </text>
    </comment>
    <comment ref="H38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</t>
        </r>
        <r>
          <rPr>
            <sz val="16"/>
            <rFont val="宋体"/>
            <charset val="134"/>
          </rPr>
          <t>eFx专用</t>
        </r>
      </text>
    </comment>
    <comment ref="I39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仅适用eX3/2系统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G166" authorId="0">
      <text>
        <r>
          <rPr>
            <sz val="9"/>
            <rFont val="宋体"/>
            <charset val="134"/>
          </rPr>
          <t xml:space="preserve">
</t>
        </r>
        <r>
          <rPr>
            <sz val="14"/>
            <rFont val="宋体"/>
            <charset val="134"/>
          </rPr>
          <t>I4K只有纪录片有导视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H69" authorId="0">
      <text>
        <r>
          <rPr>
            <sz val="16"/>
            <rFont val="宋体"/>
            <charset val="134"/>
          </rPr>
          <t>格式是M2</t>
        </r>
      </text>
    </comment>
    <comment ref="O70" authorId="0">
      <text>
        <r>
          <rPr>
            <sz val="14"/>
            <rFont val="宋体"/>
            <charset val="134"/>
          </rPr>
          <t>和电影表的文件名相同</t>
        </r>
      </text>
    </comment>
    <comment ref="O71" authorId="0">
      <text>
        <r>
          <rPr>
            <sz val="14"/>
            <rFont val="宋体"/>
            <charset val="134"/>
          </rPr>
          <t>和电影表的文件名相同</t>
        </r>
      </text>
    </comment>
    <comment ref="O72" authorId="0">
      <text>
        <r>
          <rPr>
            <sz val="14"/>
            <rFont val="宋体"/>
            <charset val="134"/>
          </rPr>
          <t>和TV表的文件名相同</t>
        </r>
      </text>
    </comment>
    <comment ref="O73" authorId="0">
      <text>
        <r>
          <rPr>
            <sz val="14"/>
            <rFont val="宋体"/>
            <charset val="134"/>
          </rPr>
          <t>和TV表的文件名相同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H11" authorId="0">
      <text>
        <r>
          <rPr>
            <b/>
            <sz val="12"/>
            <rFont val="宋体"/>
            <charset val="134"/>
          </rPr>
          <t>Administrator:</t>
        </r>
        <r>
          <rPr>
            <sz val="12"/>
            <rFont val="宋体"/>
            <charset val="134"/>
          </rPr>
          <t xml:space="preserve">
用787_9的安全视频素材</t>
        </r>
      </text>
    </comment>
    <comment ref="I11" authorId="0">
      <text>
        <r>
          <rPr>
            <sz val="9"/>
            <rFont val="宋体"/>
            <charset val="134"/>
          </rPr>
          <t xml:space="preserve">
</t>
        </r>
        <r>
          <rPr>
            <sz val="12"/>
            <rFont val="宋体"/>
            <charset val="134"/>
          </rPr>
          <t>用efx系统B737-800/8机型的素材</t>
        </r>
      </text>
    </comment>
    <comment ref="J11" authorId="0">
      <text>
        <r>
          <rPr>
            <sz val="12"/>
            <rFont val="宋体"/>
            <charset val="134"/>
          </rPr>
          <t>用B747_400的素材</t>
        </r>
      </text>
    </comment>
    <comment ref="K11" authorId="0">
      <text>
        <r>
          <rPr>
            <sz val="12"/>
            <rFont val="宋体"/>
            <charset val="134"/>
          </rPr>
          <t xml:space="preserve">用A330_200的素材
</t>
        </r>
      </text>
    </comment>
    <comment ref="L11" authorId="0">
      <text>
        <r>
          <rPr>
            <sz val="12"/>
            <rFont val="宋体"/>
            <charset val="134"/>
          </rPr>
          <t xml:space="preserve">用A330_200的素材
</t>
        </r>
      </text>
    </comment>
  </commentList>
</comments>
</file>

<file path=xl/comments5.xml><?xml version="1.0" encoding="utf-8"?>
<comments xmlns="http://schemas.openxmlformats.org/spreadsheetml/2006/main">
  <authors>
    <author>Administrator</author>
  </authors>
  <commentList>
    <comment ref="H31" authorId="0">
      <text>
        <r>
          <rPr>
            <sz val="9"/>
            <rFont val="宋体"/>
            <charset val="134"/>
          </rPr>
          <t xml:space="preserve">用 787 9机型2023中英版替换about us中的安全须知
</t>
        </r>
      </text>
    </comment>
    <comment ref="I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787 9机型2023中英版替换about us中的安全须知
</t>
        </r>
      </text>
    </comment>
    <comment ref="J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用B737-800/8机型 2023中英版安全须知
</t>
        </r>
      </text>
    </comment>
    <comment ref="K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用B747_400中英的素材
</t>
        </r>
      </text>
    </comment>
    <comment ref="L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A330_200_Eng 
</t>
        </r>
      </text>
    </comment>
    <comment ref="M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A330_200_Eng</t>
        </r>
      </text>
    </comment>
    <comment ref="J32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用：02-B737-800/8 (中)安全须知 2023 </t>
        </r>
      </text>
    </comment>
  </commentList>
</comments>
</file>

<file path=xl/sharedStrings.xml><?xml version="1.0" encoding="utf-8"?>
<sst xmlns="http://schemas.openxmlformats.org/spreadsheetml/2006/main" count="4648" uniqueCount="1338">
  <si>
    <t>Versions</t>
  </si>
  <si>
    <t>Updates</t>
  </si>
  <si>
    <t>Made By</t>
  </si>
  <si>
    <t>Date</t>
  </si>
  <si>
    <t>V1</t>
  </si>
  <si>
    <t>完成初版</t>
  </si>
  <si>
    <t>Envee</t>
  </si>
  <si>
    <t>2025.1.8</t>
  </si>
  <si>
    <t>V2</t>
  </si>
  <si>
    <t>修改TV《不止旅行 随波而至穿越瑞法》英文标题，标黄</t>
  </si>
  <si>
    <t>2025.1.13</t>
  </si>
  <si>
    <t>V3</t>
  </si>
  <si>
    <t>删除TV《寻护者》</t>
  </si>
  <si>
    <t>2025.1.14</t>
  </si>
  <si>
    <t>V4</t>
  </si>
  <si>
    <t>修改TV 《我在他乡挺好的1-12》英文标题，标黄</t>
  </si>
  <si>
    <t>2025.1.15</t>
  </si>
  <si>
    <t>V5</t>
  </si>
  <si>
    <t>增加第一版编码信息</t>
  </si>
  <si>
    <t>V6</t>
  </si>
  <si>
    <t>修改TV《探长埃利斯1-3》英文标题，标黄</t>
  </si>
  <si>
    <t>2025.1.16</t>
  </si>
  <si>
    <t>V7</t>
  </si>
  <si>
    <t>增加TV TRAVEL分类《衢州有礼，通达未来》，标黄</t>
  </si>
  <si>
    <t>V8</t>
  </si>
  <si>
    <t>增加第二版编码信息</t>
  </si>
  <si>
    <t>2025.1.17</t>
  </si>
  <si>
    <t>V9</t>
  </si>
  <si>
    <t>修改TV《我的美食向导》中英文标题，标黄</t>
  </si>
  <si>
    <t>2025.1.21</t>
  </si>
  <si>
    <t>V10</t>
  </si>
  <si>
    <t>增加所有常规节目信息.修改电影《七美疑云》《熊出没·伴我“熊芯”》声道字幕信息，filename会变动我会重新传M3，请注意。</t>
  </si>
  <si>
    <t>2025.1.22</t>
  </si>
  <si>
    <t>V11</t>
  </si>
  <si>
    <t>修改TV《拜仁慕尼黑》声道信息，增加片前广告信息</t>
  </si>
  <si>
    <t>V12</t>
  </si>
  <si>
    <t>增加空博编码信息，所有编码信息都已齐。</t>
  </si>
  <si>
    <t>2025.1.24</t>
  </si>
  <si>
    <t>V13</t>
  </si>
  <si>
    <t>TV:空中博览3月国际回程 需要换素材，修改泰雷兹filename，标黄。</t>
  </si>
  <si>
    <t>2025.1.25</t>
  </si>
  <si>
    <t>V14</t>
  </si>
  <si>
    <t>修改TV《拜仁慕尼黑：传奇崛起 1》i5K filename，标黄</t>
  </si>
  <si>
    <t>2025.1.27</t>
  </si>
  <si>
    <t>V15</t>
  </si>
  <si>
    <t>增加广告合集和空博信息</t>
  </si>
  <si>
    <t>2025.2.8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</si>
  <si>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</si>
  <si>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</si>
  <si>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</si>
  <si>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</si>
  <si>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</si>
  <si>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</si>
  <si>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</si>
  <si>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</si>
  <si>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</si>
  <si>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</si>
  <si>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</si>
  <si>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</si>
  <si>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</si>
  <si>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</si>
  <si>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</si>
  <si>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</si>
  <si>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</si>
  <si>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</si>
  <si>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</si>
  <si>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</si>
  <si>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</si>
  <si>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</si>
  <si>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</si>
  <si>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</si>
  <si>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</si>
  <si>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</si>
  <si>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</si>
  <si>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</si>
  <si>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</si>
  <si>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File Data</t>
  </si>
  <si>
    <t>PAC</t>
  </si>
  <si>
    <t>TTE</t>
  </si>
  <si>
    <t>PAC Filename</t>
  </si>
  <si>
    <t>PAC TR Filename</t>
  </si>
  <si>
    <t xml:space="preserve">TTE Filename </t>
  </si>
  <si>
    <t xml:space="preserve">TTE TR Filename </t>
  </si>
  <si>
    <t>File Info</t>
  </si>
  <si>
    <t>Language &amp; Subtitle</t>
  </si>
  <si>
    <t>Run Time</t>
  </si>
  <si>
    <t>Aspect Ratio</t>
  </si>
  <si>
    <t>TR Run Time (hh:mm:ss)</t>
  </si>
  <si>
    <t>Label</t>
  </si>
  <si>
    <t>No.</t>
  </si>
  <si>
    <t>File Received On</t>
  </si>
  <si>
    <t>cycle</t>
  </si>
  <si>
    <t>AVOD Category</t>
  </si>
  <si>
    <t>File Number</t>
  </si>
  <si>
    <t>Title_ZHO</t>
  </si>
  <si>
    <t>Title_ENG</t>
  </si>
  <si>
    <t>TR_Title_ENG</t>
  </si>
  <si>
    <t>eX3/2 &amp; eX3 NG</t>
  </si>
  <si>
    <t>eFx</t>
  </si>
  <si>
    <t>S3k</t>
  </si>
  <si>
    <t>i5000</t>
  </si>
  <si>
    <t>i4000</t>
  </si>
  <si>
    <t>eX3/2 &amp; eX3 NG
eFx</t>
  </si>
  <si>
    <t>3ki</t>
  </si>
  <si>
    <t xml:space="preserve">i4K </t>
  </si>
  <si>
    <t>i5K</t>
  </si>
  <si>
    <t>i4K/i5K</t>
  </si>
  <si>
    <t>License period</t>
  </si>
  <si>
    <t>Movie Rating</t>
  </si>
  <si>
    <t>Parent Rating</t>
  </si>
  <si>
    <t>Release Year</t>
  </si>
  <si>
    <t>Distributor</t>
  </si>
  <si>
    <t>Laboratory</t>
  </si>
  <si>
    <t>Lang1</t>
  </si>
  <si>
    <t>Lang2</t>
  </si>
  <si>
    <t>Lang3</t>
  </si>
  <si>
    <t>Lang4</t>
  </si>
  <si>
    <t>Embedded Sub1</t>
  </si>
  <si>
    <t>Embedded Sub2</t>
  </si>
  <si>
    <t>Run Time (min)</t>
  </si>
  <si>
    <t>Run Time (hh:mm:ss)</t>
  </si>
  <si>
    <t>Run Time (sec)</t>
  </si>
  <si>
    <t>eX3/2 &amp; eX3 NG/eFx/i5k</t>
  </si>
  <si>
    <t>i4k/3ki</t>
  </si>
  <si>
    <t>0325</t>
  </si>
  <si>
    <t>Action</t>
  </si>
  <si>
    <t>重生</t>
  </si>
  <si>
    <t>Go for Broke</t>
  </si>
  <si>
    <t>√</t>
  </si>
  <si>
    <t>cam032500201</t>
  </si>
  <si>
    <t>cam012500201</t>
  </si>
  <si>
    <t>cat032500201</t>
  </si>
  <si>
    <t>cat012500201</t>
  </si>
  <si>
    <t>08/31/2025</t>
  </si>
  <si>
    <t>NR</t>
  </si>
  <si>
    <t>ENV</t>
  </si>
  <si>
    <t>Zho</t>
  </si>
  <si>
    <t>Eng</t>
  </si>
  <si>
    <t>New</t>
  </si>
  <si>
    <t>明日战记</t>
  </si>
  <si>
    <t>Warriors of Future</t>
  </si>
  <si>
    <t>cam032500202</t>
  </si>
  <si>
    <t>cat032500202</t>
  </si>
  <si>
    <t>Topic</t>
  </si>
  <si>
    <t>目中无人2</t>
  </si>
  <si>
    <t>Eye for an Eye 2</t>
  </si>
  <si>
    <t>cam032500203</t>
  </si>
  <si>
    <t>cat032500203</t>
  </si>
  <si>
    <t>05/31/2025</t>
  </si>
  <si>
    <t>Drama</t>
  </si>
  <si>
    <t>又是充满希望的一天</t>
  </si>
  <si>
    <t>Another Day of Hope</t>
  </si>
  <si>
    <t>cam032500301</t>
  </si>
  <si>
    <t>cam012500301</t>
  </si>
  <si>
    <t>cat032500301</t>
  </si>
  <si>
    <t>cat012500301</t>
  </si>
  <si>
    <t>乔妍的心事</t>
  </si>
  <si>
    <t>The Unseen Sister</t>
  </si>
  <si>
    <t>cam032500302</t>
  </si>
  <si>
    <t>cam012500302</t>
  </si>
  <si>
    <t>cat032500302</t>
  </si>
  <si>
    <t>cat012500302</t>
  </si>
  <si>
    <t>PG</t>
  </si>
  <si>
    <t>戴假发的人</t>
  </si>
  <si>
    <t>The Wig</t>
  </si>
  <si>
    <t>cam032500303</t>
  </si>
  <si>
    <t>cam012500303</t>
  </si>
  <si>
    <t>cat032500303</t>
  </si>
  <si>
    <t>cat012500303</t>
  </si>
  <si>
    <t>胜券在握</t>
  </si>
  <si>
    <t>To Gather Around</t>
  </si>
  <si>
    <t>cam032500304</t>
  </si>
  <si>
    <t>cam012500304</t>
  </si>
  <si>
    <t>cat032500304</t>
  </si>
  <si>
    <t>cat012500304</t>
  </si>
  <si>
    <t>灿烂的她</t>
  </si>
  <si>
    <t>Remember Me</t>
  </si>
  <si>
    <t>cam032500305</t>
  </si>
  <si>
    <t>cam012500305</t>
  </si>
  <si>
    <t>cat032500305</t>
  </si>
  <si>
    <t>cat012500305</t>
  </si>
  <si>
    <t>G</t>
  </si>
  <si>
    <t>流浪地球2</t>
  </si>
  <si>
    <t>The Wandering Earth Ⅱ</t>
  </si>
  <si>
    <t>cam032500306</t>
  </si>
  <si>
    <t>cam012500306</t>
  </si>
  <si>
    <t>cat032500306</t>
  </si>
  <si>
    <t>cat012500306</t>
  </si>
  <si>
    <t>记忆大师</t>
  </si>
  <si>
    <t>Battle of Memories</t>
  </si>
  <si>
    <t>cam032500307</t>
  </si>
  <si>
    <t>cam012500307</t>
  </si>
  <si>
    <t>cat032500307</t>
  </si>
  <si>
    <t>cat012500307</t>
  </si>
  <si>
    <t>永远的姐妹</t>
  </si>
  <si>
    <t>Forever</t>
  </si>
  <si>
    <t>cam032500308</t>
  </si>
  <si>
    <t>cam012500308</t>
  </si>
  <si>
    <t>cat032500308</t>
  </si>
  <si>
    <t>cat012500308</t>
  </si>
  <si>
    <t>Swe</t>
  </si>
  <si>
    <t>Classic</t>
  </si>
  <si>
    <t>女生们</t>
  </si>
  <si>
    <t>The Girls</t>
  </si>
  <si>
    <t>cam032500309</t>
  </si>
  <si>
    <t>cam012500309</t>
  </si>
  <si>
    <t>cat032500309</t>
  </si>
  <si>
    <t>cat012500309</t>
  </si>
  <si>
    <t>Spa</t>
  </si>
  <si>
    <t>女老板</t>
  </si>
  <si>
    <t>The Boss</t>
  </si>
  <si>
    <t>cam032500310</t>
  </si>
  <si>
    <t>cam012500310</t>
  </si>
  <si>
    <t>cat032500310</t>
  </si>
  <si>
    <t>cat012500310</t>
  </si>
  <si>
    <t>金的音像店</t>
  </si>
  <si>
    <t>Kim's Video</t>
  </si>
  <si>
    <t>cam032500311</t>
  </si>
  <si>
    <t>cam012500311</t>
  </si>
  <si>
    <t>cat032500311</t>
  </si>
  <si>
    <t>cat012500311</t>
  </si>
  <si>
    <t>不受欢迎的人</t>
  </si>
  <si>
    <t>Persona Non Grata</t>
  </si>
  <si>
    <t>cam032500312</t>
  </si>
  <si>
    <t>cam012500312</t>
  </si>
  <si>
    <t>cat032500312</t>
  </si>
  <si>
    <t>cat012500312</t>
  </si>
  <si>
    <t>Deu</t>
  </si>
  <si>
    <t>Hot</t>
  </si>
  <si>
    <t>再无可失</t>
  </si>
  <si>
    <t>All to Play For</t>
  </si>
  <si>
    <t>cam032500313</t>
  </si>
  <si>
    <t>cam012500313</t>
  </si>
  <si>
    <t>cat032500313</t>
  </si>
  <si>
    <t>cat012500313</t>
  </si>
  <si>
    <t>Fra</t>
  </si>
  <si>
    <t>孤身二人</t>
  </si>
  <si>
    <t>Solitude</t>
  </si>
  <si>
    <t>cam032500314</t>
  </si>
  <si>
    <t>cam012500314</t>
  </si>
  <si>
    <t>cat032500314</t>
  </si>
  <si>
    <t>cat012500314</t>
  </si>
  <si>
    <t>Isl</t>
  </si>
  <si>
    <t>Romance</t>
  </si>
  <si>
    <t>我谈的那场恋爱</t>
  </si>
  <si>
    <t>Love Lies</t>
  </si>
  <si>
    <t>cam032500401</t>
  </si>
  <si>
    <t>cam012500401</t>
  </si>
  <si>
    <t>cat032500401</t>
  </si>
  <si>
    <t>cat012500401</t>
  </si>
  <si>
    <t>那个不为人知的故事</t>
  </si>
  <si>
    <t>That Untold Story</t>
  </si>
  <si>
    <t>cam032500402</t>
  </si>
  <si>
    <t>cam012500402</t>
  </si>
  <si>
    <t>cat032500402</t>
  </si>
  <si>
    <t>cat012500402</t>
  </si>
  <si>
    <t>瘦身大作战</t>
  </si>
  <si>
    <t>I Am Losing Weight</t>
  </si>
  <si>
    <t>cam032500403</t>
  </si>
  <si>
    <t>cam012500403</t>
  </si>
  <si>
    <t>cat032500403</t>
  </si>
  <si>
    <t>cat012500403</t>
  </si>
  <si>
    <t>Rus</t>
  </si>
  <si>
    <t>Comedy</t>
  </si>
  <si>
    <t>刺猬</t>
  </si>
  <si>
    <t>The Hedgehog</t>
  </si>
  <si>
    <t>cam032500501</t>
  </si>
  <si>
    <t>cam012500501</t>
  </si>
  <si>
    <t>cat032500501</t>
  </si>
  <si>
    <t>cat012500501</t>
  </si>
  <si>
    <t>大场面</t>
  </si>
  <si>
    <t>Keep Rolling</t>
  </si>
  <si>
    <t>cam032500502</t>
  </si>
  <si>
    <t>cam012500502</t>
  </si>
  <si>
    <t>cat032500502</t>
  </si>
  <si>
    <t>cat012500502</t>
  </si>
  <si>
    <t>宇宙探索编辑部</t>
  </si>
  <si>
    <t>Journey to the West</t>
  </si>
  <si>
    <t>cam032500503</t>
  </si>
  <si>
    <t>cat032500503</t>
  </si>
  <si>
    <t>米歇拉·吉罗：句句属实</t>
  </si>
  <si>
    <t>Michela Giraud: The Truth, I Swear!</t>
  </si>
  <si>
    <t>cam032500504</t>
  </si>
  <si>
    <t>cat032500504</t>
  </si>
  <si>
    <t>Ita</t>
  </si>
  <si>
    <t>七美疑云</t>
  </si>
  <si>
    <t>7 Women and a Murder</t>
  </si>
  <si>
    <t>cam032500505</t>
  </si>
  <si>
    <t>cat032500505</t>
  </si>
  <si>
    <t>辣俏护卫队</t>
  </si>
  <si>
    <t>Deadly Cuts</t>
  </si>
  <si>
    <t>cam032500506</t>
  </si>
  <si>
    <t>cat032500506</t>
  </si>
  <si>
    <t>PG13</t>
  </si>
  <si>
    <t>挖掘者</t>
  </si>
  <si>
    <t>Diggers</t>
  </si>
  <si>
    <t>cam032500507</t>
  </si>
  <si>
    <t>cam012500508</t>
  </si>
  <si>
    <t>cat032500507</t>
  </si>
  <si>
    <t>cat012500508</t>
  </si>
  <si>
    <t>浦安之争</t>
  </si>
  <si>
    <t>Puan</t>
  </si>
  <si>
    <t>cam032500508</t>
  </si>
  <si>
    <t>cam012500509</t>
  </si>
  <si>
    <t>cat032500508</t>
  </si>
  <si>
    <t>cat012500509</t>
  </si>
  <si>
    <t>皇宫酒店大作战</t>
  </si>
  <si>
    <t>Striking the Palace</t>
  </si>
  <si>
    <t>cam032500509</t>
  </si>
  <si>
    <t>cam012500510</t>
  </si>
  <si>
    <t>cat032500509</t>
  </si>
  <si>
    <t>cat012500510</t>
  </si>
  <si>
    <t>安德里亚离婚记</t>
  </si>
  <si>
    <t>Andrea Gets a Divorce</t>
  </si>
  <si>
    <t>cam032500510</t>
  </si>
  <si>
    <t>cam012500511</t>
  </si>
  <si>
    <t>cat032500510</t>
  </si>
  <si>
    <t>cat012500511</t>
  </si>
  <si>
    <t>五五分的家</t>
  </si>
  <si>
    <t>Everything's Fifty Fifty</t>
  </si>
  <si>
    <t>cam032500511</t>
  </si>
  <si>
    <t>cam012500512</t>
  </si>
  <si>
    <t>cat032500511</t>
  </si>
  <si>
    <t>cat012500512</t>
  </si>
  <si>
    <t>Kids</t>
  </si>
  <si>
    <t>熊出没·伴我“熊芯”</t>
  </si>
  <si>
    <t>Boonie Bears: Guardian Code</t>
  </si>
  <si>
    <t>cam032500601</t>
  </si>
  <si>
    <t>cam012500601</t>
  </si>
  <si>
    <t>cat032500601</t>
  </si>
  <si>
    <t>cat012500601</t>
  </si>
  <si>
    <t>外太空的莫扎特</t>
  </si>
  <si>
    <t>Mozart from Space</t>
  </si>
  <si>
    <t>cam032500602</t>
  </si>
  <si>
    <t>cam012500602</t>
  </si>
  <si>
    <t>cat032500602</t>
  </si>
  <si>
    <t>cat012500602</t>
  </si>
  <si>
    <t>all</t>
  </si>
  <si>
    <t>佳片速递</t>
  </si>
  <si>
    <t>New Onboard</t>
  </si>
  <si>
    <t>cam032500701</t>
  </si>
  <si>
    <t>cam012500701</t>
  </si>
  <si>
    <t>cat032500701</t>
  </si>
  <si>
    <t>不适用</t>
  </si>
  <si>
    <t>Welcome video</t>
  </si>
  <si>
    <t>欢迎视频</t>
  </si>
  <si>
    <t>Welcome Video</t>
  </si>
  <si>
    <t>/</t>
  </si>
  <si>
    <t>cam032500702</t>
  </si>
  <si>
    <t xml:space="preserve">                        /</t>
  </si>
  <si>
    <t>File data</t>
  </si>
  <si>
    <t>PACFilename</t>
  </si>
  <si>
    <t>TTE Filename</t>
  </si>
  <si>
    <t>info</t>
  </si>
  <si>
    <t>Category</t>
  </si>
  <si>
    <t>Shorts Series Name</t>
  </si>
  <si>
    <t>i5</t>
  </si>
  <si>
    <t>S3K</t>
  </si>
  <si>
    <t>i4K</t>
  </si>
  <si>
    <r>
      <rPr>
        <b/>
        <sz val="12"/>
        <rFont val="Arial"/>
        <charset val="134"/>
      </rPr>
      <t xml:space="preserve">Run Time(hh:mm:00)
</t>
    </r>
    <r>
      <rPr>
        <b/>
        <sz val="12"/>
        <rFont val="宋体"/>
        <charset val="134"/>
      </rPr>
      <t>精确到分钟</t>
    </r>
  </si>
  <si>
    <t>eX3&amp;2/eX3 NG/eFx/i5K</t>
  </si>
  <si>
    <t>3ki/i4</t>
  </si>
  <si>
    <t>i4</t>
  </si>
  <si>
    <t>YOUKU</t>
  </si>
  <si>
    <t>度华年 5</t>
  </si>
  <si>
    <t>The Princess Royal 5</t>
  </si>
  <si>
    <t>cas032500101</t>
  </si>
  <si>
    <t>墨雨云间 8</t>
  </si>
  <si>
    <t>The Double 8</t>
  </si>
  <si>
    <t>cas032500102</t>
  </si>
  <si>
    <t>听你这么说 8 王潮歌：只有王潮歌</t>
  </si>
  <si>
    <t>I Hear You 8 Wang Chaoge: Wang Chaoge Only</t>
  </si>
  <si>
    <t>cas032500103</t>
  </si>
  <si>
    <t>锵锵拾遗 8 世家大族做官的理由是什么？</t>
  </si>
  <si>
    <t>Gathering Fragments of the Past 8 What Is the Rationale Behind Prominent Families Holding Official Positions?</t>
  </si>
  <si>
    <t>cas032500104</t>
  </si>
  <si>
    <t>蕃尼看世界之奇遇冒险 8 普者黑摸鱼挖藕挑战</t>
  </si>
  <si>
    <t>Funny Traveling Around the World 8 Fishing and Digging Lotus Roots in Puzhehei</t>
  </si>
  <si>
    <t>cas032500105</t>
  </si>
  <si>
    <t>冰火魔厨 8</t>
  </si>
  <si>
    <t>The Magic Chef of Ice and Fire 8</t>
  </si>
  <si>
    <t>cas032500106</t>
  </si>
  <si>
    <t>暗河传 8</t>
  </si>
  <si>
    <t>Legend of Assassin 8</t>
  </si>
  <si>
    <t>cas032500107</t>
  </si>
  <si>
    <t>沧元图 8</t>
  </si>
  <si>
    <t>The Demon Hunter 8</t>
  </si>
  <si>
    <t>cas032500108</t>
  </si>
  <si>
    <t>飞驰人生热爱篇 8</t>
  </si>
  <si>
    <t>Pegasus·Passion 8</t>
  </si>
  <si>
    <t>cas032500109</t>
  </si>
  <si>
    <t>别对我动心 8</t>
  </si>
  <si>
    <t>Everyone Loves Me 8</t>
  </si>
  <si>
    <t>cas032500110</t>
  </si>
  <si>
    <t>师兄啊师兄 7</t>
  </si>
  <si>
    <t>My Senior Brother Is Too Steady 7</t>
  </si>
  <si>
    <t>cas032500111</t>
  </si>
  <si>
    <t>DOCUMENTARY</t>
  </si>
  <si>
    <t>汉唐文化</t>
  </si>
  <si>
    <t>Hantang Culture</t>
  </si>
  <si>
    <t>cas032500201</t>
  </si>
  <si>
    <t>中国 第一季 5</t>
  </si>
  <si>
    <t>China S01E05</t>
  </si>
  <si>
    <t>cas032500203</t>
  </si>
  <si>
    <t>cas012500202</t>
  </si>
  <si>
    <t>中国 第一季 4</t>
  </si>
  <si>
    <t>China S01E04</t>
  </si>
  <si>
    <t>cas032500204</t>
  </si>
  <si>
    <t>cas012500203</t>
  </si>
  <si>
    <t>我的美食向导 云之南（下）</t>
  </si>
  <si>
    <t>China beyond Tastes Yunnan (Part 2)</t>
  </si>
  <si>
    <t>cas032500205</t>
  </si>
  <si>
    <t>cas012500204</t>
  </si>
  <si>
    <t>我的美食向导 云之南（上）</t>
  </si>
  <si>
    <t>China beyond Tastes Yunnan (Part 1)</t>
  </si>
  <si>
    <t>cas032500206</t>
  </si>
  <si>
    <t>新三峡 7 梦</t>
  </si>
  <si>
    <t>New Three Gorges 7 Dream</t>
  </si>
  <si>
    <t>cas032500207</t>
  </si>
  <si>
    <t>新三峡 6 城</t>
  </si>
  <si>
    <t>New Three Gorges 6 City</t>
  </si>
  <si>
    <t>cas032500208</t>
  </si>
  <si>
    <t>喜事 4 云朵上的婚礼</t>
  </si>
  <si>
    <t>Wedding 4 Wedding on the Clouds</t>
  </si>
  <si>
    <t>cas032500209</t>
  </si>
  <si>
    <t>喜事 3 情系乌苏里</t>
  </si>
  <si>
    <t>Wedding 3 Love in Wusuli</t>
  </si>
  <si>
    <t>cas032500210</t>
  </si>
  <si>
    <t>巴金 2 激流火焰</t>
  </si>
  <si>
    <t>Ba Jin 2 Torrent Flame</t>
  </si>
  <si>
    <t>cas032500211</t>
  </si>
  <si>
    <t>巴金 1 世纪长歌</t>
  </si>
  <si>
    <t>Ba Jin 1 Long Song of the Century</t>
  </si>
  <si>
    <t>cas032500212</t>
  </si>
  <si>
    <t>敦煌遇见绍兴 2 书法双圣</t>
  </si>
  <si>
    <t>Dunhuang Meets Shaoxing 2 Calligraphy Double Sages</t>
  </si>
  <si>
    <t>cas032500213</t>
  </si>
  <si>
    <t>大泰山 3 与国咸宁</t>
  </si>
  <si>
    <t>Mount Tai 3 The Country Is Prosperous And the People Are Safe</t>
  </si>
  <si>
    <t>cas032500214</t>
  </si>
  <si>
    <t>cas012500205</t>
  </si>
  <si>
    <t>中国草 3 走进春天</t>
  </si>
  <si>
    <t>Chinese Juncao 3 Into the Spring</t>
  </si>
  <si>
    <t>cas032500215</t>
  </si>
  <si>
    <t>cas012500206</t>
  </si>
  <si>
    <t>行走世界菜市场 12</t>
  </si>
  <si>
    <t>Food Markets Ep12</t>
  </si>
  <si>
    <t>cas032500216</t>
  </si>
  <si>
    <t>cas012500207</t>
  </si>
  <si>
    <t>行走世界菜市场 11</t>
  </si>
  <si>
    <t>Food Markets Ep11</t>
  </si>
  <si>
    <t>cas032500217</t>
  </si>
  <si>
    <t>cas012500208</t>
  </si>
  <si>
    <t>NATURE</t>
  </si>
  <si>
    <t>香港自然故事 8 水岸篇 下</t>
  </si>
  <si>
    <t>Hong Kong Nature Stories 8 The Waterfront (Part 2)</t>
  </si>
  <si>
    <t>cas032500301</t>
  </si>
  <si>
    <t>cas012500301</t>
  </si>
  <si>
    <t>香港自然故事 7 水岸篇 上</t>
  </si>
  <si>
    <t>Hong Kong Nature Stories 7 The Waterfront (Part 1)</t>
  </si>
  <si>
    <t>cas032500302</t>
  </si>
  <si>
    <t>cas012500302</t>
  </si>
  <si>
    <t>青海 我们的国家公园 第二季 1 天地之间</t>
  </si>
  <si>
    <t>Qinghai Our National Park S02E01 Between Heaven and Earth</t>
  </si>
  <si>
    <t>cas032500303</t>
  </si>
  <si>
    <t>cas012500303</t>
  </si>
  <si>
    <t>自然传奇 睿智的大象</t>
  </si>
  <si>
    <t>Natural Legend: Wise Elephant</t>
  </si>
  <si>
    <t>cas032500304</t>
  </si>
  <si>
    <t>cas012500304</t>
  </si>
  <si>
    <t>自然传奇 丛林精灵 狐猴</t>
  </si>
  <si>
    <t>Natural Legend: Jungle Spirit Lemur</t>
  </si>
  <si>
    <t>cas032500305</t>
  </si>
  <si>
    <t>狩猎倒计时 1</t>
  </si>
  <si>
    <t>Predator Countdown Ep01</t>
  </si>
  <si>
    <t>cas032500306</t>
  </si>
  <si>
    <t>迁徙的鸟 2</t>
  </si>
  <si>
    <t>Migrating Birds Ep02</t>
  </si>
  <si>
    <t>cas032500307</t>
  </si>
  <si>
    <t>与鲸共舞 2</t>
  </si>
  <si>
    <t>Whale with Steve Backshall Ep02</t>
  </si>
  <si>
    <t>cas032500308</t>
  </si>
  <si>
    <t>cas012500305</t>
  </si>
  <si>
    <t>DRAMA</t>
  </si>
  <si>
    <t>我在他乡挺好的 12</t>
  </si>
  <si>
    <t>Remembrance Of Things Past Ep12</t>
  </si>
  <si>
    <t>cas032500401</t>
  </si>
  <si>
    <t>cas012500407</t>
  </si>
  <si>
    <t>我在他乡挺好的 11</t>
  </si>
  <si>
    <t>Remembrance Of Things Past Ep11</t>
  </si>
  <si>
    <t>cas032500402</t>
  </si>
  <si>
    <t>cas012500408</t>
  </si>
  <si>
    <t>我在他乡挺好的 10</t>
  </si>
  <si>
    <t>Remembrance Of Things Past Ep10</t>
  </si>
  <si>
    <t>cas032500403</t>
  </si>
  <si>
    <t>cas012500409</t>
  </si>
  <si>
    <t>我在他乡挺好的 9</t>
  </si>
  <si>
    <t>Remembrance Of Things Past Ep09</t>
  </si>
  <si>
    <t>cas032500404</t>
  </si>
  <si>
    <t>cas012500410</t>
  </si>
  <si>
    <t>我在他乡挺好的 8</t>
  </si>
  <si>
    <t>Remembrance Of Things Past Ep08</t>
  </si>
  <si>
    <t>cas032500405</t>
  </si>
  <si>
    <t>cas012500411</t>
  </si>
  <si>
    <t>我在他乡挺好的 7</t>
  </si>
  <si>
    <t>Remembrance Of Things Past Ep07</t>
  </si>
  <si>
    <t>cas032500406</t>
  </si>
  <si>
    <t>我在他乡挺好的 6</t>
  </si>
  <si>
    <t>Remembrance Of Things Past Ep06</t>
  </si>
  <si>
    <t>cas032500407</t>
  </si>
  <si>
    <t>我在他乡挺好的 5</t>
  </si>
  <si>
    <t>Remembrance Of Things Past Ep05</t>
  </si>
  <si>
    <t>cas032500408</t>
  </si>
  <si>
    <t>我在他乡挺好的 4</t>
  </si>
  <si>
    <t>Remembrance Of Things Past Ep04</t>
  </si>
  <si>
    <t>cas032500409</t>
  </si>
  <si>
    <t>我在他乡挺好的 3</t>
  </si>
  <si>
    <t>Remembrance Of Things Past Ep03</t>
  </si>
  <si>
    <t>cas032500410</t>
  </si>
  <si>
    <t>我在他乡挺好的 2</t>
  </si>
  <si>
    <t>Remembrance Of Things Past Ep02</t>
  </si>
  <si>
    <t>cas032500411</t>
  </si>
  <si>
    <t>我在他乡挺好的 1</t>
  </si>
  <si>
    <t>Remembrance Of Things Past Ep01</t>
  </si>
  <si>
    <t>cas032500412</t>
  </si>
  <si>
    <t>股掌之间 第三季 6</t>
  </si>
  <si>
    <t>Total Control S03E06</t>
  </si>
  <si>
    <t>cas032500413</t>
  </si>
  <si>
    <t>股掌之间 第三季 5</t>
  </si>
  <si>
    <t>Total Control S03E05</t>
  </si>
  <si>
    <t>cas032500414</t>
  </si>
  <si>
    <t>股掌之间 第三季 4</t>
  </si>
  <si>
    <t>Total Control S03E04</t>
  </si>
  <si>
    <t>cas032500415</t>
  </si>
  <si>
    <t>股掌之间 第三季 3</t>
  </si>
  <si>
    <t>Total Control S03E03</t>
  </si>
  <si>
    <t>cas032500416</t>
  </si>
  <si>
    <t>股掌之间 第三季 2</t>
  </si>
  <si>
    <t>Total Control S03E02</t>
  </si>
  <si>
    <t>cas032500417</t>
  </si>
  <si>
    <t>股掌之间 第三季 1</t>
  </si>
  <si>
    <t>Total Control S03E01</t>
  </si>
  <si>
    <t>cas032500418</t>
  </si>
  <si>
    <t>探长埃利斯 3</t>
  </si>
  <si>
    <t>Inspector Ellis Ep03</t>
  </si>
  <si>
    <t>cas032500419</t>
  </si>
  <si>
    <t>探长埃利斯 2</t>
  </si>
  <si>
    <t>Inspector Ellis Ep02</t>
  </si>
  <si>
    <t>cas032500420</t>
  </si>
  <si>
    <t>探长埃利斯 1</t>
  </si>
  <si>
    <t>Inspector Ellis Ep01</t>
  </si>
  <si>
    <t>cas032500421</t>
  </si>
  <si>
    <t>TRAVEL</t>
  </si>
  <si>
    <t>空中博览3月国际去程</t>
  </si>
  <si>
    <t>Air Panorama International Outbound</t>
  </si>
  <si>
    <t>cas032500501</t>
  </si>
  <si>
    <t>cas012500501</t>
  </si>
  <si>
    <r>
      <rPr>
        <sz val="12"/>
        <rFont val="宋体"/>
        <charset val="134"/>
      </rPr>
      <t>空中博览</t>
    </r>
    <r>
      <rPr>
        <sz val="12"/>
        <rFont val="Arial"/>
        <charset val="134"/>
      </rPr>
      <t>3</t>
    </r>
    <r>
      <rPr>
        <sz val="12"/>
        <rFont val="宋体"/>
        <charset val="134"/>
      </rPr>
      <t>月国际回程</t>
    </r>
  </si>
  <si>
    <t>Air Panorama International Inbound</t>
  </si>
  <si>
    <t>cas032500502</t>
  </si>
  <si>
    <t>cas012500502</t>
  </si>
  <si>
    <t>AirPanoramaInternationalInbound_CA_i4K_0325_43_EngZhoEngSUBZhoSUB_Ed_M1_REV.mpg</t>
  </si>
  <si>
    <t>AirPanoramaInternationalInbound_CA_i5K_0325_169_EngZhoEngSUBZhoSUB_Ed_M4_REV.mpg</t>
  </si>
  <si>
    <t>空中博览3月国内去程</t>
  </si>
  <si>
    <t>Air Panorama Domestic Outbound</t>
  </si>
  <si>
    <t>cas032500503</t>
  </si>
  <si>
    <t>cas012500503</t>
  </si>
  <si>
    <t>空中博览3月国内回程</t>
  </si>
  <si>
    <t>Air Panorama Domestic Inbound</t>
  </si>
  <si>
    <t>cas032500504</t>
  </si>
  <si>
    <t>cas012500504</t>
  </si>
  <si>
    <t>衢州有礼，通达未来</t>
  </si>
  <si>
    <t>Quzhou, a City of Courtesy, Connecting to the Future</t>
  </si>
  <si>
    <t>cas032500520</t>
  </si>
  <si>
    <t>你所不知道的水韵江苏 第二季 2</t>
  </si>
  <si>
    <t>Charming Jiangsu S02E02</t>
  </si>
  <si>
    <t>cas032500505</t>
  </si>
  <si>
    <t>你所不知道的水韵江苏 第二季 1</t>
  </si>
  <si>
    <t>Charming Jiangsu S02E01</t>
  </si>
  <si>
    <t>cas032500506</t>
  </si>
  <si>
    <r>
      <rPr>
        <sz val="12"/>
        <rFont val="宋体"/>
        <charset val="134"/>
      </rPr>
      <t>不止旅行</t>
    </r>
    <r>
      <rPr>
        <sz val="12"/>
        <rFont val="Arial"/>
        <charset val="134"/>
      </rPr>
      <t xml:space="preserve"> </t>
    </r>
    <r>
      <rPr>
        <sz val="12"/>
        <rFont val="宋体"/>
        <charset val="134"/>
      </rPr>
      <t>随波而至穿越瑞法</t>
    </r>
  </si>
  <si>
    <t>Beyond Travel: Traveling with the Waves through Switzerland and France</t>
  </si>
  <si>
    <t>cas032500507</t>
  </si>
  <si>
    <t>此生要去的100个地方 10 荷花</t>
  </si>
  <si>
    <t>100 Places to Visit in This Lifetime 10 Lotus Flower</t>
  </si>
  <si>
    <t>cas032500508</t>
  </si>
  <si>
    <t>此生要去的100个地方 9 黄桷兰</t>
  </si>
  <si>
    <t>100 Places to Visit in This Lifetime 9 Michelia Alba</t>
  </si>
  <si>
    <t>cas032500509</t>
  </si>
  <si>
    <t>城市风华录 苏州</t>
  </si>
  <si>
    <t>A Record of the City Suzhou</t>
  </si>
  <si>
    <t>cas032500510</t>
  </si>
  <si>
    <t>漓江 2 四季</t>
  </si>
  <si>
    <t>The Lijiang River 2 The Four Seasons</t>
  </si>
  <si>
    <t>cas032500511</t>
  </si>
  <si>
    <t>江南之黎里繁花 3 原乡图</t>
  </si>
  <si>
    <t>Lili Ancient Town 3 The Appearance of Hometown</t>
  </si>
  <si>
    <t>cas032500512</t>
  </si>
  <si>
    <t>cas012500506</t>
  </si>
  <si>
    <t>跟着唐诗去旅行 第二季 3 出塞曲</t>
  </si>
  <si>
    <t>Travel with Tang Poetry S02E03 Frontier Fortress Poems</t>
  </si>
  <si>
    <t>cas032500513</t>
  </si>
  <si>
    <t>cas012500507</t>
  </si>
  <si>
    <t>人类的记忆—中国的世界遗产 76 布达拉宫建筑群（下）</t>
  </si>
  <si>
    <t>Human Memory - China's World Heritage Sites 76 Potala Palace Architectural Complex (Part 2)</t>
  </si>
  <si>
    <t>cas032500514</t>
  </si>
  <si>
    <t>人类的记忆—中国的世界遗产 75 布达拉宫建筑群（上）</t>
  </si>
  <si>
    <t>Human Memory - China's World Heritage Sites 75 Potala Palace Architectural Complex (Part 1)</t>
  </si>
  <si>
    <t>cas032500515</t>
  </si>
  <si>
    <t>cas012500509</t>
  </si>
  <si>
    <t>科特迪瓦，非洲的大熔炉 2</t>
  </si>
  <si>
    <t>Côte d'Ivoire, the African Melting Pot Ep02</t>
  </si>
  <si>
    <t>cas032500516</t>
  </si>
  <si>
    <t>科特迪瓦，非洲的大熔炉 1</t>
  </si>
  <si>
    <t>Côte d'Ivoire, the African Melting Pot Ep01</t>
  </si>
  <si>
    <t>cas032500517</t>
  </si>
  <si>
    <t>cas012500511</t>
  </si>
  <si>
    <t>鸟瞰丝路 3</t>
  </si>
  <si>
    <t>Silk Road From Above Ep03</t>
  </si>
  <si>
    <t>cas032500518</t>
  </si>
  <si>
    <t>cas012500512</t>
  </si>
  <si>
    <t>鸟瞰丝路 2</t>
  </si>
  <si>
    <t>Silk Road From Above Ep02</t>
  </si>
  <si>
    <t>cas032500519</t>
  </si>
  <si>
    <t>KIDS</t>
  </si>
  <si>
    <t>加菲猫的幸福生活 12</t>
  </si>
  <si>
    <t>The Garfield Show Ep12</t>
  </si>
  <si>
    <t>cas032500601</t>
  </si>
  <si>
    <t>cas012500601</t>
  </si>
  <si>
    <t>加菲猫的幸福生活 11</t>
  </si>
  <si>
    <t>The Garfield Show Ep11</t>
  </si>
  <si>
    <t>cas032500602</t>
  </si>
  <si>
    <t>cas012500602</t>
  </si>
  <si>
    <t>如果历史是一群喵 第一季 8 伊尹辅政</t>
  </si>
  <si>
    <t>If History Is a Group of Cats S01E08 Yi Yin Assisting in Governance</t>
  </si>
  <si>
    <t>cas032500603</t>
  </si>
  <si>
    <t>cas012500603</t>
  </si>
  <si>
    <t>如果历史是一群喵 第一季 7 商汤灭夏</t>
  </si>
  <si>
    <t>If History Is a Group of Cats S01E07 Shang Tang's Destruction of the Xia Dynasty</t>
  </si>
  <si>
    <t>cas032500604</t>
  </si>
  <si>
    <t>cas012500604</t>
  </si>
  <si>
    <t>京剧猫之信念的冒险 17</t>
  </si>
  <si>
    <t>Jing-Ju Cats S02E17</t>
  </si>
  <si>
    <t>cas032500605</t>
  </si>
  <si>
    <t>cas012500605</t>
  </si>
  <si>
    <t>熊出没 怪兽计划2（9-10）</t>
  </si>
  <si>
    <t>Boonie Bears Project Monster 2 (9-10)</t>
  </si>
  <si>
    <t>cas032500606</t>
  </si>
  <si>
    <t>cas012500611</t>
  </si>
  <si>
    <t>山海传奇 9</t>
  </si>
  <si>
    <t>Legends of Mountains and Seas 9</t>
  </si>
  <si>
    <t>cas032500607</t>
  </si>
  <si>
    <t>cas012500606</t>
  </si>
  <si>
    <t>天真与功夫袜 47-48</t>
  </si>
  <si>
    <t>Tianzhen and Kung Fu Socks 47-48</t>
  </si>
  <si>
    <t>cas032500608</t>
  </si>
  <si>
    <t>cas012500607</t>
  </si>
  <si>
    <t>小鸡彩虹 第七季 23-24</t>
  </si>
  <si>
    <t>Chicky Rainbow Season 7 23-24</t>
  </si>
  <si>
    <t>cas032500609</t>
  </si>
  <si>
    <t>cas012500608</t>
  </si>
  <si>
    <t>LIFESTYLE</t>
  </si>
  <si>
    <t>快乐老友记 第二季 第10期</t>
  </si>
  <si>
    <t>Happy Friends S02E10</t>
  </si>
  <si>
    <t>cas032500701</t>
  </si>
  <si>
    <t>cas012500701</t>
  </si>
  <si>
    <t>快乐老友记 第二季 第9期</t>
  </si>
  <si>
    <t>Happy Friends S02E09</t>
  </si>
  <si>
    <t>cas032500702</t>
  </si>
  <si>
    <t>cas012500702</t>
  </si>
  <si>
    <t>快乐老友记 第二季 第7期</t>
  </si>
  <si>
    <t>Happy Friends S02E07</t>
  </si>
  <si>
    <t>cas032500703</t>
  </si>
  <si>
    <t>cas012500703</t>
  </si>
  <si>
    <t>快乐老友记 第二季 第6期</t>
  </si>
  <si>
    <t>Happy Friends S02E06</t>
  </si>
  <si>
    <t>cas032500704</t>
  </si>
  <si>
    <t>cas012500704</t>
  </si>
  <si>
    <t>味道 美味荆州（下）</t>
  </si>
  <si>
    <t>Chinese Flavour: Delicious Jingzhou (Part 2)</t>
  </si>
  <si>
    <t>cas032500705</t>
  </si>
  <si>
    <t>cas012500705</t>
  </si>
  <si>
    <t>味道 美味荆州（上）</t>
  </si>
  <si>
    <t>Chinese Flavour: Delicious Jingzhou (Part 1)</t>
  </si>
  <si>
    <t>cas032500706</t>
  </si>
  <si>
    <t>cas012500706</t>
  </si>
  <si>
    <t>农耕探文明 2 江西广昌 传统莲作文化系统</t>
  </si>
  <si>
    <t>Exploring Civilization by Farming 2 Guangchang, Jiangxi Traditional Lotus Culture System</t>
  </si>
  <si>
    <t>cas032500707</t>
  </si>
  <si>
    <t>cas012500707</t>
  </si>
  <si>
    <t>巅峰食刻—中法厨王竞技 田园牧歌</t>
  </si>
  <si>
    <t>Peakedness Food Moment - Chinese and French Chef Competition - Idyllic Pastoral</t>
  </si>
  <si>
    <t>cas032500708</t>
  </si>
  <si>
    <t>cas012500708</t>
  </si>
  <si>
    <t>三餐四季 20240721</t>
  </si>
  <si>
    <t>Three Meals and Four Seasons 20240721</t>
  </si>
  <si>
    <t>cas032500709</t>
  </si>
  <si>
    <t>cas012500709</t>
  </si>
  <si>
    <t>山水间的家 第三季 20240929</t>
  </si>
  <si>
    <t>A Home among Mountains and Rivers Season 3 20240929</t>
  </si>
  <si>
    <t>cas032500710</t>
  </si>
  <si>
    <t>cas012500710</t>
  </si>
  <si>
    <t>美食传奇 2</t>
  </si>
  <si>
    <t>Legends of the Fork Ep02</t>
  </si>
  <si>
    <t>cas032500711</t>
  </si>
  <si>
    <t>cas012500711</t>
  </si>
  <si>
    <t>美食传奇 1</t>
  </si>
  <si>
    <t>Legends of the Fork Ep01</t>
  </si>
  <si>
    <t>cas032500712</t>
  </si>
  <si>
    <t>居家断舍离 第三季 2</t>
  </si>
  <si>
    <t>Sort Your Life Out S03E02</t>
  </si>
  <si>
    <t>cas032500713</t>
  </si>
  <si>
    <t>居家断舍离 第三季 1</t>
  </si>
  <si>
    <t>Sort Your Life Out S03E01</t>
  </si>
  <si>
    <t>cas032500714</t>
  </si>
  <si>
    <t>cas012500714</t>
  </si>
  <si>
    <t>宝藏酒店度假地 2</t>
  </si>
  <si>
    <t>World's Most Secret Hotels Ep02</t>
  </si>
  <si>
    <t>cas032500715</t>
  </si>
  <si>
    <t>cas012500715</t>
  </si>
  <si>
    <t>地中海的美食路 4</t>
  </si>
  <si>
    <t>Jamie Cooks the Mediterranean Ep04</t>
  </si>
  <si>
    <t>cas032500716</t>
  </si>
  <si>
    <t>地中海的美食路 3</t>
  </si>
  <si>
    <t>Jamie Cooks the Mediterranean Ep03</t>
  </si>
  <si>
    <t>cas032500717</t>
  </si>
  <si>
    <t>cas012500716</t>
  </si>
  <si>
    <t>SPORTS</t>
  </si>
  <si>
    <t>乒乓球 国际乒联单打世界杯半决赛：王楚钦VS马龙</t>
  </si>
  <si>
    <t>Ping Pong ITTF Singles World Cup Semi-Final: Wang Chuqin VS Ma Long</t>
  </si>
  <si>
    <t>cas032500801</t>
  </si>
  <si>
    <t>cas012500801</t>
  </si>
  <si>
    <t>羽毛球 世界巡回赛总决赛女单决赛：韩悦VS王祉怡</t>
  </si>
  <si>
    <t>Badminton World Tour Finals Women's Singles Final: Han Yue VS Wang Zhiyi</t>
  </si>
  <si>
    <t>cas032500802</t>
  </si>
  <si>
    <t>cas012500802</t>
  </si>
  <si>
    <t>天下足球 亚马尔：青春无极限</t>
  </si>
  <si>
    <t>Total Soccer: Lamine Yamal - Youth Has No Limits</t>
  </si>
  <si>
    <t>cas032500803</t>
  </si>
  <si>
    <t>cas012500803</t>
  </si>
  <si>
    <t>天下足球 贝林厄姆：撞开“新秀墙”</t>
  </si>
  <si>
    <t>Total Soccer: Bellingham - Breaking Through the "Rookie Wall"</t>
  </si>
  <si>
    <t>cas032500804</t>
  </si>
  <si>
    <t>篮球公园 一城一队一帅——刘维伟</t>
  </si>
  <si>
    <t>Basketball Park: A City, A Team, A Coach - Liu Weiwei</t>
  </si>
  <si>
    <t>cas032500805</t>
  </si>
  <si>
    <t>cas012500805</t>
  </si>
  <si>
    <t>篮球公园 重温“麦迪时刻”</t>
  </si>
  <si>
    <t>Basketball Park: Relive the "Maddie Moment"</t>
  </si>
  <si>
    <t>cas032500806</t>
  </si>
  <si>
    <t>拜仁慕尼黑：传奇崛起 1</t>
  </si>
  <si>
    <t>Bayern Munich: Rise of a Legend Ep01</t>
  </si>
  <si>
    <t>cas032500807</t>
  </si>
  <si>
    <t>cas012500807</t>
  </si>
  <si>
    <t>BayernMunichRiseofaLegendEp01_CA_i5K_0325_169_DeuDeuEngSUBZhoSUB_Ed_M4_REV.mpg</t>
  </si>
  <si>
    <t>国际篮联赛事集锦 4</t>
  </si>
  <si>
    <t>FIBA World Basketball Ep04</t>
  </si>
  <si>
    <t>cas032500808</t>
  </si>
  <si>
    <t>cas012500808</t>
  </si>
  <si>
    <t>燃情竞技高尔夫 4</t>
  </si>
  <si>
    <t>How Good Is Golf Ep04</t>
  </si>
  <si>
    <t>cas032500809</t>
  </si>
  <si>
    <t>cas012500809</t>
  </si>
  <si>
    <t>体坛最极致 6</t>
  </si>
  <si>
    <t>The Greatest of All Time Ep06</t>
  </si>
  <si>
    <t>cas032500810</t>
  </si>
  <si>
    <t>cas012500810</t>
  </si>
  <si>
    <t>完美冲浪地 第三季 5</t>
  </si>
  <si>
    <t>Brilliant Corners S03E05</t>
  </si>
  <si>
    <t>cas032500811</t>
  </si>
  <si>
    <t>cas012500814</t>
  </si>
  <si>
    <t>COMEDY</t>
  </si>
  <si>
    <t>极限挑战 第十季 2</t>
  </si>
  <si>
    <t>Go Fighting S10E02</t>
  </si>
  <si>
    <t>cas032500901</t>
  </si>
  <si>
    <t>cas012500505</t>
  </si>
  <si>
    <t>极限挑战 第十季 1</t>
  </si>
  <si>
    <t>Go Fighting S10E01</t>
  </si>
  <si>
    <t>cas032500902</t>
  </si>
  <si>
    <t>cas012500901</t>
  </si>
  <si>
    <t>一年一度喜剧大赛 第一季 6</t>
  </si>
  <si>
    <t>Super Sketch Show S01E06</t>
  </si>
  <si>
    <t>cas032500903</t>
  </si>
  <si>
    <t>cas012500902</t>
  </si>
  <si>
    <t>一年一度喜剧大赛 第一季 5</t>
  </si>
  <si>
    <t>Super Sketch Show S01E05</t>
  </si>
  <si>
    <t>cas032500904</t>
  </si>
  <si>
    <t>cas012500903</t>
  </si>
  <si>
    <t>一年一度喜剧大赛 第一季 4</t>
  </si>
  <si>
    <t>Super Sketch Show S01E04</t>
  </si>
  <si>
    <t>cas032500905</t>
  </si>
  <si>
    <t>星光大道 2024年度总决赛第一场分赛</t>
  </si>
  <si>
    <t>Avenue of Stars: Game 1 of the 2024 Finals</t>
  </si>
  <si>
    <t>cas032500906</t>
  </si>
  <si>
    <t>开门大吉 20241125</t>
  </si>
  <si>
    <t>Open the Door and Be Happy 20241125</t>
  </si>
  <si>
    <t>cas032500907</t>
  </si>
  <si>
    <t>cas012500904</t>
  </si>
  <si>
    <t>开门大吉 20241118</t>
  </si>
  <si>
    <t>Open the Door and Be Happy 20241118</t>
  </si>
  <si>
    <t>cas032500908</t>
  </si>
  <si>
    <t>cas012500905</t>
  </si>
  <si>
    <t>ENTERTAINMENT</t>
  </si>
  <si>
    <t>时光音乐会·老友记 8</t>
  </si>
  <si>
    <t>Time Concert·Old Friends Ep08</t>
  </si>
  <si>
    <t>cas032501001</t>
  </si>
  <si>
    <t>cas012501001</t>
  </si>
  <si>
    <t>时光音乐会·老友记 7</t>
  </si>
  <si>
    <t>Time Concert·Old Friends Ep07</t>
  </si>
  <si>
    <t>cas032501002</t>
  </si>
  <si>
    <t>cas012501002</t>
  </si>
  <si>
    <t>时光音乐会·老友记 6</t>
  </si>
  <si>
    <t>Time Concert·Old Friends Ep06</t>
  </si>
  <si>
    <t>cas032501003</t>
  </si>
  <si>
    <t>cas012501003</t>
  </si>
  <si>
    <t>时光音乐会·老友记 5</t>
  </si>
  <si>
    <t>Time Concert·Old Friends Ep05</t>
  </si>
  <si>
    <t>cas032501004</t>
  </si>
  <si>
    <t>cas012501006</t>
  </si>
  <si>
    <t>嗨！AI-音乐季 20240802</t>
  </si>
  <si>
    <t>Hi! AI - Music Season 20240802</t>
  </si>
  <si>
    <t>cas032501005</t>
  </si>
  <si>
    <t>cas012501007</t>
  </si>
  <si>
    <t>精彩音乐汇 我的爱对你说 20241215</t>
  </si>
  <si>
    <t>Wonderful Music Collection: My Love Says to You 20241215</t>
  </si>
  <si>
    <t>cas032501006</t>
  </si>
  <si>
    <t>cas012501004</t>
  </si>
  <si>
    <t>CHINA</t>
  </si>
  <si>
    <t>何以中国 7</t>
  </si>
  <si>
    <t>China Before China Ep07</t>
  </si>
  <si>
    <t>cas032501101</t>
  </si>
  <si>
    <t>cas012501101</t>
  </si>
  <si>
    <t>中国村落 6</t>
  </si>
  <si>
    <t>The Villages in China Ep06</t>
  </si>
  <si>
    <t>cas032501102</t>
  </si>
  <si>
    <t>cas012501102</t>
  </si>
  <si>
    <t>大国脊梁 2 使命</t>
  </si>
  <si>
    <t>National Backbone 2 Mission</t>
  </si>
  <si>
    <t>cas032501103</t>
  </si>
  <si>
    <t>cas012501103</t>
  </si>
  <si>
    <t>大国脊梁 1 初心</t>
  </si>
  <si>
    <t>National Backbone 1 Original Intention</t>
  </si>
  <si>
    <t>cas032501104</t>
  </si>
  <si>
    <t>cas012501104</t>
  </si>
  <si>
    <t>诗画中国 江河万古流 20240706</t>
  </si>
  <si>
    <t>Poetry and Painting in China: Rivers Flow Through the Ages 20240706</t>
  </si>
  <si>
    <t>cas032501105</t>
  </si>
  <si>
    <t>cas012501105</t>
  </si>
  <si>
    <t>色彩中国 5</t>
  </si>
  <si>
    <t>The Colours of China Ep05</t>
  </si>
  <si>
    <t>cas032501106</t>
  </si>
  <si>
    <t>cas012501106</t>
  </si>
  <si>
    <t>色彩中国 4</t>
  </si>
  <si>
    <t>The Colours of China Ep04</t>
  </si>
  <si>
    <t>cas032501107</t>
  </si>
  <si>
    <t>cas012501107</t>
  </si>
  <si>
    <t>Entertainment</t>
  </si>
  <si>
    <t>梦境感应</t>
  </si>
  <si>
    <t>Dream Telepathy</t>
  </si>
  <si>
    <t>cas032501201</t>
  </si>
  <si>
    <t>Short Video</t>
  </si>
  <si>
    <t>野乌翅</t>
  </si>
  <si>
    <t>Cicada</t>
  </si>
  <si>
    <t>cas032501202</t>
  </si>
  <si>
    <t>黑夜的献诗</t>
  </si>
  <si>
    <t>Dedication to the Night</t>
  </si>
  <si>
    <t>cas032501203</t>
  </si>
  <si>
    <t>比黄金更珍贵</t>
  </si>
  <si>
    <t>More Precious Than Gold</t>
  </si>
  <si>
    <t>cas032501204</t>
  </si>
  <si>
    <t>燃</t>
  </si>
  <si>
    <t>Fire</t>
  </si>
  <si>
    <t>cas032501205</t>
  </si>
  <si>
    <t>甘草</t>
  </si>
  <si>
    <t>Licorice</t>
  </si>
  <si>
    <t>cas032501206</t>
  </si>
  <si>
    <t>不完美女生（舞蹈版）</t>
  </si>
  <si>
    <t>Get Off My Back（Dance Version）</t>
  </si>
  <si>
    <t>cas032501207</t>
  </si>
  <si>
    <t>桃子的咏叹</t>
  </si>
  <si>
    <t>Aria of Peach</t>
  </si>
  <si>
    <t>cas032501208</t>
  </si>
  <si>
    <t>蜂蜜（融化版）</t>
  </si>
  <si>
    <t>Honey (Melt version)</t>
  </si>
  <si>
    <t>cas032501209</t>
  </si>
  <si>
    <t>地球最后的夜晚</t>
  </si>
  <si>
    <t>Long Day's Journey into Night</t>
  </si>
  <si>
    <t>cas032501210</t>
  </si>
  <si>
    <t>角圆叉方（PlayStation中国十周年纪念曲）</t>
  </si>
  <si>
    <t>Jiao Yuan Cha Fang (Song for the 10th Anniversary of PlayStation China)</t>
  </si>
  <si>
    <t>cas032501211</t>
  </si>
  <si>
    <t>不要回答</t>
  </si>
  <si>
    <t>Do Not Answer</t>
  </si>
  <si>
    <t>cas032501212</t>
  </si>
  <si>
    <t>断桥残雪</t>
  </si>
  <si>
    <t>Lingering Snow on the Broken Bridge</t>
  </si>
  <si>
    <t>cas032501213</t>
  </si>
  <si>
    <t>冬天的树</t>
  </si>
  <si>
    <t>Winter Trees</t>
  </si>
  <si>
    <t>cas032501214</t>
  </si>
  <si>
    <t>带我回家</t>
  </si>
  <si>
    <t>Take Me Home</t>
  </si>
  <si>
    <t>cas032501215</t>
  </si>
  <si>
    <t>C大调 / 最初C</t>
  </si>
  <si>
    <t>C Major / Initial</t>
  </si>
  <si>
    <t>cas032501216</t>
  </si>
  <si>
    <t>Humanity</t>
  </si>
  <si>
    <t>“健康的胖子”真的存在吗？</t>
  </si>
  <si>
    <t>Do "healthy fat people" really exist?</t>
  </si>
  <si>
    <t>cas032501301</t>
  </si>
  <si>
    <t>一把火，在中医手里可以做什么？</t>
  </si>
  <si>
    <t>What can fire do for a Chinese medicine practitioner?</t>
  </si>
  <si>
    <t>cas032501302</t>
  </si>
  <si>
    <t>减轻体重：要温和不要极速，要稳定不要被动</t>
  </si>
  <si>
    <t>Weight loss: moderate rather than rapid, stable rather than passive</t>
  </si>
  <si>
    <t>cas032501303</t>
  </si>
  <si>
    <t>补充维生素D，早上最好</t>
  </si>
  <si>
    <t>Vitamin D is best taken in the morning</t>
  </si>
  <si>
    <t>cas032501304</t>
  </si>
  <si>
    <t>我的纸飞机飞进清华园</t>
  </si>
  <si>
    <t>My paper airplane flew into Tsinghua University</t>
  </si>
  <si>
    <t>cas032501305</t>
  </si>
  <si>
    <t>当和室友出现矛盾时，哪些方法能有效解决？</t>
  </si>
  <si>
    <t>What are the most effective ways to resolve conflicts with roommates?</t>
  </si>
  <si>
    <t>cas032501306</t>
  </si>
  <si>
    <t>一分钟回顾：《人民名医》进清华特别专场</t>
  </si>
  <si>
    <t>One-minute review: "People's Famous Doctors" entered the special session of Tsinghua University</t>
  </si>
  <si>
    <t>cas032501307</t>
  </si>
  <si>
    <t>肥胖竟能引发多种疾病？做自己的健康第一责任人</t>
  </si>
  <si>
    <t>Can obesity lead to various diseases? Be the first responsible person for your own health</t>
  </si>
  <si>
    <t>cas032501308</t>
  </si>
  <si>
    <t>减重=心态大挑战</t>
  </si>
  <si>
    <t>Weight loss = a big challenge for mentality</t>
  </si>
  <si>
    <t>cas032501309</t>
  </si>
  <si>
    <t>跟着奥运冠军一起紧致腰腹</t>
  </si>
  <si>
    <t>Firm your waist and abdomen with the Olympic champion</t>
  </si>
  <si>
    <t>cas032501310</t>
  </si>
  <si>
    <t>根本逛不过来！重庆南川夜市里感受中医药魅力</t>
  </si>
  <si>
    <t>There's just too much to see! Experience the charm of traditional Chinese medicine at the night market in Nanchuan, Chongqing.</t>
  </si>
  <si>
    <t>cas032501311</t>
  </si>
  <si>
    <t>精彩导航</t>
  </si>
  <si>
    <t>Wonderful Navigation</t>
  </si>
  <si>
    <t>cas032501401</t>
  </si>
  <si>
    <t>cas012501501</t>
  </si>
  <si>
    <t>eFX</t>
  </si>
  <si>
    <t>i4k</t>
  </si>
  <si>
    <t>Ad</t>
  </si>
  <si>
    <t>CA0325 Advertisement</t>
  </si>
  <si>
    <t>cac032500101m2.mpg</t>
  </si>
  <si>
    <t>Env</t>
  </si>
  <si>
    <t>3kiFilename</t>
  </si>
  <si>
    <t>Series Name</t>
  </si>
  <si>
    <t>eX3/2</t>
  </si>
  <si>
    <t>eX3 NG</t>
  </si>
  <si>
    <t>eX3/eFx/i5k</t>
  </si>
  <si>
    <t>3ki/i4k</t>
  </si>
  <si>
    <t>Overhead</t>
  </si>
  <si>
    <t>01-5 Air Int'l_out 1</t>
  </si>
  <si>
    <t>空中博览国际去程 1-01</t>
  </si>
  <si>
    <t>150 Air Panorama A01-1</t>
  </si>
  <si>
    <t>cah032500201</t>
  </si>
  <si>
    <t>空中博览国际去程 1-02</t>
  </si>
  <si>
    <t>150 Air Panorama A01-2</t>
  </si>
  <si>
    <t>cah032500202</t>
  </si>
  <si>
    <t>空中博览国际去程 1-03</t>
  </si>
  <si>
    <t>150 Air Panorama A01-3</t>
  </si>
  <si>
    <t>cah032500203</t>
  </si>
  <si>
    <t>空中博览国际去程 1-04</t>
  </si>
  <si>
    <t>150 Air Panorama A01-4</t>
  </si>
  <si>
    <t>cah032500204</t>
  </si>
  <si>
    <t>01-6 Air Int'l_out 2</t>
  </si>
  <si>
    <t>空中博览国际去程 1-05</t>
  </si>
  <si>
    <t>150 Air Panorama A01-5</t>
  </si>
  <si>
    <t>cah032500205</t>
  </si>
  <si>
    <t>空中博览国际去程 1-06</t>
  </si>
  <si>
    <t>150 Air Panorama A01-6</t>
  </si>
  <si>
    <t>cah032500206</t>
  </si>
  <si>
    <t>空中博览国际去程 1-07</t>
  </si>
  <si>
    <t>150 Air Panorama A01-7</t>
  </si>
  <si>
    <t>cah032500207</t>
  </si>
  <si>
    <t>空中博览国际去程 1-08</t>
  </si>
  <si>
    <t>150 Air Panorama A01-8</t>
  </si>
  <si>
    <t>cah032500208</t>
  </si>
  <si>
    <t>01-7 Air Int'l_In 1</t>
  </si>
  <si>
    <t>空中博览国际回程 1-01</t>
  </si>
  <si>
    <t>150 Air Panorama B01-1</t>
  </si>
  <si>
    <t>cah032500209</t>
  </si>
  <si>
    <t>空中博览国际回程 1-02</t>
  </si>
  <si>
    <t>150 Air Panorama B01-2</t>
  </si>
  <si>
    <t>cah032500210</t>
  </si>
  <si>
    <t>空中博览国际回程 1-03</t>
  </si>
  <si>
    <t>150 Air Panorama B01-3</t>
  </si>
  <si>
    <t>cah032500211</t>
  </si>
  <si>
    <t>空中博览国际回程 1-04</t>
  </si>
  <si>
    <t>150 Air Panorama B01-4</t>
  </si>
  <si>
    <t>cah032500212</t>
  </si>
  <si>
    <t>01-8 Air Int'l_In 2</t>
  </si>
  <si>
    <t>空中博览国际回程 1-05</t>
  </si>
  <si>
    <t>150 Air Panorama B01-5</t>
  </si>
  <si>
    <t>cah032500213</t>
  </si>
  <si>
    <t>空中博览国际回程 1-06</t>
  </si>
  <si>
    <t>150 Air Panorama B01-6</t>
  </si>
  <si>
    <t>cah032500214</t>
  </si>
  <si>
    <t>空中博览国际回程 1-07</t>
  </si>
  <si>
    <t>150 Air Panorama B01-7</t>
  </si>
  <si>
    <t>cah032500215</t>
  </si>
  <si>
    <t>空中博览国际回程 1-08</t>
  </si>
  <si>
    <t>150 Air Panorama B01-8</t>
  </si>
  <si>
    <t>cah032500216</t>
  </si>
  <si>
    <t>01-1Air Domestic_out 1</t>
  </si>
  <si>
    <t>空中博览国内去程 1-01</t>
  </si>
  <si>
    <t>150 Air Panorama C01-1</t>
  </si>
  <si>
    <t>cah032500217</t>
  </si>
  <si>
    <t>空中博览国内去程 1-02</t>
  </si>
  <si>
    <t>150 Air Panorama C01-2</t>
  </si>
  <si>
    <t>cah032500218</t>
  </si>
  <si>
    <t>空中博览国内去程 1-03</t>
  </si>
  <si>
    <t>150 Air Panorama C01-3</t>
  </si>
  <si>
    <t>cah032500219</t>
  </si>
  <si>
    <t>空中博览国内去程 1-04</t>
  </si>
  <si>
    <t>150 Air Panorama C01-4</t>
  </si>
  <si>
    <t>cah032500220</t>
  </si>
  <si>
    <t>01-2Air Domestic_out 2</t>
  </si>
  <si>
    <t>空中博览国内去程 1-05</t>
  </si>
  <si>
    <t>150 Air Panorama C01-5</t>
  </si>
  <si>
    <t>cah032500221</t>
  </si>
  <si>
    <t>空中博览国内去程 1-06</t>
  </si>
  <si>
    <t>150 Air Panorama C01-6</t>
  </si>
  <si>
    <t>cah032500222</t>
  </si>
  <si>
    <t>空中博览国内去程 1-07</t>
  </si>
  <si>
    <t>150 Air Panorama C01-7</t>
  </si>
  <si>
    <t>cah032500223</t>
  </si>
  <si>
    <t>空中博览国内去程 1-08</t>
  </si>
  <si>
    <t>150 Air Panorama C01-8</t>
  </si>
  <si>
    <t>cah032500224</t>
  </si>
  <si>
    <t>01-3Air Domestic_In 1</t>
  </si>
  <si>
    <t>空中博览国内回程 1-01</t>
  </si>
  <si>
    <t>150 Air Panorama D01-1</t>
  </si>
  <si>
    <t>cah032500225</t>
  </si>
  <si>
    <t>空中博览国内回程 1-02</t>
  </si>
  <si>
    <t>150 Air Panorama D01-2</t>
  </si>
  <si>
    <t>cah032500226</t>
  </si>
  <si>
    <t>空中博览国内回程 1-03</t>
  </si>
  <si>
    <t>150 Air Panorama D01-3</t>
  </si>
  <si>
    <t>cah032500227</t>
  </si>
  <si>
    <t>空中博览国内回程 1-04</t>
  </si>
  <si>
    <t>150 Air Panorama D01-4</t>
  </si>
  <si>
    <t>cah032500228</t>
  </si>
  <si>
    <t>01-4Air Domestic_In 2</t>
  </si>
  <si>
    <t>空中博览国内回程 1-05</t>
  </si>
  <si>
    <t>150 Air Panorama D01-5</t>
  </si>
  <si>
    <t>cah032500229</t>
  </si>
  <si>
    <t>空中博览国内回程 1-06</t>
  </si>
  <si>
    <t>150 Air Panorama D01-6</t>
  </si>
  <si>
    <t>cah032500230</t>
  </si>
  <si>
    <t>空中博览国内回程 1-07</t>
  </si>
  <si>
    <t>150 Air Panorama D01-7</t>
  </si>
  <si>
    <t>cah032500231</t>
  </si>
  <si>
    <t>空中博览国内回程 1-08</t>
  </si>
  <si>
    <t>150 Air Panorama D01-8</t>
  </si>
  <si>
    <t>cah032500232</t>
  </si>
  <si>
    <t>[A350专用]空中博览国际去程 1-01</t>
  </si>
  <si>
    <t>[A350 Exclusive]150 Air Panorama A01-1</t>
  </si>
  <si>
    <t>cah032500233</t>
  </si>
  <si>
    <t>[A350专用]空中博览国际去程 1-02</t>
  </si>
  <si>
    <t>[A350 Exclusive]150 Air Panorama A01-2</t>
  </si>
  <si>
    <t>cah032500234</t>
  </si>
  <si>
    <t>[A350专用]空中博览国际去程 1-03</t>
  </si>
  <si>
    <t>[A350 Exclusive]150 Air Panorama A01-3</t>
  </si>
  <si>
    <t>cah032500235</t>
  </si>
  <si>
    <t>[A350专用]空中博览国际去程 1-04</t>
  </si>
  <si>
    <t>[A350 Exclusive]150 Air Panorama A01-4</t>
  </si>
  <si>
    <t>cah032500236</t>
  </si>
  <si>
    <t>[A350专用]空中博览国际去程 1-05</t>
  </si>
  <si>
    <t>[A350 Exclusive]150 Air Panorama A01-5</t>
  </si>
  <si>
    <t>cah032500237</t>
  </si>
  <si>
    <t>[A350专用]空中博览国际去程 1-06</t>
  </si>
  <si>
    <t>[A350 Exclusive]150 Air Panorama A01-6</t>
  </si>
  <si>
    <t>cah032500238</t>
  </si>
  <si>
    <t>[A350专用]空中博览国际去程 1-07</t>
  </si>
  <si>
    <t>[A350 Exclusive]150 Air Panorama A01-7</t>
  </si>
  <si>
    <t>cah032500239</t>
  </si>
  <si>
    <t>[A350专用]空中博览国际去程 1-08</t>
  </si>
  <si>
    <t>[A350 Exclusive]150 Air Panorama A01-8</t>
  </si>
  <si>
    <t>cah032500240</t>
  </si>
  <si>
    <t>[A350专用]空中博览国际回程 1-01</t>
  </si>
  <si>
    <t>[A350 Exclusive]150 Air Panorama B01-1</t>
  </si>
  <si>
    <t>cah032500241</t>
  </si>
  <si>
    <t>[A350专用]空中博览国际回程 1-02</t>
  </si>
  <si>
    <t>[A350 Exclusive]150 Air Panorama B01-2</t>
  </si>
  <si>
    <t>cah032500242</t>
  </si>
  <si>
    <t>[A350专用]空中博览国际回程 1-03</t>
  </si>
  <si>
    <t>[A350 Exclusive]150 Air Panorama B01-3</t>
  </si>
  <si>
    <t>cah032500243</t>
  </si>
  <si>
    <t>[A350专用]空中博览国际回程 1-04</t>
  </si>
  <si>
    <t>[A350 Exclusive]150 Air Panorama B01-4</t>
  </si>
  <si>
    <t>cah032500244</t>
  </si>
  <si>
    <t>[A350专用]空中博览国际回程 1-05</t>
  </si>
  <si>
    <t>[A350 Exclusive]150 Air Panorama B01-5</t>
  </si>
  <si>
    <t>cah032500245</t>
  </si>
  <si>
    <t>[A350专用]空中博览国际回程 1-06</t>
  </si>
  <si>
    <t>[A350 Exclusive]150 Air Panorama B01-6</t>
  </si>
  <si>
    <t>cah032500246</t>
  </si>
  <si>
    <t>[A350专用]空中博览国际回程 1-07</t>
  </si>
  <si>
    <t>[A350 Exclusive]150 Air Panorama B01-7</t>
  </si>
  <si>
    <t>cah032500247</t>
  </si>
  <si>
    <t>[A350专用]空中博览国际回程 1-08</t>
  </si>
  <si>
    <t>[A350 Exclusive]150 Air Panorama B01-8</t>
  </si>
  <si>
    <t>cah032500248</t>
  </si>
  <si>
    <t>[A350专用]空中博览国内去程 1-01</t>
  </si>
  <si>
    <t>[A350 Exclusive]150 Air Panorama C01-1</t>
  </si>
  <si>
    <t>cah032500249</t>
  </si>
  <si>
    <t>[A350专用]空中博览国内去程 1-02</t>
  </si>
  <si>
    <t>[A350 Exclusive]150 Air Panorama C01-2</t>
  </si>
  <si>
    <t>cah032500250</t>
  </si>
  <si>
    <t>[A350专用]空中博览国内去程 1-03</t>
  </si>
  <si>
    <t>[A350 Exclusive]150 Air Panorama C01-3</t>
  </si>
  <si>
    <t>cah032500251</t>
  </si>
  <si>
    <t>[A350专用]空中博览国内去程 1-04</t>
  </si>
  <si>
    <t>[A350 Exclusive]150 Air Panorama C01-4</t>
  </si>
  <si>
    <t>cah032500252</t>
  </si>
  <si>
    <t>[A350专用]空中博览国内去程 1-05</t>
  </si>
  <si>
    <t>[A350 Exclusive]150 Air Panorama C01-5</t>
  </si>
  <si>
    <t>cah032500253</t>
  </si>
  <si>
    <t>[A350专用]空中博览国内去程 1-06</t>
  </si>
  <si>
    <t>[A350 Exclusive]150 Air Panorama C01-6</t>
  </si>
  <si>
    <t>cah032500254</t>
  </si>
  <si>
    <t>[A350专用]空中博览国内去程 1-07</t>
  </si>
  <si>
    <t>[A350 Exclusive]150 Air Panorama C01-7</t>
  </si>
  <si>
    <t>cah032500255</t>
  </si>
  <si>
    <t>[A350专用]空中博览国内去程 1-08</t>
  </si>
  <si>
    <t>[A350 Exclusive]150 Air Panorama C01-8</t>
  </si>
  <si>
    <t>cah032500256</t>
  </si>
  <si>
    <t>[A350专用]空中博览国内回程 1-01</t>
  </si>
  <si>
    <t>[A350 Exclusive]150 Air Panorama D01-1</t>
  </si>
  <si>
    <t>cah032500257</t>
  </si>
  <si>
    <t>[A350专用]空中博览国内回程 1-02</t>
  </si>
  <si>
    <t>[A350 Exclusive]150 Air Panorama D01-2</t>
  </si>
  <si>
    <t>cah032500258</t>
  </si>
  <si>
    <t>[A350专用]空中博览国内回程 1-03</t>
  </si>
  <si>
    <t>[A350 Exclusive]150 Air Panorama D01-3</t>
  </si>
  <si>
    <t>cah032500259</t>
  </si>
  <si>
    <t>[A350专用]空中博览国内回程 1-04</t>
  </si>
  <si>
    <t>[A350 Exclusive]150 Air Panorama D01-4</t>
  </si>
  <si>
    <t>cah032500260</t>
  </si>
  <si>
    <t>[A350专用]空中博览国内回程 1-05</t>
  </si>
  <si>
    <t>[A350 Exclusive]150 Air Panorama D01-5</t>
  </si>
  <si>
    <t>cah032500261</t>
  </si>
  <si>
    <t>[A350专用]空中博览国内回程 1-06</t>
  </si>
  <si>
    <t>[A350 Exclusive]150 Air Panorama D01-6</t>
  </si>
  <si>
    <t>cah032500262</t>
  </si>
  <si>
    <t>[A350专用]空中博览国内回程 1-07</t>
  </si>
  <si>
    <t>[A350 Exclusive]150 Air Panorama D01-7</t>
  </si>
  <si>
    <t>cah032500263</t>
  </si>
  <si>
    <t>[A350专用]空中博览国内回程 1-08</t>
  </si>
  <si>
    <t>[A350 Exclusive]150 Air Panorama D01-8</t>
  </si>
  <si>
    <t>cah032500264</t>
  </si>
  <si>
    <t>Air Panorama AD 1</t>
  </si>
  <si>
    <t>cah032500265</t>
  </si>
  <si>
    <r>
      <rPr>
        <sz val="12"/>
        <rFont val="Arial"/>
        <charset val="134"/>
      </rPr>
      <t xml:space="preserve">02-MOV 1- </t>
    </r>
    <r>
      <rPr>
        <sz val="12"/>
        <rFont val="宋体"/>
        <charset val="134"/>
      </rPr>
      <t>刺猬</t>
    </r>
  </si>
  <si>
    <t>02-MOV 1- The Hedgehog</t>
  </si>
  <si>
    <r>
      <rPr>
        <sz val="12"/>
        <rFont val="Arial"/>
        <charset val="134"/>
      </rPr>
      <t xml:space="preserve">02-MOV 2- </t>
    </r>
    <r>
      <rPr>
        <sz val="12"/>
        <rFont val="宋体"/>
        <charset val="134"/>
      </rPr>
      <t>胜券在握</t>
    </r>
  </si>
  <si>
    <t>02-MOV 2- To Gather Around</t>
  </si>
  <si>
    <r>
      <rPr>
        <sz val="12"/>
        <rFont val="Arial"/>
        <charset val="134"/>
      </rPr>
      <t xml:space="preserve">02-TV 1 30min: </t>
    </r>
    <r>
      <rPr>
        <sz val="12"/>
        <rFont val="宋体"/>
        <charset val="134"/>
      </rPr>
      <t>地中海的美食路</t>
    </r>
    <r>
      <rPr>
        <sz val="12"/>
        <rFont val="Arial"/>
        <charset val="134"/>
      </rPr>
      <t xml:space="preserve"> 4</t>
    </r>
  </si>
  <si>
    <t>02-TV 1 30min: Jamie Cooks the Mediterranean Ep04</t>
  </si>
  <si>
    <r>
      <rPr>
        <sz val="12"/>
        <rFont val="Arial"/>
        <charset val="134"/>
      </rPr>
      <t xml:space="preserve">02-TV 2 60min: </t>
    </r>
    <r>
      <rPr>
        <sz val="12"/>
        <rFont val="宋体"/>
        <charset val="134"/>
      </rPr>
      <t>中国</t>
    </r>
    <r>
      <rPr>
        <sz val="12"/>
        <rFont val="Arial"/>
        <charset val="134"/>
      </rPr>
      <t xml:space="preserve"> </t>
    </r>
    <r>
      <rPr>
        <sz val="12"/>
        <rFont val="宋体"/>
        <charset val="134"/>
      </rPr>
      <t>第一季</t>
    </r>
    <r>
      <rPr>
        <sz val="12"/>
        <rFont val="Arial"/>
        <charset val="134"/>
      </rPr>
      <t xml:space="preserve"> 5</t>
    </r>
  </si>
  <si>
    <t>02-TV 2 60min: China S01E05</t>
  </si>
  <si>
    <t xml:space="preserve">eX3/2 &amp; eX3 NG
</t>
  </si>
  <si>
    <t>I5K</t>
  </si>
  <si>
    <t>I4K</t>
  </si>
  <si>
    <t>0622</t>
  </si>
  <si>
    <t>VA/Safety Video+ About Us-Snapshots-TRACK1</t>
  </si>
  <si>
    <r>
      <rPr>
        <sz val="11"/>
        <rFont val="Arial"/>
        <charset val="134"/>
      </rPr>
      <t>A330_200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</si>
  <si>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A330_200_Eng 0622 Safety Video Owg</t>
  </si>
  <si>
    <t>VA/Safety Video</t>
  </si>
  <si>
    <r>
      <rPr>
        <sz val="11"/>
        <rFont val="Arial"/>
        <charset val="134"/>
      </rPr>
      <t>A330_300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</si>
  <si>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A330_300_Eng 0622 Safety Video Owg</t>
  </si>
  <si>
    <t>VA</t>
  </si>
  <si>
    <r>
      <rPr>
        <sz val="11"/>
        <rFont val="Arial"/>
        <charset val="134"/>
      </rPr>
      <t>B777-300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</si>
  <si>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B777-300_Eng 0622 Safety Video Owg</t>
  </si>
  <si>
    <r>
      <rPr>
        <sz val="11"/>
        <rFont val="Arial"/>
        <charset val="134"/>
      </rPr>
      <t>A350-900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</si>
  <si>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A350-900 (Eng) 0622 Safety Video OWG</t>
  </si>
  <si>
    <t>cah062200401</t>
  </si>
  <si>
    <r>
      <rPr>
        <sz val="11"/>
        <rFont val="Arial"/>
        <charset val="134"/>
      </rPr>
      <t>02-747-8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</si>
  <si>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02-747-8 (Eng) 0622 Safety Video OWG</t>
  </si>
  <si>
    <t>cah062200402</t>
  </si>
  <si>
    <r>
      <rPr>
        <sz val="11"/>
        <rFont val="Arial"/>
        <charset val="134"/>
      </rPr>
      <t>787 9 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</si>
  <si>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787 9 (Eng) 0622 Safety Video OWG</t>
  </si>
  <si>
    <t>cah062200403</t>
  </si>
  <si>
    <t>ABOUT US</t>
  </si>
  <si>
    <t>国航冬奥版安全须知</t>
  </si>
  <si>
    <t>Safety Video</t>
  </si>
  <si>
    <t>cah062200404</t>
  </si>
  <si>
    <t>cah062200405</t>
  </si>
  <si>
    <t>cah042200408</t>
  </si>
  <si>
    <t>与A330-200相同</t>
  </si>
  <si>
    <r>
      <rPr>
        <sz val="11"/>
        <rFont val="Arial"/>
        <charset val="134"/>
      </rPr>
      <t>02-A321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</si>
  <si>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02-A321 (Eng) 0622 Safety Video OWG</t>
  </si>
  <si>
    <t>cah062200406</t>
  </si>
  <si>
    <r>
      <rPr>
        <sz val="11"/>
        <rFont val="Arial"/>
        <charset val="134"/>
      </rPr>
      <t>02-B737-800/8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</si>
  <si>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02-B737-800/8 (Eng) 0622 Safety Video OWG</t>
  </si>
  <si>
    <t>cah062200407</t>
  </si>
  <si>
    <t>eX2 / eX3</t>
  </si>
  <si>
    <t xml:space="preserve">
eX2 / eX3
eX3 NG
</t>
  </si>
  <si>
    <t>A350-900（中英）0325安全须知 2023</t>
  </si>
  <si>
    <t>A350-900_Eng 0325 Safety Video 2023</t>
  </si>
  <si>
    <t>cah032500401</t>
  </si>
  <si>
    <t>A350-900（中）0325安全须知 2023</t>
  </si>
  <si>
    <t>A350-900_Zho 0325 Safety Video 2023</t>
  </si>
  <si>
    <t>cah032500402</t>
  </si>
  <si>
    <t>A350-900（中粤）0325安全须知 2023</t>
  </si>
  <si>
    <t>A350-900_Can 0325 Safety Video 2023</t>
  </si>
  <si>
    <t>cah032500403</t>
  </si>
  <si>
    <t>Can</t>
  </si>
  <si>
    <t>02_B747-8（中英）0325安全须知 2023</t>
  </si>
  <si>
    <t>02_B747-8_Eng 0325 Safety Video 2023</t>
  </si>
  <si>
    <t>cah032500404</t>
  </si>
  <si>
    <t>02_B747-8（中）0325安全须知 2023</t>
  </si>
  <si>
    <t>02_B747-8_Zho 0325 Safety Video 2023</t>
  </si>
  <si>
    <t>cah032500405</t>
  </si>
  <si>
    <t>11_B747-8（中粤）0325安全须知 2023</t>
  </si>
  <si>
    <t>11_B747-8_Can 0325 Safety Video 2023</t>
  </si>
  <si>
    <t>cah032500406</t>
  </si>
  <si>
    <t>B787-9（中英）0325安全须知 2023</t>
  </si>
  <si>
    <t>B787-9_Eng 0325 Safety Video 2023</t>
  </si>
  <si>
    <t>cah032500407</t>
  </si>
  <si>
    <t>B787-9（中）0325安全须知 2023</t>
  </si>
  <si>
    <t>B787-9_Zho 0325 Safety Video 2023</t>
  </si>
  <si>
    <t>cah032500408</t>
  </si>
  <si>
    <t>B787-9（中粤）0325安全须知 2023</t>
  </si>
  <si>
    <t>B787-9_Can 0325 Safety Video 2023</t>
  </si>
  <si>
    <t>cah032500409</t>
  </si>
  <si>
    <t>A330-200（中英）0325安全须知 2023</t>
  </si>
  <si>
    <t>A330-200_Eng 0325 Safety Video 2023</t>
  </si>
  <si>
    <t>A330-200（中）0325安全须知 2023</t>
  </si>
  <si>
    <t>A330-200_Zho 0325 Safety Video 2023</t>
  </si>
  <si>
    <t>A330-200_Can 0325 Safety Video 2023</t>
  </si>
  <si>
    <t>A330-300（中英）0325安全须知 2023</t>
  </si>
  <si>
    <t>A330-300_Eng 0325 Safety Video 2023</t>
  </si>
  <si>
    <t>A330-300（中）0325安全须知 2023</t>
  </si>
  <si>
    <t>A330-300_Zho 0325 Safety Video 2023</t>
  </si>
  <si>
    <t>A330-300_Can 0325 Safety Video 2023</t>
  </si>
  <si>
    <t>B777-300（中英）0325安全须知 2023</t>
  </si>
  <si>
    <t>B777-300_Eng 0325 Safety Video 2023</t>
  </si>
  <si>
    <t>B777-300（中）0325安全须知 2023</t>
  </si>
  <si>
    <t>B777-300_Zho 0325 Safety Video 2023</t>
  </si>
  <si>
    <t>B777-300_Can 0325 Safety Video 2023</t>
  </si>
  <si>
    <t>02_A321（中英）0325安全须知 2023</t>
  </si>
  <si>
    <t>02_A321_Eng 0325 Safety Video 2023</t>
  </si>
  <si>
    <t>cah032500501</t>
  </si>
  <si>
    <t>02_A321（中）0325安全须知 2023</t>
  </si>
  <si>
    <t>02_A321_Zho 0325 Safety Video 2023</t>
  </si>
  <si>
    <t>cah032500502</t>
  </si>
  <si>
    <t>02_B737-800/8（中英）0325安全须知 2023</t>
  </si>
  <si>
    <t>02_B737-800/8_Eng 0325 Safety Video 2023</t>
  </si>
  <si>
    <t>cah032500503</t>
  </si>
  <si>
    <t>02_B737-800/8（中）0325安全须知 2023</t>
  </si>
  <si>
    <t>02_B737-800/8_Zho 0325 Safety Video 2023</t>
  </si>
  <si>
    <t>cah032500504</t>
  </si>
  <si>
    <r>
      <rPr>
        <sz val="11"/>
        <rFont val="Arial"/>
        <charset val="134"/>
      </rPr>
      <t>07_A321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2023</t>
    </r>
    <r>
      <rPr>
        <sz val="11"/>
        <rFont val="宋体"/>
        <charset val="134"/>
      </rPr>
      <t>安全须知</t>
    </r>
  </si>
  <si>
    <t>07_A321_Can 0325 Safety Video 2023</t>
  </si>
  <si>
    <t>cah032500505</t>
  </si>
  <si>
    <r>
      <rPr>
        <sz val="11"/>
        <rFont val="Arial"/>
        <charset val="134"/>
      </rPr>
      <t>07_B737-800/8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2023</t>
    </r>
    <r>
      <rPr>
        <sz val="11"/>
        <rFont val="宋体"/>
        <charset val="134"/>
      </rPr>
      <t>安全须知</t>
    </r>
  </si>
  <si>
    <t>07_B737-800/8_Can 0325 Safety 2023</t>
  </si>
  <si>
    <t>cah032500506</t>
  </si>
  <si>
    <t>20_Dalian B737-800/8 Eng 0325 Safety Video</t>
  </si>
  <si>
    <t>cah032500507</t>
  </si>
  <si>
    <t>21_Dalian B737-800/8 Zho 0325 Safety Video</t>
  </si>
  <si>
    <t>cah032500508</t>
  </si>
  <si>
    <t>About Us</t>
  </si>
  <si>
    <r>
      <rPr>
        <sz val="11"/>
        <rFont val="宋体"/>
        <charset val="134"/>
      </rPr>
      <t>国航安全须知</t>
    </r>
    <r>
      <rPr>
        <sz val="11"/>
        <rFont val="Arial"/>
        <charset val="134"/>
      </rPr>
      <t xml:space="preserve"> 2023</t>
    </r>
  </si>
  <si>
    <t>Safety Video 2023</t>
  </si>
  <si>
    <t>cah032500601</t>
  </si>
  <si>
    <t>cah032500602</t>
  </si>
  <si>
    <t>cah012500603</t>
  </si>
  <si>
    <t>国航安全须知（中）2023</t>
  </si>
  <si>
    <t>Safety Video CN 2023</t>
  </si>
  <si>
    <t>cah032500603</t>
  </si>
  <si>
    <t>system</t>
  </si>
  <si>
    <t>Filename</t>
  </si>
  <si>
    <t>type</t>
  </si>
  <si>
    <t>s3k</t>
  </si>
  <si>
    <t>Broadcast Video</t>
  </si>
  <si>
    <t>TV</t>
  </si>
  <si>
    <t>Air Panorama Domestic Outbound With Ad</t>
  </si>
  <si>
    <t>Air Panorama Domestic Inbound With Ad</t>
  </si>
  <si>
    <t>Air Panorama International Outbound With Ad</t>
  </si>
  <si>
    <t>空中博览3月国际回程</t>
  </si>
  <si>
    <t>Air Panorama International Inbound With Ad</t>
  </si>
  <si>
    <t>Cabin Exerciseovie</t>
  </si>
  <si>
    <t>机上健身操</t>
  </si>
  <si>
    <t>Cabin Exercise</t>
  </si>
  <si>
    <t>CabinExercise_0711_43_ZhoEng_Ed.mpg</t>
  </si>
  <si>
    <t>同电视表</t>
  </si>
  <si>
    <t>0125</t>
  </si>
  <si>
    <t>Movie</t>
  </si>
  <si>
    <t>抓娃娃</t>
  </si>
  <si>
    <t>Successor</t>
  </si>
  <si>
    <t>同电影表</t>
  </si>
  <si>
    <t>红毯先生</t>
  </si>
  <si>
    <t>The Movie Emperor</t>
  </si>
  <si>
    <t>再会长江</t>
  </si>
  <si>
    <t>The Yangtze River</t>
  </si>
  <si>
    <t>最好的相遇</t>
  </si>
  <si>
    <t>An Encounter to Remember</t>
  </si>
  <si>
    <t>穿过月亮的旅行</t>
  </si>
  <si>
    <t>I Love You to the Moon and Back</t>
  </si>
  <si>
    <t>云边有个小卖部</t>
  </si>
  <si>
    <t>Moments We Shared</t>
  </si>
  <si>
    <t>Daily</t>
  </si>
  <si>
    <t>Air Panorama Domestic Outbound With Ad-1</t>
  </si>
  <si>
    <t>Air Panorama Domestic Inbound With Ad-1</t>
  </si>
  <si>
    <t>Air Panorama International Outbound With Ad-1</t>
  </si>
  <si>
    <t>Air Panorama International Inbound With Ad-1</t>
  </si>
  <si>
    <t>Artist</t>
  </si>
  <si>
    <t>eX2/eX3
 eX3 NG</t>
  </si>
  <si>
    <t>0624</t>
  </si>
  <si>
    <t>BGM/PA/Boarding Music</t>
  </si>
  <si>
    <t>Various Artists</t>
  </si>
  <si>
    <t>登机音乐-爱</t>
  </si>
  <si>
    <t>ONBOARD-LOVE</t>
  </si>
  <si>
    <t>caj062400101ma.mp3</t>
  </si>
  <si>
    <t>caj042400101ma.abs</t>
  </si>
  <si>
    <t>离机音乐-爱</t>
  </si>
  <si>
    <t>DEBOARD-LOVE</t>
  </si>
  <si>
    <t>caj062400102ma.mp3</t>
  </si>
  <si>
    <t>caj042400102ma.abs</t>
  </si>
  <si>
    <t>0424</t>
  </si>
  <si>
    <t>备播</t>
  </si>
  <si>
    <t>BACK-UP</t>
  </si>
  <si>
    <t>caj042400103ma.mp3</t>
  </si>
  <si>
    <t>caj042400103ma.abs</t>
  </si>
  <si>
    <t>eX3/2 &amp; eX3 NG/eFx/i4K/i5K</t>
  </si>
  <si>
    <t>3Ki</t>
  </si>
  <si>
    <t>VA/Identifiers/PA/Boarding Music</t>
  </si>
  <si>
    <r>
      <rPr>
        <sz val="12"/>
        <rFont val="Arial"/>
        <charset val="134"/>
      </rPr>
      <t>01-4</t>
    </r>
    <r>
      <rPr>
        <sz val="12"/>
        <rFont val="宋体"/>
        <charset val="134"/>
      </rPr>
      <t>月正常版视频登机音乐</t>
    </r>
  </si>
  <si>
    <t>01-CA0424 Video BGM</t>
  </si>
  <si>
    <t>cah042400101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</si>
</sst>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2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General"/>
    <numFmt numFmtId="177" formatCode="@&quot;m4.mpg&quot;"/>
    <numFmt numFmtId="178" formatCode="@&quot;m1.mpg&quot;"/>
    <numFmt numFmtId="179" formatCode="hh:mm:ss"/>
    <numFmt numFmtId="180" formatCode="0000"/>
    <numFmt numFmtId="181" formatCode="@&quot;m2.mpg&quot;"/>
    <numFmt numFmtId="182" formatCode="0.00_);[Red]\(0.00\)"/>
    <numFmt numFmtId="183" formatCode="yyyy/m/d;@"/>
  </numFmts>
  <fonts count="56">
    <font>
      <sz val="11"/>
      <color theme="1"/>
      <name val="宋体"/>
      <charset val="134"/>
      <scheme val="minor"/>
    </font>
    <font>
      <b/>
      <sz val="10"/>
      <name val="Arial"/>
      <charset val="134"/>
    </font>
    <font>
      <b/>
      <sz val="12"/>
      <name val="Arial"/>
      <charset val="134"/>
    </font>
    <font>
      <sz val="12"/>
      <name val="Arial"/>
      <charset val="134"/>
    </font>
    <font>
      <sz val="10"/>
      <name val="Arial"/>
      <charset val="134"/>
    </font>
    <font>
      <sz val="12"/>
      <color rgb="FF000000"/>
      <name val="Arial"/>
      <charset val="134"/>
    </font>
    <font>
      <sz val="12"/>
      <name val="宋体"/>
      <charset val="134"/>
    </font>
    <font>
      <b/>
      <sz val="16"/>
      <name val="Arial"/>
      <charset val="134"/>
    </font>
    <font>
      <sz val="11"/>
      <name val="Arial"/>
      <charset val="134"/>
    </font>
    <font>
      <sz val="11"/>
      <name val="宋体"/>
      <charset val="134"/>
    </font>
    <font>
      <b/>
      <sz val="11"/>
      <name val="Arial"/>
      <charset val="134"/>
    </font>
    <font>
      <sz val="8"/>
      <name val="Arial"/>
      <charset val="134"/>
    </font>
    <font>
      <sz val="11"/>
      <color rgb="FF000000"/>
      <name val="Arial"/>
      <charset val="134"/>
    </font>
    <font>
      <sz val="11"/>
      <color rgb="FFFF0000"/>
      <name val="Arial"/>
      <charset val="134"/>
    </font>
    <font>
      <sz val="11"/>
      <color theme="1"/>
      <name val="Arial"/>
      <charset val="134"/>
    </font>
    <font>
      <sz val="12"/>
      <name val="宋体"/>
      <charset val="134"/>
      <scheme val="minor"/>
    </font>
    <font>
      <b/>
      <sz val="9"/>
      <name val="Arial"/>
      <charset val="134"/>
    </font>
    <font>
      <sz val="9"/>
      <color rgb="FF000000"/>
      <name val="Arial"/>
      <charset val="134"/>
    </font>
    <font>
      <sz val="11"/>
      <name val="Arial"/>
      <charset val="0"/>
    </font>
    <font>
      <sz val="11"/>
      <color rgb="FF000000"/>
      <name val="Arial"/>
      <charset val="0"/>
    </font>
    <font>
      <sz val="12"/>
      <color rgb="FF000000"/>
      <name val="Arial"/>
      <charset val="0"/>
    </font>
    <font>
      <sz val="12"/>
      <name val="Arial"/>
      <charset val="0"/>
    </font>
    <font>
      <b/>
      <sz val="14"/>
      <name val="Arial"/>
      <charset val="134"/>
    </font>
    <font>
      <sz val="12"/>
      <color rgb="FFFF0000"/>
      <name val="宋体"/>
      <charset val="134"/>
    </font>
    <font>
      <sz val="12"/>
      <color theme="1"/>
      <name val="Arial"/>
      <charset val="134"/>
    </font>
    <font>
      <sz val="11"/>
      <color theme="1"/>
      <name val="宋体"/>
      <charset val="134"/>
    </font>
    <font>
      <sz val="10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color indexed="8"/>
      <name val="Verdana"/>
      <charset val="134"/>
    </font>
    <font>
      <sz val="10"/>
      <color rgb="FF000000"/>
      <name val="Arial"/>
      <charset val="134"/>
    </font>
    <font>
      <sz val="10"/>
      <color indexed="8"/>
      <name val="Arial"/>
      <charset val="134"/>
    </font>
    <font>
      <b/>
      <sz val="12"/>
      <name val="宋体"/>
      <charset val="134"/>
    </font>
    <font>
      <sz val="14"/>
      <name val="宋体"/>
      <charset val="134"/>
    </font>
    <font>
      <b/>
      <sz val="12"/>
      <name val="宋体"/>
      <charset val="134"/>
    </font>
    <font>
      <sz val="16"/>
      <name val="宋体"/>
      <charset val="134"/>
    </font>
    <font>
      <b/>
      <sz val="9"/>
      <name val="宋体"/>
      <charset val="134"/>
    </font>
    <font>
      <sz val="12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76F8CF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599993896298105"/>
        <bgColor rgb="FF000000"/>
      </patternFill>
    </fill>
    <fill>
      <patternFill patternType="solid">
        <fgColor rgb="FF76F8CF"/>
        <bgColor rgb="FF000000"/>
      </patternFill>
    </fill>
    <fill>
      <patternFill patternType="solid">
        <fgColor theme="7" tint="0.6"/>
        <bgColor indexed="64"/>
      </patternFill>
    </fill>
    <fill>
      <patternFill patternType="solid">
        <fgColor theme="7" tint="0.6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599993896298105"/>
        <bgColor rgb="FF000000"/>
      </patternFill>
    </fill>
    <fill>
      <patternFill patternType="solid">
        <fgColor rgb="FFCCC0DA"/>
        <bgColor indexed="64"/>
      </patternFill>
    </fill>
    <fill>
      <patternFill patternType="solid">
        <fgColor rgb="FFFACDF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0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double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0" borderId="94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95" applyNumberFormat="0" applyFill="0" applyAlignment="0" applyProtection="0">
      <alignment vertical="center"/>
    </xf>
    <xf numFmtId="0" fontId="33" fillId="0" borderId="95" applyNumberFormat="0" applyFill="0" applyAlignment="0" applyProtection="0">
      <alignment vertical="center"/>
    </xf>
    <xf numFmtId="0" fontId="34" fillId="0" borderId="96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1" borderId="97" applyNumberFormat="0" applyAlignment="0" applyProtection="0">
      <alignment vertical="center"/>
    </xf>
    <xf numFmtId="0" fontId="36" fillId="22" borderId="98" applyNumberFormat="0" applyAlignment="0" applyProtection="0">
      <alignment vertical="center"/>
    </xf>
    <xf numFmtId="0" fontId="37" fillId="22" borderId="97" applyNumberFormat="0" applyAlignment="0" applyProtection="0">
      <alignment vertical="center"/>
    </xf>
    <xf numFmtId="0" fontId="38" fillId="23" borderId="99" applyNumberFormat="0" applyAlignment="0" applyProtection="0">
      <alignment vertical="center"/>
    </xf>
    <xf numFmtId="0" fontId="39" fillId="0" borderId="100" applyNumberFormat="0" applyFill="0" applyAlignment="0" applyProtection="0">
      <alignment vertical="center"/>
    </xf>
    <xf numFmtId="0" fontId="40" fillId="0" borderId="101" applyNumberFormat="0" applyFill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5" fillId="40" borderId="0" applyNumberFormat="0" applyBorder="0" applyAlignment="0" applyProtection="0">
      <alignment vertical="center"/>
    </xf>
    <xf numFmtId="0" fontId="45" fillId="3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5" fillId="43" borderId="0" applyNumberFormat="0" applyBorder="0" applyAlignment="0" applyProtection="0">
      <alignment vertical="center"/>
    </xf>
    <xf numFmtId="0" fontId="45" fillId="44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44" fillId="46" borderId="0" applyNumberFormat="0" applyBorder="0" applyAlignment="0" applyProtection="0">
      <alignment vertical="center"/>
    </xf>
    <xf numFmtId="0" fontId="45" fillId="47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44" fillId="48" borderId="0" applyNumberFormat="0" applyBorder="0" applyAlignment="0" applyProtection="0">
      <alignment vertical="center"/>
    </xf>
    <xf numFmtId="0" fontId="46" fillId="0" borderId="0" applyNumberFormat="0" applyFill="0" applyBorder="0" applyProtection="0">
      <alignment vertical="top" wrapText="1"/>
    </xf>
    <xf numFmtId="0" fontId="4" fillId="0" borderId="0"/>
    <xf numFmtId="0" fontId="46" fillId="0" borderId="0" applyNumberFormat="0" applyFill="0" applyBorder="0" applyProtection="0">
      <alignment vertical="top" wrapText="1"/>
    </xf>
    <xf numFmtId="176" fontId="26" fillId="0" borderId="0">
      <alignment vertical="center"/>
    </xf>
    <xf numFmtId="0" fontId="0" fillId="0" borderId="0">
      <alignment vertical="center"/>
    </xf>
    <xf numFmtId="0" fontId="47" fillId="0" borderId="0"/>
    <xf numFmtId="0" fontId="48" fillId="0" borderId="0"/>
  </cellStyleXfs>
  <cellXfs count="516">
    <xf numFmtId="0" fontId="0" fillId="0" borderId="0" xfId="0"/>
    <xf numFmtId="176" fontId="1" fillId="0" borderId="0" xfId="50" applyNumberFormat="1" applyFont="1" applyFill="1" applyBorder="1" applyAlignment="1"/>
    <xf numFmtId="176" fontId="1" fillId="0" borderId="0" xfId="50" applyNumberFormat="1" applyFont="1" applyFill="1" applyAlignment="1"/>
    <xf numFmtId="176" fontId="1" fillId="0" borderId="0" xfId="50" applyNumberFormat="1" applyFont="1" applyFill="1" applyBorder="1" applyAlignment="1">
      <alignment horizontal="left"/>
    </xf>
    <xf numFmtId="49" fontId="1" fillId="0" borderId="0" xfId="50" applyNumberFormat="1" applyFont="1" applyFill="1" applyBorder="1" applyAlignment="1">
      <alignment horizontal="right"/>
    </xf>
    <xf numFmtId="176" fontId="1" fillId="0" borderId="0" xfId="50" applyNumberFormat="1" applyFont="1" applyFill="1" applyBorder="1" applyAlignment="1">
      <alignment horizontal="center"/>
    </xf>
    <xf numFmtId="14" fontId="1" fillId="0" borderId="0" xfId="50" applyNumberFormat="1" applyFont="1" applyFill="1" applyBorder="1" applyAlignment="1">
      <alignment horizontal="right"/>
    </xf>
    <xf numFmtId="0" fontId="1" fillId="0" borderId="0" xfId="50" applyNumberFormat="1" applyFont="1" applyFill="1" applyBorder="1" applyAlignment="1">
      <alignment horizontal="left"/>
    </xf>
    <xf numFmtId="176" fontId="1" fillId="0" borderId="0" xfId="50" applyNumberFormat="1" applyFont="1" applyFill="1" applyAlignment="1">
      <alignment horizontal="right"/>
    </xf>
    <xf numFmtId="1" fontId="1" fillId="0" borderId="0" xfId="50" applyNumberFormat="1" applyFont="1" applyFill="1" applyAlignment="1">
      <alignment horizontal="right"/>
    </xf>
    <xf numFmtId="176" fontId="1" fillId="0" borderId="0" xfId="50" applyNumberFormat="1" applyFont="1" applyFill="1" applyAlignment="1">
      <alignment horizontal="left"/>
    </xf>
    <xf numFmtId="2" fontId="1" fillId="0" borderId="0" xfId="50" applyNumberFormat="1" applyFont="1" applyFill="1" applyAlignment="1">
      <alignment horizontal="right"/>
    </xf>
    <xf numFmtId="176" fontId="1" fillId="0" borderId="0" xfId="50" applyNumberFormat="1" applyFont="1" applyFill="1" applyAlignment="1">
      <alignment horizontal="center"/>
    </xf>
    <xf numFmtId="176" fontId="2" fillId="2" borderId="1" xfId="5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/>
    </xf>
    <xf numFmtId="176" fontId="2" fillId="3" borderId="3" xfId="50" applyNumberFormat="1" applyFont="1" applyFill="1" applyBorder="1" applyAlignment="1">
      <alignment horizontal="center" vertical="center"/>
    </xf>
    <xf numFmtId="176" fontId="2" fillId="2" borderId="4" xfId="50" applyNumberFormat="1" applyFont="1" applyFill="1" applyBorder="1" applyAlignment="1">
      <alignment horizontal="center" textRotation="90"/>
    </xf>
    <xf numFmtId="176" fontId="2" fillId="2" borderId="5" xfId="50" applyNumberFormat="1" applyFont="1" applyFill="1" applyBorder="1" applyAlignment="1">
      <alignment horizontal="center" textRotation="90"/>
    </xf>
    <xf numFmtId="176" fontId="2" fillId="2" borderId="6" xfId="50" applyNumberFormat="1" applyFont="1" applyFill="1" applyBorder="1" applyAlignment="1">
      <alignment horizontal="center" textRotation="90"/>
    </xf>
    <xf numFmtId="176" fontId="2" fillId="2" borderId="7" xfId="50" applyNumberFormat="1" applyFont="1" applyFill="1" applyBorder="1" applyAlignment="1">
      <alignment horizontal="center" textRotation="90"/>
    </xf>
    <xf numFmtId="176" fontId="2" fillId="2" borderId="8" xfId="50" applyNumberFormat="1" applyFont="1" applyFill="1" applyBorder="1" applyAlignment="1">
      <alignment horizontal="center" textRotation="90"/>
    </xf>
    <xf numFmtId="176" fontId="2" fillId="3" borderId="9" xfId="50" applyNumberFormat="1" applyFont="1" applyFill="1" applyBorder="1" applyAlignment="1">
      <alignment horizontal="center" vertical="center" textRotation="90"/>
    </xf>
    <xf numFmtId="176" fontId="2" fillId="2" borderId="10" xfId="50" applyNumberFormat="1" applyFont="1" applyFill="1" applyBorder="1" applyAlignment="1">
      <alignment horizontal="center" textRotation="90"/>
    </xf>
    <xf numFmtId="176" fontId="2" fillId="2" borderId="11" xfId="50" applyNumberFormat="1" applyFont="1" applyFill="1" applyBorder="1" applyAlignment="1">
      <alignment horizontal="center" textRotation="90"/>
    </xf>
    <xf numFmtId="176" fontId="2" fillId="2" borderId="1" xfId="50" applyNumberFormat="1" applyFont="1" applyFill="1" applyBorder="1" applyAlignment="1">
      <alignment horizontal="center" textRotation="90"/>
    </xf>
    <xf numFmtId="176" fontId="2" fillId="2" borderId="12" xfId="50" applyNumberFormat="1" applyFont="1" applyFill="1" applyBorder="1" applyAlignment="1">
      <alignment horizontal="center" textRotation="90"/>
    </xf>
    <xf numFmtId="176" fontId="2" fillId="2" borderId="13" xfId="50" applyNumberFormat="1" applyFont="1" applyFill="1" applyBorder="1" applyAlignment="1">
      <alignment horizontal="center" textRotation="90"/>
    </xf>
    <xf numFmtId="176" fontId="2" fillId="3" borderId="14" xfId="50" applyNumberFormat="1" applyFont="1" applyFill="1" applyBorder="1" applyAlignment="1">
      <alignment horizontal="center" vertical="center" textRotation="90"/>
    </xf>
    <xf numFmtId="176" fontId="3" fillId="2" borderId="15" xfId="50" applyNumberFormat="1" applyFont="1" applyFill="1" applyBorder="1" applyAlignment="1">
      <alignment horizontal="left"/>
    </xf>
    <xf numFmtId="49" fontId="3" fillId="2" borderId="15" xfId="50" applyNumberFormat="1" applyFont="1" applyFill="1" applyBorder="1" applyAlignment="1">
      <alignment horizontal="left"/>
    </xf>
    <xf numFmtId="49" fontId="4" fillId="2" borderId="15" xfId="50" applyNumberFormat="1" applyFont="1" applyFill="1" applyBorder="1" applyAlignment="1">
      <alignment horizontal="left"/>
    </xf>
    <xf numFmtId="0" fontId="5" fillId="4" borderId="15" xfId="0" applyNumberFormat="1" applyFont="1" applyFill="1" applyBorder="1" applyAlignment="1">
      <alignment horizontal="center" wrapText="1"/>
    </xf>
    <xf numFmtId="49" fontId="4" fillId="2" borderId="16" xfId="50" applyNumberFormat="1" applyFont="1" applyFill="1" applyBorder="1" applyAlignment="1">
      <alignment horizontal="left"/>
    </xf>
    <xf numFmtId="176" fontId="6" fillId="2" borderId="15" xfId="50" applyNumberFormat="1" applyFont="1" applyFill="1" applyBorder="1" applyAlignment="1">
      <alignment horizontal="left"/>
    </xf>
    <xf numFmtId="176" fontId="7" fillId="0" borderId="0" xfId="50" applyNumberFormat="1" applyFont="1" applyFill="1" applyBorder="1" applyAlignment="1">
      <alignment horizontal="left"/>
    </xf>
    <xf numFmtId="176" fontId="2" fillId="3" borderId="17" xfId="50" applyNumberFormat="1" applyFont="1" applyFill="1" applyBorder="1" applyAlignment="1">
      <alignment horizontal="center" vertical="center"/>
    </xf>
    <xf numFmtId="176" fontId="2" fillId="3" borderId="18" xfId="5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76" fontId="2" fillId="2" borderId="18" xfId="0" applyNumberFormat="1" applyFont="1" applyFill="1" applyBorder="1" applyAlignment="1">
      <alignment horizontal="center" vertical="center"/>
    </xf>
    <xf numFmtId="176" fontId="2" fillId="2" borderId="13" xfId="50" applyNumberFormat="1" applyFont="1" applyFill="1" applyBorder="1" applyAlignment="1">
      <alignment horizontal="center" vertical="center"/>
    </xf>
    <xf numFmtId="176" fontId="2" fillId="3" borderId="2" xfId="50" applyNumberFormat="1" applyFont="1" applyFill="1" applyBorder="1" applyAlignment="1">
      <alignment horizontal="center" vertical="center"/>
    </xf>
    <xf numFmtId="176" fontId="2" fillId="3" borderId="9" xfId="50" applyNumberFormat="1" applyFont="1" applyFill="1" applyBorder="1" applyAlignment="1">
      <alignment horizontal="center" vertical="center" textRotation="90" wrapText="1"/>
    </xf>
    <xf numFmtId="176" fontId="2" fillId="3" borderId="14" xfId="50" applyNumberFormat="1" applyFont="1" applyFill="1" applyBorder="1" applyAlignment="1">
      <alignment horizontal="center" vertical="center" textRotation="90" wrapText="1"/>
    </xf>
    <xf numFmtId="176" fontId="2" fillId="2" borderId="19" xfId="50" applyNumberFormat="1" applyFont="1" applyFill="1" applyBorder="1" applyAlignment="1">
      <alignment horizontal="center" vertical="center" wrapText="1"/>
    </xf>
    <xf numFmtId="176" fontId="2" fillId="2" borderId="9" xfId="50" applyNumberFormat="1" applyFont="1" applyFill="1" applyBorder="1" applyAlignment="1">
      <alignment horizontal="center" vertical="center"/>
    </xf>
    <xf numFmtId="176" fontId="2" fillId="3" borderId="8" xfId="50" applyNumberFormat="1" applyFont="1" applyFill="1" applyBorder="1" applyAlignment="1">
      <alignment horizontal="center" textRotation="90"/>
    </xf>
    <xf numFmtId="176" fontId="2" fillId="2" borderId="19" xfId="50" applyNumberFormat="1" applyFont="1" applyFill="1" applyBorder="1" applyAlignment="1">
      <alignment horizontal="center" vertical="center"/>
    </xf>
    <xf numFmtId="176" fontId="2" fillId="2" borderId="14" xfId="50" applyNumberFormat="1" applyFont="1" applyFill="1" applyBorder="1" applyAlignment="1">
      <alignment horizontal="center" vertical="center"/>
    </xf>
    <xf numFmtId="176" fontId="2" fillId="3" borderId="13" xfId="50" applyNumberFormat="1" applyFont="1" applyFill="1" applyBorder="1" applyAlignment="1">
      <alignment horizontal="center" textRotation="90"/>
    </xf>
    <xf numFmtId="177" fontId="8" fillId="2" borderId="15" xfId="52" applyNumberFormat="1" applyFont="1" applyFill="1" applyBorder="1" applyAlignment="1" applyProtection="1">
      <alignment horizontal="center"/>
      <protection locked="0"/>
    </xf>
    <xf numFmtId="178" fontId="8" fillId="2" borderId="15" xfId="52" applyNumberFormat="1" applyFont="1" applyFill="1" applyBorder="1" applyAlignment="1" applyProtection="1">
      <alignment horizontal="center"/>
      <protection locked="0"/>
    </xf>
    <xf numFmtId="176" fontId="3" fillId="5" borderId="15" xfId="0" applyNumberFormat="1" applyFont="1" applyFill="1" applyBorder="1" applyAlignment="1">
      <alignment horizontal="left"/>
    </xf>
    <xf numFmtId="49" fontId="3" fillId="3" borderId="15" xfId="50" applyNumberFormat="1" applyFont="1" applyFill="1" applyBorder="1" applyAlignment="1">
      <alignment horizontal="center"/>
    </xf>
    <xf numFmtId="0" fontId="2" fillId="3" borderId="20" xfId="0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/>
    </xf>
    <xf numFmtId="176" fontId="2" fillId="2" borderId="20" xfId="50" applyNumberFormat="1" applyFont="1" applyFill="1" applyBorder="1" applyAlignment="1">
      <alignment horizontal="center" vertical="center"/>
    </xf>
    <xf numFmtId="176" fontId="2" fillId="3" borderId="2" xfId="50" applyNumberFormat="1" applyFont="1" applyFill="1" applyBorder="1" applyAlignment="1">
      <alignment horizontal="center" textRotation="90"/>
    </xf>
    <xf numFmtId="176" fontId="2" fillId="3" borderId="1" xfId="50" applyNumberFormat="1" applyFont="1" applyFill="1" applyBorder="1" applyAlignment="1">
      <alignment horizontal="center" textRotation="90"/>
    </xf>
    <xf numFmtId="0" fontId="2" fillId="3" borderId="1" xfId="50" applyNumberFormat="1" applyFont="1" applyFill="1" applyBorder="1" applyAlignment="1">
      <alignment horizontal="center" textRotation="90"/>
    </xf>
    <xf numFmtId="176" fontId="2" fillId="3" borderId="11" xfId="50" applyNumberFormat="1" applyFont="1" applyFill="1" applyBorder="1" applyAlignment="1">
      <alignment horizontal="center" textRotation="90"/>
    </xf>
    <xf numFmtId="0" fontId="2" fillId="3" borderId="11" xfId="50" applyNumberFormat="1" applyFont="1" applyFill="1" applyBorder="1" applyAlignment="1">
      <alignment horizontal="center" textRotation="90"/>
    </xf>
    <xf numFmtId="176" fontId="3" fillId="3" borderId="15" xfId="50" applyNumberFormat="1" applyFont="1" applyFill="1" applyBorder="1" applyAlignment="1">
      <alignment horizontal="center"/>
    </xf>
    <xf numFmtId="0" fontId="3" fillId="2" borderId="15" xfId="0" applyNumberFormat="1" applyFont="1" applyFill="1" applyBorder="1" applyAlignment="1">
      <alignment horizontal="center"/>
    </xf>
    <xf numFmtId="0" fontId="2" fillId="0" borderId="0" xfId="50" applyNumberFormat="1" applyFont="1" applyFill="1" applyAlignment="1">
      <alignment horizontal="left" vertical="top"/>
    </xf>
    <xf numFmtId="0" fontId="2" fillId="0" borderId="0" xfId="50" applyNumberFormat="1" applyFont="1" applyFill="1" applyAlignment="1">
      <alignment horizontal="left"/>
    </xf>
    <xf numFmtId="176" fontId="2" fillId="2" borderId="20" xfId="0" applyNumberFormat="1" applyFont="1" applyFill="1" applyBorder="1" applyAlignment="1">
      <alignment horizontal="left" vertical="center"/>
    </xf>
    <xf numFmtId="176" fontId="2" fillId="3" borderId="3" xfId="0" applyNumberFormat="1" applyFont="1" applyFill="1" applyBorder="1" applyAlignment="1">
      <alignment horizontal="center" vertical="center"/>
    </xf>
    <xf numFmtId="176" fontId="2" fillId="3" borderId="18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textRotation="90"/>
    </xf>
    <xf numFmtId="176" fontId="2" fillId="2" borderId="21" xfId="50" applyNumberFormat="1" applyFont="1" applyFill="1" applyBorder="1" applyAlignment="1">
      <alignment horizontal="center" textRotation="90"/>
    </xf>
    <xf numFmtId="176" fontId="2" fillId="3" borderId="11" xfId="0" applyNumberFormat="1" applyFont="1" applyFill="1" applyBorder="1" applyAlignment="1">
      <alignment horizontal="center" vertical="center" textRotation="90"/>
    </xf>
    <xf numFmtId="176" fontId="2" fillId="2" borderId="22" xfId="50" applyNumberFormat="1" applyFont="1" applyFill="1" applyBorder="1" applyAlignment="1">
      <alignment horizontal="center" textRotation="90"/>
    </xf>
    <xf numFmtId="179" fontId="3" fillId="2" borderId="15" xfId="0" applyNumberFormat="1" applyFont="1" applyFill="1" applyBorder="1" applyAlignment="1">
      <alignment horizontal="center"/>
    </xf>
    <xf numFmtId="176" fontId="3" fillId="3" borderId="15" xfId="0" applyNumberFormat="1" applyFont="1" applyFill="1" applyBorder="1" applyAlignment="1"/>
    <xf numFmtId="176" fontId="1" fillId="0" borderId="0" xfId="50" applyNumberFormat="1" applyFont="1" applyFill="1" applyBorder="1" applyAlignment="1">
      <alignment horizontal="right"/>
    </xf>
    <xf numFmtId="1" fontId="1" fillId="0" borderId="0" xfId="50" applyNumberFormat="1" applyFont="1" applyFill="1" applyBorder="1" applyAlignment="1">
      <alignment horizontal="right"/>
    </xf>
    <xf numFmtId="2" fontId="1" fillId="0" borderId="0" xfId="50" applyNumberFormat="1" applyFont="1" applyFill="1" applyBorder="1" applyAlignment="1">
      <alignment horizontal="right"/>
    </xf>
    <xf numFmtId="176" fontId="2" fillId="2" borderId="23" xfId="50" applyNumberFormat="1" applyFont="1" applyFill="1" applyBorder="1" applyAlignment="1">
      <alignment horizontal="center" textRotation="90"/>
    </xf>
    <xf numFmtId="176" fontId="2" fillId="2" borderId="24" xfId="50" applyNumberFormat="1" applyFont="1" applyFill="1" applyBorder="1" applyAlignment="1">
      <alignment horizontal="center" textRotation="90"/>
    </xf>
    <xf numFmtId="176" fontId="2" fillId="2" borderId="25" xfId="50" applyNumberFormat="1" applyFont="1" applyFill="1" applyBorder="1" applyAlignment="1">
      <alignment horizontal="center" textRotation="90"/>
    </xf>
    <xf numFmtId="176" fontId="2" fillId="2" borderId="26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left"/>
    </xf>
    <xf numFmtId="49" fontId="3" fillId="2" borderId="16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center" textRotation="90"/>
    </xf>
    <xf numFmtId="176" fontId="6" fillId="2" borderId="16" xfId="50" applyNumberFormat="1" applyFont="1" applyFill="1" applyBorder="1" applyAlignment="1">
      <alignment horizontal="left"/>
    </xf>
    <xf numFmtId="176" fontId="3" fillId="2" borderId="28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center" textRotation="90"/>
    </xf>
    <xf numFmtId="176" fontId="2" fillId="6" borderId="3" xfId="50" applyNumberFormat="1" applyFont="1" applyFill="1" applyBorder="1" applyAlignment="1">
      <alignment horizontal="center" vertical="center"/>
    </xf>
    <xf numFmtId="176" fontId="2" fillId="6" borderId="17" xfId="50" applyNumberFormat="1" applyFont="1" applyFill="1" applyBorder="1" applyAlignment="1">
      <alignment horizontal="center" vertical="center"/>
    </xf>
    <xf numFmtId="176" fontId="2" fillId="6" borderId="18" xfId="50" applyNumberFormat="1" applyFont="1" applyFill="1" applyBorder="1" applyAlignment="1">
      <alignment horizontal="center" vertical="center"/>
    </xf>
    <xf numFmtId="176" fontId="2" fillId="2" borderId="29" xfId="50" applyNumberFormat="1" applyFont="1" applyFill="1" applyBorder="1" applyAlignment="1">
      <alignment horizontal="center" vertical="center"/>
    </xf>
    <xf numFmtId="176" fontId="2" fillId="6" borderId="9" xfId="50" applyNumberFormat="1" applyFont="1" applyFill="1" applyBorder="1" applyAlignment="1">
      <alignment horizontal="left" vertical="center" textRotation="90" wrapText="1"/>
    </xf>
    <xf numFmtId="176" fontId="2" fillId="6" borderId="14" xfId="50" applyNumberFormat="1" applyFont="1" applyFill="1" applyBorder="1" applyAlignment="1">
      <alignment horizontal="center" vertical="center" textRotation="90"/>
    </xf>
    <xf numFmtId="176" fontId="2" fillId="6" borderId="9" xfId="50" applyNumberFormat="1" applyFont="1" applyFill="1" applyBorder="1" applyAlignment="1">
      <alignment horizontal="center" vertical="center" textRotation="90" wrapText="1"/>
    </xf>
    <xf numFmtId="176" fontId="2" fillId="6" borderId="14" xfId="50" applyNumberFormat="1" applyFont="1" applyFill="1" applyBorder="1" applyAlignment="1">
      <alignment horizontal="center" vertical="center" textRotation="90" wrapText="1"/>
    </xf>
    <xf numFmtId="176" fontId="2" fillId="6" borderId="30" xfId="50" applyNumberFormat="1" applyFont="1" applyFill="1" applyBorder="1" applyAlignment="1">
      <alignment horizontal="left" vertical="center" textRotation="90"/>
    </xf>
    <xf numFmtId="176" fontId="2" fillId="6" borderId="30" xfId="50" applyNumberFormat="1" applyFont="1" applyFill="1" applyBorder="1" applyAlignment="1">
      <alignment horizontal="center" vertical="center" textRotation="90"/>
    </xf>
    <xf numFmtId="176" fontId="2" fillId="6" borderId="30" xfId="50" applyNumberFormat="1" applyFont="1" applyFill="1" applyBorder="1" applyAlignment="1">
      <alignment horizontal="center" vertical="center" textRotation="90" wrapText="1"/>
    </xf>
    <xf numFmtId="176" fontId="2" fillId="2" borderId="31" xfId="50" applyNumberFormat="1" applyFont="1" applyFill="1" applyBorder="1" applyAlignment="1">
      <alignment horizontal="center" vertical="center"/>
    </xf>
    <xf numFmtId="176" fontId="2" fillId="2" borderId="30" xfId="50" applyNumberFormat="1" applyFont="1" applyFill="1" applyBorder="1" applyAlignment="1">
      <alignment horizontal="center" vertical="center"/>
    </xf>
    <xf numFmtId="0" fontId="5" fillId="7" borderId="32" xfId="0" applyNumberFormat="1" applyFont="1" applyFill="1" applyBorder="1" applyAlignment="1">
      <alignment horizontal="center" wrapText="1"/>
    </xf>
    <xf numFmtId="0" fontId="8" fillId="2" borderId="15" xfId="52" applyNumberFormat="1" applyFont="1" applyFill="1" applyBorder="1" applyAlignment="1" applyProtection="1">
      <alignment horizontal="center"/>
      <protection locked="0"/>
    </xf>
    <xf numFmtId="176" fontId="2" fillId="6" borderId="2" xfId="50" applyNumberFormat="1" applyFont="1" applyFill="1" applyBorder="1" applyAlignment="1">
      <alignment horizontal="center" vertical="center"/>
    </xf>
    <xf numFmtId="0" fontId="2" fillId="6" borderId="20" xfId="0" applyNumberFormat="1" applyFont="1" applyFill="1" applyBorder="1" applyAlignment="1">
      <alignment horizontal="center" vertical="center"/>
    </xf>
    <xf numFmtId="176" fontId="2" fillId="6" borderId="8" xfId="50" applyNumberFormat="1" applyFont="1" applyFill="1" applyBorder="1" applyAlignment="1">
      <alignment horizontal="center" textRotation="90"/>
    </xf>
    <xf numFmtId="176" fontId="2" fillId="6" borderId="2" xfId="50" applyNumberFormat="1" applyFont="1" applyFill="1" applyBorder="1" applyAlignment="1">
      <alignment horizontal="center" textRotation="90"/>
    </xf>
    <xf numFmtId="176" fontId="2" fillId="6" borderId="1" xfId="50" applyNumberFormat="1" applyFont="1" applyFill="1" applyBorder="1" applyAlignment="1">
      <alignment horizontal="center" textRotation="90"/>
    </xf>
    <xf numFmtId="0" fontId="2" fillId="6" borderId="1" xfId="50" applyNumberFormat="1" applyFont="1" applyFill="1" applyBorder="1" applyAlignment="1">
      <alignment horizontal="center" textRotation="90"/>
    </xf>
    <xf numFmtId="176" fontId="2" fillId="6" borderId="33" xfId="50" applyNumberFormat="1" applyFont="1" applyFill="1" applyBorder="1" applyAlignment="1">
      <alignment horizontal="center" textRotation="90"/>
    </xf>
    <xf numFmtId="0" fontId="2" fillId="6" borderId="33" xfId="50" applyNumberFormat="1" applyFont="1" applyFill="1" applyBorder="1" applyAlignment="1">
      <alignment horizontal="center" textRotation="90"/>
    </xf>
    <xf numFmtId="49" fontId="3" fillId="6" borderId="15" xfId="50" applyNumberFormat="1" applyFont="1" applyFill="1" applyBorder="1" applyAlignment="1">
      <alignment horizontal="center"/>
    </xf>
    <xf numFmtId="176" fontId="3" fillId="6" borderId="15" xfId="50" applyNumberFormat="1" applyFont="1" applyFill="1" applyBorder="1" applyAlignment="1">
      <alignment horizontal="center"/>
    </xf>
    <xf numFmtId="0" fontId="2" fillId="6" borderId="8" xfId="0" applyNumberFormat="1" applyFont="1" applyFill="1" applyBorder="1" applyAlignment="1">
      <alignment horizontal="center" vertical="center"/>
    </xf>
    <xf numFmtId="176" fontId="2" fillId="2" borderId="34" xfId="50" applyNumberFormat="1" applyFont="1" applyFill="1" applyBorder="1" applyAlignment="1">
      <alignment horizontal="center" textRotation="90"/>
    </xf>
    <xf numFmtId="176" fontId="2" fillId="2" borderId="14" xfId="50" applyNumberFormat="1" applyFont="1" applyFill="1" applyBorder="1" applyAlignment="1">
      <alignment horizontal="center" textRotation="90"/>
    </xf>
    <xf numFmtId="176" fontId="2" fillId="2" borderId="33" xfId="50" applyNumberFormat="1" applyFont="1" applyFill="1" applyBorder="1" applyAlignment="1">
      <alignment horizontal="center" textRotation="90"/>
    </xf>
    <xf numFmtId="176" fontId="2" fillId="2" borderId="35" xfId="50" applyNumberFormat="1" applyFont="1" applyFill="1" applyBorder="1" applyAlignment="1">
      <alignment horizontal="center" textRotation="90"/>
    </xf>
    <xf numFmtId="176" fontId="2" fillId="2" borderId="30" xfId="50" applyNumberFormat="1" applyFont="1" applyFill="1" applyBorder="1" applyAlignment="1">
      <alignment horizontal="center" textRotation="90"/>
    </xf>
    <xf numFmtId="0" fontId="3" fillId="2" borderId="15" xfId="0" applyNumberFormat="1" applyFont="1" applyFill="1" applyBorder="1" applyAlignment="1">
      <alignment horizontal="center" vertical="center"/>
    </xf>
    <xf numFmtId="179" fontId="3" fillId="2" borderId="15" xfId="0" applyNumberFormat="1" applyFont="1" applyFill="1" applyBorder="1" applyAlignment="1">
      <alignment vertical="center"/>
    </xf>
    <xf numFmtId="0" fontId="3" fillId="2" borderId="16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/>
    <xf numFmtId="176" fontId="2" fillId="3" borderId="36" xfId="50" applyNumberFormat="1" applyFont="1" applyFill="1" applyBorder="1" applyAlignment="1">
      <alignment horizontal="center" vertical="center"/>
    </xf>
    <xf numFmtId="176" fontId="2" fillId="2" borderId="37" xfId="50" applyNumberFormat="1" applyFont="1" applyFill="1" applyBorder="1" applyAlignment="1">
      <alignment horizontal="center" textRotation="90"/>
    </xf>
    <xf numFmtId="176" fontId="2" fillId="2" borderId="38" xfId="50" applyNumberFormat="1" applyFont="1" applyFill="1" applyBorder="1" applyAlignment="1">
      <alignment horizontal="center" textRotation="90"/>
    </xf>
    <xf numFmtId="176" fontId="2" fillId="3" borderId="39" xfId="50" applyNumberFormat="1" applyFont="1" applyFill="1" applyBorder="1" applyAlignment="1">
      <alignment horizontal="center" textRotation="90" wrapText="1"/>
    </xf>
    <xf numFmtId="176" fontId="2" fillId="2" borderId="40" xfId="50" applyNumberFormat="1" applyFont="1" applyFill="1" applyBorder="1" applyAlignment="1">
      <alignment horizontal="center" textRotation="90"/>
    </xf>
    <xf numFmtId="176" fontId="2" fillId="2" borderId="41" xfId="50" applyNumberFormat="1" applyFont="1" applyFill="1" applyBorder="1" applyAlignment="1">
      <alignment horizontal="center" textRotation="90"/>
    </xf>
    <xf numFmtId="176" fontId="2" fillId="2" borderId="42" xfId="50" applyNumberFormat="1" applyFont="1" applyFill="1" applyBorder="1" applyAlignment="1">
      <alignment horizontal="center" textRotation="90"/>
    </xf>
    <xf numFmtId="176" fontId="2" fillId="2" borderId="43" xfId="50" applyNumberFormat="1" applyFont="1" applyFill="1" applyBorder="1" applyAlignment="1">
      <alignment horizontal="center" textRotation="90"/>
    </xf>
    <xf numFmtId="176" fontId="2" fillId="2" borderId="44" xfId="50" applyNumberFormat="1" applyFont="1" applyFill="1" applyBorder="1" applyAlignment="1">
      <alignment horizontal="center" textRotation="90"/>
    </xf>
    <xf numFmtId="176" fontId="2" fillId="3" borderId="45" xfId="50" applyNumberFormat="1" applyFont="1" applyFill="1" applyBorder="1" applyAlignment="1">
      <alignment horizontal="center" textRotation="90" wrapText="1"/>
    </xf>
    <xf numFmtId="0" fontId="5" fillId="8" borderId="32" xfId="0" applyNumberFormat="1" applyFont="1" applyFill="1" applyBorder="1" applyAlignment="1">
      <alignment horizontal="center" wrapText="1"/>
    </xf>
    <xf numFmtId="176" fontId="2" fillId="9" borderId="1" xfId="50" applyNumberFormat="1" applyFont="1" applyFill="1" applyBorder="1" applyAlignment="1">
      <alignment horizontal="center" textRotation="90"/>
    </xf>
    <xf numFmtId="176" fontId="2" fillId="9" borderId="11" xfId="50" applyNumberFormat="1" applyFont="1" applyFill="1" applyBorder="1" applyAlignment="1">
      <alignment horizontal="center" textRotation="90"/>
    </xf>
    <xf numFmtId="176" fontId="2" fillId="9" borderId="33" xfId="50" applyNumberFormat="1" applyFont="1" applyFill="1" applyBorder="1" applyAlignment="1">
      <alignment horizontal="center" textRotation="90"/>
    </xf>
    <xf numFmtId="176" fontId="2" fillId="3" borderId="33" xfId="50" applyNumberFormat="1" applyFont="1" applyFill="1" applyBorder="1" applyAlignment="1">
      <alignment horizontal="center" textRotation="90"/>
    </xf>
    <xf numFmtId="0" fontId="2" fillId="3" borderId="33" xfId="50" applyNumberFormat="1" applyFont="1" applyFill="1" applyBorder="1" applyAlignment="1">
      <alignment horizontal="center" textRotation="90"/>
    </xf>
    <xf numFmtId="176" fontId="3" fillId="10" borderId="16" xfId="0" applyNumberFormat="1" applyFont="1" applyFill="1" applyBorder="1" applyAlignment="1">
      <alignment horizontal="left"/>
    </xf>
    <xf numFmtId="176" fontId="2" fillId="3" borderId="1" xfId="0" applyNumberFormat="1" applyFont="1" applyFill="1" applyBorder="1" applyAlignment="1">
      <alignment horizontal="center" vertical="center" textRotation="90"/>
    </xf>
    <xf numFmtId="176" fontId="2" fillId="3" borderId="33" xfId="0" applyNumberFormat="1" applyFont="1" applyFill="1" applyBorder="1" applyAlignment="1">
      <alignment horizontal="center" vertical="center" textRotation="90"/>
    </xf>
    <xf numFmtId="176" fontId="3" fillId="3" borderId="16" xfId="0" applyNumberFormat="1" applyFont="1" applyFill="1" applyBorder="1" applyAlignment="1">
      <alignment vertical="center"/>
    </xf>
    <xf numFmtId="176" fontId="4" fillId="0" borderId="15" xfId="0" applyNumberFormat="1" applyFont="1" applyFill="1" applyBorder="1" applyAlignment="1"/>
    <xf numFmtId="176" fontId="2" fillId="2" borderId="21" xfId="50" applyNumberFormat="1" applyFont="1" applyFill="1" applyBorder="1" applyAlignment="1">
      <alignment horizontal="center" vertical="center"/>
    </xf>
    <xf numFmtId="176" fontId="2" fillId="2" borderId="46" xfId="50" applyNumberFormat="1" applyFont="1" applyFill="1" applyBorder="1" applyAlignment="1">
      <alignment horizontal="center" textRotation="90"/>
    </xf>
    <xf numFmtId="176" fontId="2" fillId="2" borderId="47" xfId="50" applyNumberFormat="1" applyFont="1" applyFill="1" applyBorder="1" applyAlignment="1">
      <alignment horizontal="center" textRotation="90"/>
    </xf>
    <xf numFmtId="176" fontId="2" fillId="3" borderId="48" xfId="50" applyNumberFormat="1" applyFont="1" applyFill="1" applyBorder="1" applyAlignment="1">
      <alignment horizontal="center" vertical="center" textRotation="90" wrapText="1"/>
    </xf>
    <xf numFmtId="176" fontId="2" fillId="2" borderId="49" xfId="50" applyNumberFormat="1" applyFont="1" applyFill="1" applyBorder="1" applyAlignment="1">
      <alignment horizontal="center" textRotation="90"/>
    </xf>
    <xf numFmtId="176" fontId="2" fillId="2" borderId="50" xfId="50" applyNumberFormat="1" applyFont="1" applyFill="1" applyBorder="1" applyAlignment="1">
      <alignment horizontal="center" textRotation="90"/>
    </xf>
    <xf numFmtId="176" fontId="2" fillId="3" borderId="51" xfId="50" applyNumberFormat="1" applyFont="1" applyFill="1" applyBorder="1" applyAlignment="1">
      <alignment horizontal="center" vertical="center" textRotation="90" wrapText="1"/>
    </xf>
    <xf numFmtId="49" fontId="3" fillId="2" borderId="52" xfId="50" applyNumberFormat="1" applyFont="1" applyFill="1" applyBorder="1" applyAlignment="1">
      <alignment horizontal="left"/>
    </xf>
    <xf numFmtId="176" fontId="2" fillId="2" borderId="15" xfId="50" applyNumberFormat="1" applyFont="1" applyFill="1" applyBorder="1" applyAlignment="1">
      <alignment horizontal="center" vertical="center" textRotation="90"/>
    </xf>
    <xf numFmtId="176" fontId="3" fillId="2" borderId="45" xfId="50" applyNumberFormat="1" applyFont="1" applyFill="1" applyBorder="1" applyAlignment="1">
      <alignment horizontal="left"/>
    </xf>
    <xf numFmtId="176" fontId="9" fillId="2" borderId="15" xfId="50" applyNumberFormat="1" applyFont="1" applyFill="1" applyBorder="1" applyAlignment="1">
      <alignment horizontal="left"/>
    </xf>
    <xf numFmtId="0" fontId="5" fillId="8" borderId="52" xfId="0" applyNumberFormat="1" applyFont="1" applyFill="1" applyBorder="1" applyAlignment="1">
      <alignment horizontal="center" wrapText="1"/>
    </xf>
    <xf numFmtId="176" fontId="3" fillId="2" borderId="53" xfId="50" applyNumberFormat="1" applyFont="1" applyFill="1" applyBorder="1" applyAlignment="1">
      <alignment horizontal="left"/>
    </xf>
    <xf numFmtId="176" fontId="8" fillId="2" borderId="15" xfId="50" applyNumberFormat="1" applyFont="1" applyFill="1" applyBorder="1" applyAlignment="1">
      <alignment horizontal="left"/>
    </xf>
    <xf numFmtId="0" fontId="5" fillId="8" borderId="16" xfId="0" applyNumberFormat="1" applyFont="1" applyFill="1" applyBorder="1" applyAlignment="1">
      <alignment horizontal="center" wrapText="1"/>
    </xf>
    <xf numFmtId="176" fontId="2" fillId="2" borderId="27" xfId="50" applyNumberFormat="1" applyFont="1" applyFill="1" applyBorder="1" applyAlignment="1">
      <alignment horizontal="center" vertical="center" textRotation="90"/>
    </xf>
    <xf numFmtId="176" fontId="2" fillId="2" borderId="28" xfId="50" applyNumberFormat="1" applyFont="1" applyFill="1" applyBorder="1" applyAlignment="1">
      <alignment horizontal="center" vertical="center" textRotation="90"/>
    </xf>
    <xf numFmtId="176" fontId="2" fillId="2" borderId="16" xfId="50" applyNumberFormat="1" applyFont="1" applyFill="1" applyBorder="1" applyAlignment="1">
      <alignment horizontal="center" vertical="center" textRotation="90"/>
    </xf>
    <xf numFmtId="176" fontId="2" fillId="2" borderId="54" xfId="50" applyNumberFormat="1" applyFont="1" applyFill="1" applyBorder="1" applyAlignment="1">
      <alignment horizontal="center" vertical="center"/>
    </xf>
    <xf numFmtId="176" fontId="2" fillId="3" borderId="8" xfId="50" applyNumberFormat="1" applyFont="1" applyFill="1" applyBorder="1" applyAlignment="1">
      <alignment horizontal="center" vertical="center"/>
    </xf>
    <xf numFmtId="176" fontId="2" fillId="3" borderId="55" xfId="50" applyNumberFormat="1" applyFont="1" applyFill="1" applyBorder="1" applyAlignment="1">
      <alignment horizontal="center" vertical="center" textRotation="90" wrapText="1"/>
    </xf>
    <xf numFmtId="176" fontId="2" fillId="2" borderId="56" xfId="50" applyNumberFormat="1" applyFont="1" applyFill="1" applyBorder="1" applyAlignment="1">
      <alignment horizontal="center" vertical="center"/>
    </xf>
    <xf numFmtId="176" fontId="2" fillId="3" borderId="57" xfId="50" applyNumberFormat="1" applyFont="1" applyFill="1" applyBorder="1" applyAlignment="1">
      <alignment horizontal="center" vertical="center" textRotation="90" wrapText="1"/>
    </xf>
    <xf numFmtId="176" fontId="2" fillId="2" borderId="58" xfId="50" applyNumberFormat="1" applyFont="1" applyFill="1" applyBorder="1" applyAlignment="1">
      <alignment horizontal="center" vertical="center"/>
    </xf>
    <xf numFmtId="0" fontId="8" fillId="2" borderId="16" xfId="52" applyNumberFormat="1" applyFont="1" applyFill="1" applyBorder="1" applyAlignment="1" applyProtection="1">
      <alignment horizontal="left"/>
    </xf>
    <xf numFmtId="176" fontId="8" fillId="3" borderId="15" xfId="50" applyNumberFormat="1" applyFont="1" applyFill="1" applyBorder="1" applyAlignment="1">
      <alignment horizontal="left"/>
    </xf>
    <xf numFmtId="14" fontId="10" fillId="3" borderId="15" xfId="50" applyNumberFormat="1" applyFont="1" applyFill="1" applyBorder="1" applyAlignment="1">
      <alignment horizontal="left"/>
    </xf>
    <xf numFmtId="176" fontId="8" fillId="3" borderId="15" xfId="50" applyNumberFormat="1" applyFont="1" applyFill="1" applyBorder="1" applyAlignment="1">
      <alignment horizontal="center"/>
    </xf>
    <xf numFmtId="176" fontId="8" fillId="3" borderId="15" xfId="0" applyNumberFormat="1" applyFont="1" applyFill="1" applyBorder="1" applyAlignment="1"/>
    <xf numFmtId="0" fontId="8" fillId="2" borderId="16" xfId="52" applyNumberFormat="1" applyFont="1" applyFill="1" applyBorder="1" applyAlignment="1" applyProtection="1">
      <alignment horizontal="center"/>
      <protection locked="0"/>
    </xf>
    <xf numFmtId="176" fontId="4" fillId="3" borderId="15" xfId="0" applyNumberFormat="1" applyFont="1" applyFill="1" applyBorder="1" applyAlignment="1"/>
    <xf numFmtId="0" fontId="9" fillId="2" borderId="16" xfId="52" applyNumberFormat="1" applyFont="1" applyFill="1" applyBorder="1" applyAlignment="1" applyProtection="1">
      <alignment horizontal="center"/>
      <protection locked="0"/>
    </xf>
    <xf numFmtId="176" fontId="2" fillId="3" borderId="9" xfId="0" applyNumberFormat="1" applyFont="1" applyFill="1" applyBorder="1" applyAlignment="1">
      <alignment horizontal="center" vertical="center" textRotation="90"/>
    </xf>
    <xf numFmtId="176" fontId="2" fillId="3" borderId="14" xfId="0" applyNumberFormat="1" applyFont="1" applyFill="1" applyBorder="1" applyAlignment="1">
      <alignment horizontal="center" vertical="center" textRotation="90"/>
    </xf>
    <xf numFmtId="176" fontId="2" fillId="3" borderId="30" xfId="0" applyNumberFormat="1" applyFont="1" applyFill="1" applyBorder="1" applyAlignment="1">
      <alignment horizontal="center" vertical="center" textRotation="90"/>
    </xf>
    <xf numFmtId="176" fontId="4" fillId="0" borderId="0" xfId="0" applyNumberFormat="1" applyFont="1" applyFill="1" applyBorder="1" applyAlignment="1"/>
    <xf numFmtId="176" fontId="3" fillId="3" borderId="15" xfId="0" applyNumberFormat="1" applyFont="1" applyFill="1" applyBorder="1" applyAlignment="1">
      <alignment vertical="center"/>
    </xf>
    <xf numFmtId="176" fontId="4" fillId="0" borderId="53" xfId="0" applyNumberFormat="1" applyFont="1" applyFill="1" applyBorder="1" applyAlignment="1"/>
    <xf numFmtId="176" fontId="10" fillId="0" borderId="0" xfId="50" applyNumberFormat="1" applyFont="1" applyFill="1" applyAlignment="1"/>
    <xf numFmtId="176" fontId="10" fillId="2" borderId="0" xfId="50" applyNumberFormat="1" applyFont="1" applyFill="1" applyAlignment="1"/>
    <xf numFmtId="176" fontId="10" fillId="0" borderId="0" xfId="50" applyNumberFormat="1" applyFont="1" applyFill="1" applyBorder="1" applyAlignment="1"/>
    <xf numFmtId="176" fontId="2" fillId="2" borderId="59" xfId="50" applyNumberFormat="1" applyFont="1" applyFill="1" applyBorder="1" applyAlignment="1">
      <alignment horizontal="center" vertical="center"/>
    </xf>
    <xf numFmtId="176" fontId="2" fillId="2" borderId="60" xfId="50" applyNumberFormat="1" applyFont="1" applyFill="1" applyBorder="1" applyAlignment="1">
      <alignment horizontal="center" vertical="center"/>
    </xf>
    <xf numFmtId="176" fontId="2" fillId="2" borderId="61" xfId="50" applyNumberFormat="1" applyFont="1" applyFill="1" applyBorder="1" applyAlignment="1">
      <alignment horizontal="center" vertical="center"/>
    </xf>
    <xf numFmtId="176" fontId="2" fillId="11" borderId="55" xfId="50" applyNumberFormat="1" applyFont="1" applyFill="1" applyBorder="1" applyAlignment="1">
      <alignment horizontal="center" vertical="center"/>
    </xf>
    <xf numFmtId="176" fontId="2" fillId="11" borderId="62" xfId="50" applyNumberFormat="1" applyFont="1" applyFill="1" applyBorder="1" applyAlignment="1">
      <alignment horizontal="center" vertical="center" textRotation="90"/>
    </xf>
    <xf numFmtId="176" fontId="2" fillId="11" borderId="14" xfId="50" applyNumberFormat="1" applyFont="1" applyFill="1" applyBorder="1" applyAlignment="1">
      <alignment horizontal="center" vertical="center" textRotation="90"/>
    </xf>
    <xf numFmtId="49" fontId="8" fillId="2" borderId="15" xfId="50" applyNumberFormat="1" applyFont="1" applyFill="1" applyBorder="1" applyAlignment="1">
      <alignment horizontal="left"/>
    </xf>
    <xf numFmtId="49" fontId="11" fillId="2" borderId="15" xfId="50" applyNumberFormat="1" applyFont="1" applyFill="1" applyBorder="1" applyAlignment="1">
      <alignment horizontal="left"/>
    </xf>
    <xf numFmtId="0" fontId="12" fillId="11" borderId="15" xfId="0" applyNumberFormat="1" applyFont="1" applyFill="1" applyBorder="1" applyAlignment="1">
      <alignment horizontal="center" wrapText="1"/>
    </xf>
    <xf numFmtId="0" fontId="8" fillId="11" borderId="15" xfId="0" applyNumberFormat="1" applyFont="1" applyFill="1" applyBorder="1" applyAlignment="1">
      <alignment horizontal="center" wrapText="1"/>
    </xf>
    <xf numFmtId="176" fontId="2" fillId="11" borderId="63" xfId="50" applyNumberFormat="1" applyFont="1" applyFill="1" applyBorder="1" applyAlignment="1">
      <alignment horizontal="center" vertical="center"/>
    </xf>
    <xf numFmtId="176" fontId="2" fillId="11" borderId="48" xfId="50" applyNumberFormat="1" applyFont="1" applyFill="1" applyBorder="1" applyAlignment="1">
      <alignment horizontal="center" vertical="center"/>
    </xf>
    <xf numFmtId="176" fontId="2" fillId="2" borderId="55" xfId="50" applyNumberFormat="1" applyFont="1" applyFill="1" applyBorder="1" applyAlignment="1">
      <alignment horizontal="center" vertical="center"/>
    </xf>
    <xf numFmtId="176" fontId="2" fillId="2" borderId="63" xfId="50" applyNumberFormat="1" applyFont="1" applyFill="1" applyBorder="1" applyAlignment="1">
      <alignment horizontal="center" vertical="center"/>
    </xf>
    <xf numFmtId="176" fontId="2" fillId="11" borderId="62" xfId="50" applyNumberFormat="1" applyFont="1" applyFill="1" applyBorder="1" applyAlignment="1">
      <alignment horizontal="center" vertical="center" textRotation="90" wrapText="1"/>
    </xf>
    <xf numFmtId="176" fontId="2" fillId="2" borderId="9" xfId="50" applyNumberFormat="1" applyFont="1" applyFill="1" applyBorder="1" applyAlignment="1">
      <alignment horizontal="center" vertical="center" wrapText="1"/>
    </xf>
    <xf numFmtId="176" fontId="2" fillId="11" borderId="14" xfId="50" applyNumberFormat="1" applyFont="1" applyFill="1" applyBorder="1" applyAlignment="1">
      <alignment horizontal="center" vertical="center" textRotation="90" wrapText="1"/>
    </xf>
    <xf numFmtId="0" fontId="13" fillId="11" borderId="15" xfId="0" applyNumberFormat="1" applyFont="1" applyFill="1" applyBorder="1" applyAlignment="1">
      <alignment horizontal="center" wrapText="1"/>
    </xf>
    <xf numFmtId="176" fontId="2" fillId="2" borderId="64" xfId="50" applyNumberFormat="1" applyFont="1" applyFill="1" applyBorder="1" applyAlignment="1">
      <alignment horizontal="center" vertical="center"/>
    </xf>
    <xf numFmtId="176" fontId="2" fillId="2" borderId="65" xfId="50" applyNumberFormat="1" applyFont="1" applyFill="1" applyBorder="1" applyAlignment="1">
      <alignment horizontal="center" vertical="center"/>
    </xf>
    <xf numFmtId="176" fontId="2" fillId="2" borderId="66" xfId="50" applyNumberFormat="1" applyFont="1" applyFill="1" applyBorder="1" applyAlignment="1">
      <alignment horizontal="center" vertical="center"/>
    </xf>
    <xf numFmtId="176" fontId="2" fillId="11" borderId="8" xfId="50" applyNumberFormat="1" applyFont="1" applyFill="1" applyBorder="1" applyAlignment="1">
      <alignment horizontal="center" textRotation="90"/>
    </xf>
    <xf numFmtId="176" fontId="2" fillId="11" borderId="2" xfId="50" applyNumberFormat="1" applyFont="1" applyFill="1" applyBorder="1" applyAlignment="1">
      <alignment horizontal="center" textRotation="90"/>
    </xf>
    <xf numFmtId="176" fontId="2" fillId="11" borderId="1" xfId="50" applyNumberFormat="1" applyFont="1" applyFill="1" applyBorder="1" applyAlignment="1">
      <alignment horizontal="center" textRotation="90"/>
    </xf>
    <xf numFmtId="176" fontId="2" fillId="2" borderId="62" xfId="50" applyNumberFormat="1" applyFont="1" applyFill="1" applyBorder="1" applyAlignment="1">
      <alignment horizontal="center" vertical="center"/>
    </xf>
    <xf numFmtId="176" fontId="2" fillId="11" borderId="13" xfId="50" applyNumberFormat="1" applyFont="1" applyFill="1" applyBorder="1" applyAlignment="1">
      <alignment horizontal="center" textRotation="90"/>
    </xf>
    <xf numFmtId="176" fontId="2" fillId="11" borderId="11" xfId="50" applyNumberFormat="1" applyFont="1" applyFill="1" applyBorder="1" applyAlignment="1">
      <alignment horizontal="center" textRotation="90"/>
    </xf>
    <xf numFmtId="176" fontId="8" fillId="5" borderId="15" xfId="0" applyNumberFormat="1" applyFont="1" applyFill="1" applyBorder="1" applyAlignment="1">
      <alignment horizontal="left"/>
    </xf>
    <xf numFmtId="49" fontId="14" fillId="12" borderId="15" xfId="50" applyNumberFormat="1" applyFont="1" applyFill="1" applyBorder="1" applyAlignment="1">
      <alignment horizontal="center"/>
    </xf>
    <xf numFmtId="49" fontId="8" fillId="12" borderId="15" xfId="50" applyNumberFormat="1" applyFont="1" applyFill="1" applyBorder="1" applyAlignment="1">
      <alignment horizontal="center"/>
    </xf>
    <xf numFmtId="176" fontId="8" fillId="2" borderId="15" xfId="0" applyNumberFormat="1" applyFont="1" applyFill="1" applyBorder="1" applyAlignment="1">
      <alignment horizontal="left"/>
    </xf>
    <xf numFmtId="176" fontId="1" fillId="0" borderId="0" xfId="50" applyNumberFormat="1" applyFont="1" applyFill="1" applyAlignment="1">
      <alignment horizontal="center" vertical="center"/>
    </xf>
    <xf numFmtId="176" fontId="2" fillId="2" borderId="29" xfId="0" applyNumberFormat="1" applyFont="1" applyFill="1" applyBorder="1" applyAlignment="1">
      <alignment horizontal="left" vertical="center"/>
    </xf>
    <xf numFmtId="176" fontId="2" fillId="11" borderId="3" xfId="0" applyNumberFormat="1" applyFont="1" applyFill="1" applyBorder="1" applyAlignment="1">
      <alignment horizontal="center"/>
    </xf>
    <xf numFmtId="176" fontId="2" fillId="11" borderId="18" xfId="0" applyNumberFormat="1" applyFont="1" applyFill="1" applyBorder="1" applyAlignment="1">
      <alignment horizontal="center" vertical="center"/>
    </xf>
    <xf numFmtId="0" fontId="2" fillId="11" borderId="1" xfId="50" applyNumberFormat="1" applyFont="1" applyFill="1" applyBorder="1" applyAlignment="1">
      <alignment horizontal="center" textRotation="90"/>
    </xf>
    <xf numFmtId="176" fontId="2" fillId="2" borderId="38" xfId="50" applyNumberFormat="1" applyFont="1" applyFill="1" applyBorder="1" applyAlignment="1">
      <alignment horizontal="center" vertical="center" textRotation="90" wrapText="1"/>
    </xf>
    <xf numFmtId="176" fontId="2" fillId="11" borderId="14" xfId="0" applyNumberFormat="1" applyFont="1" applyFill="1" applyBorder="1" applyAlignment="1">
      <alignment horizontal="center" textRotation="90"/>
    </xf>
    <xf numFmtId="176" fontId="2" fillId="11" borderId="51" xfId="0" applyNumberFormat="1" applyFont="1" applyFill="1" applyBorder="1" applyAlignment="1">
      <alignment horizontal="center" vertical="center" textRotation="90"/>
    </xf>
    <xf numFmtId="0" fontId="2" fillId="11" borderId="11" xfId="50" applyNumberFormat="1" applyFont="1" applyFill="1" applyBorder="1" applyAlignment="1">
      <alignment horizontal="center" textRotation="90"/>
    </xf>
    <xf numFmtId="176" fontId="2" fillId="2" borderId="67" xfId="50" applyNumberFormat="1" applyFont="1" applyFill="1" applyBorder="1" applyAlignment="1">
      <alignment horizontal="center" vertical="center" textRotation="90"/>
    </xf>
    <xf numFmtId="176" fontId="8" fillId="11" borderId="15" xfId="50" applyNumberFormat="1" applyFont="1" applyFill="1" applyBorder="1" applyAlignment="1">
      <alignment horizontal="center"/>
    </xf>
    <xf numFmtId="0" fontId="8" fillId="2" borderId="15" xfId="0" applyNumberFormat="1" applyFont="1" applyFill="1" applyBorder="1" applyAlignment="1">
      <alignment horizontal="center" vertical="center"/>
    </xf>
    <xf numFmtId="179" fontId="3" fillId="2" borderId="15" xfId="0" applyNumberFormat="1" applyFont="1" applyFill="1" applyBorder="1" applyAlignment="1">
      <alignment horizontal="center" vertical="center"/>
    </xf>
    <xf numFmtId="179" fontId="8" fillId="2" borderId="15" xfId="0" applyNumberFormat="1" applyFont="1" applyFill="1" applyBorder="1" applyAlignment="1">
      <alignment vertical="center"/>
    </xf>
    <xf numFmtId="176" fontId="8" fillId="11" borderId="15" xfId="0" applyNumberFormat="1" applyFont="1" applyFill="1" applyBorder="1" applyAlignment="1">
      <alignment horizontal="center" vertical="center"/>
    </xf>
    <xf numFmtId="49" fontId="14" fillId="11" borderId="15" xfId="5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 vertical="center"/>
    </xf>
    <xf numFmtId="176" fontId="10" fillId="0" borderId="0" xfId="50" applyNumberFormat="1" applyFont="1" applyFill="1" applyAlignment="1">
      <alignment horizontal="right"/>
    </xf>
    <xf numFmtId="1" fontId="10" fillId="0" borderId="0" xfId="50" applyNumberFormat="1" applyFont="1" applyFill="1" applyAlignment="1">
      <alignment horizontal="right"/>
    </xf>
    <xf numFmtId="176" fontId="10" fillId="0" borderId="0" xfId="50" applyNumberFormat="1" applyFont="1" applyFill="1" applyAlignment="1">
      <alignment horizontal="left"/>
    </xf>
    <xf numFmtId="2" fontId="10" fillId="0" borderId="0" xfId="50" applyNumberFormat="1" applyFont="1" applyFill="1" applyAlignment="1">
      <alignment horizontal="right"/>
    </xf>
    <xf numFmtId="1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Border="1" applyAlignment="1">
      <alignment horizontal="left"/>
    </xf>
    <xf numFmtId="2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Alignment="1">
      <alignment horizontal="center"/>
    </xf>
    <xf numFmtId="176" fontId="10" fillId="0" borderId="0" xfId="50" applyNumberFormat="1" applyFont="1" applyFill="1" applyBorder="1" applyAlignment="1">
      <alignment horizontal="center"/>
    </xf>
    <xf numFmtId="176" fontId="2" fillId="3" borderId="30" xfId="50" applyNumberFormat="1" applyFont="1" applyFill="1" applyBorder="1" applyAlignment="1">
      <alignment horizontal="center" vertical="center" textRotation="90"/>
    </xf>
    <xf numFmtId="176" fontId="8" fillId="2" borderId="16" xfId="50" applyNumberFormat="1" applyFont="1" applyFill="1" applyBorder="1" applyAlignment="1">
      <alignment horizontal="left"/>
    </xf>
    <xf numFmtId="49" fontId="8" fillId="2" borderId="16" xfId="50" applyNumberFormat="1" applyFont="1" applyFill="1" applyBorder="1" applyAlignment="1">
      <alignment horizontal="left"/>
    </xf>
    <xf numFmtId="176" fontId="8" fillId="2" borderId="27" xfId="50" applyNumberFormat="1" applyFont="1" applyFill="1" applyBorder="1" applyAlignment="1">
      <alignment horizontal="left"/>
    </xf>
    <xf numFmtId="0" fontId="12" fillId="8" borderId="68" xfId="0" applyNumberFormat="1" applyFont="1" applyFill="1" applyBorder="1" applyAlignment="1">
      <alignment horizontal="center" wrapText="1"/>
    </xf>
    <xf numFmtId="49" fontId="11" fillId="2" borderId="16" xfId="50" applyNumberFormat="1" applyFont="1" applyFill="1" applyBorder="1" applyAlignment="1">
      <alignment horizontal="left"/>
    </xf>
    <xf numFmtId="0" fontId="12" fillId="8" borderId="32" xfId="0" applyNumberFormat="1" applyFont="1" applyFill="1" applyBorder="1" applyAlignment="1">
      <alignment horizontal="center" wrapText="1"/>
    </xf>
    <xf numFmtId="176" fontId="9" fillId="2" borderId="27" xfId="50" applyNumberFormat="1" applyFont="1" applyFill="1" applyBorder="1" applyAlignment="1">
      <alignment horizontal="left"/>
    </xf>
    <xf numFmtId="176" fontId="2" fillId="2" borderId="48" xfId="50" applyNumberFormat="1" applyFont="1" applyFill="1" applyBorder="1" applyAlignment="1">
      <alignment horizontal="center" vertical="center"/>
    </xf>
    <xf numFmtId="176" fontId="2" fillId="3" borderId="30" xfId="50" applyNumberFormat="1" applyFont="1" applyFill="1" applyBorder="1" applyAlignment="1">
      <alignment horizontal="center" vertical="center" textRotation="90" wrapText="1"/>
    </xf>
    <xf numFmtId="177" fontId="8" fillId="2" borderId="16" xfId="52" applyNumberFormat="1" applyFont="1" applyFill="1" applyBorder="1" applyAlignment="1" applyProtection="1">
      <alignment horizontal="center"/>
      <protection locked="0"/>
    </xf>
    <xf numFmtId="178" fontId="8" fillId="2" borderId="16" xfId="52" applyNumberFormat="1" applyFont="1" applyFill="1" applyBorder="1" applyAlignment="1" applyProtection="1">
      <alignment horizontal="center"/>
      <protection locked="0"/>
    </xf>
    <xf numFmtId="176" fontId="8" fillId="5" borderId="16" xfId="0" applyNumberFormat="1" applyFont="1" applyFill="1" applyBorder="1" applyAlignment="1">
      <alignment horizontal="left"/>
    </xf>
    <xf numFmtId="0" fontId="12" fillId="8" borderId="69" xfId="0" applyNumberFormat="1" applyFont="1" applyFill="1" applyBorder="1" applyAlignment="1">
      <alignment horizontal="center" wrapText="1"/>
    </xf>
    <xf numFmtId="0" fontId="12" fillId="8" borderId="70" xfId="0" applyNumberFormat="1" applyFont="1" applyFill="1" applyBorder="1" applyAlignment="1">
      <alignment horizontal="center" wrapText="1"/>
    </xf>
    <xf numFmtId="0" fontId="12" fillId="8" borderId="15" xfId="0" applyNumberFormat="1" applyFont="1" applyFill="1" applyBorder="1" applyAlignment="1">
      <alignment horizontal="center" wrapText="1"/>
    </xf>
    <xf numFmtId="178" fontId="8" fillId="2" borderId="45" xfId="52" applyNumberFormat="1" applyFont="1" applyFill="1" applyBorder="1" applyAlignment="1" applyProtection="1">
      <alignment horizontal="center"/>
      <protection locked="0"/>
    </xf>
    <xf numFmtId="178" fontId="1" fillId="0" borderId="0" xfId="50" applyNumberFormat="1" applyFont="1" applyFill="1" applyBorder="1" applyAlignment="1">
      <alignment horizontal="left"/>
    </xf>
    <xf numFmtId="176" fontId="2" fillId="2" borderId="71" xfId="50" applyNumberFormat="1" applyFont="1" applyFill="1" applyBorder="1" applyAlignment="1">
      <alignment horizontal="center" vertical="center"/>
    </xf>
    <xf numFmtId="49" fontId="3" fillId="3" borderId="15" xfId="50" applyNumberFormat="1" applyFont="1" applyFill="1" applyBorder="1" applyAlignment="1">
      <alignment horizontal="center" vertical="center"/>
    </xf>
    <xf numFmtId="49" fontId="14" fillId="3" borderId="15" xfId="50" applyNumberFormat="1" applyFont="1" applyFill="1" applyBorder="1" applyAlignment="1">
      <alignment horizontal="center"/>
    </xf>
    <xf numFmtId="49" fontId="8" fillId="3" borderId="15" xfId="50" applyNumberFormat="1" applyFont="1" applyFill="1" applyBorder="1" applyAlignment="1">
      <alignment horizontal="center"/>
    </xf>
    <xf numFmtId="176" fontId="2" fillId="3" borderId="3" xfId="0" applyNumberFormat="1" applyFont="1" applyFill="1" applyBorder="1" applyAlignment="1">
      <alignment horizontal="center"/>
    </xf>
    <xf numFmtId="176" fontId="2" fillId="3" borderId="14" xfId="0" applyNumberFormat="1" applyFont="1" applyFill="1" applyBorder="1" applyAlignment="1">
      <alignment horizontal="center" textRotation="90"/>
    </xf>
    <xf numFmtId="176" fontId="2" fillId="3" borderId="51" xfId="0" applyNumberFormat="1" applyFont="1" applyFill="1" applyBorder="1" applyAlignment="1">
      <alignment horizontal="center" vertical="center" textRotation="90"/>
    </xf>
    <xf numFmtId="176" fontId="2" fillId="3" borderId="30" xfId="0" applyNumberFormat="1" applyFont="1" applyFill="1" applyBorder="1" applyAlignment="1">
      <alignment horizontal="center" textRotation="90"/>
    </xf>
    <xf numFmtId="176" fontId="2" fillId="3" borderId="72" xfId="0" applyNumberFormat="1" applyFont="1" applyFill="1" applyBorder="1" applyAlignment="1">
      <alignment horizontal="center" vertical="center" textRotation="90"/>
    </xf>
    <xf numFmtId="0" fontId="8" fillId="2" borderId="16" xfId="0" applyNumberFormat="1" applyFont="1" applyFill="1" applyBorder="1" applyAlignment="1">
      <alignment horizontal="center" vertical="center"/>
    </xf>
    <xf numFmtId="176" fontId="8" fillId="3" borderId="16" xfId="0" applyNumberFormat="1" applyFont="1" applyFill="1" applyBorder="1" applyAlignment="1">
      <alignment horizontal="center" vertical="center"/>
    </xf>
    <xf numFmtId="176" fontId="2" fillId="2" borderId="35" xfId="50" applyNumberFormat="1" applyFont="1" applyFill="1" applyBorder="1" applyAlignment="1">
      <alignment horizontal="center" vertical="center"/>
    </xf>
    <xf numFmtId="176" fontId="2" fillId="2" borderId="9" xfId="50" applyNumberFormat="1" applyFont="1" applyFill="1" applyBorder="1" applyAlignment="1">
      <alignment horizontal="center" textRotation="90"/>
    </xf>
    <xf numFmtId="176" fontId="2" fillId="2" borderId="20" xfId="50" applyNumberFormat="1" applyFont="1" applyFill="1" applyBorder="1" applyAlignment="1">
      <alignment horizontal="center" textRotation="90"/>
    </xf>
    <xf numFmtId="176" fontId="2" fillId="2" borderId="73" xfId="50" applyNumberFormat="1" applyFont="1" applyFill="1" applyBorder="1" applyAlignment="1">
      <alignment horizontal="center" textRotation="90"/>
    </xf>
    <xf numFmtId="176" fontId="2" fillId="2" borderId="74" xfId="50" applyNumberFormat="1" applyFont="1" applyFill="1" applyBorder="1" applyAlignment="1">
      <alignment horizontal="center" textRotation="90"/>
    </xf>
    <xf numFmtId="176" fontId="7" fillId="2" borderId="15" xfId="50" applyNumberFormat="1" applyFont="1" applyFill="1" applyBorder="1" applyAlignment="1">
      <alignment horizontal="center" vertical="center" textRotation="90"/>
    </xf>
    <xf numFmtId="180" fontId="8" fillId="2" borderId="16" xfId="50" applyNumberFormat="1" applyFont="1" applyFill="1" applyBorder="1" applyAlignment="1">
      <alignment horizontal="left"/>
    </xf>
    <xf numFmtId="176" fontId="4" fillId="2" borderId="15" xfId="50" applyNumberFormat="1" applyFont="1" applyFill="1" applyBorder="1" applyAlignment="1">
      <alignment horizontal="center" textRotation="90"/>
    </xf>
    <xf numFmtId="176" fontId="9" fillId="2" borderId="16" xfId="50" applyNumberFormat="1" applyFont="1" applyFill="1" applyBorder="1" applyAlignment="1">
      <alignment horizontal="left"/>
    </xf>
    <xf numFmtId="180" fontId="8" fillId="2" borderId="45" xfId="50" applyNumberFormat="1" applyFont="1" applyFill="1" applyBorder="1" applyAlignment="1">
      <alignment horizontal="left"/>
    </xf>
    <xf numFmtId="176" fontId="2" fillId="2" borderId="75" xfId="50" applyNumberFormat="1" applyFont="1" applyFill="1" applyBorder="1" applyAlignment="1">
      <alignment horizontal="center" vertical="center"/>
    </xf>
    <xf numFmtId="176" fontId="2" fillId="13" borderId="54" xfId="50" applyNumberFormat="1" applyFont="1" applyFill="1" applyBorder="1" applyAlignment="1">
      <alignment horizontal="center" textRotation="90"/>
    </xf>
    <xf numFmtId="176" fontId="2" fillId="3" borderId="76" xfId="50" applyNumberFormat="1" applyFont="1" applyFill="1" applyBorder="1" applyAlignment="1">
      <alignment horizontal="center" vertical="center" textRotation="90"/>
    </xf>
    <xf numFmtId="176" fontId="2" fillId="3" borderId="34" xfId="50" applyNumberFormat="1" applyFont="1" applyFill="1" applyBorder="1" applyAlignment="1">
      <alignment horizontal="center" vertical="center" textRotation="90"/>
    </xf>
    <xf numFmtId="176" fontId="2" fillId="3" borderId="38" xfId="50" applyNumberFormat="1" applyFont="1" applyFill="1" applyBorder="1" applyAlignment="1">
      <alignment horizontal="center" vertical="center" textRotation="90"/>
    </xf>
    <xf numFmtId="176" fontId="2" fillId="3" borderId="54" xfId="50" applyNumberFormat="1" applyFont="1" applyFill="1" applyBorder="1" applyAlignment="1">
      <alignment horizontal="center" vertical="center" textRotation="90"/>
    </xf>
    <xf numFmtId="176" fontId="2" fillId="13" borderId="56" xfId="50" applyNumberFormat="1" applyFont="1" applyFill="1" applyBorder="1" applyAlignment="1">
      <alignment horizontal="center" textRotation="90"/>
    </xf>
    <xf numFmtId="176" fontId="2" fillId="3" borderId="73" xfId="50" applyNumberFormat="1" applyFont="1" applyFill="1" applyBorder="1" applyAlignment="1">
      <alignment horizontal="center" vertical="center" textRotation="90"/>
    </xf>
    <xf numFmtId="176" fontId="2" fillId="3" borderId="74" xfId="50" applyNumberFormat="1" applyFont="1" applyFill="1" applyBorder="1" applyAlignment="1">
      <alignment horizontal="center" vertical="center" textRotation="90"/>
    </xf>
    <xf numFmtId="176" fontId="2" fillId="3" borderId="44" xfId="50" applyNumberFormat="1" applyFont="1" applyFill="1" applyBorder="1" applyAlignment="1">
      <alignment horizontal="center" vertical="center" textRotation="90"/>
    </xf>
    <xf numFmtId="176" fontId="2" fillId="3" borderId="58" xfId="50" applyNumberFormat="1" applyFont="1" applyFill="1" applyBorder="1" applyAlignment="1">
      <alignment horizontal="center" vertical="center" textRotation="90"/>
    </xf>
    <xf numFmtId="176" fontId="2" fillId="13" borderId="58" xfId="50" applyNumberFormat="1" applyFont="1" applyFill="1" applyBorder="1" applyAlignment="1">
      <alignment horizontal="center" textRotation="90"/>
    </xf>
    <xf numFmtId="0" fontId="5" fillId="4" borderId="32" xfId="0" applyNumberFormat="1" applyFont="1" applyFill="1" applyBorder="1" applyAlignment="1">
      <alignment horizontal="center" wrapText="1"/>
    </xf>
    <xf numFmtId="0" fontId="5" fillId="4" borderId="16" xfId="0" applyNumberFormat="1" applyFont="1" applyFill="1" applyBorder="1" applyAlignment="1">
      <alignment horizontal="center" wrapText="1"/>
    </xf>
    <xf numFmtId="177" fontId="8" fillId="13" borderId="16" xfId="52" applyNumberFormat="1" applyFont="1" applyFill="1" applyBorder="1" applyAlignment="1" applyProtection="1">
      <alignment horizontal="center"/>
      <protection locked="0"/>
    </xf>
    <xf numFmtId="176" fontId="2" fillId="2" borderId="77" xfId="50" applyNumberFormat="1" applyFont="1" applyFill="1" applyBorder="1" applyAlignment="1">
      <alignment horizontal="center" vertical="center"/>
    </xf>
    <xf numFmtId="176" fontId="2" fillId="2" borderId="5" xfId="50" applyNumberFormat="1" applyFont="1" applyFill="1" applyBorder="1" applyAlignment="1">
      <alignment horizontal="center" vertical="center"/>
    </xf>
    <xf numFmtId="176" fontId="2" fillId="2" borderId="78" xfId="50" applyNumberFormat="1" applyFont="1" applyFill="1" applyBorder="1" applyAlignment="1">
      <alignment horizontal="center" textRotation="90"/>
    </xf>
    <xf numFmtId="176" fontId="2" fillId="2" borderId="79" xfId="50" applyNumberFormat="1" applyFont="1" applyFill="1" applyBorder="1" applyAlignment="1">
      <alignment horizontal="center" textRotation="90"/>
    </xf>
    <xf numFmtId="176" fontId="3" fillId="5" borderId="16" xfId="0" applyNumberFormat="1" applyFont="1" applyFill="1" applyBorder="1" applyAlignment="1">
      <alignment horizontal="left"/>
    </xf>
    <xf numFmtId="176" fontId="3" fillId="5" borderId="45" xfId="0" applyNumberFormat="1" applyFont="1" applyFill="1" applyBorder="1" applyAlignment="1">
      <alignment horizontal="left"/>
    </xf>
    <xf numFmtId="176" fontId="2" fillId="2" borderId="44" xfId="50" applyNumberFormat="1" applyFont="1" applyFill="1" applyBorder="1" applyAlignment="1">
      <alignment horizontal="center" vertical="center" textRotation="90"/>
    </xf>
    <xf numFmtId="179" fontId="3" fillId="2" borderId="16" xfId="0" applyNumberFormat="1" applyFont="1" applyFill="1" applyBorder="1" applyAlignment="1">
      <alignment horizontal="center" vertical="center"/>
    </xf>
    <xf numFmtId="1" fontId="15" fillId="0" borderId="0" xfId="50" applyNumberFormat="1" applyFont="1" applyFill="1" applyAlignment="1">
      <alignment horizontal="center" vertical="center" wrapText="1"/>
    </xf>
    <xf numFmtId="49" fontId="3" fillId="2" borderId="45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left"/>
    </xf>
    <xf numFmtId="181" fontId="8" fillId="14" borderId="15" xfId="52" applyNumberFormat="1" applyFont="1" applyFill="1" applyBorder="1" applyAlignment="1" applyProtection="1">
      <alignment horizontal="center"/>
      <protection locked="0"/>
    </xf>
    <xf numFmtId="181" fontId="8" fillId="14" borderId="16" xfId="52" applyNumberFormat="1" applyFont="1" applyFill="1" applyBorder="1" applyAlignment="1" applyProtection="1">
      <alignment horizontal="center"/>
      <protection locked="0"/>
    </xf>
    <xf numFmtId="177" fontId="8" fillId="13" borderId="15" xfId="52" applyNumberFormat="1" applyFont="1" applyFill="1" applyBorder="1" applyAlignment="1" applyProtection="1">
      <alignment horizontal="center"/>
      <protection locked="0"/>
    </xf>
    <xf numFmtId="0" fontId="5" fillId="4" borderId="80" xfId="0" applyNumberFormat="1" applyFont="1" applyFill="1" applyBorder="1" applyAlignment="1">
      <alignment horizontal="center" wrapText="1"/>
    </xf>
    <xf numFmtId="0" fontId="5" fillId="4" borderId="81" xfId="0" applyNumberFormat="1" applyFont="1" applyFill="1" applyBorder="1" applyAlignment="1">
      <alignment horizontal="center" wrapText="1"/>
    </xf>
    <xf numFmtId="0" fontId="5" fillId="4" borderId="28" xfId="0" applyNumberFormat="1" applyFont="1" applyFill="1" applyBorder="1" applyAlignment="1">
      <alignment horizontal="center" wrapText="1"/>
    </xf>
    <xf numFmtId="177" fontId="8" fillId="13" borderId="27" xfId="52" applyNumberFormat="1" applyFont="1" applyFill="1" applyBorder="1" applyAlignment="1" applyProtection="1">
      <alignment horizontal="center"/>
      <protection locked="0"/>
    </xf>
    <xf numFmtId="176" fontId="3" fillId="3" borderId="27" xfId="50" applyNumberFormat="1" applyFont="1" applyFill="1" applyBorder="1" applyAlignment="1">
      <alignment horizontal="center"/>
    </xf>
    <xf numFmtId="179" fontId="3" fillId="2" borderId="27" xfId="0" applyNumberFormat="1" applyFont="1" applyFill="1" applyBorder="1" applyAlignment="1">
      <alignment vertical="center"/>
    </xf>
    <xf numFmtId="176" fontId="1" fillId="0" borderId="0" xfId="50" applyNumberFormat="1" applyFont="1" applyFill="1" applyAlignment="1">
      <alignment horizontal="left" vertical="center"/>
    </xf>
    <xf numFmtId="176" fontId="3" fillId="2" borderId="16" xfId="50" applyNumberFormat="1" applyFont="1" applyFill="1" applyBorder="1" applyAlignment="1">
      <alignment horizontal="left" vertical="center"/>
    </xf>
    <xf numFmtId="49" fontId="3" fillId="2" borderId="16" xfId="50" applyNumberFormat="1" applyFont="1" applyFill="1" applyBorder="1" applyAlignment="1">
      <alignment horizontal="left" vertical="center"/>
    </xf>
    <xf numFmtId="176" fontId="2" fillId="2" borderId="16" xfId="50" applyNumberFormat="1" applyFont="1" applyFill="1" applyBorder="1" applyAlignment="1">
      <alignment horizontal="left" vertical="center" textRotation="90"/>
    </xf>
    <xf numFmtId="0" fontId="5" fillId="4" borderId="32" xfId="0" applyNumberFormat="1" applyFont="1" applyFill="1" applyBorder="1" applyAlignment="1">
      <alignment horizontal="left" vertical="center" wrapText="1"/>
    </xf>
    <xf numFmtId="176" fontId="2" fillId="2" borderId="3" xfId="50" applyNumberFormat="1" applyFont="1" applyFill="1" applyBorder="1" applyAlignment="1">
      <alignment horizontal="center"/>
    </xf>
    <xf numFmtId="176" fontId="2" fillId="2" borderId="18" xfId="50" applyNumberFormat="1" applyFont="1" applyFill="1" applyBorder="1" applyAlignment="1">
      <alignment horizontal="center"/>
    </xf>
    <xf numFmtId="176" fontId="2" fillId="2" borderId="30" xfId="50" applyNumberFormat="1" applyFont="1" applyFill="1" applyBorder="1" applyAlignment="1">
      <alignment horizontal="center" vertical="center" wrapText="1"/>
    </xf>
    <xf numFmtId="182" fontId="8" fillId="2" borderId="16" xfId="52" applyNumberFormat="1" applyFont="1" applyFill="1" applyBorder="1" applyAlignment="1" applyProtection="1">
      <alignment horizontal="left" vertical="center"/>
      <protection locked="0"/>
    </xf>
    <xf numFmtId="49" fontId="3" fillId="3" borderId="15" xfId="50" applyNumberFormat="1" applyFont="1" applyFill="1" applyBorder="1" applyAlignment="1">
      <alignment horizontal="left" vertical="center"/>
    </xf>
    <xf numFmtId="0" fontId="3" fillId="2" borderId="15" xfId="0" applyNumberFormat="1" applyFont="1" applyFill="1" applyBorder="1" applyAlignment="1">
      <alignment horizontal="left" vertical="center"/>
    </xf>
    <xf numFmtId="179" fontId="3" fillId="2" borderId="15" xfId="0" applyNumberFormat="1" applyFont="1" applyFill="1" applyBorder="1" applyAlignment="1">
      <alignment horizontal="left" vertical="center"/>
    </xf>
    <xf numFmtId="176" fontId="2" fillId="3" borderId="18" xfId="0" applyNumberFormat="1" applyFont="1" applyFill="1" applyBorder="1" applyAlignment="1">
      <alignment horizontal="center"/>
    </xf>
    <xf numFmtId="176" fontId="2" fillId="3" borderId="51" xfId="0" applyNumberFormat="1" applyFont="1" applyFill="1" applyBorder="1" applyAlignment="1">
      <alignment horizontal="center" textRotation="90"/>
    </xf>
    <xf numFmtId="176" fontId="2" fillId="3" borderId="72" xfId="0" applyNumberFormat="1" applyFont="1" applyFill="1" applyBorder="1" applyAlignment="1">
      <alignment horizontal="center" textRotation="90"/>
    </xf>
    <xf numFmtId="0" fontId="3" fillId="2" borderId="16" xfId="0" applyNumberFormat="1" applyFont="1" applyFill="1" applyBorder="1" applyAlignment="1">
      <alignment horizontal="left" vertical="center"/>
    </xf>
    <xf numFmtId="176" fontId="3" fillId="3" borderId="16" xfId="0" applyNumberFormat="1" applyFont="1" applyFill="1" applyBorder="1" applyAlignment="1">
      <alignment horizontal="left" vertical="center"/>
    </xf>
    <xf numFmtId="1" fontId="1" fillId="0" borderId="0" xfId="50" applyNumberFormat="1" applyFont="1" applyFill="1" applyAlignment="1">
      <alignment horizontal="left" vertical="center"/>
    </xf>
    <xf numFmtId="2" fontId="1" fillId="0" borderId="0" xfId="50" applyNumberFormat="1" applyFont="1" applyFill="1" applyAlignment="1">
      <alignment horizontal="left" vertical="center"/>
    </xf>
    <xf numFmtId="0" fontId="0" fillId="0" borderId="15" xfId="0" applyFont="1" applyBorder="1"/>
    <xf numFmtId="176" fontId="16" fillId="0" borderId="0" xfId="50" applyNumberFormat="1" applyFont="1" applyFill="1" applyBorder="1" applyAlignment="1">
      <alignment horizontal="left"/>
    </xf>
    <xf numFmtId="14" fontId="10" fillId="0" borderId="0" xfId="50" applyNumberFormat="1" applyFont="1" applyFill="1" applyBorder="1" applyAlignment="1">
      <alignment horizontal="right"/>
    </xf>
    <xf numFmtId="176" fontId="2" fillId="0" borderId="0" xfId="50" applyNumberFormat="1" applyFont="1" applyFill="1" applyAlignment="1">
      <alignment horizontal="center" vertical="center"/>
    </xf>
    <xf numFmtId="176" fontId="10" fillId="2" borderId="1" xfId="50" applyNumberFormat="1" applyFont="1" applyFill="1" applyBorder="1" applyAlignment="1">
      <alignment horizontal="center" vertical="center"/>
    </xf>
    <xf numFmtId="176" fontId="3" fillId="2" borderId="16" xfId="50" applyNumberFormat="1" applyFont="1" applyFill="1" applyBorder="1" applyAlignment="1">
      <alignment horizontal="center"/>
    </xf>
    <xf numFmtId="176" fontId="3" fillId="2" borderId="15" xfId="50" applyNumberFormat="1" applyFont="1" applyFill="1" applyBorder="1" applyAlignment="1">
      <alignment horizontal="center" textRotation="90"/>
    </xf>
    <xf numFmtId="0" fontId="8" fillId="2" borderId="82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center" vertical="center" textRotation="90"/>
    </xf>
    <xf numFmtId="0" fontId="6" fillId="2" borderId="16" xfId="0" applyNumberFormat="1" applyFont="1" applyFill="1" applyBorder="1" applyAlignment="1" applyProtection="1">
      <alignment horizontal="left"/>
    </xf>
    <xf numFmtId="0" fontId="3" fillId="2" borderId="16" xfId="0" applyNumberFormat="1" applyFont="1" applyFill="1" applyBorder="1" applyAlignment="1" applyProtection="1">
      <alignment horizontal="left"/>
    </xf>
    <xf numFmtId="176" fontId="3" fillId="2" borderId="28" xfId="50" applyNumberFormat="1" applyFont="1" applyFill="1" applyBorder="1" applyAlignment="1">
      <alignment horizontal="center" vertical="center" textRotation="90"/>
    </xf>
    <xf numFmtId="176" fontId="3" fillId="2" borderId="16" xfId="50" applyNumberFormat="1" applyFont="1" applyFill="1" applyBorder="1" applyAlignment="1">
      <alignment horizontal="center" vertical="center" textRotation="90"/>
    </xf>
    <xf numFmtId="49" fontId="8" fillId="2" borderId="82" xfId="50" applyNumberFormat="1" applyFont="1" applyFill="1" applyBorder="1" applyAlignment="1">
      <alignment horizontal="left"/>
    </xf>
    <xf numFmtId="176" fontId="2" fillId="2" borderId="16" xfId="50" applyNumberFormat="1" applyFont="1" applyFill="1" applyBorder="1" applyAlignment="1">
      <alignment horizontal="center" textRotation="90"/>
    </xf>
    <xf numFmtId="176" fontId="3" fillId="2" borderId="15" xfId="50" applyNumberFormat="1" applyFont="1" applyFill="1" applyBorder="1" applyAlignment="1">
      <alignment horizontal="center" vertical="center" textRotation="90"/>
    </xf>
    <xf numFmtId="176" fontId="2" fillId="2" borderId="15" xfId="50" applyNumberFormat="1" applyFont="1" applyFill="1" applyBorder="1" applyAlignment="1">
      <alignment horizontal="center" textRotation="90"/>
    </xf>
    <xf numFmtId="0" fontId="6" fillId="2" borderId="15" xfId="0" applyNumberFormat="1" applyFont="1" applyFill="1" applyBorder="1" applyAlignment="1" applyProtection="1">
      <alignment horizontal="left"/>
    </xf>
    <xf numFmtId="0" fontId="3" fillId="2" borderId="15" xfId="0" applyNumberFormat="1" applyFont="1" applyFill="1" applyBorder="1" applyAlignment="1" applyProtection="1">
      <alignment horizontal="left"/>
    </xf>
    <xf numFmtId="0" fontId="6" fillId="2" borderId="15" xfId="0" applyNumberFormat="1" applyFont="1" applyFill="1" applyBorder="1" applyAlignment="1" applyProtection="1">
      <alignment horizontal="left" vertical="center"/>
    </xf>
    <xf numFmtId="0" fontId="3" fillId="2" borderId="15" xfId="0" applyNumberFormat="1" applyFont="1" applyFill="1" applyBorder="1" applyAlignment="1" applyProtection="1">
      <alignment horizontal="left" vertical="center"/>
    </xf>
    <xf numFmtId="0" fontId="6" fillId="15" borderId="16" xfId="0" applyNumberFormat="1" applyFont="1" applyFill="1" applyBorder="1" applyAlignment="1" applyProtection="1">
      <alignment horizontal="left" vertical="center"/>
    </xf>
    <xf numFmtId="0" fontId="3" fillId="15" borderId="16" xfId="0" applyNumberFormat="1" applyFont="1" applyFill="1" applyBorder="1" applyAlignment="1" applyProtection="1">
      <alignment horizontal="left" vertical="center"/>
    </xf>
    <xf numFmtId="0" fontId="6" fillId="2" borderId="16" xfId="0" applyNumberFormat="1" applyFont="1" applyFill="1" applyBorder="1" applyAlignment="1" applyProtection="1">
      <alignment horizontal="left" vertical="center"/>
    </xf>
    <xf numFmtId="0" fontId="3" fillId="2" borderId="16" xfId="0" applyNumberFormat="1" applyFont="1" applyFill="1" applyBorder="1" applyAlignment="1" applyProtection="1">
      <alignment horizontal="left" vertical="center"/>
    </xf>
    <xf numFmtId="0" fontId="3" fillId="15" borderId="15" xfId="0" applyNumberFormat="1" applyFont="1" applyFill="1" applyBorder="1" applyAlignment="1" applyProtection="1">
      <alignment horizontal="left" vertical="center" wrapText="1"/>
    </xf>
    <xf numFmtId="0" fontId="3" fillId="15" borderId="15" xfId="0" applyNumberFormat="1" applyFont="1" applyFill="1" applyBorder="1" applyAlignment="1" applyProtection="1">
      <alignment horizontal="left" vertical="center"/>
    </xf>
    <xf numFmtId="0" fontId="3" fillId="2" borderId="15" xfId="0" applyNumberFormat="1" applyFont="1" applyFill="1" applyBorder="1" applyAlignment="1">
      <alignment vertical="center"/>
    </xf>
    <xf numFmtId="0" fontId="6" fillId="2" borderId="15" xfId="0" applyNumberFormat="1" applyFont="1" applyFill="1" applyBorder="1" applyAlignment="1">
      <alignment vertical="center"/>
    </xf>
    <xf numFmtId="176" fontId="10" fillId="6" borderId="3" xfId="50" applyNumberFormat="1" applyFont="1" applyFill="1" applyBorder="1" applyAlignment="1">
      <alignment horizontal="center"/>
    </xf>
    <xf numFmtId="176" fontId="10" fillId="6" borderId="19" xfId="50" applyNumberFormat="1" applyFont="1" applyFill="1" applyBorder="1" applyAlignment="1">
      <alignment horizontal="center" vertical="center" wrapText="1"/>
    </xf>
    <xf numFmtId="0" fontId="17" fillId="7" borderId="32" xfId="0" applyNumberFormat="1" applyFont="1" applyFill="1" applyBorder="1" applyAlignment="1">
      <alignment horizontal="center" wrapText="1"/>
    </xf>
    <xf numFmtId="176" fontId="3" fillId="6" borderId="15" xfId="50" applyNumberFormat="1" applyFont="1" applyFill="1" applyBorder="1" applyAlignment="1">
      <alignment horizontal="center" vertical="center" textRotation="90"/>
    </xf>
    <xf numFmtId="176" fontId="3" fillId="6" borderId="15" xfId="50" applyNumberFormat="1" applyFont="1" applyFill="1" applyBorder="1" applyAlignment="1">
      <alignment horizontal="center" vertical="center" textRotation="90" wrapText="1"/>
    </xf>
    <xf numFmtId="177" fontId="8" fillId="2" borderId="16" xfId="52" applyNumberFormat="1" applyFont="1" applyFill="1" applyBorder="1" applyAlignment="1" applyProtection="1">
      <alignment horizontal="center" vertical="center"/>
      <protection locked="0"/>
    </xf>
    <xf numFmtId="176" fontId="3" fillId="2" borderId="15" xfId="50" applyNumberFormat="1" applyFont="1" applyFill="1" applyBorder="1" applyAlignment="1">
      <alignment horizontal="center" vertical="center" wrapText="1"/>
    </xf>
    <xf numFmtId="176" fontId="8" fillId="6" borderId="15" xfId="50" applyNumberFormat="1" applyFont="1" applyFill="1" applyBorder="1" applyAlignment="1">
      <alignment horizontal="center" vertical="center" wrapText="1"/>
    </xf>
    <xf numFmtId="178" fontId="8" fillId="2" borderId="16" xfId="52" applyNumberFormat="1" applyFont="1" applyFill="1" applyBorder="1" applyAlignment="1" applyProtection="1">
      <alignment horizontal="center" vertical="center"/>
      <protection locked="0"/>
    </xf>
    <xf numFmtId="176" fontId="8" fillId="7" borderId="16" xfId="0" applyNumberFormat="1" applyFont="1" applyFill="1" applyBorder="1" applyAlignment="1">
      <alignment horizontal="left"/>
    </xf>
    <xf numFmtId="178" fontId="8" fillId="2" borderId="15" xfId="52" applyNumberFormat="1" applyFont="1" applyFill="1" applyBorder="1" applyAlignment="1" applyProtection="1">
      <alignment horizontal="center" vertical="center"/>
      <protection locked="0"/>
    </xf>
    <xf numFmtId="176" fontId="8" fillId="7" borderId="15" xfId="0" applyNumberFormat="1" applyFont="1" applyFill="1" applyBorder="1" applyAlignment="1">
      <alignment horizontal="left"/>
    </xf>
    <xf numFmtId="177" fontId="8" fillId="2" borderId="15" xfId="52" applyNumberFormat="1" applyFont="1" applyFill="1" applyBorder="1" applyAlignment="1" applyProtection="1">
      <alignment horizontal="center" vertical="center"/>
      <protection locked="0"/>
    </xf>
    <xf numFmtId="178" fontId="8" fillId="15" borderId="15" xfId="52" applyNumberFormat="1" applyFont="1" applyFill="1" applyBorder="1" applyAlignment="1" applyProtection="1">
      <alignment horizontal="center" vertical="center"/>
      <protection locked="0"/>
    </xf>
    <xf numFmtId="176" fontId="8" fillId="16" borderId="16" xfId="0" applyNumberFormat="1" applyFont="1" applyFill="1" applyBorder="1" applyAlignment="1">
      <alignment horizontal="left"/>
    </xf>
    <xf numFmtId="176" fontId="10" fillId="6" borderId="18" xfId="50" applyNumberFormat="1" applyFont="1" applyFill="1" applyBorder="1" applyAlignment="1">
      <alignment horizontal="center"/>
    </xf>
    <xf numFmtId="176" fontId="10" fillId="2" borderId="8" xfId="50" applyNumberFormat="1" applyFont="1" applyFill="1" applyBorder="1" applyAlignment="1">
      <alignment horizontal="center" vertical="center"/>
    </xf>
    <xf numFmtId="176" fontId="10" fillId="2" borderId="2" xfId="50" applyNumberFormat="1" applyFont="1" applyFill="1" applyBorder="1" applyAlignment="1">
      <alignment horizontal="center" vertical="center"/>
    </xf>
    <xf numFmtId="0" fontId="2" fillId="2" borderId="20" xfId="0" applyNumberFormat="1" applyFont="1" applyFill="1" applyBorder="1" applyAlignment="1">
      <alignment horizontal="center" vertical="center"/>
    </xf>
    <xf numFmtId="176" fontId="10" fillId="2" borderId="2" xfId="50" applyNumberFormat="1" applyFont="1" applyFill="1" applyBorder="1" applyAlignment="1">
      <alignment horizontal="center" textRotation="90"/>
    </xf>
    <xf numFmtId="176" fontId="10" fillId="2" borderId="1" xfId="50" applyNumberFormat="1" applyFont="1" applyFill="1" applyBorder="1" applyAlignment="1">
      <alignment horizontal="center" textRotation="90"/>
    </xf>
    <xf numFmtId="0" fontId="2" fillId="2" borderId="1" xfId="50" applyNumberFormat="1" applyFont="1" applyFill="1" applyBorder="1" applyAlignment="1">
      <alignment horizontal="center" textRotation="90"/>
    </xf>
    <xf numFmtId="176" fontId="10" fillId="2" borderId="11" xfId="50" applyNumberFormat="1" applyFont="1" applyFill="1" applyBorder="1" applyAlignment="1">
      <alignment horizontal="center" textRotation="90"/>
    </xf>
    <xf numFmtId="0" fontId="2" fillId="2" borderId="11" xfId="50" applyNumberFormat="1" applyFont="1" applyFill="1" applyBorder="1" applyAlignment="1">
      <alignment horizontal="center" textRotation="90"/>
    </xf>
    <xf numFmtId="176" fontId="8" fillId="2" borderId="15" xfId="50" applyNumberFormat="1" applyFont="1" applyFill="1" applyBorder="1" applyAlignment="1">
      <alignment horizontal="center"/>
    </xf>
    <xf numFmtId="176" fontId="8" fillId="2" borderId="15" xfId="50" applyNumberFormat="1" applyFont="1" applyFill="1" applyBorder="1" applyAlignment="1">
      <alignment horizontal="center" textRotation="90"/>
    </xf>
    <xf numFmtId="176" fontId="18" fillId="5" borderId="45" xfId="0" applyNumberFormat="1" applyFont="1" applyFill="1" applyBorder="1" applyAlignment="1">
      <alignment horizontal="center"/>
    </xf>
    <xf numFmtId="0" fontId="19" fillId="5" borderId="45" xfId="0" applyFont="1" applyFill="1" applyBorder="1" applyAlignment="1">
      <alignment horizontal="center" wrapText="1"/>
    </xf>
    <xf numFmtId="0" fontId="20" fillId="5" borderId="45" xfId="0" applyFont="1" applyFill="1" applyBorder="1" applyAlignment="1">
      <alignment horizontal="left"/>
    </xf>
    <xf numFmtId="0" fontId="20" fillId="5" borderId="16" xfId="0" applyFont="1" applyFill="1" applyBorder="1" applyAlignment="1">
      <alignment horizontal="left"/>
    </xf>
    <xf numFmtId="0" fontId="2" fillId="2" borderId="8" xfId="0" applyNumberFormat="1" applyFont="1" applyFill="1" applyBorder="1" applyAlignment="1">
      <alignment horizontal="center" vertical="center"/>
    </xf>
    <xf numFmtId="176" fontId="2" fillId="6" borderId="27" xfId="0" applyNumberFormat="1" applyFont="1" applyFill="1" applyBorder="1" applyAlignment="1">
      <alignment horizontal="center"/>
    </xf>
    <xf numFmtId="176" fontId="2" fillId="6" borderId="83" xfId="0" applyNumberFormat="1" applyFont="1" applyFill="1" applyBorder="1" applyAlignment="1">
      <alignment horizontal="center"/>
    </xf>
    <xf numFmtId="176" fontId="2" fillId="2" borderId="15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 textRotation="90" wrapText="1"/>
    </xf>
    <xf numFmtId="176" fontId="2" fillId="6" borderId="84" xfId="0" applyNumberFormat="1" applyFont="1" applyFill="1" applyBorder="1" applyAlignment="1">
      <alignment horizontal="center" textRotation="90"/>
    </xf>
    <xf numFmtId="176" fontId="2" fillId="6" borderId="84" xfId="0" applyNumberFormat="1" applyFont="1" applyFill="1" applyBorder="1" applyAlignment="1">
      <alignment horizontal="center" vertical="center" textRotation="90"/>
    </xf>
    <xf numFmtId="176" fontId="2" fillId="2" borderId="15" xfId="0" applyNumberFormat="1" applyFont="1" applyFill="1" applyBorder="1" applyAlignment="1">
      <alignment horizontal="center" vertical="center" textRotation="90"/>
    </xf>
    <xf numFmtId="176" fontId="2" fillId="2" borderId="1" xfId="50" applyNumberFormat="1" applyFont="1" applyFill="1" applyBorder="1" applyAlignment="1">
      <alignment horizontal="center" vertical="center" textRotation="90"/>
    </xf>
    <xf numFmtId="176" fontId="2" fillId="6" borderId="85" xfId="0" applyNumberFormat="1" applyFont="1" applyFill="1" applyBorder="1" applyAlignment="1">
      <alignment horizontal="center" textRotation="90"/>
    </xf>
    <xf numFmtId="176" fontId="2" fillId="6" borderId="85" xfId="0" applyNumberFormat="1" applyFont="1" applyFill="1" applyBorder="1" applyAlignment="1">
      <alignment horizontal="center" vertical="center" textRotation="90"/>
    </xf>
    <xf numFmtId="176" fontId="2" fillId="2" borderId="27" xfId="0" applyNumberFormat="1" applyFont="1" applyFill="1" applyBorder="1" applyAlignment="1">
      <alignment horizontal="center" vertical="center" textRotation="90"/>
    </xf>
    <xf numFmtId="179" fontId="21" fillId="5" borderId="16" xfId="0" applyNumberFormat="1" applyFont="1" applyFill="1" applyBorder="1" applyAlignment="1">
      <alignment horizontal="center" vertical="center"/>
    </xf>
    <xf numFmtId="176" fontId="3" fillId="6" borderId="16" xfId="0" applyNumberFormat="1" applyFont="1" applyFill="1" applyBorder="1" applyAlignment="1"/>
    <xf numFmtId="176" fontId="3" fillId="2" borderId="16" xfId="50" applyNumberFormat="1" applyFont="1" applyFill="1" applyBorder="1" applyAlignment="1">
      <alignment horizontal="center" vertical="center"/>
    </xf>
    <xf numFmtId="176" fontId="4" fillId="0" borderId="0" xfId="50" applyNumberFormat="1" applyFont="1" applyFill="1" applyBorder="1" applyAlignment="1">
      <alignment horizontal="left"/>
    </xf>
    <xf numFmtId="176" fontId="4" fillId="0" borderId="0" xfId="50" applyNumberFormat="1" applyFont="1" applyFill="1" applyBorder="1" applyAlignment="1">
      <alignment horizontal="right"/>
    </xf>
    <xf numFmtId="2" fontId="4" fillId="0" borderId="0" xfId="50" applyNumberFormat="1" applyFont="1" applyFill="1" applyBorder="1" applyAlignment="1">
      <alignment horizontal="right"/>
    </xf>
    <xf numFmtId="176" fontId="4" fillId="0" borderId="0" xfId="50" applyNumberFormat="1" applyFont="1" applyFill="1" applyBorder="1" applyAlignment="1">
      <alignment horizontal="center"/>
    </xf>
    <xf numFmtId="176" fontId="4" fillId="0" borderId="0" xfId="50" applyNumberFormat="1" applyFont="1" applyFill="1" applyBorder="1" applyAlignment="1"/>
    <xf numFmtId="0" fontId="0" fillId="0" borderId="0" xfId="0" applyFont="1" applyBorder="1"/>
    <xf numFmtId="0" fontId="0" fillId="0" borderId="53" xfId="0" applyFont="1" applyBorder="1"/>
    <xf numFmtId="0" fontId="6" fillId="15" borderId="15" xfId="0" applyNumberFormat="1" applyFont="1" applyFill="1" applyBorder="1" applyAlignment="1">
      <alignment vertical="center"/>
    </xf>
    <xf numFmtId="0" fontId="3" fillId="15" borderId="15" xfId="0" applyNumberFormat="1" applyFont="1" applyFill="1" applyBorder="1" applyAlignment="1">
      <alignment vertical="center"/>
    </xf>
    <xf numFmtId="176" fontId="3" fillId="2" borderId="15" xfId="0" applyNumberFormat="1" applyFont="1" applyFill="1" applyBorder="1" applyAlignment="1">
      <alignment horizontal="left" vertical="center"/>
    </xf>
    <xf numFmtId="176" fontId="6" fillId="2" borderId="15" xfId="0" applyNumberFormat="1" applyFont="1" applyFill="1" applyBorder="1" applyAlignment="1">
      <alignment horizontal="left" vertical="center"/>
    </xf>
    <xf numFmtId="176" fontId="8" fillId="2" borderId="27" xfId="50" applyNumberFormat="1" applyFont="1" applyFill="1" applyBorder="1" applyAlignment="1">
      <alignment horizontal="center" vertical="center" textRotation="90"/>
    </xf>
    <xf numFmtId="176" fontId="8" fillId="2" borderId="28" xfId="50" applyNumberFormat="1" applyFont="1" applyFill="1" applyBorder="1" applyAlignment="1">
      <alignment horizontal="center" vertical="center" textRotation="90"/>
    </xf>
    <xf numFmtId="0" fontId="6" fillId="2" borderId="15" xfId="0" applyNumberFormat="1" applyFont="1" applyFill="1" applyBorder="1" applyAlignment="1">
      <alignment horizontal="left" vertical="center"/>
    </xf>
    <xf numFmtId="176" fontId="3" fillId="2" borderId="15" xfId="0" applyNumberFormat="1" applyFont="1" applyFill="1" applyBorder="1" applyAlignment="1">
      <alignment vertical="center"/>
    </xf>
    <xf numFmtId="176" fontId="8" fillId="2" borderId="16" xfId="50" applyNumberFormat="1" applyFont="1" applyFill="1" applyBorder="1" applyAlignment="1">
      <alignment horizontal="center" vertical="center" textRotation="90"/>
    </xf>
    <xf numFmtId="0" fontId="20" fillId="17" borderId="16" xfId="0" applyFont="1" applyFill="1" applyBorder="1" applyAlignment="1">
      <alignment horizontal="left"/>
    </xf>
    <xf numFmtId="176" fontId="8" fillId="2" borderId="15" xfId="50" applyNumberFormat="1" applyFont="1" applyFill="1" applyBorder="1" applyAlignment="1">
      <alignment horizontal="center" vertical="center" textRotation="90"/>
    </xf>
    <xf numFmtId="176" fontId="22" fillId="2" borderId="28" xfId="50" applyNumberFormat="1" applyFont="1" applyFill="1" applyBorder="1" applyAlignment="1">
      <alignment horizontal="center" vertical="center" textRotation="90"/>
    </xf>
    <xf numFmtId="176" fontId="4" fillId="2" borderId="15" xfId="50" applyNumberFormat="1" applyFont="1" applyFill="1" applyBorder="1" applyAlignment="1">
      <alignment horizontal="left"/>
    </xf>
    <xf numFmtId="49" fontId="23" fillId="2" borderId="15" xfId="50" applyNumberFormat="1" applyFont="1" applyFill="1" applyBorder="1" applyAlignment="1">
      <alignment horizontal="left"/>
    </xf>
    <xf numFmtId="0" fontId="17" fillId="7" borderId="15" xfId="0" applyNumberFormat="1" applyFont="1" applyFill="1" applyBorder="1" applyAlignment="1">
      <alignment horizontal="center" wrapText="1"/>
    </xf>
    <xf numFmtId="176" fontId="8" fillId="7" borderId="15" xfId="0" applyNumberFormat="1" applyFont="1" applyFill="1" applyBorder="1" applyAlignment="1">
      <alignment horizontal="center"/>
    </xf>
    <xf numFmtId="14" fontId="4" fillId="2" borderId="15" xfId="50" applyNumberFormat="1" applyFont="1" applyFill="1" applyBorder="1" applyAlignment="1">
      <alignment horizontal="right"/>
    </xf>
    <xf numFmtId="0" fontId="24" fillId="2" borderId="15" xfId="0" applyFont="1" applyFill="1" applyBorder="1" applyAlignment="1">
      <alignment horizontal="left"/>
    </xf>
    <xf numFmtId="179" fontId="3" fillId="2" borderId="15" xfId="50" applyNumberFormat="1" applyFont="1" applyFill="1" applyBorder="1" applyAlignment="1">
      <alignment horizontal="center" vertical="center"/>
    </xf>
    <xf numFmtId="176" fontId="2" fillId="2" borderId="15" xfId="50" applyNumberFormat="1" applyFont="1" applyFill="1" applyBorder="1" applyAlignment="1">
      <alignment horizontal="center" vertical="center"/>
    </xf>
    <xf numFmtId="176" fontId="8" fillId="0" borderId="0" xfId="0" applyNumberFormat="1" applyFont="1" applyFill="1" applyAlignment="1"/>
    <xf numFmtId="0" fontId="1" fillId="0" borderId="0" xfId="50" applyNumberFormat="1" applyFont="1" applyFill="1" applyAlignment="1"/>
    <xf numFmtId="176" fontId="1" fillId="0" borderId="0" xfId="50" applyNumberFormat="1" applyFont="1" applyFill="1" applyBorder="1" applyAlignment="1">
      <alignment horizontal="center" vertical="center"/>
    </xf>
    <xf numFmtId="176" fontId="1" fillId="0" borderId="0" xfId="50" applyNumberFormat="1" applyFont="1" applyFill="1" applyBorder="1" applyAlignment="1">
      <alignment horizontal="left" vertical="center"/>
    </xf>
    <xf numFmtId="176" fontId="1" fillId="18" borderId="0" xfId="50" applyNumberFormat="1" applyFont="1" applyFill="1" applyAlignment="1"/>
    <xf numFmtId="0" fontId="1" fillId="18" borderId="0" xfId="50" applyNumberFormat="1" applyFont="1" applyFill="1" applyAlignment="1"/>
    <xf numFmtId="176" fontId="1" fillId="18" borderId="0" xfId="50" applyNumberFormat="1" applyFont="1" applyFill="1" applyBorder="1" applyAlignment="1">
      <alignment horizontal="left"/>
    </xf>
    <xf numFmtId="176" fontId="2" fillId="2" borderId="86" xfId="50" applyNumberFormat="1" applyFont="1" applyFill="1" applyBorder="1" applyAlignment="1">
      <alignment vertical="center"/>
    </xf>
    <xf numFmtId="0" fontId="2" fillId="2" borderId="87" xfId="50" applyNumberFormat="1" applyFont="1" applyFill="1" applyBorder="1" applyAlignment="1">
      <alignment vertical="center"/>
    </xf>
    <xf numFmtId="176" fontId="2" fillId="2" borderId="88" xfId="50" applyNumberFormat="1" applyFont="1" applyFill="1" applyBorder="1" applyAlignment="1">
      <alignment vertical="center"/>
    </xf>
    <xf numFmtId="176" fontId="2" fillId="2" borderId="89" xfId="50" applyNumberFormat="1" applyFont="1" applyFill="1" applyBorder="1" applyAlignment="1">
      <alignment horizontal="center" vertical="center"/>
    </xf>
    <xf numFmtId="176" fontId="2" fillId="2" borderId="84" xfId="50" applyNumberFormat="1" applyFont="1" applyFill="1" applyBorder="1" applyAlignment="1">
      <alignment horizontal="center" textRotation="90"/>
    </xf>
    <xf numFmtId="0" fontId="2" fillId="2" borderId="55" xfId="50" applyNumberFormat="1" applyFont="1" applyFill="1" applyBorder="1" applyAlignment="1">
      <alignment horizontal="center" textRotation="90"/>
    </xf>
    <xf numFmtId="176" fontId="2" fillId="2" borderId="54" xfId="50" applyNumberFormat="1" applyFont="1" applyFill="1" applyBorder="1" applyAlignment="1">
      <alignment horizontal="center" textRotation="90"/>
    </xf>
    <xf numFmtId="176" fontId="2" fillId="2" borderId="85" xfId="50" applyNumberFormat="1" applyFont="1" applyFill="1" applyBorder="1" applyAlignment="1">
      <alignment horizontal="center" textRotation="90"/>
    </xf>
    <xf numFmtId="0" fontId="2" fillId="2" borderId="90" xfId="50" applyNumberFormat="1" applyFont="1" applyFill="1" applyBorder="1" applyAlignment="1">
      <alignment horizontal="center" textRotation="90"/>
    </xf>
    <xf numFmtId="176" fontId="2" fillId="2" borderId="58" xfId="50" applyNumberFormat="1" applyFont="1" applyFill="1" applyBorder="1" applyAlignment="1">
      <alignment horizontal="center" textRotation="90"/>
    </xf>
    <xf numFmtId="176" fontId="2" fillId="2" borderId="62" xfId="50" applyNumberFormat="1" applyFont="1" applyFill="1" applyBorder="1" applyAlignment="1">
      <alignment horizontal="center" textRotation="90"/>
    </xf>
    <xf numFmtId="49" fontId="8" fillId="2" borderId="82" xfId="50" applyNumberFormat="1" applyFont="1" applyFill="1" applyBorder="1" applyAlignment="1"/>
    <xf numFmtId="176" fontId="4" fillId="2" borderId="15" xfId="0" applyNumberFormat="1" applyFont="1" applyFill="1" applyBorder="1" applyAlignment="1">
      <alignment horizontal="center" vertical="center" textRotation="90"/>
    </xf>
    <xf numFmtId="176" fontId="8" fillId="2" borderId="53" xfId="50" applyNumberFormat="1" applyFont="1" applyFill="1" applyBorder="1" applyAlignment="1">
      <alignment horizontal="left"/>
    </xf>
    <xf numFmtId="0" fontId="14" fillId="2" borderId="15" xfId="0" applyFont="1" applyFill="1" applyBorder="1" applyAlignment="1">
      <alignment vertical="center"/>
    </xf>
    <xf numFmtId="176" fontId="4" fillId="2" borderId="28" xfId="0" applyNumberFormat="1" applyFont="1" applyFill="1" applyBorder="1" applyAlignment="1">
      <alignment horizontal="center" vertical="center" textRotation="90"/>
    </xf>
    <xf numFmtId="176" fontId="4" fillId="2" borderId="27" xfId="0" applyNumberFormat="1" applyFont="1" applyFill="1" applyBorder="1" applyAlignment="1">
      <alignment horizontal="center" vertical="center" textRotation="90"/>
    </xf>
    <xf numFmtId="0" fontId="25" fillId="2" borderId="15" xfId="0" applyFont="1" applyFill="1" applyBorder="1" applyAlignment="1">
      <alignment vertical="center"/>
    </xf>
    <xf numFmtId="176" fontId="4" fillId="2" borderId="16" xfId="0" applyNumberFormat="1" applyFont="1" applyFill="1" applyBorder="1" applyAlignment="1">
      <alignment horizontal="center" vertical="center" textRotation="90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left" vertical="center"/>
    </xf>
    <xf numFmtId="176" fontId="2" fillId="3" borderId="29" xfId="50" applyNumberFormat="1" applyFont="1" applyFill="1" applyBorder="1" applyAlignment="1">
      <alignment horizontal="center" vertical="center"/>
    </xf>
    <xf numFmtId="176" fontId="2" fillId="6" borderId="3" xfId="50" applyNumberFormat="1" applyFont="1" applyFill="1" applyBorder="1" applyAlignment="1">
      <alignment horizontal="center"/>
    </xf>
    <xf numFmtId="176" fontId="2" fillId="6" borderId="9" xfId="50" applyNumberFormat="1" applyFont="1" applyFill="1" applyBorder="1" applyAlignment="1">
      <alignment horizontal="center" vertical="center" wrapText="1"/>
    </xf>
    <xf numFmtId="176" fontId="2" fillId="6" borderId="30" xfId="50" applyNumberFormat="1" applyFont="1" applyFill="1" applyBorder="1" applyAlignment="1">
      <alignment horizontal="center" vertical="center" wrapText="1"/>
    </xf>
    <xf numFmtId="0" fontId="5" fillId="4" borderId="68" xfId="0" applyNumberFormat="1" applyFont="1" applyFill="1" applyBorder="1" applyAlignment="1">
      <alignment horizontal="center" wrapText="1"/>
    </xf>
    <xf numFmtId="177" fontId="8" fillId="6" borderId="16" xfId="52" applyNumberFormat="1" applyFont="1" applyFill="1" applyBorder="1" applyAlignment="1" applyProtection="1">
      <alignment horizontal="center" vertical="center"/>
      <protection locked="0"/>
    </xf>
    <xf numFmtId="177" fontId="8" fillId="6" borderId="15" xfId="52" applyNumberFormat="1" applyFont="1" applyFill="1" applyBorder="1" applyAlignment="1" applyProtection="1">
      <alignment horizontal="center" vertical="center"/>
      <protection locked="0"/>
    </xf>
    <xf numFmtId="176" fontId="8" fillId="6" borderId="15" xfId="50" applyNumberFormat="1" applyFont="1" applyFill="1" applyBorder="1" applyAlignment="1">
      <alignment horizontal="center"/>
    </xf>
    <xf numFmtId="176" fontId="2" fillId="6" borderId="18" xfId="50" applyNumberFormat="1" applyFont="1" applyFill="1" applyBorder="1" applyAlignment="1">
      <alignment horizontal="center"/>
    </xf>
    <xf numFmtId="176" fontId="2" fillId="2" borderId="3" xfId="50" applyNumberFormat="1" applyFont="1" applyFill="1" applyBorder="1" applyAlignment="1">
      <alignment horizontal="center" vertical="center"/>
    </xf>
    <xf numFmtId="176" fontId="2" fillId="2" borderId="18" xfId="50" applyNumberFormat="1" applyFont="1" applyFill="1" applyBorder="1" applyAlignment="1">
      <alignment horizontal="center" vertical="center"/>
    </xf>
    <xf numFmtId="176" fontId="2" fillId="3" borderId="20" xfId="50" applyNumberFormat="1" applyFont="1" applyFill="1" applyBorder="1" applyAlignment="1">
      <alignment horizontal="center" vertical="center"/>
    </xf>
    <xf numFmtId="176" fontId="2" fillId="2" borderId="35" xfId="0" applyNumberFormat="1" applyFont="1" applyFill="1" applyBorder="1" applyAlignment="1">
      <alignment horizontal="center" vertical="center"/>
    </xf>
    <xf numFmtId="176" fontId="2" fillId="2" borderId="20" xfId="0" applyNumberFormat="1" applyFont="1" applyFill="1" applyBorder="1" applyAlignment="1">
      <alignment horizontal="center" vertical="center"/>
    </xf>
    <xf numFmtId="176" fontId="2" fillId="2" borderId="29" xfId="0" applyNumberFormat="1" applyFont="1" applyFill="1" applyBorder="1" applyAlignment="1">
      <alignment horizontal="center" vertical="center"/>
    </xf>
    <xf numFmtId="176" fontId="2" fillId="2" borderId="0" xfId="50" applyNumberFormat="1" applyFont="1" applyFill="1" applyBorder="1" applyAlignment="1">
      <alignment horizontal="center" vertical="center"/>
    </xf>
    <xf numFmtId="176" fontId="2" fillId="3" borderId="19" xfId="50" applyNumberFormat="1" applyFont="1" applyFill="1" applyBorder="1" applyAlignment="1">
      <alignment horizontal="center" vertical="center"/>
    </xf>
    <xf numFmtId="176" fontId="2" fillId="2" borderId="91" xfId="50" applyNumberFormat="1" applyFont="1" applyFill="1" applyBorder="1" applyAlignment="1">
      <alignment horizontal="center" vertical="center"/>
    </xf>
    <xf numFmtId="176" fontId="2" fillId="2" borderId="30" xfId="50" applyNumberFormat="1" applyFont="1" applyFill="1" applyBorder="1" applyAlignment="1">
      <alignment vertical="center"/>
    </xf>
    <xf numFmtId="176" fontId="2" fillId="3" borderId="31" xfId="50" applyNumberFormat="1" applyFont="1" applyFill="1" applyBorder="1" applyAlignment="1">
      <alignment horizontal="center" vertical="center"/>
    </xf>
    <xf numFmtId="178" fontId="8" fillId="11" borderId="16" xfId="52" applyNumberFormat="1" applyFont="1" applyFill="1" applyBorder="1" applyAlignment="1" applyProtection="1">
      <alignment horizontal="center" vertical="center"/>
      <protection locked="0"/>
    </xf>
    <xf numFmtId="176" fontId="8" fillId="3" borderId="16" xfId="50" applyNumberFormat="1" applyFont="1" applyFill="1" applyBorder="1" applyAlignment="1">
      <alignment horizontal="left"/>
    </xf>
    <xf numFmtId="183" fontId="3" fillId="2" borderId="15" xfId="51" applyNumberFormat="1" applyFont="1" applyFill="1" applyBorder="1" applyAlignment="1">
      <alignment horizontal="center" vertical="center" wrapText="1"/>
    </xf>
    <xf numFmtId="176" fontId="8" fillId="2" borderId="15" xfId="0" applyNumberFormat="1" applyFont="1" applyFill="1" applyBorder="1" applyAlignment="1">
      <alignment horizontal="center" vertical="center"/>
    </xf>
    <xf numFmtId="176" fontId="8" fillId="2" borderId="15" xfId="0" applyNumberFormat="1" applyFont="1" applyFill="1" applyBorder="1" applyAlignment="1">
      <alignment horizontal="center"/>
    </xf>
    <xf numFmtId="0" fontId="24" fillId="2" borderId="15" xfId="0" applyNumberFormat="1" applyFont="1" applyFill="1" applyBorder="1" applyAlignment="1">
      <alignment horizontal="center"/>
    </xf>
    <xf numFmtId="177" fontId="8" fillId="6" borderId="92" xfId="52" applyNumberFormat="1" applyFont="1" applyFill="1" applyBorder="1" applyAlignment="1" applyProtection="1">
      <alignment horizontal="center" vertical="center"/>
      <protection locked="0"/>
    </xf>
    <xf numFmtId="176" fontId="8" fillId="2" borderId="90" xfId="50" applyNumberFormat="1" applyFont="1" applyFill="1" applyBorder="1" applyAlignment="1">
      <alignment horizontal="center"/>
    </xf>
    <xf numFmtId="176" fontId="8" fillId="2" borderId="51" xfId="50" applyNumberFormat="1" applyFont="1" applyFill="1" applyBorder="1" applyAlignment="1">
      <alignment horizontal="center"/>
    </xf>
    <xf numFmtId="176" fontId="9" fillId="3" borderId="93" xfId="50" applyNumberFormat="1" applyFont="1" applyFill="1" applyBorder="1" applyAlignment="1">
      <alignment horizontal="left"/>
    </xf>
    <xf numFmtId="176" fontId="2" fillId="2" borderId="8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left"/>
    </xf>
    <xf numFmtId="176" fontId="2" fillId="2" borderId="1" xfId="50" applyNumberFormat="1" applyFont="1" applyFill="1" applyBorder="1" applyAlignment="1">
      <alignment horizontal="left" textRotation="90"/>
    </xf>
    <xf numFmtId="176" fontId="2" fillId="2" borderId="31" xfId="50" applyNumberFormat="1" applyFont="1" applyFill="1" applyBorder="1" applyAlignment="1">
      <alignment horizontal="center" textRotation="90"/>
    </xf>
    <xf numFmtId="176" fontId="2" fillId="2" borderId="33" xfId="50" applyNumberFormat="1" applyFont="1" applyFill="1" applyBorder="1" applyAlignment="1">
      <alignment horizontal="left" textRotation="90"/>
    </xf>
    <xf numFmtId="176" fontId="3" fillId="2" borderId="15" xfId="50" applyNumberFormat="1" applyFont="1" applyFill="1" applyBorder="1" applyAlignment="1">
      <alignment horizontal="center"/>
    </xf>
    <xf numFmtId="176" fontId="3" fillId="15" borderId="15" xfId="50" applyNumberFormat="1" applyFont="1" applyFill="1" applyBorder="1" applyAlignment="1">
      <alignment horizontal="center"/>
    </xf>
    <xf numFmtId="0" fontId="24" fillId="2" borderId="15" xfId="0" applyFont="1" applyFill="1" applyBorder="1" applyAlignment="1">
      <alignment horizontal="center" vertical="center"/>
    </xf>
    <xf numFmtId="176" fontId="2" fillId="3" borderId="48" xfId="50" applyNumberFormat="1" applyFont="1" applyFill="1" applyBorder="1" applyAlignment="1">
      <alignment horizontal="center" vertical="center" textRotation="90"/>
    </xf>
    <xf numFmtId="179" fontId="10" fillId="3" borderId="15" xfId="5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 textRotation="90"/>
    </xf>
    <xf numFmtId="176" fontId="2" fillId="3" borderId="9" xfId="0" applyNumberFormat="1" applyFont="1" applyFill="1" applyBorder="1" applyAlignment="1">
      <alignment horizontal="center" textRotation="90"/>
    </xf>
    <xf numFmtId="176" fontId="2" fillId="3" borderId="48" xfId="0" applyNumberFormat="1" applyFont="1" applyFill="1" applyBorder="1" applyAlignment="1">
      <alignment horizontal="center" textRotation="90"/>
    </xf>
    <xf numFmtId="176" fontId="2" fillId="3" borderId="51" xfId="50" applyNumberFormat="1" applyFont="1" applyFill="1" applyBorder="1" applyAlignment="1">
      <alignment horizontal="center" vertical="center" textRotation="90"/>
    </xf>
    <xf numFmtId="176" fontId="2" fillId="3" borderId="72" xfId="50" applyNumberFormat="1" applyFont="1" applyFill="1" applyBorder="1" applyAlignment="1">
      <alignment horizontal="center" vertical="center" textRotation="90"/>
    </xf>
    <xf numFmtId="179" fontId="18" fillId="19" borderId="16" xfId="0" applyNumberFormat="1" applyFont="1" applyFill="1" applyBorder="1" applyAlignment="1">
      <alignment horizontal="center" vertical="center"/>
    </xf>
    <xf numFmtId="179" fontId="8" fillId="3" borderId="15" xfId="5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>
      <alignment vertical="center"/>
    </xf>
    <xf numFmtId="176" fontId="4" fillId="0" borderId="15" xfId="0" applyNumberFormat="1" applyFont="1" applyFill="1" applyBorder="1" applyAlignment="1">
      <alignment vertical="center"/>
    </xf>
    <xf numFmtId="176" fontId="26" fillId="0" borderId="15" xfId="0" applyNumberFormat="1" applyFont="1" applyFill="1" applyBorder="1" applyAlignment="1">
      <alignment vertical="center" wrapText="1"/>
    </xf>
    <xf numFmtId="176" fontId="26" fillId="0" borderId="15" xfId="0" applyNumberFormat="1" applyFont="1" applyFill="1" applyBorder="1" applyAlignment="1">
      <alignment vertical="center"/>
    </xf>
    <xf numFmtId="176" fontId="26" fillId="0" borderId="15" xfId="0" applyNumberFormat="1" applyFont="1" applyFill="1" applyBorder="1" applyAlignment="1"/>
    <xf numFmtId="0" fontId="8" fillId="2" borderId="82" xfId="50" applyNumberFormat="1" applyFont="1" applyFill="1" applyBorder="1" applyAlignment="1" quotePrefix="1">
      <alignment horizontal="left"/>
    </xf>
    <xf numFmtId="49" fontId="8" fillId="2" borderId="82" xfId="50" applyNumberFormat="1" applyFont="1" applyFill="1" applyBorder="1" applyAlignment="1" quotePrefix="1">
      <alignment horizontal="left"/>
    </xf>
  </cellXfs>
  <cellStyles count="56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 2" xfId="49"/>
    <cellStyle name="AFE 2" xfId="50"/>
    <cellStyle name="常规 2" xfId="51"/>
    <cellStyle name="普通 3" xfId="52"/>
    <cellStyle name="常规 5" xfId="53"/>
    <cellStyle name="_HU Grid_0210 V1.xls" xfId="54"/>
    <cellStyle name="_HU Grid_0210 V1.xls 2" xfId="55"/>
  </cellStyles>
  <tableStyles count="0" defaultTableStyle="TableStyleMedium2" defaultPivotStyle="PivotStyleMedium9"/>
  <colors>
    <mruColors>
      <color rgb="00CCC698"/>
      <color rgb="00F7B2EF"/>
      <color rgb="00F8E9FF"/>
      <color rgb="00CCC0DA"/>
      <color rgb="00F9C0F3"/>
      <color rgb="00FACDF5"/>
      <color rgb="00D883FF"/>
      <color rgb="0076F8CF"/>
      <color rgb="00FF0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tyles" Target="styles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theme" Target="theme/theme1.xml"/><Relationship Id="rId14" Type="http://schemas.openxmlformats.org/officeDocument/2006/relationships/externalLink" Target="externalLinks/externalLink2.xml"/><Relationship Id="rId13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2" name="直接连接符 1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37</xdr:row>
      <xdr:rowOff>0</xdr:rowOff>
    </xdr:from>
    <xdr:to>
      <xdr:col>20</xdr:col>
      <xdr:colOff>9525</xdr:colOff>
      <xdr:row>37</xdr:row>
      <xdr:rowOff>259715</xdr:rowOff>
    </xdr:to>
    <xdr:cxnSp>
      <xdr:nvCxnSpPr>
        <xdr:cNvPr id="3" name="直接连接符 2"/>
        <xdr:cNvCxnSpPr/>
      </xdr:nvCxnSpPr>
      <xdr:spPr>
        <a:xfrm>
          <a:off x="19799300" y="11668125"/>
          <a:ext cx="2117725" cy="2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4" name="直接连接符 3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5" name="直接连接符 4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6" name="直接连接符 5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7" name="直接连接符 6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8" name="直接连接符 7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9" name="直接连接符 8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0" name="直接连接符 9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1" name="直接连接符 10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2" name="直接连接符 11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3" name="直接连接符 12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4" name="直接连接符 13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5" name="直接连接符 14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6" name="直接连接符 15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7" name="直接连接符 16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37</xdr:row>
      <xdr:rowOff>0</xdr:rowOff>
    </xdr:from>
    <xdr:to>
      <xdr:col>17</xdr:col>
      <xdr:colOff>9525</xdr:colOff>
      <xdr:row>37</xdr:row>
      <xdr:rowOff>271780</xdr:rowOff>
    </xdr:to>
    <xdr:cxnSp>
      <xdr:nvCxnSpPr>
        <xdr:cNvPr id="18" name="直接连接符 17"/>
        <xdr:cNvCxnSpPr/>
      </xdr:nvCxnSpPr>
      <xdr:spPr>
        <a:xfrm>
          <a:off x="14321790" y="116681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08_rest_of_year\061107%20MSU%20Data%20Capture%20(READ%20ONLY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8.218\_08_rest_of_year\061107%20MSU%20Data%20Capture%20(READ%20ONLY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tatus Sum By Cust"/>
      <sheetName val="Status Summary"/>
      <sheetName val="DPMO_by_Milestone"/>
      <sheetName val="Gant Chart"/>
      <sheetName val="Data Capture"/>
      <sheetName val="Paretos(Cum)FailModes"/>
      <sheetName val="DDDate"/>
      <sheetName val="DDProgName"/>
      <sheetName val="FM SDS"/>
      <sheetName val="FM Int Mgmt"/>
      <sheetName val="FM Diff"/>
      <sheetName val="FM GUI"/>
      <sheetName val="FM Config"/>
      <sheetName val="FM MediaRec"/>
      <sheetName val="FM ML"/>
      <sheetName val="FM DR"/>
      <sheetName val="FM PreATP"/>
      <sheetName val="FM ATP"/>
      <sheetName val="FM PostATP"/>
      <sheetName val="FM SOA"/>
      <sheetName val="FM OnHold"/>
      <sheetName val="FM SSCM"/>
      <sheetName val="FM CloseOut"/>
      <sheetName val="FM field"/>
      <sheetName val="CT Strat Matrix"/>
      <sheetName val="Fail times"/>
      <sheetName val="Help"/>
      <sheetName val="Ra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tatus Sum By Cust"/>
      <sheetName val="Status Summary"/>
      <sheetName val="DPMO_by_Milestone"/>
      <sheetName val="Gant Chart"/>
      <sheetName val="Data Capture"/>
      <sheetName val="Paretos(Cum)FailModes"/>
      <sheetName val="DDDate"/>
      <sheetName val="DDProgName"/>
      <sheetName val="FM SDS"/>
      <sheetName val="FM Int Mgmt"/>
      <sheetName val="FM Diff"/>
      <sheetName val="FM GUI"/>
      <sheetName val="FM Config"/>
      <sheetName val="FM MediaRec"/>
      <sheetName val="FM ML"/>
      <sheetName val="FM DR"/>
      <sheetName val="FM PreATP"/>
      <sheetName val="FM ATP"/>
      <sheetName val="FM PostATP"/>
      <sheetName val="FM SOA"/>
      <sheetName val="FM OnHold"/>
      <sheetName val="FM SSCM"/>
      <sheetName val="FM CloseOut"/>
      <sheetName val="FM field"/>
      <sheetName val="CT Strat Matrix"/>
      <sheetName val="Fail times"/>
      <sheetName val="Help"/>
      <sheetName val="Ra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45"/>
  <sheetViews>
    <sheetView workbookViewId="0">
      <selection activeCell="B17" sqref="B17"/>
    </sheetView>
  </sheetViews>
  <sheetFormatPr defaultColWidth="7.88333333333333" defaultRowHeight="28" customHeight="1" outlineLevelCol="3"/>
  <cols>
    <col min="1" max="1" width="7.88333333333333" style="121"/>
    <col min="2" max="2" width="64.75" style="511" customWidth="1"/>
    <col min="3" max="3" width="7.88333333333333" style="121"/>
    <col min="4" max="4" width="10" style="121" customWidth="1"/>
    <col min="5" max="16384" width="7.88333333333333" style="121"/>
  </cols>
  <sheetData>
    <row r="1" customHeight="1" spans="1:4">
      <c r="A1" s="142" t="s">
        <v>0</v>
      </c>
      <c r="B1" s="512" t="s">
        <v>1</v>
      </c>
      <c r="C1" s="142" t="s">
        <v>2</v>
      </c>
      <c r="D1" s="180" t="s">
        <v>3</v>
      </c>
    </row>
    <row r="2" customHeight="1" spans="1:4">
      <c r="A2" s="512" t="s">
        <v>4</v>
      </c>
      <c r="B2" s="513" t="s">
        <v>5</v>
      </c>
      <c r="C2" s="512" t="s">
        <v>6</v>
      </c>
      <c r="D2" s="512" t="s">
        <v>7</v>
      </c>
    </row>
    <row r="3" customHeight="1" spans="1:4">
      <c r="A3" s="512" t="s">
        <v>8</v>
      </c>
      <c r="B3" s="513" t="s">
        <v>9</v>
      </c>
      <c r="C3" s="512" t="s">
        <v>6</v>
      </c>
      <c r="D3" s="512" t="s">
        <v>10</v>
      </c>
    </row>
    <row r="4" customHeight="1" spans="1:4">
      <c r="A4" s="512" t="s">
        <v>11</v>
      </c>
      <c r="B4" s="513" t="s">
        <v>12</v>
      </c>
      <c r="C4" s="512" t="s">
        <v>6</v>
      </c>
      <c r="D4" s="512" t="s">
        <v>13</v>
      </c>
    </row>
    <row r="5" customHeight="1" spans="1:4">
      <c r="A5" s="512" t="s">
        <v>14</v>
      </c>
      <c r="B5" s="513" t="s">
        <v>15</v>
      </c>
      <c r="C5" s="512" t="s">
        <v>6</v>
      </c>
      <c r="D5" s="512" t="s">
        <v>16</v>
      </c>
    </row>
    <row r="6" customHeight="1" spans="1:4">
      <c r="A6" s="512" t="s">
        <v>17</v>
      </c>
      <c r="B6" s="513" t="s">
        <v>18</v>
      </c>
      <c r="C6" s="512" t="s">
        <v>6</v>
      </c>
      <c r="D6" s="512" t="s">
        <v>16</v>
      </c>
    </row>
    <row r="7" customHeight="1" spans="1:4">
      <c r="A7" s="512" t="s">
        <v>19</v>
      </c>
      <c r="B7" s="513" t="s">
        <v>20</v>
      </c>
      <c r="C7" s="512" t="s">
        <v>6</v>
      </c>
      <c r="D7" s="512" t="s">
        <v>21</v>
      </c>
    </row>
    <row r="8" customHeight="1" spans="1:4">
      <c r="A8" s="512" t="s">
        <v>22</v>
      </c>
      <c r="B8" s="513" t="s">
        <v>23</v>
      </c>
      <c r="C8" s="512" t="s">
        <v>6</v>
      </c>
      <c r="D8" s="512" t="s">
        <v>21</v>
      </c>
    </row>
    <row r="9" customHeight="1" spans="1:4">
      <c r="A9" s="512" t="s">
        <v>24</v>
      </c>
      <c r="B9" s="513" t="s">
        <v>25</v>
      </c>
      <c r="C9" s="512" t="s">
        <v>6</v>
      </c>
      <c r="D9" s="512" t="s">
        <v>26</v>
      </c>
    </row>
    <row r="10" customHeight="1" spans="1:4">
      <c r="A10" s="512" t="s">
        <v>27</v>
      </c>
      <c r="B10" s="513" t="s">
        <v>28</v>
      </c>
      <c r="C10" s="512" t="s">
        <v>6</v>
      </c>
      <c r="D10" s="512" t="s">
        <v>29</v>
      </c>
    </row>
    <row r="11" customHeight="1" spans="1:4">
      <c r="A11" s="512" t="s">
        <v>30</v>
      </c>
      <c r="B11" s="513" t="s">
        <v>31</v>
      </c>
      <c r="C11" s="512" t="s">
        <v>6</v>
      </c>
      <c r="D11" s="512" t="s">
        <v>32</v>
      </c>
    </row>
    <row r="12" customHeight="1" spans="1:4">
      <c r="A12" s="512" t="s">
        <v>33</v>
      </c>
      <c r="B12" s="513" t="s">
        <v>34</v>
      </c>
      <c r="C12" s="512" t="s">
        <v>6</v>
      </c>
      <c r="D12" s="512" t="s">
        <v>32</v>
      </c>
    </row>
    <row r="13" customHeight="1" spans="1:4">
      <c r="A13" s="512" t="s">
        <v>35</v>
      </c>
      <c r="B13" s="513" t="s">
        <v>36</v>
      </c>
      <c r="C13" s="512" t="s">
        <v>6</v>
      </c>
      <c r="D13" s="512" t="s">
        <v>37</v>
      </c>
    </row>
    <row r="14" customHeight="1" spans="1:4">
      <c r="A14" s="512" t="s">
        <v>38</v>
      </c>
      <c r="B14" s="513" t="s">
        <v>39</v>
      </c>
      <c r="C14" s="512" t="s">
        <v>6</v>
      </c>
      <c r="D14" s="512" t="s">
        <v>40</v>
      </c>
    </row>
    <row r="15" customHeight="1" spans="1:4">
      <c r="A15" s="512" t="s">
        <v>41</v>
      </c>
      <c r="B15" s="513" t="s">
        <v>42</v>
      </c>
      <c r="C15" s="512" t="s">
        <v>6</v>
      </c>
      <c r="D15" s="512" t="s">
        <v>43</v>
      </c>
    </row>
    <row r="16" customHeight="1" spans="1:4">
      <c r="A16" s="512" t="s">
        <v>44</v>
      </c>
      <c r="B16" s="513" t="s">
        <v>45</v>
      </c>
      <c r="C16" s="512" t="s">
        <v>6</v>
      </c>
      <c r="D16" s="512" t="s">
        <v>46</v>
      </c>
    </row>
    <row r="17" customHeight="1" spans="1:4">
      <c r="A17" s="512" t="s">
        <v>47</v>
      </c>
      <c r="B17" s="513"/>
      <c r="C17" s="512"/>
      <c r="D17" s="512"/>
    </row>
    <row r="18" customHeight="1" spans="1:4">
      <c r="A18" s="512" t="s">
        <v>48</v>
      </c>
      <c r="B18" s="513"/>
      <c r="C18" s="512"/>
      <c r="D18" s="512"/>
    </row>
    <row r="19" customHeight="1" spans="1:4">
      <c r="A19" s="512" t="s">
        <v>49</v>
      </c>
      <c r="B19" s="513"/>
      <c r="C19" s="512"/>
      <c r="D19" s="512"/>
    </row>
    <row r="20" customHeight="1" spans="1:4">
      <c r="A20" s="512" t="s">
        <v>50</v>
      </c>
      <c r="B20" s="513"/>
      <c r="C20" s="512"/>
      <c r="D20" s="512"/>
    </row>
    <row r="21" customHeight="1" spans="1:4">
      <c r="A21" s="512" t="s">
        <v>51</v>
      </c>
      <c r="B21" s="514"/>
      <c r="C21" s="512"/>
      <c r="D21" s="512"/>
    </row>
    <row r="22" customHeight="1" spans="1:4">
      <c r="A22" s="512" t="s">
        <v>52</v>
      </c>
      <c r="B22" s="513"/>
      <c r="C22" s="512"/>
      <c r="D22" s="512"/>
    </row>
    <row r="23" customHeight="1" spans="1:4">
      <c r="A23" s="512" t="s">
        <v>53</v>
      </c>
      <c r="B23" s="514"/>
      <c r="C23" s="512"/>
      <c r="D23" s="512"/>
    </row>
    <row r="24" customHeight="1" spans="1:4">
      <c r="A24" s="512" t="s">
        <v>54</v>
      </c>
      <c r="B24" s="513"/>
      <c r="C24" s="512"/>
      <c r="D24" s="512"/>
    </row>
    <row r="25" customHeight="1" spans="1:4">
      <c r="A25" s="512" t="s">
        <v>55</v>
      </c>
      <c r="C25" s="512"/>
      <c r="D25" s="512"/>
    </row>
    <row r="26" customHeight="1" spans="1:4">
      <c r="A26" s="512" t="s">
        <v>56</v>
      </c>
      <c r="B26" s="514"/>
      <c r="C26" s="512"/>
      <c r="D26" s="512"/>
    </row>
    <row r="27" customHeight="1" spans="1:4">
      <c r="A27" s="512" t="s">
        <v>57</v>
      </c>
      <c r="B27" s="513"/>
      <c r="C27" s="515"/>
      <c r="D27" s="180"/>
    </row>
    <row r="28" customHeight="1" spans="1:4">
      <c r="A28" s="512" t="s">
        <v>58</v>
      </c>
      <c r="B28" s="513"/>
      <c r="C28" s="515"/>
      <c r="D28" s="180"/>
    </row>
    <row r="29" customHeight="1" spans="1:4">
      <c r="A29" s="512" t="s">
        <v>59</v>
      </c>
      <c r="B29" s="513"/>
      <c r="C29" s="515"/>
      <c r="D29" s="180"/>
    </row>
    <row r="30" customHeight="1" spans="1:4">
      <c r="A30" s="512" t="s">
        <v>60</v>
      </c>
      <c r="B30" s="514"/>
      <c r="C30" s="515"/>
      <c r="D30" s="180"/>
    </row>
    <row r="31" customHeight="1" spans="1:4">
      <c r="A31" s="512" t="s">
        <v>61</v>
      </c>
      <c r="B31" s="514"/>
      <c r="C31" s="515"/>
      <c r="D31" s="180"/>
    </row>
    <row r="32" customHeight="1" spans="1:4">
      <c r="A32" s="512" t="s">
        <v>62</v>
      </c>
      <c r="B32" s="514"/>
      <c r="C32" s="515"/>
      <c r="D32" s="180"/>
    </row>
    <row r="33" customHeight="1" spans="1:4">
      <c r="A33" s="512" t="s">
        <v>63</v>
      </c>
      <c r="B33" s="514"/>
      <c r="C33" s="515"/>
      <c r="D33" s="180"/>
    </row>
    <row r="34" customHeight="1" spans="1:4">
      <c r="A34" s="512" t="s">
        <v>64</v>
      </c>
      <c r="B34" s="514"/>
      <c r="C34" s="515"/>
      <c r="D34" s="180"/>
    </row>
    <row r="35" customHeight="1" spans="1:4">
      <c r="A35" s="512" t="s">
        <v>65</v>
      </c>
      <c r="B35" s="514"/>
      <c r="C35" s="515"/>
      <c r="D35" s="180"/>
    </row>
    <row r="36" customHeight="1" spans="1:4">
      <c r="A36" s="512" t="s">
        <v>66</v>
      </c>
      <c r="B36" s="514"/>
      <c r="C36" s="515"/>
      <c r="D36" s="180"/>
    </row>
    <row r="37" customHeight="1" spans="1:4">
      <c r="A37" s="512" t="s">
        <v>67</v>
      </c>
      <c r="B37" s="514"/>
      <c r="C37" s="515"/>
      <c r="D37" s="142"/>
    </row>
    <row r="38" customHeight="1" spans="1:4">
      <c r="A38" s="512" t="s">
        <v>68</v>
      </c>
      <c r="B38" s="514"/>
      <c r="C38" s="515"/>
      <c r="D38" s="142"/>
    </row>
    <row r="39" customHeight="1" spans="1:4">
      <c r="A39" s="512" t="s">
        <v>69</v>
      </c>
      <c r="B39" s="514"/>
      <c r="C39" s="515"/>
      <c r="D39" s="142"/>
    </row>
    <row r="40" customHeight="1" spans="1:4">
      <c r="A40" s="512" t="s">
        <v>70</v>
      </c>
      <c r="B40" s="514"/>
      <c r="C40" s="515"/>
      <c r="D40" s="142"/>
    </row>
    <row r="41" customHeight="1" spans="1:4">
      <c r="A41" s="512" t="s">
        <v>71</v>
      </c>
      <c r="B41" s="514"/>
      <c r="C41" s="515"/>
      <c r="D41" s="142"/>
    </row>
    <row r="42" customHeight="1" spans="1:4">
      <c r="A42" s="512" t="s">
        <v>72</v>
      </c>
      <c r="B42" s="512"/>
      <c r="C42" s="142"/>
      <c r="D42" s="142"/>
    </row>
    <row r="43" customHeight="1" spans="1:4">
      <c r="A43" s="512" t="s">
        <v>73</v>
      </c>
      <c r="B43" s="512"/>
      <c r="C43" s="142"/>
      <c r="D43" s="142"/>
    </row>
    <row r="44" customHeight="1" spans="1:4">
      <c r="A44" s="512" t="s">
        <v>74</v>
      </c>
      <c r="B44" s="512"/>
      <c r="C44" s="142"/>
      <c r="D44" s="142"/>
    </row>
    <row r="45" customHeight="1" spans="1:4">
      <c r="A45" s="512" t="s">
        <v>75</v>
      </c>
      <c r="B45" s="512"/>
      <c r="C45" s="142"/>
      <c r="D45" s="142"/>
    </row>
  </sheetData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M39"/>
  <sheetViews>
    <sheetView workbookViewId="0">
      <pane xSplit="7" ySplit="4" topLeftCell="U29" activePane="bottomRight" state="frozen"/>
      <selection/>
      <selection pane="topRight"/>
      <selection pane="bottomLeft"/>
      <selection pane="bottomRight" activeCell="AE5" sqref="AE5:AF37"/>
    </sheetView>
  </sheetViews>
  <sheetFormatPr defaultColWidth="8" defaultRowHeight="12.75"/>
  <cols>
    <col min="1" max="1" width="3.25833333333333" style="2" customWidth="1"/>
    <col min="2" max="2" width="7.63333333333333" style="437" customWidth="1"/>
    <col min="3" max="3" width="6.14166666666667" style="2" customWidth="1"/>
    <col min="4" max="4" width="4.41666666666667" style="3" customWidth="1"/>
    <col min="5" max="5" width="3.25833333333333" style="3" customWidth="1"/>
    <col min="6" max="6" width="30.5833333333333" style="4" customWidth="1"/>
    <col min="7" max="7" width="38.9666666666667" style="3" customWidth="1"/>
    <col min="8" max="8" width="29.525" style="3" customWidth="1"/>
    <col min="9" max="10" width="5.15" style="3" customWidth="1"/>
    <col min="11" max="11" width="5.30833333333333" style="3" hidden="1" customWidth="1"/>
    <col min="12" max="13" width="4.83333333333333" style="3" customWidth="1"/>
    <col min="14" max="14" width="22.6416666666667" style="3" customWidth="1"/>
    <col min="15" max="15" width="21.8833333333333" style="3" hidden="1" customWidth="1"/>
    <col min="16" max="16" width="21.5583333333333" style="3" customWidth="1"/>
    <col min="17" max="17" width="20.9416666666667" style="3" hidden="1" customWidth="1"/>
    <col min="18" max="18" width="30.15" style="5" customWidth="1"/>
    <col min="19" max="19" width="41.6083333333333" style="5" customWidth="1"/>
    <col min="20" max="20" width="27.7916666666667" style="5" customWidth="1"/>
    <col min="21" max="21" width="11.8583333333333" style="5" customWidth="1"/>
    <col min="22" max="22" width="4.99166666666667" style="3" customWidth="1"/>
    <col min="23" max="23" width="5.63333333333333" style="3" customWidth="1"/>
    <col min="24" max="24" width="12.35" style="438" customWidth="1"/>
    <col min="25" max="26" width="8.75833333333333" style="3" customWidth="1"/>
    <col min="27" max="27" width="4.88333333333333" style="3" customWidth="1"/>
    <col min="28" max="30" width="4.88333333333333" style="6" customWidth="1"/>
    <col min="31" max="32" width="4.88333333333333" style="3" customWidth="1"/>
    <col min="33" max="33" width="8.63333333333333" style="3" customWidth="1"/>
    <col min="34" max="34" width="10.5083333333333" style="439" customWidth="1"/>
    <col min="35" max="35" width="10.1416666666667" style="3" customWidth="1"/>
    <col min="36" max="36" width="6.50833333333333" style="438" customWidth="1"/>
    <col min="37" max="37" width="6.50833333333333" style="215" customWidth="1"/>
    <col min="38" max="38" width="11.3833333333333" style="215" customWidth="1"/>
    <col min="39" max="39" width="7.65833333333333" style="8" customWidth="1"/>
    <col min="40" max="16384" width="8" style="2"/>
  </cols>
  <sheetData>
    <row r="1" ht="13.5" spans="1:13">
      <c r="A1" s="440"/>
      <c r="B1" s="441"/>
      <c r="C1" s="440"/>
      <c r="D1" s="442"/>
      <c r="E1" s="442"/>
      <c r="F1" s="12"/>
      <c r="G1" s="12"/>
      <c r="H1" s="12"/>
      <c r="I1" s="12"/>
      <c r="J1" s="12"/>
      <c r="K1" s="12"/>
      <c r="L1" s="12"/>
      <c r="M1" s="12"/>
    </row>
    <row r="2" ht="18.95" customHeight="1" spans="1:39">
      <c r="A2" s="443"/>
      <c r="B2" s="444"/>
      <c r="C2" s="445"/>
      <c r="D2" s="445"/>
      <c r="E2" s="445"/>
      <c r="F2" s="446" t="s">
        <v>76</v>
      </c>
      <c r="G2" s="197"/>
      <c r="H2" s="250"/>
      <c r="I2" s="464" t="s">
        <v>77</v>
      </c>
      <c r="J2" s="464"/>
      <c r="K2" s="464"/>
      <c r="L2" s="15" t="s">
        <v>78</v>
      </c>
      <c r="M2" s="36"/>
      <c r="N2" s="321" t="s">
        <v>79</v>
      </c>
      <c r="O2" s="322"/>
      <c r="P2" s="465" t="s">
        <v>80</v>
      </c>
      <c r="Q2" s="472"/>
      <c r="R2" s="473" t="s">
        <v>81</v>
      </c>
      <c r="S2" s="474"/>
      <c r="T2" s="475" t="s">
        <v>82</v>
      </c>
      <c r="U2" s="476" t="s">
        <v>83</v>
      </c>
      <c r="V2" s="477"/>
      <c r="W2" s="477"/>
      <c r="X2" s="478"/>
      <c r="Y2" s="477"/>
      <c r="Z2" s="494"/>
      <c r="AA2" s="14" t="s">
        <v>84</v>
      </c>
      <c r="AB2" s="14"/>
      <c r="AC2" s="14"/>
      <c r="AD2" s="14"/>
      <c r="AE2" s="495"/>
      <c r="AF2" s="495"/>
      <c r="AG2" s="55"/>
      <c r="AH2" s="65" t="s">
        <v>85</v>
      </c>
      <c r="AI2" s="65"/>
      <c r="AJ2" s="264" t="s">
        <v>86</v>
      </c>
      <c r="AK2" s="328"/>
      <c r="AL2" s="502" t="s">
        <v>87</v>
      </c>
      <c r="AM2" s="503" t="s">
        <v>88</v>
      </c>
    </row>
    <row r="3" ht="18" customHeight="1" spans="1:39">
      <c r="A3" s="447" t="s">
        <v>89</v>
      </c>
      <c r="B3" s="448" t="s">
        <v>90</v>
      </c>
      <c r="C3" s="449" t="s">
        <v>91</v>
      </c>
      <c r="D3" s="449" t="s">
        <v>92</v>
      </c>
      <c r="E3" s="449" t="s">
        <v>93</v>
      </c>
      <c r="F3" s="449" t="s">
        <v>94</v>
      </c>
      <c r="G3" s="449" t="s">
        <v>95</v>
      </c>
      <c r="H3" s="449" t="s">
        <v>96</v>
      </c>
      <c r="I3" s="21" t="s">
        <v>97</v>
      </c>
      <c r="J3" s="21" t="s">
        <v>98</v>
      </c>
      <c r="K3" s="21" t="s">
        <v>99</v>
      </c>
      <c r="L3" s="41" t="s">
        <v>100</v>
      </c>
      <c r="M3" s="41" t="s">
        <v>101</v>
      </c>
      <c r="N3" s="199" t="s">
        <v>102</v>
      </c>
      <c r="O3" s="199" t="s">
        <v>103</v>
      </c>
      <c r="P3" s="466" t="s">
        <v>102</v>
      </c>
      <c r="Q3" s="466" t="s">
        <v>103</v>
      </c>
      <c r="R3" s="479" t="s">
        <v>104</v>
      </c>
      <c r="S3" s="44" t="s">
        <v>105</v>
      </c>
      <c r="T3" s="480" t="s">
        <v>106</v>
      </c>
      <c r="U3" s="24" t="s">
        <v>107</v>
      </c>
      <c r="V3" s="24" t="s">
        <v>108</v>
      </c>
      <c r="W3" s="69" t="s">
        <v>109</v>
      </c>
      <c r="X3" s="272" t="s">
        <v>110</v>
      </c>
      <c r="Y3" s="26" t="s">
        <v>111</v>
      </c>
      <c r="Z3" s="24" t="s">
        <v>112</v>
      </c>
      <c r="AA3" s="24" t="s">
        <v>113</v>
      </c>
      <c r="AB3" s="24" t="s">
        <v>114</v>
      </c>
      <c r="AC3" s="24" t="s">
        <v>115</v>
      </c>
      <c r="AD3" s="24" t="s">
        <v>116</v>
      </c>
      <c r="AE3" s="496" t="s">
        <v>117</v>
      </c>
      <c r="AF3" s="496" t="s">
        <v>118</v>
      </c>
      <c r="AG3" s="24" t="s">
        <v>119</v>
      </c>
      <c r="AH3" s="504" t="s">
        <v>120</v>
      </c>
      <c r="AI3" s="69" t="s">
        <v>121</v>
      </c>
      <c r="AJ3" s="505" t="s">
        <v>122</v>
      </c>
      <c r="AK3" s="506" t="s">
        <v>123</v>
      </c>
      <c r="AL3" s="507"/>
      <c r="AM3" s="56" t="s">
        <v>88</v>
      </c>
    </row>
    <row r="4" ht="106" customHeight="1" spans="1:39">
      <c r="A4" s="450"/>
      <c r="B4" s="451"/>
      <c r="C4" s="452"/>
      <c r="D4" s="453"/>
      <c r="E4" s="452"/>
      <c r="F4" s="452"/>
      <c r="G4" s="452"/>
      <c r="H4" s="452"/>
      <c r="I4" s="242"/>
      <c r="J4" s="242"/>
      <c r="K4" s="242"/>
      <c r="L4" s="251"/>
      <c r="M4" s="251"/>
      <c r="N4" s="323"/>
      <c r="O4" s="323"/>
      <c r="P4" s="467"/>
      <c r="Q4" s="467"/>
      <c r="R4" s="481"/>
      <c r="S4" s="482"/>
      <c r="T4" s="483"/>
      <c r="U4" s="115"/>
      <c r="V4" s="115"/>
      <c r="W4" s="113"/>
      <c r="X4" s="117"/>
      <c r="Y4" s="497"/>
      <c r="Z4" s="115"/>
      <c r="AA4" s="115"/>
      <c r="AB4" s="115"/>
      <c r="AC4" s="115"/>
      <c r="AD4" s="115"/>
      <c r="AE4" s="498"/>
      <c r="AF4" s="498"/>
      <c r="AG4" s="115"/>
      <c r="AH4" s="504"/>
      <c r="AI4" s="113"/>
      <c r="AJ4" s="267"/>
      <c r="AK4" s="330"/>
      <c r="AL4" s="508"/>
      <c r="AM4" s="56"/>
    </row>
    <row r="5" s="436" customFormat="1" ht="23.1" customHeight="1" spans="1:39">
      <c r="A5" s="156">
        <v>1</v>
      </c>
      <c r="B5" s="277"/>
      <c r="C5" s="454" t="s">
        <v>124</v>
      </c>
      <c r="D5" s="455" t="s">
        <v>125</v>
      </c>
      <c r="E5" s="456">
        <v>1</v>
      </c>
      <c r="F5" s="457" t="s">
        <v>126</v>
      </c>
      <c r="G5" s="457" t="s">
        <v>127</v>
      </c>
      <c r="H5" s="457" t="str">
        <f t="shared" ref="H5:H21" si="0">G5&amp;" (T)"</f>
        <v>Go for Broke (T)</v>
      </c>
      <c r="I5" s="468" t="s">
        <v>128</v>
      </c>
      <c r="J5" s="468" t="s">
        <v>128</v>
      </c>
      <c r="K5" s="468" t="s">
        <v>128</v>
      </c>
      <c r="L5" s="468" t="s">
        <v>128</v>
      </c>
      <c r="M5" s="468" t="s">
        <v>128</v>
      </c>
      <c r="N5" s="369" t="s">
        <v>129</v>
      </c>
      <c r="O5" s="372" t="s">
        <v>130</v>
      </c>
      <c r="P5" s="469" t="s">
        <v>131</v>
      </c>
      <c r="Q5" s="484" t="s">
        <v>132</v>
      </c>
      <c r="R5" s="243" t="str">
        <f>CONCATENATE(RemovePunctuation(G5),"_","i4K","_","CA_",C5,"_",AK5,"_",PROPER(AA5),IF(AB5="",PROPER(AA5),PROPER(AB5)),PROPER(AC5),PROPER(AD5),PROPER(AE5),IF(AE5&lt;&gt;"","SUB",""),PROPER(AF5),IF(AF5&lt;&gt;"","SUB",""),"_","Ed","_","M1",".mpg")</f>
        <v>GoforBroke_i4K_CA_0325_43_ZhoZhoEngSUBZhoSUB_Ed_M1.mpg</v>
      </c>
      <c r="S5" s="243" t="str">
        <f>CONCATENATE(RemovePunctuation(G5),"_","i5K","_","CA_",C5,"_",AJ5,"_",PROPER(AA5),IF(AB5="",PROPER(AA5),PROPER(AB5)),PROPER(AC5),PROPER(AD5),PROPER(AE5),IF(AE5&lt;&gt;"","SUB",""),PROPER(AF5),IF(AF5&lt;&gt;"","SUB",""),"_","Ed","_","M4",".mpg")</f>
        <v>GoforBroke_i5K_CA_0325_169_ZhoZhoEngSUBZhoSUB_Ed_M4.mpg</v>
      </c>
      <c r="T5" s="485" t="str">
        <f>CONCATENATE(RemovePunctuation(G5),"TR","_CA","_",C5,"_",AJ5,"_",PROPER(AA5),PROPER(AA5),"_","Ed","_","M2",".mpg")</f>
        <v>GoforBrokeTR_CA_0325_169_ZhoZho_Ed_M2.mpg</v>
      </c>
      <c r="U5" s="486" t="s">
        <v>133</v>
      </c>
      <c r="V5" s="487"/>
      <c r="W5" s="488" t="s">
        <v>134</v>
      </c>
      <c r="X5" s="489">
        <v>2024</v>
      </c>
      <c r="Y5" s="499" t="s">
        <v>135</v>
      </c>
      <c r="Z5" s="499" t="s">
        <v>135</v>
      </c>
      <c r="AA5" s="499" t="s">
        <v>136</v>
      </c>
      <c r="AB5" s="499"/>
      <c r="AC5" s="499"/>
      <c r="AD5" s="499"/>
      <c r="AE5" s="499" t="s">
        <v>137</v>
      </c>
      <c r="AF5" s="499" t="s">
        <v>136</v>
      </c>
      <c r="AG5" s="118">
        <f>ROUNDUP(HOUR(AH5)*60+MINUTE(AH5)+SECOND(AH5)/60,0)</f>
        <v>116</v>
      </c>
      <c r="AH5" s="406">
        <v>0.0798726851851852</v>
      </c>
      <c r="AI5" s="120">
        <f>AG5*60</f>
        <v>6960</v>
      </c>
      <c r="AJ5" s="270">
        <v>169</v>
      </c>
      <c r="AK5" s="270">
        <v>43</v>
      </c>
      <c r="AL5" s="509">
        <v>0.00068287037037037</v>
      </c>
      <c r="AM5" s="510" t="s">
        <v>138</v>
      </c>
    </row>
    <row r="6" s="436" customFormat="1" ht="23.1" customHeight="1" spans="1:39">
      <c r="A6" s="156">
        <v>2</v>
      </c>
      <c r="B6" s="277"/>
      <c r="C6" s="454" t="s">
        <v>124</v>
      </c>
      <c r="D6" s="455"/>
      <c r="E6" s="456">
        <v>2</v>
      </c>
      <c r="F6" s="457" t="s">
        <v>139</v>
      </c>
      <c r="G6" s="457" t="s">
        <v>140</v>
      </c>
      <c r="H6" s="457" t="str">
        <f t="shared" si="0"/>
        <v>Warriors of Future (T)</v>
      </c>
      <c r="I6" s="468" t="s">
        <v>128</v>
      </c>
      <c r="J6" s="468" t="s">
        <v>128</v>
      </c>
      <c r="K6" s="468" t="s">
        <v>128</v>
      </c>
      <c r="L6" s="468" t="s">
        <v>128</v>
      </c>
      <c r="M6" s="468" t="s">
        <v>128</v>
      </c>
      <c r="N6" s="369" t="s">
        <v>141</v>
      </c>
      <c r="O6" s="372"/>
      <c r="P6" s="469" t="s">
        <v>142</v>
      </c>
      <c r="Q6" s="484"/>
      <c r="R6" s="243" t="str">
        <f>CONCATENATE(RemovePunctuation(G6),"_","i4K","_","CA_",C6,"_",AK6,"_",PROPER(AA6),IF(AB6="",PROPER(AA6),PROPER(AB6)),PROPER(AC6),PROPER(AD6),PROPER(AE6),IF(AE6&lt;&gt;"","SUB",""),PROPER(AF6),IF(AF6&lt;&gt;"","SUB",""),"_","Ed","_","M1",".mpg")</f>
        <v>WarriorsofFuture_i4K_CA_0325_43_ZhoZhoZhoSUB_Ed_M1.mpg</v>
      </c>
      <c r="S6" s="243" t="str">
        <f>CONCATENATE(RemovePunctuation(G6),"_","i5K","_","CA_",C6,"_",AJ6,"_",PROPER(AA6),IF(AB6="",PROPER(AA6),PROPER(AB6)),PROPER(AC6),PROPER(AD6),PROPER(AE6),IF(AE6&lt;&gt;"","SUB",""),PROPER(AF6),IF(AF6&lt;&gt;"","SUB",""),"_","Ed","_","M4",".mpg")</f>
        <v>WarriorsofFuture_i5K_CA_0325_169_ZhoZhoZhoSUB_Ed_M4.mpg</v>
      </c>
      <c r="T6" s="485" t="str">
        <f>CONCATENATE(RemovePunctuation(G6),"TR","_CA","_",C6,"_",AJ6,"_",PROPER(AA6),PROPER(AA6),"_","Ed","_","M2",".mpg")</f>
        <v>WarriorsofFutureTR_CA_0325_169_ZhoZho_Ed_M2.mpg</v>
      </c>
      <c r="U6" s="486" t="s">
        <v>133</v>
      </c>
      <c r="V6" s="487"/>
      <c r="W6" s="488" t="s">
        <v>134</v>
      </c>
      <c r="X6" s="489">
        <v>2022</v>
      </c>
      <c r="Y6" s="499" t="s">
        <v>135</v>
      </c>
      <c r="Z6" s="499" t="s">
        <v>135</v>
      </c>
      <c r="AA6" s="499" t="s">
        <v>136</v>
      </c>
      <c r="AB6" s="499"/>
      <c r="AC6" s="499"/>
      <c r="AD6" s="499"/>
      <c r="AE6" s="499" t="s">
        <v>136</v>
      </c>
      <c r="AF6" s="499"/>
      <c r="AG6" s="118">
        <f>ROUNDUP(HOUR(AH6)*60+MINUTE(AH6)+SECOND(AH6)/60,0)</f>
        <v>93</v>
      </c>
      <c r="AH6" s="406">
        <v>0.0640046296296296</v>
      </c>
      <c r="AI6" s="120">
        <f>AG6*60</f>
        <v>5580</v>
      </c>
      <c r="AJ6" s="270">
        <v>169</v>
      </c>
      <c r="AK6" s="270">
        <v>43</v>
      </c>
      <c r="AL6" s="509">
        <v>0.00112268518518519</v>
      </c>
      <c r="AM6" s="510" t="s">
        <v>143</v>
      </c>
    </row>
    <row r="7" s="436" customFormat="1" ht="23.1" customHeight="1" spans="1:39">
      <c r="A7" s="156">
        <v>3</v>
      </c>
      <c r="B7" s="277"/>
      <c r="C7" s="454" t="s">
        <v>124</v>
      </c>
      <c r="D7" s="455"/>
      <c r="E7" s="456">
        <v>3</v>
      </c>
      <c r="F7" s="457" t="s">
        <v>144</v>
      </c>
      <c r="G7" s="457" t="s">
        <v>145</v>
      </c>
      <c r="H7" s="457" t="str">
        <f t="shared" si="0"/>
        <v>Eye for an Eye 2 (T)</v>
      </c>
      <c r="I7" s="468" t="s">
        <v>128</v>
      </c>
      <c r="J7" s="468" t="s">
        <v>128</v>
      </c>
      <c r="K7" s="468" t="s">
        <v>128</v>
      </c>
      <c r="L7" s="468" t="s">
        <v>128</v>
      </c>
      <c r="M7" s="468" t="s">
        <v>128</v>
      </c>
      <c r="N7" s="369" t="s">
        <v>146</v>
      </c>
      <c r="O7" s="372"/>
      <c r="P7" s="469" t="s">
        <v>147</v>
      </c>
      <c r="Q7" s="484"/>
      <c r="R7" s="243" t="str">
        <f>CONCATENATE(RemovePunctuation(G7),"_","i4K","_","CA_",C7,"_",AK7,"_",PROPER(AA7),IF(AB7="",PROPER(AA7),PROPER(AB7)),PROPER(AC7),PROPER(AD7),PROPER(AE7),IF(AE7&lt;&gt;"","SUB",""),PROPER(AF7),IF(AF7&lt;&gt;"","SUB",""),"_","Ed","_","M1",".mpg")</f>
        <v>EyeforanEye2_i4K_CA_0325_43_ZhoZhoZhoSUB_Ed_M1.mpg</v>
      </c>
      <c r="S7" s="243" t="str">
        <f>CONCATENATE(RemovePunctuation(G7),"_","i5K","_","CA_",C7,"_",AJ7,"_",PROPER(AA7),IF(AB7="",PROPER(AA7),PROPER(AB7)),PROPER(AC7),PROPER(AD7),PROPER(AE7),IF(AE7&lt;&gt;"","SUB",""),PROPER(AF7),IF(AF7&lt;&gt;"","SUB",""),"_","Ed","_","M4",".mpg")</f>
        <v>EyeforanEye2_i5K_CA_0325_169_ZhoZhoZhoSUB_Ed_M4.mpg</v>
      </c>
      <c r="T7" s="485" t="str">
        <f>CONCATENATE(RemovePunctuation(G7),"TR","_CA","_",C7,"_",AJ7,"_",PROPER(AA7),PROPER(AA7),"_","Ed","_","M2",".mpg")</f>
        <v>EyeforanEye2TR_CA_0325_169_ZhoZho_Ed_M2.mpg</v>
      </c>
      <c r="U7" s="486" t="s">
        <v>148</v>
      </c>
      <c r="V7" s="487"/>
      <c r="W7" s="488" t="s">
        <v>134</v>
      </c>
      <c r="X7" s="489">
        <v>2024</v>
      </c>
      <c r="Y7" s="499" t="s">
        <v>135</v>
      </c>
      <c r="Z7" s="499" t="s">
        <v>135</v>
      </c>
      <c r="AA7" s="499" t="s">
        <v>136</v>
      </c>
      <c r="AB7" s="499"/>
      <c r="AC7" s="499"/>
      <c r="AD7" s="499"/>
      <c r="AE7" s="499" t="s">
        <v>136</v>
      </c>
      <c r="AF7" s="499"/>
      <c r="AG7" s="118">
        <f>ROUNDUP(HOUR(AH7)*60+MINUTE(AH7)+SECOND(AH7)/60,0)</f>
        <v>90</v>
      </c>
      <c r="AH7" s="406">
        <v>0.0625</v>
      </c>
      <c r="AI7" s="120">
        <f>AG7*60</f>
        <v>5400</v>
      </c>
      <c r="AJ7" s="270">
        <v>169</v>
      </c>
      <c r="AK7" s="270">
        <v>43</v>
      </c>
      <c r="AL7" s="509">
        <v>0.000821759259259259</v>
      </c>
      <c r="AM7" s="510" t="s">
        <v>138</v>
      </c>
    </row>
    <row r="8" s="436" customFormat="1" ht="23.1" customHeight="1" spans="1:39">
      <c r="A8" s="156">
        <v>4</v>
      </c>
      <c r="B8" s="277"/>
      <c r="C8" s="454" t="s">
        <v>124</v>
      </c>
      <c r="D8" s="458" t="s">
        <v>149</v>
      </c>
      <c r="E8" s="456">
        <v>1</v>
      </c>
      <c r="F8" s="457" t="s">
        <v>150</v>
      </c>
      <c r="G8" s="457" t="s">
        <v>151</v>
      </c>
      <c r="H8" s="457" t="str">
        <f t="shared" si="0"/>
        <v>Another Day of Hope (T)</v>
      </c>
      <c r="I8" s="468" t="s">
        <v>128</v>
      </c>
      <c r="J8" s="468" t="s">
        <v>128</v>
      </c>
      <c r="K8" s="468" t="s">
        <v>128</v>
      </c>
      <c r="L8" s="468" t="s">
        <v>128</v>
      </c>
      <c r="M8" s="468" t="s">
        <v>128</v>
      </c>
      <c r="N8" s="369" t="s">
        <v>152</v>
      </c>
      <c r="O8" s="372" t="s">
        <v>153</v>
      </c>
      <c r="P8" s="469" t="s">
        <v>154</v>
      </c>
      <c r="Q8" s="484" t="s">
        <v>155</v>
      </c>
      <c r="R8" s="243" t="str">
        <f>CONCATENATE(RemovePunctuation(G8),"_","i4K","_","CA_",C8,"_",AK8,"_",PROPER(AA8),IF(AB8="",PROPER(AA8),PROPER(AB8)),PROPER(AC8),PROPER(AD8),PROPER(AE8),IF(AE8&lt;&gt;"","SUB",""),PROPER(AF8),IF(AF8&lt;&gt;"","SUB",""),"_","Ed","_","M1",".mpg")</f>
        <v>AnotherDayofHope_i4K_CA_0325_43_ZhoZhoEngSUBZhoSUB_Ed_M1.mpg</v>
      </c>
      <c r="S8" s="243" t="str">
        <f>CONCATENATE(RemovePunctuation(G8),"_","i5K","_","CA_",C8,"_",AJ8,"_",PROPER(AA8),IF(AB8="",PROPER(AA8),PROPER(AB8)),PROPER(AC8),PROPER(AD8),PROPER(AE8),IF(AE8&lt;&gt;"","SUB",""),PROPER(AF8),IF(AF8&lt;&gt;"","SUB",""),"_","Ed","_","M4",".mpg")</f>
        <v>AnotherDayofHope_i5K_CA_0325_169_ZhoZhoEngSUBZhoSUB_Ed_M4.mpg</v>
      </c>
      <c r="T8" s="485" t="str">
        <f>CONCATENATE(RemovePunctuation(G8),"TR","_CA","_",C8,"_",AJ8,"_",PROPER(AA8),PROPER(AA8),"_","Ed","_","M2",".mpg")</f>
        <v>AnotherDayofHopeTR_CA_0325_169_ZhoZho_Ed_M2.mpg</v>
      </c>
      <c r="U8" s="486" t="s">
        <v>133</v>
      </c>
      <c r="V8" s="487"/>
      <c r="W8" s="488" t="s">
        <v>134</v>
      </c>
      <c r="X8" s="489">
        <v>2024</v>
      </c>
      <c r="Y8" s="499" t="s">
        <v>135</v>
      </c>
      <c r="Z8" s="499" t="s">
        <v>135</v>
      </c>
      <c r="AA8" s="499" t="s">
        <v>136</v>
      </c>
      <c r="AB8" s="499"/>
      <c r="AC8" s="499"/>
      <c r="AD8" s="499"/>
      <c r="AE8" s="499" t="s">
        <v>137</v>
      </c>
      <c r="AF8" s="499" t="s">
        <v>136</v>
      </c>
      <c r="AG8" s="118">
        <f t="shared" ref="AG8:AG33" si="1">ROUNDUP(HOUR(AH8)*60+MINUTE(AH8)+SECOND(AH8)/60,0)</f>
        <v>133</v>
      </c>
      <c r="AH8" s="406">
        <v>0.0922569444444444</v>
      </c>
      <c r="AI8" s="120">
        <f t="shared" ref="AI8:AI33" si="2">AG8*60</f>
        <v>7980</v>
      </c>
      <c r="AJ8" s="270">
        <v>169</v>
      </c>
      <c r="AK8" s="270">
        <v>43</v>
      </c>
      <c r="AL8" s="509">
        <v>0.00113425925925926</v>
      </c>
      <c r="AM8" s="510" t="s">
        <v>138</v>
      </c>
    </row>
    <row r="9" s="436" customFormat="1" ht="23.1" customHeight="1" spans="1:39">
      <c r="A9" s="156">
        <v>5</v>
      </c>
      <c r="B9" s="277"/>
      <c r="C9" s="454" t="s">
        <v>124</v>
      </c>
      <c r="D9" s="459"/>
      <c r="E9" s="456">
        <v>2</v>
      </c>
      <c r="F9" s="457" t="s">
        <v>156</v>
      </c>
      <c r="G9" s="457" t="s">
        <v>157</v>
      </c>
      <c r="H9" s="457" t="str">
        <f t="shared" si="0"/>
        <v>The Unseen Sister (T)</v>
      </c>
      <c r="I9" s="468" t="s">
        <v>128</v>
      </c>
      <c r="J9" s="468" t="s">
        <v>128</v>
      </c>
      <c r="K9" s="468" t="s">
        <v>128</v>
      </c>
      <c r="L9" s="468" t="s">
        <v>128</v>
      </c>
      <c r="M9" s="468" t="s">
        <v>128</v>
      </c>
      <c r="N9" s="369" t="s">
        <v>158</v>
      </c>
      <c r="O9" s="372" t="s">
        <v>159</v>
      </c>
      <c r="P9" s="469" t="s">
        <v>160</v>
      </c>
      <c r="Q9" s="484" t="s">
        <v>161</v>
      </c>
      <c r="R9" s="243" t="str">
        <f>CONCATENATE(RemovePunctuation(G9),"_","i4K","_","CA_",C9,"_",AK9,"_",PROPER(AA9),IF(AB9="",PROPER(AA9),PROPER(AB9)),PROPER(AC9),PROPER(AD9),PROPER(AE9),IF(AE9&lt;&gt;"","SUB",""),PROPER(AF9),IF(AF9&lt;&gt;"","SUB",""),"_","Ed","_","M1",".mpg")</f>
        <v>TheUnseenSister_i4K_CA_0325_43_ZhoZhoEngSUBZhoSUB_Ed_M1.mpg</v>
      </c>
      <c r="S9" s="243" t="str">
        <f>CONCATENATE(RemovePunctuation(G9),"_","i5K","_","CA_",C9,"_",AJ9,"_",PROPER(AA9),IF(AB9="",PROPER(AA9),PROPER(AB9)),PROPER(AC9),PROPER(AD9),PROPER(AE9),IF(AE9&lt;&gt;"","SUB",""),PROPER(AF9),IF(AF9&lt;&gt;"","SUB",""),"_","Ed","_","M4",".mpg")</f>
        <v>TheUnseenSister_i5K_CA_0325_169_ZhoZhoEngSUBZhoSUB_Ed_M4.mpg</v>
      </c>
      <c r="T9" s="485" t="str">
        <f>CONCATENATE(RemovePunctuation(G9),"TR","_CA","_",C9,"_",AJ9,"_",PROPER(AA9),PROPER(AA9),"_","Ed","_","M2",".mpg")</f>
        <v>TheUnseenSisterTR_CA_0325_169_ZhoZho_Ed_M2.mpg</v>
      </c>
      <c r="U9" s="486" t="s">
        <v>133</v>
      </c>
      <c r="V9" s="487"/>
      <c r="W9" s="488" t="s">
        <v>162</v>
      </c>
      <c r="X9" s="489">
        <v>2024</v>
      </c>
      <c r="Y9" s="499" t="s">
        <v>135</v>
      </c>
      <c r="Z9" s="499" t="s">
        <v>135</v>
      </c>
      <c r="AA9" s="499" t="s">
        <v>136</v>
      </c>
      <c r="AB9" s="499"/>
      <c r="AC9" s="499"/>
      <c r="AD9" s="499"/>
      <c r="AE9" s="499" t="s">
        <v>137</v>
      </c>
      <c r="AF9" s="499" t="s">
        <v>136</v>
      </c>
      <c r="AG9" s="118">
        <f t="shared" si="1"/>
        <v>113</v>
      </c>
      <c r="AH9" s="406">
        <v>0.0780092592592593</v>
      </c>
      <c r="AI9" s="120">
        <f t="shared" si="2"/>
        <v>6780</v>
      </c>
      <c r="AJ9" s="270">
        <v>169</v>
      </c>
      <c r="AK9" s="270">
        <v>43</v>
      </c>
      <c r="AL9" s="509">
        <v>0.00100694444444444</v>
      </c>
      <c r="AM9" s="510" t="s">
        <v>138</v>
      </c>
    </row>
    <row r="10" s="436" customFormat="1" ht="23.1" customHeight="1" spans="1:39">
      <c r="A10" s="156">
        <v>6</v>
      </c>
      <c r="B10" s="277"/>
      <c r="C10" s="454" t="s">
        <v>124</v>
      </c>
      <c r="D10" s="458"/>
      <c r="E10" s="456">
        <v>3</v>
      </c>
      <c r="F10" s="457" t="s">
        <v>163</v>
      </c>
      <c r="G10" s="457" t="s">
        <v>164</v>
      </c>
      <c r="H10" s="457" t="str">
        <f t="shared" si="0"/>
        <v>The Wig (T)</v>
      </c>
      <c r="I10" s="468" t="s">
        <v>128</v>
      </c>
      <c r="J10" s="468" t="s">
        <v>128</v>
      </c>
      <c r="K10" s="468" t="s">
        <v>128</v>
      </c>
      <c r="L10" s="468" t="s">
        <v>128</v>
      </c>
      <c r="M10" s="468" t="s">
        <v>128</v>
      </c>
      <c r="N10" s="369" t="s">
        <v>165</v>
      </c>
      <c r="O10" s="372" t="s">
        <v>166</v>
      </c>
      <c r="P10" s="469" t="s">
        <v>167</v>
      </c>
      <c r="Q10" s="484" t="s">
        <v>168</v>
      </c>
      <c r="R10" s="243" t="str">
        <f>CONCATENATE(RemovePunctuation(G10),"_","i4K","_","CA_",C10,"_",AK10,"_",PROPER(AA10),IF(AB10="",PROPER(AA10),PROPER(AB10)),PROPER(AC10),PROPER(AD10),PROPER(AE10),IF(AE10&lt;&gt;"","SUB",""),PROPER(AF10),IF(AF10&lt;&gt;"","SUB",""),"_","Ed","_","M1",".mpg")</f>
        <v>TheWig_i4K_CA_0325_43_ZhoZhoEngSUBZhoSUB_Ed_M1.mpg</v>
      </c>
      <c r="S10" s="243" t="str">
        <f>CONCATENATE(RemovePunctuation(G10),"_","i5K","_","CA_",C10,"_",AJ10,"_",PROPER(AA10),IF(AB10="",PROPER(AA10),PROPER(AB10)),PROPER(AC10),PROPER(AD10),PROPER(AE10),IF(AE10&lt;&gt;"","SUB",""),PROPER(AF10),IF(AF10&lt;&gt;"","SUB",""),"_","Ed","_","M4",".mpg")</f>
        <v>TheWig_i5K_CA_0325_169_ZhoZhoEngSUBZhoSUB_Ed_M4.mpg</v>
      </c>
      <c r="T10" s="485" t="str">
        <f>CONCATENATE(RemovePunctuation(G10),"TR","_CA","_",C10,"_",AJ10,"_",PROPER(AA10),PROPER(AA10),"_","Ed","_","M2",".mpg")</f>
        <v>TheWigTR_CA_0325_169_ZhoZho_Ed_M2.mpg</v>
      </c>
      <c r="U10" s="486" t="s">
        <v>133</v>
      </c>
      <c r="V10" s="487"/>
      <c r="W10" s="488" t="s">
        <v>134</v>
      </c>
      <c r="X10" s="489">
        <v>2024</v>
      </c>
      <c r="Y10" s="499" t="s">
        <v>135</v>
      </c>
      <c r="Z10" s="499" t="s">
        <v>135</v>
      </c>
      <c r="AA10" s="499" t="s">
        <v>136</v>
      </c>
      <c r="AB10" s="499"/>
      <c r="AC10" s="499"/>
      <c r="AD10" s="499"/>
      <c r="AE10" s="499" t="s">
        <v>137</v>
      </c>
      <c r="AF10" s="499" t="s">
        <v>136</v>
      </c>
      <c r="AG10" s="118">
        <f t="shared" si="1"/>
        <v>121</v>
      </c>
      <c r="AH10" s="406">
        <v>0.0839930555555556</v>
      </c>
      <c r="AI10" s="120">
        <f t="shared" si="2"/>
        <v>7260</v>
      </c>
      <c r="AJ10" s="270">
        <v>169</v>
      </c>
      <c r="AK10" s="270">
        <v>43</v>
      </c>
      <c r="AL10" s="509">
        <v>0.000914351851851852</v>
      </c>
      <c r="AM10" s="510" t="s">
        <v>138</v>
      </c>
    </row>
    <row r="11" s="436" customFormat="1" ht="23.1" customHeight="1" spans="1:39">
      <c r="A11" s="156">
        <v>7</v>
      </c>
      <c r="B11" s="277"/>
      <c r="C11" s="454" t="s">
        <v>124</v>
      </c>
      <c r="D11" s="458"/>
      <c r="E11" s="456">
        <v>4</v>
      </c>
      <c r="F11" s="457" t="s">
        <v>169</v>
      </c>
      <c r="G11" s="457" t="s">
        <v>170</v>
      </c>
      <c r="H11" s="457" t="str">
        <f t="shared" si="0"/>
        <v>To Gather Around (T)</v>
      </c>
      <c r="I11" s="468" t="s">
        <v>128</v>
      </c>
      <c r="J11" s="468" t="s">
        <v>128</v>
      </c>
      <c r="K11" s="468" t="s">
        <v>128</v>
      </c>
      <c r="L11" s="468" t="s">
        <v>128</v>
      </c>
      <c r="M11" s="468" t="s">
        <v>128</v>
      </c>
      <c r="N11" s="369" t="s">
        <v>171</v>
      </c>
      <c r="O11" s="372" t="s">
        <v>172</v>
      </c>
      <c r="P11" s="469" t="s">
        <v>173</v>
      </c>
      <c r="Q11" s="484" t="s">
        <v>174</v>
      </c>
      <c r="R11" s="243" t="str">
        <f>CONCATENATE(RemovePunctuation(G11),"_","i4K","_","CA_",C11,"_",AK11,"_",PROPER(AA11),IF(AB11="",PROPER(AA11),PROPER(AB11)),PROPER(AC11),PROPER(AD11),PROPER(AE11),IF(AE11&lt;&gt;"","SUB",""),PROPER(AF11),IF(AF11&lt;&gt;"","SUB",""),"_","Ed","_","M1",".mpg")</f>
        <v>ToGatherAround_i4K_CA_0325_43_ZhoZhoZhoSUB_Ed_M1.mpg</v>
      </c>
      <c r="S11" s="243" t="str">
        <f>CONCATENATE(RemovePunctuation(G11),"_","i5K","_","CA_",C11,"_",AJ11,"_",PROPER(AA11),IF(AB11="",PROPER(AA11),PROPER(AB11)),PROPER(AC11),PROPER(AD11),PROPER(AE11),IF(AE11&lt;&gt;"","SUB",""),PROPER(AF11),IF(AF11&lt;&gt;"","SUB",""),"_","Ed","_","M4",".mpg")</f>
        <v>ToGatherAround_i5K_CA_0325_169_ZhoZhoZhoSUB_Ed_M4.mpg</v>
      </c>
      <c r="T11" s="485" t="str">
        <f>CONCATENATE(RemovePunctuation(G11),"TR","_CA","_",C11,"_",AJ11,"_",PROPER(AA11),PROPER(AA11),"_","Ed","_","M2",".mpg")</f>
        <v>ToGatherAroundTR_CA_0325_169_ZhoZho_Ed_M2.mpg</v>
      </c>
      <c r="U11" s="486" t="s">
        <v>133</v>
      </c>
      <c r="V11" s="487"/>
      <c r="W11" s="488" t="s">
        <v>134</v>
      </c>
      <c r="X11" s="489">
        <v>2024</v>
      </c>
      <c r="Y11" s="499" t="s">
        <v>135</v>
      </c>
      <c r="Z11" s="499" t="s">
        <v>135</v>
      </c>
      <c r="AA11" s="499" t="s">
        <v>136</v>
      </c>
      <c r="AB11" s="499"/>
      <c r="AC11" s="499"/>
      <c r="AD11" s="499"/>
      <c r="AE11" s="499" t="s">
        <v>136</v>
      </c>
      <c r="AF11" s="499"/>
      <c r="AG11" s="118">
        <f t="shared" si="1"/>
        <v>136</v>
      </c>
      <c r="AH11" s="406">
        <v>0.0940972222222222</v>
      </c>
      <c r="AI11" s="120">
        <f t="shared" si="2"/>
        <v>8160</v>
      </c>
      <c r="AJ11" s="270">
        <v>169</v>
      </c>
      <c r="AK11" s="270">
        <v>43</v>
      </c>
      <c r="AL11" s="509">
        <v>0.000821759259259259</v>
      </c>
      <c r="AM11" s="510" t="s">
        <v>138</v>
      </c>
    </row>
    <row r="12" s="436" customFormat="1" ht="23.1" customHeight="1" spans="1:39">
      <c r="A12" s="156">
        <v>8</v>
      </c>
      <c r="B12" s="277"/>
      <c r="C12" s="454" t="s">
        <v>124</v>
      </c>
      <c r="D12" s="458"/>
      <c r="E12" s="456">
        <v>5</v>
      </c>
      <c r="F12" s="460" t="s">
        <v>175</v>
      </c>
      <c r="G12" s="457" t="s">
        <v>176</v>
      </c>
      <c r="H12" s="457" t="str">
        <f t="shared" si="0"/>
        <v>Remember Me (T)</v>
      </c>
      <c r="I12" s="468" t="s">
        <v>128</v>
      </c>
      <c r="J12" s="468" t="s">
        <v>128</v>
      </c>
      <c r="K12" s="468" t="s">
        <v>128</v>
      </c>
      <c r="L12" s="468" t="s">
        <v>128</v>
      </c>
      <c r="M12" s="468" t="s">
        <v>128</v>
      </c>
      <c r="N12" s="369" t="s">
        <v>177</v>
      </c>
      <c r="O12" s="372" t="s">
        <v>178</v>
      </c>
      <c r="P12" s="469" t="s">
        <v>179</v>
      </c>
      <c r="Q12" s="484" t="s">
        <v>180</v>
      </c>
      <c r="R12" s="243" t="str">
        <f>CONCATENATE(RemovePunctuation(G12),"_","i4K","_","CA_",C12,"_",AK12,"_",PROPER(AA12),IF(AB12="",PROPER(AA12),PROPER(AB12)),PROPER(AC12),PROPER(AD12),PROPER(AE12),IF(AE12&lt;&gt;"","SUB",""),PROPER(AF12),IF(AF12&lt;&gt;"","SUB",""),"_","Ed","_","M1",".mpg")</f>
        <v>RememberMe_i4K_CA_0325_43_ZhoZhoEngSUBZhoSUB_Ed_M1.mpg</v>
      </c>
      <c r="S12" s="243" t="str">
        <f>CONCATENATE(RemovePunctuation(G12),"_","i5K","_","CA_",C12,"_",AJ12,"_",PROPER(AA12),IF(AB12="",PROPER(AA12),PROPER(AB12)),PROPER(AC12),PROPER(AD12),PROPER(AE12),IF(AE12&lt;&gt;"","SUB",""),PROPER(AF12),IF(AF12&lt;&gt;"","SUB",""),"_","Ed","_","M4",".mpg")</f>
        <v>RememberMe_i5K_CA_0325_169_ZhoZhoEngSUBZhoSUB_Ed_M4.mpg</v>
      </c>
      <c r="T12" s="485" t="str">
        <f>CONCATENATE(RemovePunctuation(G12),"TR","_CA","_",C12,"_",AJ12,"_",PROPER(AA12),PROPER(AA12),"_","Ed","_","M2",".mpg")</f>
        <v>RememberMeTR_CA_0325_169_ZhoZho_Ed_M2.mpg</v>
      </c>
      <c r="U12" s="486" t="s">
        <v>133</v>
      </c>
      <c r="V12" s="487"/>
      <c r="W12" s="488" t="s">
        <v>181</v>
      </c>
      <c r="X12" s="489">
        <v>2024</v>
      </c>
      <c r="Y12" s="499" t="s">
        <v>135</v>
      </c>
      <c r="Z12" s="499" t="s">
        <v>135</v>
      </c>
      <c r="AA12" s="499" t="s">
        <v>136</v>
      </c>
      <c r="AB12" s="499"/>
      <c r="AC12" s="499"/>
      <c r="AD12" s="499"/>
      <c r="AE12" s="499" t="s">
        <v>137</v>
      </c>
      <c r="AF12" s="499" t="s">
        <v>136</v>
      </c>
      <c r="AG12" s="118">
        <f t="shared" si="1"/>
        <v>116</v>
      </c>
      <c r="AH12" s="406">
        <v>0.0804513888888889</v>
      </c>
      <c r="AI12" s="120">
        <f t="shared" si="2"/>
        <v>6960</v>
      </c>
      <c r="AJ12" s="270">
        <v>169</v>
      </c>
      <c r="AK12" s="270">
        <v>43</v>
      </c>
      <c r="AL12" s="509">
        <v>0.00153935185185185</v>
      </c>
      <c r="AM12" s="510" t="s">
        <v>138</v>
      </c>
    </row>
    <row r="13" s="436" customFormat="1" ht="23.1" customHeight="1" spans="1:39">
      <c r="A13" s="156">
        <v>9</v>
      </c>
      <c r="B13" s="277"/>
      <c r="C13" s="454" t="s">
        <v>124</v>
      </c>
      <c r="D13" s="458"/>
      <c r="E13" s="456">
        <v>6</v>
      </c>
      <c r="F13" s="460" t="s">
        <v>182</v>
      </c>
      <c r="G13" s="457" t="s">
        <v>183</v>
      </c>
      <c r="H13" s="457" t="str">
        <f t="shared" si="0"/>
        <v>The Wandering Earth Ⅱ (T)</v>
      </c>
      <c r="I13" s="468" t="s">
        <v>128</v>
      </c>
      <c r="J13" s="468"/>
      <c r="K13" s="468" t="s">
        <v>128</v>
      </c>
      <c r="L13" s="468" t="s">
        <v>128</v>
      </c>
      <c r="M13" s="468" t="s">
        <v>128</v>
      </c>
      <c r="N13" s="369" t="s">
        <v>184</v>
      </c>
      <c r="O13" s="372" t="s">
        <v>185</v>
      </c>
      <c r="P13" s="469" t="s">
        <v>186</v>
      </c>
      <c r="Q13" s="484" t="s">
        <v>187</v>
      </c>
      <c r="R13" s="243" t="str">
        <f>CONCATENATE(RemovePunctuation(G13),"_","i4K","_","CA_",C13,"_",AK13,"_",PROPER(AA13),IF(AB13="",PROPER(AA13),PROPER(AB13)),PROPER(AC13),PROPER(AD13),PROPER(AE13),IF(AE13&lt;&gt;"","SUB",""),PROPER(AF13),IF(AF13&lt;&gt;"","SUB",""),"_","Ed","_","M1",".mpg")</f>
        <v>TheWanderingEarth_i4K_CA_0325_43_ZhoZhoEngSUBZhoSUB_Ed_M1.mpg</v>
      </c>
      <c r="S13" s="243" t="str">
        <f>CONCATENATE(RemovePunctuation(G13),"_","i5K","_","CA_",C13,"_",AJ13,"_",PROPER(AA13),IF(AB13="",PROPER(AA13),PROPER(AB13)),PROPER(AC13),PROPER(AD13),PROPER(AE13),IF(AE13&lt;&gt;"","SUB",""),PROPER(AF13),IF(AF13&lt;&gt;"","SUB",""),"_","Ed","_","M4",".mpg")</f>
        <v>TheWanderingEarth_i5K_CA_0325_169_ZhoZhoEngSUBZhoSUB_Ed_M4.mpg</v>
      </c>
      <c r="T13" s="485" t="str">
        <f>CONCATENATE(RemovePunctuation(G13),"TR","_CA","_",C13,"_",AJ13,"_",PROPER(AA13),PROPER(AA13),"_","Ed","_","M2",".mpg")</f>
        <v>TheWanderingEarthTR_CA_0325_169_ZhoZho_Ed_M2.mpg</v>
      </c>
      <c r="U13" s="486" t="s">
        <v>133</v>
      </c>
      <c r="V13" s="487"/>
      <c r="W13" s="488" t="s">
        <v>134</v>
      </c>
      <c r="X13" s="489">
        <v>2023</v>
      </c>
      <c r="Y13" s="499" t="s">
        <v>135</v>
      </c>
      <c r="Z13" s="499" t="s">
        <v>135</v>
      </c>
      <c r="AA13" s="499" t="s">
        <v>136</v>
      </c>
      <c r="AB13" s="499"/>
      <c r="AC13" s="499"/>
      <c r="AD13" s="499"/>
      <c r="AE13" s="499" t="s">
        <v>137</v>
      </c>
      <c r="AF13" s="499" t="s">
        <v>136</v>
      </c>
      <c r="AG13" s="118">
        <f t="shared" si="1"/>
        <v>174</v>
      </c>
      <c r="AH13" s="406">
        <v>0.120266203703704</v>
      </c>
      <c r="AI13" s="120">
        <f t="shared" si="2"/>
        <v>10440</v>
      </c>
      <c r="AJ13" s="270">
        <v>169</v>
      </c>
      <c r="AK13" s="270">
        <v>43</v>
      </c>
      <c r="AL13" s="509">
        <v>0.00122685185185185</v>
      </c>
      <c r="AM13" s="510" t="s">
        <v>143</v>
      </c>
    </row>
    <row r="14" s="436" customFormat="1" ht="23.1" customHeight="1" spans="1:39">
      <c r="A14" s="156">
        <v>10</v>
      </c>
      <c r="B14" s="277"/>
      <c r="C14" s="454" t="s">
        <v>124</v>
      </c>
      <c r="D14" s="458"/>
      <c r="E14" s="456">
        <v>7</v>
      </c>
      <c r="F14" s="457" t="s">
        <v>188</v>
      </c>
      <c r="G14" s="457" t="s">
        <v>189</v>
      </c>
      <c r="H14" s="457" t="str">
        <f t="shared" si="0"/>
        <v>Battle of Memories (T)</v>
      </c>
      <c r="I14" s="468" t="s">
        <v>128</v>
      </c>
      <c r="J14" s="468"/>
      <c r="K14" s="468" t="s">
        <v>128</v>
      </c>
      <c r="L14" s="468" t="s">
        <v>128</v>
      </c>
      <c r="M14" s="468" t="s">
        <v>128</v>
      </c>
      <c r="N14" s="369" t="s">
        <v>190</v>
      </c>
      <c r="O14" s="372" t="s">
        <v>191</v>
      </c>
      <c r="P14" s="469" t="s">
        <v>192</v>
      </c>
      <c r="Q14" s="484" t="s">
        <v>193</v>
      </c>
      <c r="R14" s="243" t="str">
        <f>CONCATENATE(RemovePunctuation(G14),"_","i4K","_","CA_",C14,"_",AK14,"_",PROPER(AA14),IF(AB14="",PROPER(AA14),PROPER(AB14)),PROPER(AC14),PROPER(AD14),PROPER(AE14),IF(AE14&lt;&gt;"","SUB",""),PROPER(AF14),IF(AF14&lt;&gt;"","SUB",""),"_","Ed","_","M1",".mpg")</f>
        <v>BattleofMemories_i4K_CA_0325_43_ZhoZhoEngSUBZhoSUB_Ed_M1.mpg</v>
      </c>
      <c r="S14" s="243" t="str">
        <f>CONCATENATE(RemovePunctuation(G14),"_","i5K","_","CA_",C14,"_",AJ14,"_",PROPER(AA14),IF(AB14="",PROPER(AA14),PROPER(AB14)),PROPER(AC14),PROPER(AD14),PROPER(AE14),IF(AE14&lt;&gt;"","SUB",""),PROPER(AF14),IF(AF14&lt;&gt;"","SUB",""),"_","Ed","_","M4",".mpg")</f>
        <v>BattleofMemories_i5K_CA_0325_169_ZhoZhoEngSUBZhoSUB_Ed_M4.mpg</v>
      </c>
      <c r="T14" s="485" t="str">
        <f>CONCATENATE(RemovePunctuation(G14),"TR","_CA","_",C14,"_",AJ14,"_",PROPER(AA14),PROPER(AA14),"_","Ed","_","M2",".mpg")</f>
        <v>BattleofMemoriesTR_CA_0325_169_ZhoZho_Ed_M2.mpg</v>
      </c>
      <c r="U14" s="486" t="s">
        <v>148</v>
      </c>
      <c r="V14" s="487"/>
      <c r="W14" s="488" t="s">
        <v>134</v>
      </c>
      <c r="X14" s="489">
        <v>2017</v>
      </c>
      <c r="Y14" s="499" t="s">
        <v>135</v>
      </c>
      <c r="Z14" s="499" t="s">
        <v>135</v>
      </c>
      <c r="AA14" s="499" t="s">
        <v>136</v>
      </c>
      <c r="AB14" s="499"/>
      <c r="AC14" s="499"/>
      <c r="AD14" s="499"/>
      <c r="AE14" s="499" t="s">
        <v>137</v>
      </c>
      <c r="AF14" s="499" t="s">
        <v>136</v>
      </c>
      <c r="AG14" s="118">
        <f t="shared" si="1"/>
        <v>120</v>
      </c>
      <c r="AH14" s="406">
        <v>0.0828356481481481</v>
      </c>
      <c r="AI14" s="120">
        <f t="shared" si="2"/>
        <v>7200</v>
      </c>
      <c r="AJ14" s="270">
        <v>169</v>
      </c>
      <c r="AK14" s="270">
        <v>43</v>
      </c>
      <c r="AL14" s="509">
        <v>0.000902777777777778</v>
      </c>
      <c r="AM14" s="510" t="s">
        <v>143</v>
      </c>
    </row>
    <row r="15" s="436" customFormat="1" ht="23.1" customHeight="1" spans="1:39">
      <c r="A15" s="156">
        <v>11</v>
      </c>
      <c r="B15" s="277"/>
      <c r="C15" s="454" t="s">
        <v>124</v>
      </c>
      <c r="D15" s="458"/>
      <c r="E15" s="456">
        <v>8</v>
      </c>
      <c r="F15" s="457" t="s">
        <v>194</v>
      </c>
      <c r="G15" s="457" t="s">
        <v>195</v>
      </c>
      <c r="H15" s="457" t="str">
        <f t="shared" si="0"/>
        <v>Forever (T)</v>
      </c>
      <c r="I15" s="468" t="s">
        <v>128</v>
      </c>
      <c r="J15" s="468" t="s">
        <v>128</v>
      </c>
      <c r="K15" s="468" t="s">
        <v>128</v>
      </c>
      <c r="L15" s="468" t="s">
        <v>128</v>
      </c>
      <c r="M15" s="468" t="s">
        <v>128</v>
      </c>
      <c r="N15" s="369" t="s">
        <v>196</v>
      </c>
      <c r="O15" s="372" t="s">
        <v>197</v>
      </c>
      <c r="P15" s="469" t="s">
        <v>198</v>
      </c>
      <c r="Q15" s="484" t="s">
        <v>199</v>
      </c>
      <c r="R15" s="243" t="str">
        <f>CONCATENATE(RemovePunctuation(G15),"_","i4K","_","CA_",C15,"_",AK15,"_",PROPER(AA15),IF(AB15="",PROPER(AA15),PROPER(AB15)),PROPER(AC15),PROPER(AD15),PROPER(AE15),IF(AE15&lt;&gt;"","SUB",""),PROPER(AF15),IF(AF15&lt;&gt;"","SUB",""),"_","Ed","_","M1",".mpg")</f>
        <v>Forever_i4K_CA_0325_43_SweSweEngSUBZhoSUB_Ed_M1.mpg</v>
      </c>
      <c r="S15" s="243" t="str">
        <f>CONCATENATE(RemovePunctuation(G15),"_","i5K","_","CA_",C15,"_",AJ15,"_",PROPER(AA15),IF(AB15="",PROPER(AA15),PROPER(AB15)),PROPER(AC15),PROPER(AD15),PROPER(AE15),IF(AE15&lt;&gt;"","SUB",""),PROPER(AF15),IF(AF15&lt;&gt;"","SUB",""),"_","Ed","_","M4",".mpg")</f>
        <v>Forever_i5K_CA_0325_169_SweSweEngSUBZhoSUB_Ed_M4.mpg</v>
      </c>
      <c r="T15" s="485" t="str">
        <f>CONCATENATE(RemovePunctuation(G15),"TR","_CA","_",C15,"_",AJ15,"_",PROPER(AA15),PROPER(AA15),"_","Ed","_","M2",".mpg")</f>
        <v>ForeverTR_CA_0325_169_SweSwe_Ed_M2.mpg</v>
      </c>
      <c r="U15" s="486" t="s">
        <v>133</v>
      </c>
      <c r="V15" s="487"/>
      <c r="W15" s="488" t="s">
        <v>162</v>
      </c>
      <c r="X15" s="489">
        <v>2023</v>
      </c>
      <c r="Y15" s="499" t="s">
        <v>135</v>
      </c>
      <c r="Z15" s="499" t="s">
        <v>135</v>
      </c>
      <c r="AA15" s="499" t="s">
        <v>200</v>
      </c>
      <c r="AB15" s="499"/>
      <c r="AC15" s="499"/>
      <c r="AD15" s="499"/>
      <c r="AE15" s="499" t="s">
        <v>137</v>
      </c>
      <c r="AF15" s="499" t="s">
        <v>136</v>
      </c>
      <c r="AG15" s="118">
        <f t="shared" si="1"/>
        <v>98</v>
      </c>
      <c r="AH15" s="406">
        <v>0.0674074074074074</v>
      </c>
      <c r="AI15" s="120">
        <f t="shared" si="2"/>
        <v>5880</v>
      </c>
      <c r="AJ15" s="270">
        <v>169</v>
      </c>
      <c r="AK15" s="270">
        <v>43</v>
      </c>
      <c r="AL15" s="509">
        <v>0.000891203703703704</v>
      </c>
      <c r="AM15" s="510" t="s">
        <v>201</v>
      </c>
    </row>
    <row r="16" s="436" customFormat="1" ht="23.1" customHeight="1" spans="1:39">
      <c r="A16" s="156">
        <v>12</v>
      </c>
      <c r="B16" s="277"/>
      <c r="C16" s="454" t="s">
        <v>124</v>
      </c>
      <c r="D16" s="458"/>
      <c r="E16" s="456">
        <v>9</v>
      </c>
      <c r="F16" s="457" t="s">
        <v>202</v>
      </c>
      <c r="G16" s="457" t="s">
        <v>203</v>
      </c>
      <c r="H16" s="457" t="str">
        <f t="shared" si="0"/>
        <v>The Girls (T)</v>
      </c>
      <c r="I16" s="468" t="s">
        <v>128</v>
      </c>
      <c r="J16" s="468" t="s">
        <v>128</v>
      </c>
      <c r="K16" s="468" t="s">
        <v>128</v>
      </c>
      <c r="L16" s="468" t="s">
        <v>128</v>
      </c>
      <c r="M16" s="468" t="s">
        <v>128</v>
      </c>
      <c r="N16" s="369" t="s">
        <v>204</v>
      </c>
      <c r="O16" s="372" t="s">
        <v>205</v>
      </c>
      <c r="P16" s="469" t="s">
        <v>206</v>
      </c>
      <c r="Q16" s="484" t="s">
        <v>207</v>
      </c>
      <c r="R16" s="243" t="str">
        <f>CONCATENATE(RemovePunctuation(G16),"_","i4K","_","CA_",C16,"_",AK16,"_",PROPER(AA16),IF(AB16="",PROPER(AA16),PROPER(AB16)),PROPER(AC16),PROPER(AD16),PROPER(AE16),IF(AE16&lt;&gt;"","SUB",""),PROPER(AF16),IF(AF16&lt;&gt;"","SUB",""),"_","Ed","_","M1",".mpg")</f>
        <v>TheGirls_i4K_CA_0325_43_SpaSpaEngSUBZhoSUB_Ed_M1.mpg</v>
      </c>
      <c r="S16" s="243" t="str">
        <f>CONCATENATE(RemovePunctuation(G16),"_","i5K","_","CA_",C16,"_",AJ16,"_",PROPER(AA16),IF(AB16="",PROPER(AA16),PROPER(AB16)),PROPER(AC16),PROPER(AD16),PROPER(AE16),IF(AE16&lt;&gt;"","SUB",""),PROPER(AF16),IF(AF16&lt;&gt;"","SUB",""),"_","Ed","_","M4",".mpg")</f>
        <v>TheGirls_i5K_CA_0325_169_SpaSpaEngSUBZhoSUB_Ed_M4.mpg</v>
      </c>
      <c r="T16" s="485" t="str">
        <f>CONCATENATE(RemovePunctuation(G16),"TR","_CA","_",C16,"_",AJ16,"_",PROPER(AA16),PROPER(AA16),"_","Ed","_","M2",".mpg")</f>
        <v>TheGirlsTR_CA_0325_169_SpaSpa_Ed_M2.mpg</v>
      </c>
      <c r="U16" s="486" t="s">
        <v>133</v>
      </c>
      <c r="V16" s="487"/>
      <c r="W16" s="488" t="s">
        <v>162</v>
      </c>
      <c r="X16" s="489">
        <v>2020</v>
      </c>
      <c r="Y16" s="499" t="s">
        <v>135</v>
      </c>
      <c r="Z16" s="499" t="s">
        <v>135</v>
      </c>
      <c r="AA16" s="499" t="s">
        <v>208</v>
      </c>
      <c r="AB16" s="499"/>
      <c r="AC16" s="499"/>
      <c r="AD16" s="499"/>
      <c r="AE16" s="499" t="s">
        <v>137</v>
      </c>
      <c r="AF16" s="499" t="s">
        <v>136</v>
      </c>
      <c r="AG16" s="118">
        <f t="shared" si="1"/>
        <v>97</v>
      </c>
      <c r="AH16" s="406">
        <v>0.0671296296296296</v>
      </c>
      <c r="AI16" s="120">
        <f t="shared" si="2"/>
        <v>5820</v>
      </c>
      <c r="AJ16" s="270">
        <v>169</v>
      </c>
      <c r="AK16" s="270">
        <v>43</v>
      </c>
      <c r="AL16" s="509">
        <v>0.000902777777777778</v>
      </c>
      <c r="AM16" s="510" t="s">
        <v>201</v>
      </c>
    </row>
    <row r="17" s="436" customFormat="1" ht="23.1" customHeight="1" spans="1:39">
      <c r="A17" s="156">
        <v>13</v>
      </c>
      <c r="B17" s="277"/>
      <c r="C17" s="454" t="s">
        <v>124</v>
      </c>
      <c r="D17" s="458"/>
      <c r="E17" s="456">
        <v>10</v>
      </c>
      <c r="F17" s="457" t="s">
        <v>209</v>
      </c>
      <c r="G17" s="457" t="s">
        <v>210</v>
      </c>
      <c r="H17" s="457" t="str">
        <f t="shared" si="0"/>
        <v>The Boss (T)</v>
      </c>
      <c r="I17" s="468" t="s">
        <v>128</v>
      </c>
      <c r="J17" s="468" t="s">
        <v>128</v>
      </c>
      <c r="K17" s="468" t="s">
        <v>128</v>
      </c>
      <c r="L17" s="468" t="s">
        <v>128</v>
      </c>
      <c r="M17" s="468" t="s">
        <v>128</v>
      </c>
      <c r="N17" s="369" t="s">
        <v>211</v>
      </c>
      <c r="O17" s="372" t="s">
        <v>212</v>
      </c>
      <c r="P17" s="469" t="s">
        <v>213</v>
      </c>
      <c r="Q17" s="484" t="s">
        <v>214</v>
      </c>
      <c r="R17" s="243" t="str">
        <f>CONCATENATE(RemovePunctuation(G17),"_","i4K","_","CA_",C17,"_",AK17,"_",PROPER(AA17),IF(AB17="",PROPER(AA17),PROPER(AB17)),PROPER(AC17),PROPER(AD17),PROPER(AE17),IF(AE17&lt;&gt;"","SUB",""),PROPER(AF17),IF(AF17&lt;&gt;"","SUB",""),"_","Ed","_","M1",".mpg")</f>
        <v>TheBoss_i4K_CA_0325_43_SpaSpaEngSUBZhoSUB_Ed_M1.mpg</v>
      </c>
      <c r="S17" s="243" t="str">
        <f>CONCATENATE(RemovePunctuation(G17),"_","i5K","_","CA_",C17,"_",AJ17,"_",PROPER(AA17),IF(AB17="",PROPER(AA17),PROPER(AB17)),PROPER(AC17),PROPER(AD17),PROPER(AE17),IF(AE17&lt;&gt;"","SUB",""),PROPER(AF17),IF(AF17&lt;&gt;"","SUB",""),"_","Ed","_","M4",".mpg")</f>
        <v>TheBoss_i5K_CA_0325_169_SpaSpaEngSUBZhoSUB_Ed_M4.mpg</v>
      </c>
      <c r="T17" s="485" t="str">
        <f>CONCATENATE(RemovePunctuation(G17),"TR","_CA","_",C17,"_",AJ17,"_",PROPER(AA17),PROPER(AA17),"_","Ed","_","M2",".mpg")</f>
        <v>TheBossTR_CA_0325_169_SpaSpa_Ed_M2.mpg</v>
      </c>
      <c r="U17" s="486" t="s">
        <v>133</v>
      </c>
      <c r="V17" s="487"/>
      <c r="W17" s="488" t="s">
        <v>162</v>
      </c>
      <c r="X17" s="489">
        <v>2022</v>
      </c>
      <c r="Y17" s="499" t="s">
        <v>135</v>
      </c>
      <c r="Z17" s="499" t="s">
        <v>135</v>
      </c>
      <c r="AA17" s="499" t="s">
        <v>208</v>
      </c>
      <c r="AB17" s="499"/>
      <c r="AC17" s="499"/>
      <c r="AD17" s="499"/>
      <c r="AE17" s="499" t="s">
        <v>137</v>
      </c>
      <c r="AF17" s="499" t="s">
        <v>136</v>
      </c>
      <c r="AG17" s="118">
        <f t="shared" si="1"/>
        <v>100</v>
      </c>
      <c r="AH17" s="406">
        <v>0.0689583333333333</v>
      </c>
      <c r="AI17" s="120">
        <f t="shared" si="2"/>
        <v>6000</v>
      </c>
      <c r="AJ17" s="270">
        <v>169</v>
      </c>
      <c r="AK17" s="270">
        <v>43</v>
      </c>
      <c r="AL17" s="509">
        <v>0.00142361111111111</v>
      </c>
      <c r="AM17" s="510" t="s">
        <v>201</v>
      </c>
    </row>
    <row r="18" s="436" customFormat="1" ht="23.1" customHeight="1" spans="1:39">
      <c r="A18" s="156">
        <v>14</v>
      </c>
      <c r="B18" s="277"/>
      <c r="C18" s="454" t="s">
        <v>124</v>
      </c>
      <c r="D18" s="458"/>
      <c r="E18" s="456">
        <v>11</v>
      </c>
      <c r="F18" s="457" t="s">
        <v>215</v>
      </c>
      <c r="G18" s="457" t="s">
        <v>216</v>
      </c>
      <c r="H18" s="457" t="str">
        <f t="shared" si="0"/>
        <v>Kim's Video (T)</v>
      </c>
      <c r="I18" s="468" t="s">
        <v>128</v>
      </c>
      <c r="J18" s="468" t="s">
        <v>128</v>
      </c>
      <c r="K18" s="468" t="s">
        <v>128</v>
      </c>
      <c r="L18" s="468" t="s">
        <v>128</v>
      </c>
      <c r="M18" s="468" t="s">
        <v>128</v>
      </c>
      <c r="N18" s="369" t="s">
        <v>217</v>
      </c>
      <c r="O18" s="372" t="s">
        <v>218</v>
      </c>
      <c r="P18" s="469" t="s">
        <v>219</v>
      </c>
      <c r="Q18" s="484" t="s">
        <v>220</v>
      </c>
      <c r="R18" s="243" t="str">
        <f>CONCATENATE(RemovePunctuation(G18),"_","i4K","_","CA_",C18,"_",AK18,"_",PROPER(AA18),IF(AB18="",PROPER(AA18),PROPER(AB18)),PROPER(AC18),PROPER(AD18),PROPER(AE18),IF(AE18&lt;&gt;"","SUB",""),PROPER(AF18),IF(AF18&lt;&gt;"","SUB",""),"_","Ed","_","M1",".mpg")</f>
        <v>KimsVideo_i4K_CA_0325_43_EngEngEngSUBZhoSUB_Ed_M1.mpg</v>
      </c>
      <c r="S18" s="243" t="str">
        <f>CONCATENATE(RemovePunctuation(G18),"_","i5K","_","CA_",C18,"_",AJ18,"_",PROPER(AA18),IF(AB18="",PROPER(AA18),PROPER(AB18)),PROPER(AC18),PROPER(AD18),PROPER(AE18),IF(AE18&lt;&gt;"","SUB",""),PROPER(AF18),IF(AF18&lt;&gt;"","SUB",""),"_","Ed","_","M4",".mpg")</f>
        <v>KimsVideo_i5K_CA_0325_169_EngEngEngSUBZhoSUB_Ed_M4.mpg</v>
      </c>
      <c r="T18" s="485" t="str">
        <f>CONCATENATE(RemovePunctuation(G18),"TR","_CA","_",C18,"_",AJ18,"_",PROPER(AA18),PROPER(AA18),"_","Ed","_","M2",".mpg")</f>
        <v>KimsVideoTR_CA_0325_169_EngEng_Ed_M2.mpg</v>
      </c>
      <c r="U18" s="486" t="s">
        <v>133</v>
      </c>
      <c r="V18" s="487"/>
      <c r="W18" s="488" t="s">
        <v>162</v>
      </c>
      <c r="X18" s="489">
        <v>2024</v>
      </c>
      <c r="Y18" s="499" t="s">
        <v>135</v>
      </c>
      <c r="Z18" s="499" t="s">
        <v>135</v>
      </c>
      <c r="AA18" s="499" t="s">
        <v>137</v>
      </c>
      <c r="AB18" s="499"/>
      <c r="AC18" s="499"/>
      <c r="AD18" s="499"/>
      <c r="AE18" s="499" t="s">
        <v>137</v>
      </c>
      <c r="AF18" s="499" t="s">
        <v>136</v>
      </c>
      <c r="AG18" s="118">
        <f t="shared" si="1"/>
        <v>88</v>
      </c>
      <c r="AH18" s="406">
        <v>0.0607175925925926</v>
      </c>
      <c r="AI18" s="120">
        <f t="shared" si="2"/>
        <v>5280</v>
      </c>
      <c r="AJ18" s="270">
        <v>169</v>
      </c>
      <c r="AK18" s="270">
        <v>43</v>
      </c>
      <c r="AL18" s="509">
        <v>0.00126157407407407</v>
      </c>
      <c r="AM18" s="510" t="s">
        <v>138</v>
      </c>
    </row>
    <row r="19" s="436" customFormat="1" ht="23.1" customHeight="1" spans="1:39">
      <c r="A19" s="156">
        <v>15</v>
      </c>
      <c r="B19" s="277"/>
      <c r="C19" s="454" t="s">
        <v>124</v>
      </c>
      <c r="D19" s="458"/>
      <c r="E19" s="456">
        <v>12</v>
      </c>
      <c r="F19" s="457" t="s">
        <v>221</v>
      </c>
      <c r="G19" s="457" t="s">
        <v>222</v>
      </c>
      <c r="H19" s="457" t="str">
        <f t="shared" si="0"/>
        <v>Persona Non Grata (T)</v>
      </c>
      <c r="I19" s="468" t="s">
        <v>128</v>
      </c>
      <c r="J19" s="468" t="s">
        <v>128</v>
      </c>
      <c r="K19" s="468" t="s">
        <v>128</v>
      </c>
      <c r="L19" s="468" t="s">
        <v>128</v>
      </c>
      <c r="M19" s="468" t="s">
        <v>128</v>
      </c>
      <c r="N19" s="369" t="s">
        <v>223</v>
      </c>
      <c r="O19" s="372" t="s">
        <v>224</v>
      </c>
      <c r="P19" s="469" t="s">
        <v>225</v>
      </c>
      <c r="Q19" s="484" t="s">
        <v>226</v>
      </c>
      <c r="R19" s="243" t="str">
        <f>CONCATENATE(RemovePunctuation(G19),"_","i4K","_","CA_",C19,"_",AK19,"_",PROPER(AA19),IF(AB19="",PROPER(AA19),PROPER(AB19)),PROPER(AC19),PROPER(AD19),PROPER(AE19),IF(AE19&lt;&gt;"","SUB",""),PROPER(AF19),IF(AF19&lt;&gt;"","SUB",""),"_","Ed","_","M1",".mpg")</f>
        <v>PersonaNonGrata_i4K_CA_0325_43_DeuDeuEngSUBZhoSUB_Ed_M1.mpg</v>
      </c>
      <c r="S19" s="243" t="str">
        <f>CONCATENATE(RemovePunctuation(G19),"_","i5K","_","CA_",C19,"_",AJ19,"_",PROPER(AA19),IF(AB19="",PROPER(AA19),PROPER(AB19)),PROPER(AC19),PROPER(AD19),PROPER(AE19),IF(AE19&lt;&gt;"","SUB",""),PROPER(AF19),IF(AF19&lt;&gt;"","SUB",""),"_","Ed","_","M4",".mpg")</f>
        <v>PersonaNonGrata_i5K_CA_0325_169_DeuDeuEngSUBZhoSUB_Ed_M4.mpg</v>
      </c>
      <c r="T19" s="485" t="str">
        <f>CONCATENATE(RemovePunctuation(G19),"TR","_CA","_",C19,"_",AJ19,"_",PROPER(AA19),PROPER(AA19),"_","Ed","_","M2",".mpg")</f>
        <v>PersonaNonGrataTR_CA_0325_169_DeuDeu_Ed_M2.mpg</v>
      </c>
      <c r="U19" s="486" t="s">
        <v>133</v>
      </c>
      <c r="V19" s="487"/>
      <c r="W19" s="488" t="s">
        <v>162</v>
      </c>
      <c r="X19" s="489">
        <v>2024</v>
      </c>
      <c r="Y19" s="499" t="s">
        <v>135</v>
      </c>
      <c r="Z19" s="499" t="s">
        <v>135</v>
      </c>
      <c r="AA19" s="499" t="s">
        <v>227</v>
      </c>
      <c r="AB19" s="499"/>
      <c r="AC19" s="499"/>
      <c r="AD19" s="499"/>
      <c r="AE19" s="499" t="s">
        <v>137</v>
      </c>
      <c r="AF19" s="499" t="s">
        <v>136</v>
      </c>
      <c r="AG19" s="118">
        <f t="shared" si="1"/>
        <v>90</v>
      </c>
      <c r="AH19" s="406">
        <v>0.0621064814814815</v>
      </c>
      <c r="AI19" s="120">
        <f t="shared" si="2"/>
        <v>5400</v>
      </c>
      <c r="AJ19" s="270">
        <v>169</v>
      </c>
      <c r="AK19" s="270">
        <v>43</v>
      </c>
      <c r="AL19" s="509">
        <v>0.00127314814814815</v>
      </c>
      <c r="AM19" s="510" t="s">
        <v>228</v>
      </c>
    </row>
    <row r="20" s="436" customFormat="1" ht="23.1" customHeight="1" spans="1:39">
      <c r="A20" s="156">
        <v>16</v>
      </c>
      <c r="B20" s="277"/>
      <c r="C20" s="454" t="s">
        <v>124</v>
      </c>
      <c r="D20" s="458"/>
      <c r="E20" s="456">
        <v>13</v>
      </c>
      <c r="F20" s="457" t="s">
        <v>229</v>
      </c>
      <c r="G20" s="457" t="s">
        <v>230</v>
      </c>
      <c r="H20" s="457" t="str">
        <f t="shared" si="0"/>
        <v>All to Play For (T)</v>
      </c>
      <c r="I20" s="468" t="s">
        <v>128</v>
      </c>
      <c r="J20" s="468" t="s">
        <v>128</v>
      </c>
      <c r="K20" s="468" t="s">
        <v>128</v>
      </c>
      <c r="L20" s="468" t="s">
        <v>128</v>
      </c>
      <c r="M20" s="468" t="s">
        <v>128</v>
      </c>
      <c r="N20" s="369" t="s">
        <v>231</v>
      </c>
      <c r="O20" s="372" t="s">
        <v>232</v>
      </c>
      <c r="P20" s="469" t="s">
        <v>233</v>
      </c>
      <c r="Q20" s="484" t="s">
        <v>234</v>
      </c>
      <c r="R20" s="243" t="str">
        <f>CONCATENATE(RemovePunctuation(G20),"_","i4K","_","CA_",C20,"_",AK20,"_",PROPER(AA20),IF(AB20="",PROPER(AA20),PROPER(AB20)),PROPER(AC20),PROPER(AD20),PROPER(AE20),IF(AE20&lt;&gt;"","SUB",""),PROPER(AF20),IF(AF20&lt;&gt;"","SUB",""),"_","Ed","_","M1",".mpg")</f>
        <v>AlltoPlayFor_i4K_CA_0325_43_FraFraEngSUBZhoSUB_Ed_M1.mpg</v>
      </c>
      <c r="S20" s="243" t="str">
        <f>CONCATENATE(RemovePunctuation(G20),"_","i5K","_","CA_",C20,"_",AJ20,"_",PROPER(AA20),IF(AB20="",PROPER(AA20),PROPER(AB20)),PROPER(AC20),PROPER(AD20),PROPER(AE20),IF(AE20&lt;&gt;"","SUB",""),PROPER(AF20),IF(AF20&lt;&gt;"","SUB",""),"_","Ed","_","M4",".mpg")</f>
        <v>AlltoPlayFor_i5K_CA_0325_169_FraFraEngSUBZhoSUB_Ed_M4.mpg</v>
      </c>
      <c r="T20" s="485" t="str">
        <f>CONCATENATE(RemovePunctuation(G20),"TR","_CA","_",C20,"_",AJ20,"_",PROPER(AA20),PROPER(AA20),"_","Ed","_","M2",".mpg")</f>
        <v>AlltoPlayForTR_CA_0325_169_FraFra_Ed_M2.mpg</v>
      </c>
      <c r="U20" s="486" t="s">
        <v>133</v>
      </c>
      <c r="V20" s="487"/>
      <c r="W20" s="488" t="s">
        <v>162</v>
      </c>
      <c r="X20" s="489">
        <v>2023</v>
      </c>
      <c r="Y20" s="499" t="s">
        <v>135</v>
      </c>
      <c r="Z20" s="499" t="s">
        <v>135</v>
      </c>
      <c r="AA20" s="499" t="s">
        <v>235</v>
      </c>
      <c r="AB20" s="499"/>
      <c r="AC20" s="499"/>
      <c r="AD20" s="499"/>
      <c r="AE20" s="499" t="s">
        <v>137</v>
      </c>
      <c r="AF20" s="499" t="s">
        <v>136</v>
      </c>
      <c r="AG20" s="118">
        <f t="shared" si="1"/>
        <v>112</v>
      </c>
      <c r="AH20" s="406">
        <v>0.0774768518518519</v>
      </c>
      <c r="AI20" s="120">
        <f t="shared" si="2"/>
        <v>6720</v>
      </c>
      <c r="AJ20" s="270">
        <v>169</v>
      </c>
      <c r="AK20" s="270">
        <v>43</v>
      </c>
      <c r="AL20" s="509">
        <v>0.00229166666666667</v>
      </c>
      <c r="AM20" s="510" t="s">
        <v>228</v>
      </c>
    </row>
    <row r="21" s="436" customFormat="1" ht="23.1" customHeight="1" spans="1:39">
      <c r="A21" s="156">
        <v>17</v>
      </c>
      <c r="B21" s="277"/>
      <c r="C21" s="454" t="s">
        <v>124</v>
      </c>
      <c r="D21" s="458"/>
      <c r="E21" s="456">
        <v>14</v>
      </c>
      <c r="F21" s="457" t="s">
        <v>236</v>
      </c>
      <c r="G21" s="457" t="s">
        <v>237</v>
      </c>
      <c r="H21" s="457" t="str">
        <f t="shared" si="0"/>
        <v>Solitude (T)</v>
      </c>
      <c r="I21" s="468" t="s">
        <v>128</v>
      </c>
      <c r="J21" s="468" t="s">
        <v>128</v>
      </c>
      <c r="K21" s="468" t="s">
        <v>128</v>
      </c>
      <c r="L21" s="468" t="s">
        <v>128</v>
      </c>
      <c r="M21" s="468" t="s">
        <v>128</v>
      </c>
      <c r="N21" s="369" t="s">
        <v>238</v>
      </c>
      <c r="O21" s="372" t="s">
        <v>239</v>
      </c>
      <c r="P21" s="469" t="s">
        <v>240</v>
      </c>
      <c r="Q21" s="484" t="s">
        <v>241</v>
      </c>
      <c r="R21" s="243" t="str">
        <f>CONCATENATE(RemovePunctuation(G21),"_","i4K","_","CA_",C21,"_",AK21,"_",PROPER(AA21),IF(AB21="",PROPER(AA21),PROPER(AB21)),PROPER(AC21),PROPER(AD21),PROPER(AE21),IF(AE21&lt;&gt;"","SUB",""),PROPER(AF21),IF(AF21&lt;&gt;"","SUB",""),"_","Ed","_","M1",".mpg")</f>
        <v>Solitude_i4K_CA_0325_43_IslIslEngSUBZhoSUB_Ed_M1.mpg</v>
      </c>
      <c r="S21" s="243" t="str">
        <f>CONCATENATE(RemovePunctuation(G21),"_","i5K","_","CA_",C21,"_",AJ21,"_",PROPER(AA21),IF(AB21="",PROPER(AA21),PROPER(AB21)),PROPER(AC21),PROPER(AD21),PROPER(AE21),IF(AE21&lt;&gt;"","SUB",""),PROPER(AF21),IF(AF21&lt;&gt;"","SUB",""),"_","Ed","_","M4",".mpg")</f>
        <v>Solitude_i5K_CA_0325_169_IslIslEngSUBZhoSUB_Ed_M4.mpg</v>
      </c>
      <c r="T21" s="485" t="str">
        <f>CONCATENATE(RemovePunctuation(G21),"TR","_CA","_",C21,"_",AJ21,"_",PROPER(AA21),PROPER(AA21),"_","Ed","_","M2",".mpg")</f>
        <v>SolitudeTR_CA_0325_169_IslIsl_Ed_M2.mpg</v>
      </c>
      <c r="U21" s="486" t="s">
        <v>133</v>
      </c>
      <c r="V21" s="487"/>
      <c r="W21" s="488" t="s">
        <v>162</v>
      </c>
      <c r="X21" s="489">
        <v>2023</v>
      </c>
      <c r="Y21" s="499" t="s">
        <v>135</v>
      </c>
      <c r="Z21" s="499" t="s">
        <v>135</v>
      </c>
      <c r="AA21" s="499" t="s">
        <v>242</v>
      </c>
      <c r="AB21" s="499"/>
      <c r="AC21" s="499"/>
      <c r="AD21" s="499"/>
      <c r="AE21" s="499" t="s">
        <v>137</v>
      </c>
      <c r="AF21" s="499" t="s">
        <v>136</v>
      </c>
      <c r="AG21" s="118">
        <f t="shared" si="1"/>
        <v>77</v>
      </c>
      <c r="AH21" s="406">
        <v>0.0532638888888889</v>
      </c>
      <c r="AI21" s="120">
        <f t="shared" si="2"/>
        <v>4620</v>
      </c>
      <c r="AJ21" s="270">
        <v>169</v>
      </c>
      <c r="AK21" s="270">
        <v>43</v>
      </c>
      <c r="AL21" s="509">
        <v>0.00114583333333333</v>
      </c>
      <c r="AM21" s="510" t="s">
        <v>138</v>
      </c>
    </row>
    <row r="22" s="436" customFormat="1" ht="23.1" customHeight="1" spans="1:39">
      <c r="A22" s="156">
        <v>18</v>
      </c>
      <c r="B22" s="277"/>
      <c r="C22" s="454" t="s">
        <v>124</v>
      </c>
      <c r="D22" s="455" t="s">
        <v>243</v>
      </c>
      <c r="E22" s="456">
        <v>1</v>
      </c>
      <c r="F22" s="457" t="s">
        <v>244</v>
      </c>
      <c r="G22" s="457" t="s">
        <v>245</v>
      </c>
      <c r="H22" s="457" t="str">
        <f t="shared" ref="H22:H41" si="3">G22&amp;" (T)"</f>
        <v>Love Lies (T)</v>
      </c>
      <c r="I22" s="468" t="s">
        <v>128</v>
      </c>
      <c r="J22" s="468" t="s">
        <v>128</v>
      </c>
      <c r="K22" s="468" t="s">
        <v>128</v>
      </c>
      <c r="L22" s="468" t="s">
        <v>128</v>
      </c>
      <c r="M22" s="468" t="s">
        <v>128</v>
      </c>
      <c r="N22" s="369" t="s">
        <v>246</v>
      </c>
      <c r="O22" s="372" t="s">
        <v>247</v>
      </c>
      <c r="P22" s="469" t="s">
        <v>248</v>
      </c>
      <c r="Q22" s="484" t="s">
        <v>249</v>
      </c>
      <c r="R22" s="243" t="str">
        <f>CONCATENATE(RemovePunctuation(G22),"_","i4K","_","CA_",C22,"_",AK22,"_",PROPER(AA22),IF(AB22="",PROPER(AA22),PROPER(AB22)),PROPER(AC22),PROPER(AD22),PROPER(AE22),IF(AE22&lt;&gt;"","SUB",""),PROPER(AF22),IF(AF22&lt;&gt;"","SUB",""),"_","Ed","_","M1",".mpg")</f>
        <v>LoveLies_i4K_CA_0325_43_ZhoZhoEngSUBZhoSUB_Ed_M1.mpg</v>
      </c>
      <c r="S22" s="243" t="str">
        <f>CONCATENATE(RemovePunctuation(G22),"_","i5K","_","CA_",C22,"_",AJ22,"_",PROPER(AA22),IF(AB22="",PROPER(AA22),PROPER(AB22)),PROPER(AC22),PROPER(AD22),PROPER(AE22),IF(AE22&lt;&gt;"","SUB",""),PROPER(AF22),IF(AF22&lt;&gt;"","SUB",""),"_","Ed","_","M4",".mpg")</f>
        <v>LoveLies_i5K_CA_0325_169_ZhoZhoEngSUBZhoSUB_Ed_M4.mpg</v>
      </c>
      <c r="T22" s="485" t="str">
        <f>CONCATENATE(RemovePunctuation(G22),"TR","_CA","_",C22,"_",AJ22,"_",PROPER(AA22),PROPER(AA22),"_","Ed","_","M2",".mpg")</f>
        <v>LoveLiesTR_CA_0325_169_ZhoZho_Ed_M2.mpg</v>
      </c>
      <c r="U22" s="486" t="s">
        <v>133</v>
      </c>
      <c r="V22" s="487"/>
      <c r="W22" s="488" t="s">
        <v>134</v>
      </c>
      <c r="X22" s="489">
        <v>2024</v>
      </c>
      <c r="Y22" s="499" t="s">
        <v>135</v>
      </c>
      <c r="Z22" s="499" t="s">
        <v>135</v>
      </c>
      <c r="AA22" s="499" t="s">
        <v>136</v>
      </c>
      <c r="AB22" s="499"/>
      <c r="AC22" s="499"/>
      <c r="AD22" s="499"/>
      <c r="AE22" s="499" t="s">
        <v>137</v>
      </c>
      <c r="AF22" s="499" t="s">
        <v>136</v>
      </c>
      <c r="AG22" s="118">
        <f t="shared" si="1"/>
        <v>114</v>
      </c>
      <c r="AH22" s="406">
        <v>0.0788078703703704</v>
      </c>
      <c r="AI22" s="120">
        <f t="shared" si="2"/>
        <v>6840</v>
      </c>
      <c r="AJ22" s="270">
        <v>169</v>
      </c>
      <c r="AK22" s="270">
        <v>43</v>
      </c>
      <c r="AL22" s="509">
        <v>0.00118055555555556</v>
      </c>
      <c r="AM22" s="510" t="s">
        <v>138</v>
      </c>
    </row>
    <row r="23" s="436" customFormat="1" ht="23.1" customHeight="1" spans="1:39">
      <c r="A23" s="156">
        <v>19</v>
      </c>
      <c r="B23" s="277"/>
      <c r="C23" s="454" t="s">
        <v>124</v>
      </c>
      <c r="D23" s="455"/>
      <c r="E23" s="456">
        <v>2</v>
      </c>
      <c r="F23" s="457" t="s">
        <v>250</v>
      </c>
      <c r="G23" s="457" t="s">
        <v>251</v>
      </c>
      <c r="H23" s="457" t="str">
        <f t="shared" si="3"/>
        <v>That Untold Story (T)</v>
      </c>
      <c r="I23" s="468" t="s">
        <v>128</v>
      </c>
      <c r="J23" s="468" t="s">
        <v>128</v>
      </c>
      <c r="K23" s="468" t="s">
        <v>128</v>
      </c>
      <c r="L23" s="468" t="s">
        <v>128</v>
      </c>
      <c r="M23" s="468" t="s">
        <v>128</v>
      </c>
      <c r="N23" s="369" t="s">
        <v>252</v>
      </c>
      <c r="O23" s="372" t="s">
        <v>253</v>
      </c>
      <c r="P23" s="469" t="s">
        <v>254</v>
      </c>
      <c r="Q23" s="484" t="s">
        <v>255</v>
      </c>
      <c r="R23" s="243" t="str">
        <f>CONCATENATE(RemovePunctuation(G23),"_","i4K","_","CA_",C23,"_",AK23,"_",PROPER(AA23),IF(AB23="",PROPER(AA23),PROPER(AB23)),PROPER(AC23),PROPER(AD23),PROPER(AE23),IF(AE23&lt;&gt;"","SUB",""),PROPER(AF23),IF(AF23&lt;&gt;"","SUB",""),"_","Ed","_","M1",".mpg")</f>
        <v>ThatUntoldStory_i4K_CA_0325_43_ZhoZhoZhoSUB_Ed_M1.mpg</v>
      </c>
      <c r="S23" s="243" t="str">
        <f>CONCATENATE(RemovePunctuation(G23),"_","i5K","_","CA_",C23,"_",AJ23,"_",PROPER(AA23),IF(AB23="",PROPER(AA23),PROPER(AB23)),PROPER(AC23),PROPER(AD23),PROPER(AE23),IF(AE23&lt;&gt;"","SUB",""),PROPER(AF23),IF(AF23&lt;&gt;"","SUB",""),"_","Ed","_","M4",".mpg")</f>
        <v>ThatUntoldStory_i5K_CA_0325_169_ZhoZhoZhoSUB_Ed_M4.mpg</v>
      </c>
      <c r="T23" s="485" t="str">
        <f>CONCATENATE(RemovePunctuation(G23),"TR","_CA","_",C23,"_",AJ23,"_",PROPER(AA23),PROPER(AA23),"_","Ed","_","M2",".mpg")</f>
        <v>ThatUntoldStoryTR_CA_0325_169_ZhoZho_Ed_M2.mpg</v>
      </c>
      <c r="U23" s="486" t="s">
        <v>133</v>
      </c>
      <c r="V23" s="487"/>
      <c r="W23" s="488" t="s">
        <v>134</v>
      </c>
      <c r="X23" s="489">
        <v>2024</v>
      </c>
      <c r="Y23" s="499" t="s">
        <v>135</v>
      </c>
      <c r="Z23" s="499" t="s">
        <v>135</v>
      </c>
      <c r="AA23" s="499" t="s">
        <v>136</v>
      </c>
      <c r="AB23" s="499"/>
      <c r="AC23" s="499"/>
      <c r="AD23" s="499"/>
      <c r="AE23" s="499" t="s">
        <v>136</v>
      </c>
      <c r="AF23" s="499"/>
      <c r="AG23" s="118">
        <f t="shared" si="1"/>
        <v>103</v>
      </c>
      <c r="AH23" s="406">
        <v>0.0712152777777778</v>
      </c>
      <c r="AI23" s="120">
        <f t="shared" si="2"/>
        <v>6180</v>
      </c>
      <c r="AJ23" s="270">
        <v>169</v>
      </c>
      <c r="AK23" s="270">
        <v>43</v>
      </c>
      <c r="AL23" s="509">
        <v>0.00099537037037037</v>
      </c>
      <c r="AM23" s="510" t="s">
        <v>138</v>
      </c>
    </row>
    <row r="24" s="436" customFormat="1" ht="23.1" customHeight="1" spans="1:39">
      <c r="A24" s="156">
        <v>20</v>
      </c>
      <c r="B24" s="277"/>
      <c r="C24" s="454" t="s">
        <v>124</v>
      </c>
      <c r="D24" s="455"/>
      <c r="E24" s="456">
        <v>3</v>
      </c>
      <c r="F24" s="457" t="s">
        <v>256</v>
      </c>
      <c r="G24" s="457" t="s">
        <v>257</v>
      </c>
      <c r="H24" s="457" t="str">
        <f t="shared" si="3"/>
        <v>I Am Losing Weight (T)</v>
      </c>
      <c r="I24" s="468" t="s">
        <v>128</v>
      </c>
      <c r="J24" s="468" t="s">
        <v>128</v>
      </c>
      <c r="K24" s="468" t="s">
        <v>128</v>
      </c>
      <c r="L24" s="468" t="s">
        <v>128</v>
      </c>
      <c r="M24" s="468" t="s">
        <v>128</v>
      </c>
      <c r="N24" s="369" t="s">
        <v>258</v>
      </c>
      <c r="O24" s="372" t="s">
        <v>259</v>
      </c>
      <c r="P24" s="469" t="s">
        <v>260</v>
      </c>
      <c r="Q24" s="484" t="s">
        <v>261</v>
      </c>
      <c r="R24" s="243" t="str">
        <f>CONCATENATE(RemovePunctuation(G24),"_","i4K","_","CA_",C24,"_",AK24,"_",PROPER(AA24),IF(AB24="",PROPER(AA24),PROPER(AB24)),PROPER(AC24),PROPER(AD24),PROPER(AE24),IF(AE24&lt;&gt;"","SUB",""),PROPER(AF24),IF(AF24&lt;&gt;"","SUB",""),"_","Ed","_","M1",".mpg")</f>
        <v>IAmLosingWeight_i4K_CA_0325_43_RusRusEngSUBZhoSUB_Ed_M1.mpg</v>
      </c>
      <c r="S24" s="243" t="str">
        <f>CONCATENATE(RemovePunctuation(G24),"_","i5K","_","CA_",C24,"_",AJ24,"_",PROPER(AA24),IF(AB24="",PROPER(AA24),PROPER(AB24)),PROPER(AC24),PROPER(AD24),PROPER(AE24),IF(AE24&lt;&gt;"","SUB",""),PROPER(AF24),IF(AF24&lt;&gt;"","SUB",""),"_","Ed","_","M4",".mpg")</f>
        <v>IAmLosingWeight_i5K_CA_0325_169_RusRusEngSUBZhoSUB_Ed_M4.mpg</v>
      </c>
      <c r="T24" s="485" t="str">
        <f>CONCATENATE(RemovePunctuation(G24),"TR","_CA","_",C24,"_",AJ24,"_",PROPER(AA24),PROPER(AA24),"_","Ed","_","M2",".mpg")</f>
        <v>IAmLosingWeightTR_CA_0325_169_RusRus_Ed_M2.mpg</v>
      </c>
      <c r="U24" s="486" t="s">
        <v>133</v>
      </c>
      <c r="V24" s="487"/>
      <c r="W24" s="488" t="s">
        <v>162</v>
      </c>
      <c r="X24" s="489">
        <v>2018</v>
      </c>
      <c r="Y24" s="499" t="s">
        <v>135</v>
      </c>
      <c r="Z24" s="499" t="s">
        <v>135</v>
      </c>
      <c r="AA24" s="499" t="s">
        <v>262</v>
      </c>
      <c r="AB24" s="499"/>
      <c r="AC24" s="499"/>
      <c r="AD24" s="499"/>
      <c r="AE24" s="499" t="s">
        <v>137</v>
      </c>
      <c r="AF24" s="499" t="s">
        <v>136</v>
      </c>
      <c r="AG24" s="118">
        <f t="shared" si="1"/>
        <v>97</v>
      </c>
      <c r="AH24" s="406">
        <v>0.067037037037037</v>
      </c>
      <c r="AI24" s="120">
        <f t="shared" si="2"/>
        <v>5820</v>
      </c>
      <c r="AJ24" s="270">
        <v>169</v>
      </c>
      <c r="AK24" s="270">
        <v>43</v>
      </c>
      <c r="AL24" s="509">
        <v>0.000474537037037037</v>
      </c>
      <c r="AM24" s="510" t="s">
        <v>201</v>
      </c>
    </row>
    <row r="25" s="436" customFormat="1" ht="23.1" customHeight="1" spans="1:39">
      <c r="A25" s="156">
        <v>21</v>
      </c>
      <c r="B25" s="277"/>
      <c r="C25" s="454" t="s">
        <v>124</v>
      </c>
      <c r="D25" s="461" t="s">
        <v>263</v>
      </c>
      <c r="E25" s="456">
        <v>1</v>
      </c>
      <c r="F25" s="460" t="s">
        <v>264</v>
      </c>
      <c r="G25" s="457" t="s">
        <v>265</v>
      </c>
      <c r="H25" s="457" t="str">
        <f t="shared" si="3"/>
        <v>The Hedgehog (T)</v>
      </c>
      <c r="I25" s="468" t="s">
        <v>128</v>
      </c>
      <c r="J25" s="468" t="s">
        <v>128</v>
      </c>
      <c r="K25" s="468" t="s">
        <v>128</v>
      </c>
      <c r="L25" s="468" t="s">
        <v>128</v>
      </c>
      <c r="M25" s="468" t="s">
        <v>128</v>
      </c>
      <c r="N25" s="369" t="s">
        <v>266</v>
      </c>
      <c r="O25" s="372" t="s">
        <v>267</v>
      </c>
      <c r="P25" s="469" t="s">
        <v>268</v>
      </c>
      <c r="Q25" s="484" t="s">
        <v>269</v>
      </c>
      <c r="R25" s="243" t="str">
        <f>CONCATENATE(RemovePunctuation(G25),"_","i4K","_","CA_",C25,"_",AK25,"_",PROPER(AA25),IF(AB25="",PROPER(AA25),PROPER(AB25)),PROPER(AC25),PROPER(AD25),PROPER(AE25),IF(AE25&lt;&gt;"","SUB",""),PROPER(AF25),IF(AF25&lt;&gt;"","SUB",""),"_","Ed","_","M1",".mpg")</f>
        <v>TheHedgehog_i4K_CA_0325_43_ZhoZhoEngSUBZhoSUB_Ed_M1.mpg</v>
      </c>
      <c r="S25" s="243" t="str">
        <f>CONCATENATE(RemovePunctuation(G25),"_","i5K","_","CA_",C25,"_",AJ25,"_",PROPER(AA25),IF(AB25="",PROPER(AA25),PROPER(AB25)),PROPER(AC25),PROPER(AD25),PROPER(AE25),IF(AE25&lt;&gt;"","SUB",""),PROPER(AF25),IF(AF25&lt;&gt;"","SUB",""),"_","Ed","_","M4",".mpg")</f>
        <v>TheHedgehog_i5K_CA_0325_169_ZhoZhoEngSUBZhoSUB_Ed_M4.mpg</v>
      </c>
      <c r="T25" s="485" t="str">
        <f>CONCATENATE(RemovePunctuation(G25),"TR","_CA","_",C25,"_",AJ25,"_",PROPER(AA25),PROPER(AA25),"_","Ed","_","M2",".mpg")</f>
        <v>TheHedgehogTR_CA_0325_169_ZhoZho_Ed_M2.mpg</v>
      </c>
      <c r="U25" s="486" t="s">
        <v>133</v>
      </c>
      <c r="V25" s="487"/>
      <c r="W25" s="488" t="s">
        <v>134</v>
      </c>
      <c r="X25" s="489">
        <v>2024</v>
      </c>
      <c r="Y25" s="499" t="s">
        <v>135</v>
      </c>
      <c r="Z25" s="499" t="s">
        <v>135</v>
      </c>
      <c r="AA25" s="499" t="s">
        <v>136</v>
      </c>
      <c r="AB25" s="499"/>
      <c r="AC25" s="499"/>
      <c r="AD25" s="499"/>
      <c r="AE25" s="499" t="s">
        <v>137</v>
      </c>
      <c r="AF25" s="499" t="s">
        <v>136</v>
      </c>
      <c r="AG25" s="118">
        <f t="shared" si="1"/>
        <v>104</v>
      </c>
      <c r="AH25" s="406">
        <v>0.0719212962962963</v>
      </c>
      <c r="AI25" s="120">
        <f t="shared" si="2"/>
        <v>6240</v>
      </c>
      <c r="AJ25" s="270">
        <v>169</v>
      </c>
      <c r="AK25" s="270">
        <v>43</v>
      </c>
      <c r="AL25" s="509">
        <v>0.00121527777777778</v>
      </c>
      <c r="AM25" s="510" t="s">
        <v>138</v>
      </c>
    </row>
    <row r="26" s="436" customFormat="1" ht="23.1" customHeight="1" spans="1:39">
      <c r="A26" s="156">
        <v>22</v>
      </c>
      <c r="B26" s="277"/>
      <c r="C26" s="454" t="s">
        <v>124</v>
      </c>
      <c r="D26" s="455"/>
      <c r="E26" s="456">
        <v>2</v>
      </c>
      <c r="F26" s="457" t="s">
        <v>270</v>
      </c>
      <c r="G26" s="457" t="s">
        <v>271</v>
      </c>
      <c r="H26" s="457" t="str">
        <f t="shared" si="3"/>
        <v>Keep Rolling (T)</v>
      </c>
      <c r="I26" s="468" t="s">
        <v>128</v>
      </c>
      <c r="J26" s="468" t="s">
        <v>128</v>
      </c>
      <c r="K26" s="468" t="s">
        <v>128</v>
      </c>
      <c r="L26" s="468" t="s">
        <v>128</v>
      </c>
      <c r="M26" s="468" t="s">
        <v>128</v>
      </c>
      <c r="N26" s="369" t="s">
        <v>272</v>
      </c>
      <c r="O26" s="372" t="s">
        <v>273</v>
      </c>
      <c r="P26" s="469" t="s">
        <v>274</v>
      </c>
      <c r="Q26" s="484" t="s">
        <v>275</v>
      </c>
      <c r="R26" s="243" t="str">
        <f>CONCATENATE(RemovePunctuation(G26),"_","i4K","_","CA_",C26,"_",AK26,"_",PROPER(AA26),IF(AB26="",PROPER(AA26),PROPER(AB26)),PROPER(AC26),PROPER(AD26),PROPER(AE26),IF(AE26&lt;&gt;"","SUB",""),PROPER(AF26),IF(AF26&lt;&gt;"","SUB",""),"_","Ed","_","M1",".mpg")</f>
        <v>KeepRolling_i4K_CA_0325_43_ZhoZhoEngSUBZhoSUB_Ed_M1.mpg</v>
      </c>
      <c r="S26" s="243" t="str">
        <f>CONCATENATE(RemovePunctuation(G26),"_","i5K","_","CA_",C26,"_",AJ26,"_",PROPER(AA26),IF(AB26="",PROPER(AA26),PROPER(AB26)),PROPER(AC26),PROPER(AD26),PROPER(AE26),IF(AE26&lt;&gt;"","SUB",""),PROPER(AF26),IF(AF26&lt;&gt;"","SUB",""),"_","Ed","_","M4",".mpg")</f>
        <v>KeepRolling_i5K_CA_0325_169_ZhoZhoEngSUBZhoSUB_Ed_M4.mpg</v>
      </c>
      <c r="T26" s="485" t="str">
        <f>CONCATENATE(RemovePunctuation(G26),"TR","_CA","_",C26,"_",AJ26,"_",PROPER(AA26),PROPER(AA26),"_","Ed","_","M2",".mpg")</f>
        <v>KeepRollingTR_CA_0325_169_ZhoZho_Ed_M2.mpg</v>
      </c>
      <c r="U26" s="486" t="s">
        <v>133</v>
      </c>
      <c r="V26" s="487"/>
      <c r="W26" s="488" t="s">
        <v>162</v>
      </c>
      <c r="X26" s="489">
        <v>2024</v>
      </c>
      <c r="Y26" s="499" t="s">
        <v>135</v>
      </c>
      <c r="Z26" s="499" t="s">
        <v>135</v>
      </c>
      <c r="AA26" s="499" t="s">
        <v>136</v>
      </c>
      <c r="AB26" s="499"/>
      <c r="AC26" s="499"/>
      <c r="AD26" s="499"/>
      <c r="AE26" s="499" t="s">
        <v>137</v>
      </c>
      <c r="AF26" s="499" t="s">
        <v>136</v>
      </c>
      <c r="AG26" s="118">
        <f t="shared" si="1"/>
        <v>101</v>
      </c>
      <c r="AH26" s="406">
        <v>0.0701041666666667</v>
      </c>
      <c r="AI26" s="120">
        <f t="shared" si="2"/>
        <v>6060</v>
      </c>
      <c r="AJ26" s="270">
        <v>169</v>
      </c>
      <c r="AK26" s="270">
        <v>43</v>
      </c>
      <c r="AL26" s="509">
        <v>0.00127314814814815</v>
      </c>
      <c r="AM26" s="510" t="s">
        <v>138</v>
      </c>
    </row>
    <row r="27" s="436" customFormat="1" ht="23.1" customHeight="1" spans="1:39">
      <c r="A27" s="156">
        <v>23</v>
      </c>
      <c r="B27" s="277"/>
      <c r="C27" s="454" t="s">
        <v>124</v>
      </c>
      <c r="D27" s="455"/>
      <c r="E27" s="456">
        <v>3</v>
      </c>
      <c r="F27" s="457" t="s">
        <v>276</v>
      </c>
      <c r="G27" s="457" t="s">
        <v>277</v>
      </c>
      <c r="H27" s="457" t="str">
        <f t="shared" si="3"/>
        <v>Journey to the West (T)</v>
      </c>
      <c r="I27" s="468" t="s">
        <v>128</v>
      </c>
      <c r="J27" s="468"/>
      <c r="K27" s="468"/>
      <c r="L27" s="468" t="s">
        <v>128</v>
      </c>
      <c r="M27" s="468" t="s">
        <v>128</v>
      </c>
      <c r="N27" s="369" t="s">
        <v>278</v>
      </c>
      <c r="O27" s="372"/>
      <c r="P27" s="469" t="s">
        <v>279</v>
      </c>
      <c r="Q27" s="484"/>
      <c r="R27" s="243" t="str">
        <f>CONCATENATE(RemovePunctuation(G27),"_","i4K","_","CA_",C27,"_",AK27,"_",PROPER(AA27),IF(AB27="",PROPER(AA27),PROPER(AB27)),PROPER(AC27),PROPER(AD27),PROPER(AE27),IF(AE27&lt;&gt;"","SUB",""),PROPER(AF27),IF(AF27&lt;&gt;"","SUB",""),"_","Ed","_","M1",".mpg")</f>
        <v>JourneytotheWest_i4K_CA_0325_43_ZhoZhoEngSUBZhoSUB_Ed_M1.mpg</v>
      </c>
      <c r="S27" s="243" t="str">
        <f>CONCATENATE(RemovePunctuation(G27),"_","i5K","_","CA_",C27,"_",AJ27,"_",PROPER(AA27),IF(AB27="",PROPER(AA27),PROPER(AB27)),PROPER(AC27),PROPER(AD27),PROPER(AE27),IF(AE27&lt;&gt;"","SUB",""),PROPER(AF27),IF(AF27&lt;&gt;"","SUB",""),"_","Ed","_","M4",".mpg")</f>
        <v>JourneytotheWest_i5K_CA_0325_169_ZhoZhoEngSUBZhoSUB_Ed_M4.mpg</v>
      </c>
      <c r="T27" s="485" t="str">
        <f>CONCATENATE(RemovePunctuation(G27),"TR","_CA","_",C27,"_",AJ27,"_",PROPER(AA27),PROPER(AA27),"_","Ed","_","M2",".mpg")</f>
        <v>JourneytotheWestTR_CA_0325_169_ZhoZho_Ed_M2.mpg</v>
      </c>
      <c r="U27" s="486" t="s">
        <v>133</v>
      </c>
      <c r="V27" s="487"/>
      <c r="W27" s="488" t="s">
        <v>134</v>
      </c>
      <c r="X27" s="489">
        <v>2023</v>
      </c>
      <c r="Y27" s="499" t="s">
        <v>135</v>
      </c>
      <c r="Z27" s="499" t="s">
        <v>135</v>
      </c>
      <c r="AA27" s="499" t="s">
        <v>136</v>
      </c>
      <c r="AB27" s="499"/>
      <c r="AC27" s="499"/>
      <c r="AD27" s="499"/>
      <c r="AE27" s="499" t="s">
        <v>137</v>
      </c>
      <c r="AF27" s="499" t="s">
        <v>136</v>
      </c>
      <c r="AG27" s="118">
        <f t="shared" ref="AG27:AG43" si="4">ROUNDUP(HOUR(AH27)*60+MINUTE(AH27)+SECOND(AH27)/60,0)</f>
        <v>118</v>
      </c>
      <c r="AH27" s="406">
        <v>0.0816782407407407</v>
      </c>
      <c r="AI27" s="120">
        <f t="shared" ref="AI27:AI43" si="5">AG27*60</f>
        <v>7080</v>
      </c>
      <c r="AJ27" s="270">
        <v>169</v>
      </c>
      <c r="AK27" s="270">
        <v>43</v>
      </c>
      <c r="AL27" s="509">
        <v>0.000636574074074074</v>
      </c>
      <c r="AM27" s="510" t="s">
        <v>143</v>
      </c>
    </row>
    <row r="28" s="436" customFormat="1" ht="23.1" customHeight="1" spans="1:39">
      <c r="A28" s="156">
        <v>24</v>
      </c>
      <c r="B28" s="277"/>
      <c r="C28" s="454" t="s">
        <v>124</v>
      </c>
      <c r="D28" s="455"/>
      <c r="E28" s="456">
        <v>4</v>
      </c>
      <c r="F28" s="457" t="s">
        <v>280</v>
      </c>
      <c r="G28" s="457" t="s">
        <v>281</v>
      </c>
      <c r="H28" s="457" t="str">
        <f t="shared" si="3"/>
        <v>Michela Giraud: The Truth, I Swear! (T)</v>
      </c>
      <c r="I28" s="468" t="s">
        <v>128</v>
      </c>
      <c r="J28" s="468" t="s">
        <v>128</v>
      </c>
      <c r="K28" s="468"/>
      <c r="L28" s="468" t="s">
        <v>128</v>
      </c>
      <c r="M28" s="468" t="s">
        <v>128</v>
      </c>
      <c r="N28" s="369" t="s">
        <v>282</v>
      </c>
      <c r="O28" s="372"/>
      <c r="P28" s="469" t="s">
        <v>283</v>
      </c>
      <c r="Q28" s="484"/>
      <c r="R28" s="243" t="str">
        <f>CONCATENATE(RemovePunctuation(G28),"_","i4K","_","CA_",C28,"_",AK28,"_",PROPER(AA28),IF(AB28="",PROPER(AA28),PROPER(AB28)),PROPER(AC28),PROPER(AD28),PROPER(AE28),IF(AE28&lt;&gt;"","SUB",""),PROPER(AF28),IF(AF28&lt;&gt;"","SUB",""),"_","Ed","_","M1",".mpg")</f>
        <v>MichelaGiraudTheTruthISwear_i4K_CA_0325_43_ItaItaEngSUBZhoSUB_Ed_M1.mpg</v>
      </c>
      <c r="S28" s="243" t="str">
        <f>CONCATENATE(RemovePunctuation(G28),"_","i5K","_","CA_",C28,"_",AJ28,"_",PROPER(AA28),IF(AB28="",PROPER(AA28),PROPER(AB28)),PROPER(AC28),PROPER(AD28),PROPER(AE28),IF(AE28&lt;&gt;"","SUB",""),PROPER(AF28),IF(AF28&lt;&gt;"","SUB",""),"_","Ed","_","M4",".mpg")</f>
        <v>MichelaGiraudTheTruthISwear_i5K_CA_0325_169_ItaItaEngSUBZhoSUB_Ed_M4.mpg</v>
      </c>
      <c r="T28" s="485" t="str">
        <f>CONCATENATE(RemovePunctuation(G28),"TR","_CA","_",C28,"_",AJ28,"_",PROPER(AA28),PROPER(AA28),"_","Ed","_","M2",".mpg")</f>
        <v>MichelaGiraudTheTruthISwearTR_CA_0325_169_ItaIta_Ed_M2.mpg</v>
      </c>
      <c r="U28" s="486" t="s">
        <v>133</v>
      </c>
      <c r="V28" s="487"/>
      <c r="W28" s="488" t="s">
        <v>162</v>
      </c>
      <c r="X28" s="489">
        <v>2022</v>
      </c>
      <c r="Y28" s="499" t="s">
        <v>135</v>
      </c>
      <c r="Z28" s="499" t="s">
        <v>135</v>
      </c>
      <c r="AA28" s="499" t="s">
        <v>284</v>
      </c>
      <c r="AB28" s="499"/>
      <c r="AC28" s="499"/>
      <c r="AD28" s="499"/>
      <c r="AE28" s="499" t="s">
        <v>137</v>
      </c>
      <c r="AF28" s="499" t="s">
        <v>136</v>
      </c>
      <c r="AG28" s="118">
        <f t="shared" si="4"/>
        <v>63</v>
      </c>
      <c r="AH28" s="406">
        <v>0.0437037037037037</v>
      </c>
      <c r="AI28" s="120">
        <f t="shared" si="5"/>
        <v>3780</v>
      </c>
      <c r="AJ28" s="270">
        <v>169</v>
      </c>
      <c r="AK28" s="270">
        <v>43</v>
      </c>
      <c r="AL28" s="509">
        <v>0.00099537037037037</v>
      </c>
      <c r="AM28" s="510" t="s">
        <v>201</v>
      </c>
    </row>
    <row r="29" s="436" customFormat="1" ht="23.1" customHeight="1" spans="1:39">
      <c r="A29" s="156">
        <v>25</v>
      </c>
      <c r="B29" s="277"/>
      <c r="C29" s="454" t="s">
        <v>124</v>
      </c>
      <c r="D29" s="455"/>
      <c r="E29" s="456">
        <v>5</v>
      </c>
      <c r="F29" s="460" t="s">
        <v>285</v>
      </c>
      <c r="G29" s="457" t="s">
        <v>286</v>
      </c>
      <c r="H29" s="457" t="str">
        <f t="shared" si="3"/>
        <v>7 Women and a Murder (T)</v>
      </c>
      <c r="I29" s="468" t="s">
        <v>128</v>
      </c>
      <c r="J29" s="468" t="s">
        <v>128</v>
      </c>
      <c r="K29" s="468"/>
      <c r="L29" s="468" t="s">
        <v>128</v>
      </c>
      <c r="M29" s="468" t="s">
        <v>128</v>
      </c>
      <c r="N29" s="369" t="s">
        <v>287</v>
      </c>
      <c r="O29" s="372"/>
      <c r="P29" s="469" t="s">
        <v>288</v>
      </c>
      <c r="Q29" s="484"/>
      <c r="R29" s="243" t="str">
        <f>CONCATENATE(RemovePunctuation(G29),"_","i4K","_","CA_",C29,"_",AK29,"_",PROPER(AA29),IF(AB29="",PROPER(AA29),PROPER(AB29)),PROPER(AC29),PROPER(AD29),PROPER(AE29),IF(AE29&lt;&gt;"","SUB",""),PROPER(AF29),IF(AF29&lt;&gt;"","SUB",""),"_","Ed","_","M1",".mpg")</f>
        <v>7WomenandaMurder_i4K_CA_0325_43_EngEngEngSUBZhoSUB_Ed_M1.mpg</v>
      </c>
      <c r="S29" s="243" t="str">
        <f>CONCATENATE(RemovePunctuation(G29),"_","i5K","_","CA_",C29,"_",AJ29,"_",PROPER(AA29),IF(AB29="",PROPER(AA29),PROPER(AB29)),PROPER(AC29),PROPER(AD29),PROPER(AE29),IF(AE29&lt;&gt;"","SUB",""),PROPER(AF29),IF(AF29&lt;&gt;"","SUB",""),"_","Ed","_","M4",".mpg")</f>
        <v>7WomenandaMurder_i5K_CA_0325_169_EngEngEngSUBZhoSUB_Ed_M4.mpg</v>
      </c>
      <c r="T29" s="485" t="str">
        <f>CONCATENATE(RemovePunctuation(G29),"TR","_CA","_",C29,"_",AJ29,"_",PROPER(AA29),PROPER(AA29),"_","Ed","_","M2",".mpg")</f>
        <v>7WomenandaMurderTR_CA_0325_169_EngEng_Ed_M2.mpg</v>
      </c>
      <c r="U29" s="486" t="s">
        <v>133</v>
      </c>
      <c r="V29" s="487"/>
      <c r="W29" s="488" t="s">
        <v>162</v>
      </c>
      <c r="X29" s="489">
        <v>2021</v>
      </c>
      <c r="Y29" s="499" t="s">
        <v>135</v>
      </c>
      <c r="Z29" s="499" t="s">
        <v>135</v>
      </c>
      <c r="AA29" s="500" t="s">
        <v>137</v>
      </c>
      <c r="AB29" s="499"/>
      <c r="AC29" s="499"/>
      <c r="AD29" s="499"/>
      <c r="AE29" s="499" t="s">
        <v>137</v>
      </c>
      <c r="AF29" s="499" t="s">
        <v>136</v>
      </c>
      <c r="AG29" s="118">
        <f t="shared" si="4"/>
        <v>82</v>
      </c>
      <c r="AH29" s="406">
        <v>0.0564699074074074</v>
      </c>
      <c r="AI29" s="120">
        <f t="shared" si="5"/>
        <v>4920</v>
      </c>
      <c r="AJ29" s="270">
        <v>169</v>
      </c>
      <c r="AK29" s="270">
        <v>43</v>
      </c>
      <c r="AL29" s="509">
        <v>0.000925925925925926</v>
      </c>
      <c r="AM29" s="510" t="s">
        <v>201</v>
      </c>
    </row>
    <row r="30" s="436" customFormat="1" ht="23.1" customHeight="1" spans="1:39">
      <c r="A30" s="156">
        <v>26</v>
      </c>
      <c r="B30" s="277"/>
      <c r="C30" s="454" t="s">
        <v>124</v>
      </c>
      <c r="D30" s="455"/>
      <c r="E30" s="456">
        <v>6</v>
      </c>
      <c r="F30" s="457" t="s">
        <v>289</v>
      </c>
      <c r="G30" s="457" t="s">
        <v>290</v>
      </c>
      <c r="H30" s="457" t="str">
        <f t="shared" si="3"/>
        <v>Deadly Cuts (T)</v>
      </c>
      <c r="I30" s="468" t="s">
        <v>128</v>
      </c>
      <c r="J30" s="468" t="s">
        <v>128</v>
      </c>
      <c r="K30" s="468"/>
      <c r="L30" s="468" t="s">
        <v>128</v>
      </c>
      <c r="M30" s="468" t="s">
        <v>128</v>
      </c>
      <c r="N30" s="369" t="s">
        <v>291</v>
      </c>
      <c r="O30" s="372"/>
      <c r="P30" s="469" t="s">
        <v>292</v>
      </c>
      <c r="Q30" s="484"/>
      <c r="R30" s="243" t="str">
        <f>CONCATENATE(RemovePunctuation(G30),"_","i4K","_","CA_",C30,"_",AK30,"_",PROPER(AA30),IF(AB30="",PROPER(AA30),PROPER(AB30)),PROPER(AC30),PROPER(AD30),PROPER(AE30),IF(AE30&lt;&gt;"","SUB",""),PROPER(AF30),IF(AF30&lt;&gt;"","SUB",""),"_","Ed","_","M1",".mpg")</f>
        <v>DeadlyCuts_i4K_CA_0325_43_EngEngEngSUBZhoSUB_Ed_M1.mpg</v>
      </c>
      <c r="S30" s="243" t="str">
        <f>CONCATENATE(RemovePunctuation(G30),"_","i5K","_","CA_",C30,"_",AJ30,"_",PROPER(AA30),IF(AB30="",PROPER(AA30),PROPER(AB30)),PROPER(AC30),PROPER(AD30),PROPER(AE30),IF(AE30&lt;&gt;"","SUB",""),PROPER(AF30),IF(AF30&lt;&gt;"","SUB",""),"_","Ed","_","M4",".mpg")</f>
        <v>DeadlyCuts_i5K_CA_0325_169_EngEngEngSUBZhoSUB_Ed_M4.mpg</v>
      </c>
      <c r="T30" s="485" t="str">
        <f>CONCATENATE(RemovePunctuation(G30),"TR","_CA","_",C30,"_",AJ30,"_",PROPER(AA30),PROPER(AA30),"_","Ed","_","M2",".mpg")</f>
        <v>DeadlyCutsTR_CA_0325_169_EngEng_Ed_M2.mpg</v>
      </c>
      <c r="U30" s="486" t="s">
        <v>133</v>
      </c>
      <c r="V30" s="487"/>
      <c r="W30" s="488" t="s">
        <v>293</v>
      </c>
      <c r="X30" s="489">
        <v>2021</v>
      </c>
      <c r="Y30" s="499" t="s">
        <v>135</v>
      </c>
      <c r="Z30" s="499" t="s">
        <v>135</v>
      </c>
      <c r="AA30" s="499" t="s">
        <v>137</v>
      </c>
      <c r="AB30" s="499"/>
      <c r="AC30" s="499"/>
      <c r="AD30" s="499"/>
      <c r="AE30" s="499" t="s">
        <v>137</v>
      </c>
      <c r="AF30" s="499" t="s">
        <v>136</v>
      </c>
      <c r="AG30" s="118">
        <f t="shared" si="4"/>
        <v>87</v>
      </c>
      <c r="AH30" s="406">
        <v>0.0598032407407407</v>
      </c>
      <c r="AI30" s="120">
        <f t="shared" si="5"/>
        <v>5220</v>
      </c>
      <c r="AJ30" s="270">
        <v>169</v>
      </c>
      <c r="AK30" s="270">
        <v>43</v>
      </c>
      <c r="AL30" s="509">
        <v>0.000729166666666667</v>
      </c>
      <c r="AM30" s="510" t="s">
        <v>138</v>
      </c>
    </row>
    <row r="31" s="436" customFormat="1" ht="23.1" customHeight="1" spans="1:39">
      <c r="A31" s="156">
        <v>27</v>
      </c>
      <c r="B31" s="277"/>
      <c r="C31" s="454" t="s">
        <v>124</v>
      </c>
      <c r="D31" s="455"/>
      <c r="E31" s="456">
        <v>7</v>
      </c>
      <c r="F31" s="457" t="s">
        <v>294</v>
      </c>
      <c r="G31" s="457" t="s">
        <v>295</v>
      </c>
      <c r="H31" s="457" t="str">
        <f t="shared" si="3"/>
        <v>Diggers (T)</v>
      </c>
      <c r="I31" s="468" t="s">
        <v>128</v>
      </c>
      <c r="J31" s="468" t="s">
        <v>128</v>
      </c>
      <c r="K31" s="468" t="s">
        <v>128</v>
      </c>
      <c r="L31" s="468" t="s">
        <v>128</v>
      </c>
      <c r="M31" s="468" t="s">
        <v>128</v>
      </c>
      <c r="N31" s="369" t="s">
        <v>296</v>
      </c>
      <c r="O31" s="372" t="s">
        <v>297</v>
      </c>
      <c r="P31" s="469" t="s">
        <v>298</v>
      </c>
      <c r="Q31" s="484" t="s">
        <v>299</v>
      </c>
      <c r="R31" s="243" t="str">
        <f>CONCATENATE(RemovePunctuation(G31),"_","i4K","_","CA_",C31,"_",AK31,"_",PROPER(AA31),IF(AB31="",PROPER(AA31),PROPER(AB31)),PROPER(AC31),PROPER(AD31),PROPER(AE31),IF(AE31&lt;&gt;"","SUB",""),PROPER(AF31),IF(AF31&lt;&gt;"","SUB",""),"_","Ed","_","M1",".mpg")</f>
        <v>Diggers_i4K_CA_0325_43_EngEngZhoSUB_Ed_M1.mpg</v>
      </c>
      <c r="S31" s="243" t="str">
        <f>CONCATENATE(RemovePunctuation(G31),"_","i5K","_","CA_",C31,"_",AJ31,"_",PROPER(AA31),IF(AB31="",PROPER(AA31),PROPER(AB31)),PROPER(AC31),PROPER(AD31),PROPER(AE31),IF(AE31&lt;&gt;"","SUB",""),PROPER(AF31),IF(AF31&lt;&gt;"","SUB",""),"_","Ed","_","M4",".mpg")</f>
        <v>Diggers_i5K_CA_0325_169_EngEngZhoSUB_Ed_M4.mpg</v>
      </c>
      <c r="T31" s="485" t="str">
        <f>CONCATENATE(RemovePunctuation(G31),"TR","_CA","_",C31,"_",AJ31,"_",PROPER(AA31),PROPER(AA31),"_","Ed","_","M2",".mpg")</f>
        <v>DiggersTR_CA_0325_169_EngEng_Ed_M2.mpg</v>
      </c>
      <c r="U31" s="486" t="s">
        <v>133</v>
      </c>
      <c r="V31" s="487"/>
      <c r="W31" s="488" t="s">
        <v>162</v>
      </c>
      <c r="X31" s="489">
        <v>2006</v>
      </c>
      <c r="Y31" s="499" t="s">
        <v>135</v>
      </c>
      <c r="Z31" s="499" t="s">
        <v>135</v>
      </c>
      <c r="AA31" s="499" t="s">
        <v>137</v>
      </c>
      <c r="AB31" s="499"/>
      <c r="AC31" s="499"/>
      <c r="AD31" s="499"/>
      <c r="AE31" s="499" t="s">
        <v>136</v>
      </c>
      <c r="AF31" s="499"/>
      <c r="AG31" s="118">
        <f t="shared" si="4"/>
        <v>88</v>
      </c>
      <c r="AH31" s="406">
        <v>0.0610763888888889</v>
      </c>
      <c r="AI31" s="120">
        <f t="shared" si="5"/>
        <v>5280</v>
      </c>
      <c r="AJ31" s="270">
        <v>169</v>
      </c>
      <c r="AK31" s="270">
        <v>43</v>
      </c>
      <c r="AL31" s="509">
        <v>0.00140046296296296</v>
      </c>
      <c r="AM31" s="510" t="s">
        <v>201</v>
      </c>
    </row>
    <row r="32" s="436" customFormat="1" ht="23.1" customHeight="1" spans="1:39">
      <c r="A32" s="156">
        <v>28</v>
      </c>
      <c r="B32" s="277"/>
      <c r="C32" s="454" t="s">
        <v>124</v>
      </c>
      <c r="D32" s="455"/>
      <c r="E32" s="456">
        <v>8</v>
      </c>
      <c r="F32" s="457" t="s">
        <v>300</v>
      </c>
      <c r="G32" s="457" t="s">
        <v>301</v>
      </c>
      <c r="H32" s="457" t="str">
        <f t="shared" si="3"/>
        <v>Puan (T)</v>
      </c>
      <c r="I32" s="468" t="s">
        <v>128</v>
      </c>
      <c r="J32" s="468" t="s">
        <v>128</v>
      </c>
      <c r="K32" s="468" t="s">
        <v>128</v>
      </c>
      <c r="L32" s="468" t="s">
        <v>128</v>
      </c>
      <c r="M32" s="468" t="s">
        <v>128</v>
      </c>
      <c r="N32" s="369" t="s">
        <v>302</v>
      </c>
      <c r="O32" s="372" t="s">
        <v>303</v>
      </c>
      <c r="P32" s="469" t="s">
        <v>304</v>
      </c>
      <c r="Q32" s="484" t="s">
        <v>305</v>
      </c>
      <c r="R32" s="243" t="str">
        <f>CONCATENATE(RemovePunctuation(G32),"_","i4K","_","CA_",C32,"_",AK32,"_",PROPER(AA32),IF(AB32="",PROPER(AA32),PROPER(AB32)),PROPER(AC32),PROPER(AD32),PROPER(AE32),IF(AE32&lt;&gt;"","SUB",""),PROPER(AF32),IF(AF32&lt;&gt;"","SUB",""),"_","Ed","_","M1",".mpg")</f>
        <v>Puan_i4K_CA_0325_43_SpaSpaEngSUBZhoSUB_Ed_M1.mpg</v>
      </c>
      <c r="S32" s="243" t="str">
        <f>CONCATENATE(RemovePunctuation(G32),"_","i5K","_","CA_",C32,"_",AJ32,"_",PROPER(AA32),IF(AB32="",PROPER(AA32),PROPER(AB32)),PROPER(AC32),PROPER(AD32),PROPER(AE32),IF(AE32&lt;&gt;"","SUB",""),PROPER(AF32),IF(AF32&lt;&gt;"","SUB",""),"_","Ed","_","M4",".mpg")</f>
        <v>Puan_i5K_CA_0325_169_SpaSpaEngSUBZhoSUB_Ed_M4.mpg</v>
      </c>
      <c r="T32" s="485" t="str">
        <f>CONCATENATE(RemovePunctuation(G32),"TR","_CA","_",C32,"_",AJ32,"_",PROPER(AA32),PROPER(AA32),"_","Ed","_","M2",".mpg")</f>
        <v>PuanTR_CA_0325_169_SpaSpa_Ed_M2.mpg</v>
      </c>
      <c r="U32" s="486" t="s">
        <v>133</v>
      </c>
      <c r="V32" s="487"/>
      <c r="W32" s="488" t="s">
        <v>162</v>
      </c>
      <c r="X32" s="489">
        <v>2023</v>
      </c>
      <c r="Y32" s="499" t="s">
        <v>135</v>
      </c>
      <c r="Z32" s="499" t="s">
        <v>135</v>
      </c>
      <c r="AA32" s="499" t="s">
        <v>208</v>
      </c>
      <c r="AB32" s="499"/>
      <c r="AC32" s="499"/>
      <c r="AD32" s="499"/>
      <c r="AE32" s="499" t="s">
        <v>137</v>
      </c>
      <c r="AF32" s="499" t="s">
        <v>136</v>
      </c>
      <c r="AG32" s="118">
        <f t="shared" si="4"/>
        <v>109</v>
      </c>
      <c r="AH32" s="406">
        <v>0.0751041666666667</v>
      </c>
      <c r="AI32" s="120">
        <f t="shared" si="5"/>
        <v>6540</v>
      </c>
      <c r="AJ32" s="270">
        <v>169</v>
      </c>
      <c r="AK32" s="270">
        <v>43</v>
      </c>
      <c r="AL32" s="509">
        <v>0.00140046296296296</v>
      </c>
      <c r="AM32" s="510" t="s">
        <v>138</v>
      </c>
    </row>
    <row r="33" s="436" customFormat="1" ht="23.1" customHeight="1" spans="1:39">
      <c r="A33" s="156">
        <v>29</v>
      </c>
      <c r="B33" s="277"/>
      <c r="C33" s="454" t="s">
        <v>124</v>
      </c>
      <c r="D33" s="455"/>
      <c r="E33" s="456">
        <v>9</v>
      </c>
      <c r="F33" s="457" t="s">
        <v>306</v>
      </c>
      <c r="G33" s="457" t="s">
        <v>307</v>
      </c>
      <c r="H33" s="457" t="str">
        <f t="shared" si="3"/>
        <v>Striking the Palace (T)</v>
      </c>
      <c r="I33" s="468" t="s">
        <v>128</v>
      </c>
      <c r="J33" s="468" t="s">
        <v>128</v>
      </c>
      <c r="K33" s="468" t="s">
        <v>128</v>
      </c>
      <c r="L33" s="468" t="s">
        <v>128</v>
      </c>
      <c r="M33" s="468" t="s">
        <v>128</v>
      </c>
      <c r="N33" s="369" t="s">
        <v>308</v>
      </c>
      <c r="O33" s="372" t="s">
        <v>309</v>
      </c>
      <c r="P33" s="469" t="s">
        <v>310</v>
      </c>
      <c r="Q33" s="484" t="s">
        <v>311</v>
      </c>
      <c r="R33" s="243" t="str">
        <f>CONCATENATE(RemovePunctuation(G33),"_","i4K","_","CA_",C33,"_",AK33,"_",PROPER(AA33),IF(AB33="",PROPER(AA33),PROPER(AB33)),PROPER(AC33),PROPER(AD33),PROPER(AE33),IF(AE33&lt;&gt;"","SUB",""),PROPER(AF33),IF(AF33&lt;&gt;"","SUB",""),"_","Ed","_","M1",".mpg")</f>
        <v>StrikingthePalace_i4K_CA_0325_43_FraFraEngSUBZhoSUB_Ed_M1.mpg</v>
      </c>
      <c r="S33" s="243" t="str">
        <f>CONCATENATE(RemovePunctuation(G33),"_","i5K","_","CA_",C33,"_",AJ33,"_",PROPER(AA33),IF(AB33="",PROPER(AA33),PROPER(AB33)),PROPER(AC33),PROPER(AD33),PROPER(AE33),IF(AE33&lt;&gt;"","SUB",""),PROPER(AF33),IF(AF33&lt;&gt;"","SUB",""),"_","Ed","_","M4",".mpg")</f>
        <v>StrikingthePalace_i5K_CA_0325_169_FraFraEngSUBZhoSUB_Ed_M4.mpg</v>
      </c>
      <c r="T33" s="485" t="str">
        <f>CONCATENATE(RemovePunctuation(G33),"TR","_CA","_",C33,"_",AJ33,"_",PROPER(AA33),PROPER(AA33),"_","Ed","_","M2",".mpg")</f>
        <v>StrikingthePalaceTR_CA_0325_169_FraFra_Ed_M2.mpg</v>
      </c>
      <c r="U33" s="486" t="s">
        <v>133</v>
      </c>
      <c r="V33" s="487"/>
      <c r="W33" s="488" t="s">
        <v>162</v>
      </c>
      <c r="X33" s="489">
        <v>2024</v>
      </c>
      <c r="Y33" s="499" t="s">
        <v>135</v>
      </c>
      <c r="Z33" s="499" t="s">
        <v>135</v>
      </c>
      <c r="AA33" s="499" t="s">
        <v>235</v>
      </c>
      <c r="AB33" s="499"/>
      <c r="AC33" s="499"/>
      <c r="AD33" s="499"/>
      <c r="AE33" s="499" t="s">
        <v>137</v>
      </c>
      <c r="AF33" s="499" t="s">
        <v>136</v>
      </c>
      <c r="AG33" s="118">
        <f t="shared" si="4"/>
        <v>88</v>
      </c>
      <c r="AH33" s="406">
        <v>0.0607986111111111</v>
      </c>
      <c r="AI33" s="120">
        <f t="shared" si="5"/>
        <v>5280</v>
      </c>
      <c r="AJ33" s="270">
        <v>169</v>
      </c>
      <c r="AK33" s="270">
        <v>43</v>
      </c>
      <c r="AL33" s="509">
        <v>0.00125</v>
      </c>
      <c r="AM33" s="510" t="s">
        <v>138</v>
      </c>
    </row>
    <row r="34" s="436" customFormat="1" ht="23.1" customHeight="1" spans="1:39">
      <c r="A34" s="156">
        <v>30</v>
      </c>
      <c r="B34" s="277"/>
      <c r="C34" s="454" t="s">
        <v>124</v>
      </c>
      <c r="D34" s="455"/>
      <c r="E34" s="456">
        <v>10</v>
      </c>
      <c r="F34" s="457" t="s">
        <v>312</v>
      </c>
      <c r="G34" s="457" t="s">
        <v>313</v>
      </c>
      <c r="H34" s="457" t="str">
        <f t="shared" si="3"/>
        <v>Andrea Gets a Divorce (T)</v>
      </c>
      <c r="I34" s="468" t="s">
        <v>128</v>
      </c>
      <c r="J34" s="468" t="s">
        <v>128</v>
      </c>
      <c r="K34" s="468" t="s">
        <v>128</v>
      </c>
      <c r="L34" s="468" t="s">
        <v>128</v>
      </c>
      <c r="M34" s="468" t="s">
        <v>128</v>
      </c>
      <c r="N34" s="369" t="s">
        <v>314</v>
      </c>
      <c r="O34" s="372" t="s">
        <v>315</v>
      </c>
      <c r="P34" s="469" t="s">
        <v>316</v>
      </c>
      <c r="Q34" s="484" t="s">
        <v>317</v>
      </c>
      <c r="R34" s="243" t="str">
        <f>CONCATENATE(RemovePunctuation(G34),"_","i4K","_","CA_",C34,"_",AK34,"_",PROPER(AA34),IF(AB34="",PROPER(AA34),PROPER(AB34)),PROPER(AC34),PROPER(AD34),PROPER(AE34),IF(AE34&lt;&gt;"","SUB",""),PROPER(AF34),IF(AF34&lt;&gt;"","SUB",""),"_","Ed","_","M1",".mpg")</f>
        <v>AndreaGetsaDivorce_i4K_CA_0325_43_DeuDeuEngSUBZhoSUB_Ed_M1.mpg</v>
      </c>
      <c r="S34" s="243" t="str">
        <f>CONCATENATE(RemovePunctuation(G34),"_","i5K","_","CA_",C34,"_",AJ34,"_",PROPER(AA34),IF(AB34="",PROPER(AA34),PROPER(AB34)),PROPER(AC34),PROPER(AD34),PROPER(AE34),IF(AE34&lt;&gt;"","SUB",""),PROPER(AF34),IF(AF34&lt;&gt;"","SUB",""),"_","Ed","_","M4",".mpg")</f>
        <v>AndreaGetsaDivorce_i5K_CA_0325_169_DeuDeuEngSUBZhoSUB_Ed_M4.mpg</v>
      </c>
      <c r="T34" s="485" t="str">
        <f>CONCATENATE(RemovePunctuation(G34),"TR","_CA","_",C34,"_",AJ34,"_",PROPER(AA34),PROPER(AA34),"_","Ed","_","M2",".mpg")</f>
        <v>AndreaGetsaDivorceTR_CA_0325_169_DeuDeu_Ed_M2.mpg</v>
      </c>
      <c r="U34" s="486" t="s">
        <v>133</v>
      </c>
      <c r="V34" s="487"/>
      <c r="W34" s="488" t="s">
        <v>162</v>
      </c>
      <c r="X34" s="489">
        <v>2024</v>
      </c>
      <c r="Y34" s="499" t="s">
        <v>135</v>
      </c>
      <c r="Z34" s="499" t="s">
        <v>135</v>
      </c>
      <c r="AA34" s="499" t="s">
        <v>227</v>
      </c>
      <c r="AB34" s="499"/>
      <c r="AC34" s="499"/>
      <c r="AD34" s="499"/>
      <c r="AE34" s="499" t="s">
        <v>137</v>
      </c>
      <c r="AF34" s="499" t="s">
        <v>136</v>
      </c>
      <c r="AG34" s="118">
        <f t="shared" si="4"/>
        <v>90</v>
      </c>
      <c r="AH34" s="406">
        <v>0.0624305555555556</v>
      </c>
      <c r="AI34" s="120">
        <f t="shared" si="5"/>
        <v>5400</v>
      </c>
      <c r="AJ34" s="270">
        <v>169</v>
      </c>
      <c r="AK34" s="270">
        <v>43</v>
      </c>
      <c r="AL34" s="509">
        <v>0.00167824074074074</v>
      </c>
      <c r="AM34" s="510" t="s">
        <v>228</v>
      </c>
    </row>
    <row r="35" s="436" customFormat="1" ht="23.1" customHeight="1" spans="1:39">
      <c r="A35" s="156">
        <v>31</v>
      </c>
      <c r="B35" s="277"/>
      <c r="C35" s="454" t="s">
        <v>124</v>
      </c>
      <c r="D35" s="455"/>
      <c r="E35" s="456">
        <v>11</v>
      </c>
      <c r="F35" s="457" t="s">
        <v>318</v>
      </c>
      <c r="G35" s="457" t="s">
        <v>319</v>
      </c>
      <c r="H35" s="457" t="str">
        <f t="shared" si="3"/>
        <v>Everything's Fifty Fifty (T)</v>
      </c>
      <c r="I35" s="468" t="s">
        <v>128</v>
      </c>
      <c r="J35" s="468" t="s">
        <v>128</v>
      </c>
      <c r="K35" s="468" t="s">
        <v>128</v>
      </c>
      <c r="L35" s="468" t="s">
        <v>128</v>
      </c>
      <c r="M35" s="468" t="s">
        <v>128</v>
      </c>
      <c r="N35" s="369" t="s">
        <v>320</v>
      </c>
      <c r="O35" s="372" t="s">
        <v>321</v>
      </c>
      <c r="P35" s="469" t="s">
        <v>322</v>
      </c>
      <c r="Q35" s="484" t="s">
        <v>323</v>
      </c>
      <c r="R35" s="243" t="str">
        <f>CONCATENATE(RemovePunctuation(G35),"_","i4K","_","CA_",C35,"_",AK35,"_",PROPER(AA35),IF(AB35="",PROPER(AA35),PROPER(AB35)),PROPER(AC35),PROPER(AD35),PROPER(AE35),IF(AE35&lt;&gt;"","SUB",""),PROPER(AF35),IF(AF35&lt;&gt;"","SUB",""),"_","Ed","_","M1",".mpg")</f>
        <v>EverythingsFiftyFifty_i4K_CA_0325_43_DeuDeuEngSUBZhoSUB_Ed_M1.mpg</v>
      </c>
      <c r="S35" s="243" t="str">
        <f>CONCATENATE(RemovePunctuation(G35),"_","i5K","_","CA_",C35,"_",AJ35,"_",PROPER(AA35),IF(AB35="",PROPER(AA35),PROPER(AB35)),PROPER(AC35),PROPER(AD35),PROPER(AE35),IF(AE35&lt;&gt;"","SUB",""),PROPER(AF35),IF(AF35&lt;&gt;"","SUB",""),"_","Ed","_","M4",".mpg")</f>
        <v>EverythingsFiftyFifty_i5K_CA_0325_169_DeuDeuEngSUBZhoSUB_Ed_M4.mpg</v>
      </c>
      <c r="T35" s="485" t="str">
        <f>CONCATENATE(RemovePunctuation(G35),"TR","_CA","_",C35,"_",AJ35,"_",PROPER(AA35),PROPER(AA35),"_","Ed","_","M2",".mpg")</f>
        <v>EverythingsFiftyFiftyTR_CA_0325_169_DeuDeu_Ed_M2.mpg</v>
      </c>
      <c r="U35" s="486" t="s">
        <v>133</v>
      </c>
      <c r="V35" s="487"/>
      <c r="W35" s="488" t="s">
        <v>162</v>
      </c>
      <c r="X35" s="489">
        <v>2024</v>
      </c>
      <c r="Y35" s="499" t="s">
        <v>135</v>
      </c>
      <c r="Z35" s="499" t="s">
        <v>135</v>
      </c>
      <c r="AA35" s="499" t="s">
        <v>227</v>
      </c>
      <c r="AB35" s="499"/>
      <c r="AC35" s="499"/>
      <c r="AD35" s="499"/>
      <c r="AE35" s="499" t="s">
        <v>137</v>
      </c>
      <c r="AF35" s="499" t="s">
        <v>136</v>
      </c>
      <c r="AG35" s="118">
        <f t="shared" si="4"/>
        <v>112</v>
      </c>
      <c r="AH35" s="406">
        <v>0.0772800925925926</v>
      </c>
      <c r="AI35" s="120">
        <f t="shared" si="5"/>
        <v>6720</v>
      </c>
      <c r="AJ35" s="270">
        <v>169</v>
      </c>
      <c r="AK35" s="270">
        <v>43</v>
      </c>
      <c r="AL35" s="509">
        <v>0.00150462962962963</v>
      </c>
      <c r="AM35" s="510" t="s">
        <v>228</v>
      </c>
    </row>
    <row r="36" s="436" customFormat="1" ht="23.1" customHeight="1" spans="1:39">
      <c r="A36" s="156">
        <v>32</v>
      </c>
      <c r="B36" s="277"/>
      <c r="C36" s="454" t="s">
        <v>124</v>
      </c>
      <c r="D36" s="458" t="s">
        <v>324</v>
      </c>
      <c r="E36" s="456">
        <v>1</v>
      </c>
      <c r="F36" s="460" t="s">
        <v>325</v>
      </c>
      <c r="G36" s="457" t="s">
        <v>326</v>
      </c>
      <c r="H36" s="457" t="str">
        <f t="shared" si="3"/>
        <v>Boonie Bears: Guardian Code (T)</v>
      </c>
      <c r="I36" s="468" t="s">
        <v>128</v>
      </c>
      <c r="J36" s="468" t="s">
        <v>128</v>
      </c>
      <c r="K36" s="468" t="s">
        <v>128</v>
      </c>
      <c r="L36" s="468" t="s">
        <v>128</v>
      </c>
      <c r="M36" s="468" t="s">
        <v>128</v>
      </c>
      <c r="N36" s="369" t="s">
        <v>327</v>
      </c>
      <c r="O36" s="372" t="s">
        <v>328</v>
      </c>
      <c r="P36" s="469" t="s">
        <v>329</v>
      </c>
      <c r="Q36" s="484" t="s">
        <v>330</v>
      </c>
      <c r="R36" s="243" t="str">
        <f>CONCATENATE(RemovePunctuation(G36),"_","i4K","_","CA_",C36,"_",AK36,"_",PROPER(AA36),IF(AB36="",PROPER(AA36),PROPER(AB36)),PROPER(AC36),PROPER(AD36),PROPER(AE36),IF(AE36&lt;&gt;"","SUB",""),PROPER(AF36),IF(AF36&lt;&gt;"","SUB",""),"_","Ed","_","M1",".mpg")</f>
        <v>BoonieBearsGuardianCode_i4K_CA_0325_43_ZhoZhoZhoSUB_Ed_M1.mpg</v>
      </c>
      <c r="S36" s="243" t="str">
        <f>CONCATENATE(RemovePunctuation(G36),"_","i5K","_","CA_",C36,"_",AJ36,"_",PROPER(AA36),IF(AB36="",PROPER(AA36),PROPER(AB36)),PROPER(AC36),PROPER(AD36),PROPER(AE36),IF(AE36&lt;&gt;"","SUB",""),PROPER(AF36),IF(AF36&lt;&gt;"","SUB",""),"_","Ed","_","M4",".mpg")</f>
        <v>BoonieBearsGuardianCode_i5K_CA_0325_169_ZhoZhoZhoSUB_Ed_M4.mpg</v>
      </c>
      <c r="T36" s="485" t="str">
        <f>CONCATENATE(RemovePunctuation(G36),"TR","_CA","_",C36,"_",AJ36,"_",PROPER(AA36),PROPER(AA36),"_","Ed","_","M2",".mpg")</f>
        <v>BoonieBearsGuardianCodeTR_CA_0325_169_ZhoZho_Ed_M2.mpg</v>
      </c>
      <c r="U36" s="486" t="s">
        <v>133</v>
      </c>
      <c r="V36" s="487"/>
      <c r="W36" s="488" t="s">
        <v>134</v>
      </c>
      <c r="X36" s="489">
        <v>2023</v>
      </c>
      <c r="Y36" s="499" t="s">
        <v>135</v>
      </c>
      <c r="Z36" s="499" t="s">
        <v>135</v>
      </c>
      <c r="AA36" s="499" t="s">
        <v>136</v>
      </c>
      <c r="AB36" s="499"/>
      <c r="AC36" s="499"/>
      <c r="AD36" s="499"/>
      <c r="AE36" s="500" t="s">
        <v>136</v>
      </c>
      <c r="AF36" s="500"/>
      <c r="AG36" s="118">
        <f t="shared" si="4"/>
        <v>96</v>
      </c>
      <c r="AH36" s="406">
        <v>0.0663194444444444</v>
      </c>
      <c r="AI36" s="120">
        <f t="shared" si="5"/>
        <v>5760</v>
      </c>
      <c r="AJ36" s="270">
        <v>169</v>
      </c>
      <c r="AK36" s="270">
        <v>43</v>
      </c>
      <c r="AL36" s="509">
        <v>0.000960648148148148</v>
      </c>
      <c r="AM36" s="510" t="s">
        <v>143</v>
      </c>
    </row>
    <row r="37" s="436" customFormat="1" ht="23.1" customHeight="1" spans="1:39">
      <c r="A37" s="156">
        <v>33</v>
      </c>
      <c r="B37" s="277"/>
      <c r="C37" s="454" t="s">
        <v>124</v>
      </c>
      <c r="D37" s="458"/>
      <c r="E37" s="456">
        <v>2</v>
      </c>
      <c r="F37" s="460" t="s">
        <v>331</v>
      </c>
      <c r="G37" s="457" t="s">
        <v>332</v>
      </c>
      <c r="H37" s="457" t="str">
        <f t="shared" si="3"/>
        <v>Mozart from Space (T)</v>
      </c>
      <c r="I37" s="468" t="s">
        <v>128</v>
      </c>
      <c r="J37" s="468" t="s">
        <v>128</v>
      </c>
      <c r="K37" s="468" t="s">
        <v>128</v>
      </c>
      <c r="L37" s="468" t="s">
        <v>128</v>
      </c>
      <c r="M37" s="468" t="s">
        <v>128</v>
      </c>
      <c r="N37" s="369" t="s">
        <v>333</v>
      </c>
      <c r="O37" s="372" t="s">
        <v>334</v>
      </c>
      <c r="P37" s="469" t="s">
        <v>335</v>
      </c>
      <c r="Q37" s="484" t="s">
        <v>336</v>
      </c>
      <c r="R37" s="243" t="str">
        <f>CONCATENATE(RemovePunctuation(G37),"_","i4K","_","CA_",C37,"_",AK37,"_",PROPER(AA37),IF(AB37="",PROPER(AA37),PROPER(AB37)),PROPER(AC37),PROPER(AD37),PROPER(AE37),IF(AE37&lt;&gt;"","SUB",""),PROPER(AF37),IF(AF37&lt;&gt;"","SUB",""),"_","Ed","_","M1",".mpg")</f>
        <v>MozartfromSpace_i4K_CA_0325_43_ZhoZhoZhoSUB_Ed_M1.mpg</v>
      </c>
      <c r="S37" s="243" t="str">
        <f>CONCATENATE(RemovePunctuation(G37),"_","i5K","_","CA_",C37,"_",AJ37,"_",PROPER(AA37),IF(AB37="",PROPER(AA37),PROPER(AB37)),PROPER(AC37),PROPER(AD37),PROPER(AE37),IF(AE37&lt;&gt;"","SUB",""),PROPER(AF37),IF(AF37&lt;&gt;"","SUB",""),"_","Ed","_","M4",".mpg")</f>
        <v>MozartfromSpace_i5K_CA_0325_169_ZhoZhoZhoSUB_Ed_M4.mpg</v>
      </c>
      <c r="T37" s="485" t="str">
        <f>CONCATENATE(RemovePunctuation(G37),"TR","_CA","_",C37,"_",AJ37,"_",PROPER(AA37),PROPER(AA37),"_","Ed","_","M2",".mpg")</f>
        <v>MozartfromSpaceTR_CA_0325_169_ZhoZho_Ed_M2.mpg</v>
      </c>
      <c r="U37" s="486" t="s">
        <v>148</v>
      </c>
      <c r="V37" s="487"/>
      <c r="W37" s="488" t="s">
        <v>134</v>
      </c>
      <c r="X37" s="489">
        <v>2022</v>
      </c>
      <c r="Y37" s="499" t="s">
        <v>135</v>
      </c>
      <c r="Z37" s="499" t="s">
        <v>135</v>
      </c>
      <c r="AA37" s="499" t="s">
        <v>136</v>
      </c>
      <c r="AB37" s="499"/>
      <c r="AC37" s="499"/>
      <c r="AD37" s="499"/>
      <c r="AE37" s="499" t="s">
        <v>136</v>
      </c>
      <c r="AF37" s="499"/>
      <c r="AG37" s="118">
        <f t="shared" si="4"/>
        <v>136</v>
      </c>
      <c r="AH37" s="406">
        <v>0.0943518518518519</v>
      </c>
      <c r="AI37" s="120">
        <f t="shared" si="5"/>
        <v>8160</v>
      </c>
      <c r="AJ37" s="270">
        <v>169</v>
      </c>
      <c r="AK37" s="270">
        <v>43</v>
      </c>
      <c r="AL37" s="509">
        <v>0.00128472222222222</v>
      </c>
      <c r="AM37" s="510" t="s">
        <v>143</v>
      </c>
    </row>
    <row r="38" s="436" customFormat="1" ht="23" customHeight="1" spans="1:39">
      <c r="A38" s="156">
        <v>34</v>
      </c>
      <c r="B38" s="277"/>
      <c r="C38" s="454" t="s">
        <v>124</v>
      </c>
      <c r="D38" s="462" t="s">
        <v>337</v>
      </c>
      <c r="E38" s="245">
        <v>1</v>
      </c>
      <c r="F38" s="249" t="s">
        <v>338</v>
      </c>
      <c r="G38" s="245" t="s">
        <v>339</v>
      </c>
      <c r="H38" s="457" t="str">
        <f t="shared" ref="H38:H44" si="6">G38&amp;" (T)"</f>
        <v>New Onboard (T)</v>
      </c>
      <c r="I38" s="31" t="s">
        <v>128</v>
      </c>
      <c r="J38" s="31" t="s">
        <v>128</v>
      </c>
      <c r="K38" s="31" t="s">
        <v>128</v>
      </c>
      <c r="L38" s="31" t="s">
        <v>128</v>
      </c>
      <c r="M38" s="31" t="s">
        <v>128</v>
      </c>
      <c r="N38" s="369" t="s">
        <v>340</v>
      </c>
      <c r="O38" s="372" t="s">
        <v>341</v>
      </c>
      <c r="P38" s="470" t="s">
        <v>342</v>
      </c>
      <c r="Q38" s="490"/>
      <c r="R38" s="491" t="str">
        <f>CONCATENATE(RemovePunctuation(G38),,"_CA","_",C38,"_",AJ38,"_",PROPER(AA38),IF(AB38="",PROPER(AA38),PROPER(AB38)),PROPER(AC38),PROPER(AD38),PROPER(AE38),IF(AE38&lt;&gt;"","SUB",""),PROPER(AF38),IF(AF38&lt;&gt;"","SUB",""),"_","Ed","_","M2",".mpg")</f>
        <v>NewOnboard_CA_0325_169_EngEngEngSUBZhoSUB_Ed_M2.mpg</v>
      </c>
      <c r="S38" s="492"/>
      <c r="T38" s="493" t="s">
        <v>343</v>
      </c>
      <c r="U38" s="487"/>
      <c r="V38" s="487"/>
      <c r="W38" s="488" t="s">
        <v>134</v>
      </c>
      <c r="X38" s="487"/>
      <c r="Y38" s="499" t="s">
        <v>135</v>
      </c>
      <c r="Z38" s="499" t="s">
        <v>135</v>
      </c>
      <c r="AA38" s="501" t="s">
        <v>137</v>
      </c>
      <c r="AB38" s="432"/>
      <c r="AC38" s="432"/>
      <c r="AD38" s="432"/>
      <c r="AE38" s="433" t="s">
        <v>137</v>
      </c>
      <c r="AF38" s="433" t="s">
        <v>136</v>
      </c>
      <c r="AG38" s="118">
        <f t="shared" si="4"/>
        <v>1</v>
      </c>
      <c r="AH38" s="434">
        <v>0.000694444444444444</v>
      </c>
      <c r="AI38" s="120">
        <f t="shared" si="5"/>
        <v>60</v>
      </c>
      <c r="AJ38" s="270">
        <v>169</v>
      </c>
      <c r="AK38" s="270">
        <v>43</v>
      </c>
      <c r="AL38" s="509">
        <v>0.000694444444444444</v>
      </c>
      <c r="AM38" s="510"/>
    </row>
    <row r="39" s="436" customFormat="1" ht="23" customHeight="1" spans="1:39">
      <c r="A39" s="156">
        <v>35</v>
      </c>
      <c r="B39" s="277"/>
      <c r="C39" s="454" t="s">
        <v>124</v>
      </c>
      <c r="D39" s="463" t="s">
        <v>344</v>
      </c>
      <c r="E39" s="156">
        <v>1</v>
      </c>
      <c r="F39" s="153" t="s">
        <v>345</v>
      </c>
      <c r="G39" s="156" t="s">
        <v>346</v>
      </c>
      <c r="H39" s="388" t="s">
        <v>347</v>
      </c>
      <c r="I39" s="294" t="s">
        <v>128</v>
      </c>
      <c r="J39" s="294"/>
      <c r="K39" s="293"/>
      <c r="L39" s="294"/>
      <c r="M39" s="294"/>
      <c r="N39" s="369" t="s">
        <v>348</v>
      </c>
      <c r="O39" s="388" t="s">
        <v>347</v>
      </c>
      <c r="P39" s="471" t="s">
        <v>347</v>
      </c>
      <c r="Q39" s="471" t="s">
        <v>347</v>
      </c>
      <c r="R39" s="388" t="s">
        <v>347</v>
      </c>
      <c r="S39" s="388" t="s">
        <v>347</v>
      </c>
      <c r="T39" s="156" t="s">
        <v>349</v>
      </c>
      <c r="U39" s="487"/>
      <c r="V39" s="487"/>
      <c r="W39" s="488" t="s">
        <v>134</v>
      </c>
      <c r="X39" s="487"/>
      <c r="Y39" s="499" t="s">
        <v>135</v>
      </c>
      <c r="Z39" s="499" t="s">
        <v>135</v>
      </c>
      <c r="AA39" s="501" t="s">
        <v>137</v>
      </c>
      <c r="AB39" s="432"/>
      <c r="AC39" s="432"/>
      <c r="AD39" s="432"/>
      <c r="AE39" s="433" t="s">
        <v>137</v>
      </c>
      <c r="AF39" s="433" t="s">
        <v>136</v>
      </c>
      <c r="AG39" s="118">
        <f t="shared" si="4"/>
        <v>4</v>
      </c>
      <c r="AH39" s="227">
        <v>0.00271990740740741</v>
      </c>
      <c r="AI39" s="120">
        <f t="shared" si="5"/>
        <v>240</v>
      </c>
      <c r="AJ39" s="270">
        <v>169</v>
      </c>
      <c r="AK39" s="270">
        <v>43</v>
      </c>
      <c r="AL39" s="509">
        <v>0.00271990740740741</v>
      </c>
      <c r="AM39" s="510"/>
    </row>
  </sheetData>
  <autoFilter xmlns:etc="http://www.wps.cn/officeDocument/2017/etCustomData" ref="A4:AM39" etc:filterBottomFollowUsedRange="0">
    <extLst/>
  </autoFilter>
  <mergeCells count="57">
    <mergeCell ref="F1:G1"/>
    <mergeCell ref="I1:L1"/>
    <mergeCell ref="F2:H2"/>
    <mergeCell ref="I2:K2"/>
    <mergeCell ref="L2:M2"/>
    <mergeCell ref="N2:O2"/>
    <mergeCell ref="P2:Q2"/>
    <mergeCell ref="R2:S2"/>
    <mergeCell ref="U2:Z2"/>
    <mergeCell ref="AA2:AF2"/>
    <mergeCell ref="AH2:AI2"/>
    <mergeCell ref="AJ2:AK2"/>
    <mergeCell ref="R38:S38"/>
    <mergeCell ref="A3:A4"/>
    <mergeCell ref="B3:B4"/>
    <mergeCell ref="C3:C4"/>
    <mergeCell ref="D3:D4"/>
    <mergeCell ref="D5:D7"/>
    <mergeCell ref="D8:D21"/>
    <mergeCell ref="D22:D24"/>
    <mergeCell ref="D25:D35"/>
    <mergeCell ref="D36:D37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K3:AK4"/>
    <mergeCell ref="AL2:AL4"/>
    <mergeCell ref="AM3:AM4"/>
  </mergeCells>
  <dataValidations count="1">
    <dataValidation type="list" allowBlank="1" showInputMessage="1" showErrorMessage="1" sqref="AC5:AD37">
      <formula1>"中文,英语,德语,法语,日语,西班牙语,意大利语,韩语,印地语,俄语,阿拉伯语,泰语,巴西语,希腊语,葡萄牙语,印尼语,荷兰语,克罗地亚语,土耳其语,马来西亚语,匈牙利语,保加利亚语,瑞典语,拉脱维亚语,挪威语,丹麦语,立陶宛语,波兰语,南非语,希伯来语,芬兰语,捷克语,格鲁吉亚语,波斯语,菲律宾语,罗马尼亚语,冰岛语,孟加拉语,阿尔巴尼亚语,蒙古语,马其顿语,泰米尔语,其它"</formula1>
    </dataValidation>
  </dataValidations>
  <pageMargins left="0.75" right="0.75" top="1" bottom="1" header="0.5" footer="0.5"/>
  <pageSetup paperSize="1" orientation="portrait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HH166"/>
  <sheetViews>
    <sheetView zoomScale="85" zoomScaleNormal="85" workbookViewId="0">
      <pane xSplit="8" ySplit="4" topLeftCell="Q105" activePane="bottomRight" state="frozen"/>
      <selection/>
      <selection pane="topRight"/>
      <selection pane="bottomLeft"/>
      <selection pane="bottomRight" activeCell="H117" sqref="H117"/>
    </sheetView>
  </sheetViews>
  <sheetFormatPr defaultColWidth="8" defaultRowHeight="15.75"/>
  <cols>
    <col min="1" max="1" width="3.95" style="2" customWidth="1"/>
    <col min="2" max="2" width="7.75833333333333" style="2" customWidth="1"/>
    <col min="3" max="3" width="5.73333333333333" style="181" customWidth="1"/>
    <col min="4" max="5" width="4.38333333333333" style="3" customWidth="1"/>
    <col min="6" max="6" width="3.25833333333333" style="3" customWidth="1"/>
    <col min="7" max="7" width="39.525" style="4" customWidth="1"/>
    <col min="8" max="8" width="45.775" style="3" customWidth="1"/>
    <col min="9" max="10" width="4.88333333333333" style="336" customWidth="1"/>
    <col min="11" max="11" width="4.88333333333333" style="336" hidden="1" customWidth="1"/>
    <col min="12" max="13" width="4.88333333333333" style="336" customWidth="1"/>
    <col min="14" max="14" width="22.1833333333333" style="3" customWidth="1"/>
    <col min="15" max="15" width="23.125" style="3" hidden="1" customWidth="1"/>
    <col min="16" max="16" width="67.8083333333333" style="241" customWidth="1"/>
    <col min="17" max="17" width="82.025" style="241" customWidth="1"/>
    <col min="18" max="18" width="4.53333333333333" style="238" customWidth="1"/>
    <col min="19" max="19" width="4.35833333333333" style="337" customWidth="1"/>
    <col min="20" max="21" width="4.53333333333333" style="337" customWidth="1"/>
    <col min="22" max="23" width="4.53333333333333" style="238" customWidth="1"/>
    <col min="24" max="25" width="5.63333333333333" style="7" customWidth="1"/>
    <col min="26" max="26" width="8.75833333333333" style="7" customWidth="1"/>
    <col min="27" max="27" width="11.5083333333333" style="3" customWidth="1"/>
    <col min="28" max="28" width="11.3833333333333" style="3" customWidth="1"/>
    <col min="29" max="29" width="14.2166666666667" style="3" customWidth="1"/>
    <col min="30" max="30" width="7.34166666666667" style="3" customWidth="1"/>
    <col min="31" max="31" width="7.38333333333333" style="10" customWidth="1"/>
    <col min="32" max="32" width="7.35" style="338" customWidth="1"/>
    <col min="33" max="33" width="5.14166666666667" style="3" customWidth="1"/>
    <col min="34" max="34" width="5.14166666666667" style="74" customWidth="1"/>
    <col min="35" max="35" width="5.14166666666667" style="76" customWidth="1"/>
    <col min="36" max="37" width="5.14166666666667" style="74" customWidth="1"/>
    <col min="38" max="38" width="5.14166666666667" style="3" customWidth="1"/>
    <col min="39" max="41" width="4.14166666666667" style="5" hidden="1" customWidth="1"/>
    <col min="42" max="891" width="8" style="1"/>
    <col min="892" max="16384" width="8" style="2"/>
  </cols>
  <sheetData>
    <row r="1" spans="22:22">
      <c r="V1" s="337"/>
    </row>
    <row r="2" ht="18.95" customHeight="1" spans="1:41">
      <c r="A2" s="14" t="s">
        <v>350</v>
      </c>
      <c r="B2" s="13"/>
      <c r="C2" s="339"/>
      <c r="D2" s="13"/>
      <c r="E2" s="13"/>
      <c r="F2" s="13"/>
      <c r="G2" s="13"/>
      <c r="H2" s="271"/>
      <c r="I2" s="87" t="s">
        <v>77</v>
      </c>
      <c r="J2" s="88"/>
      <c r="K2" s="89"/>
      <c r="L2" s="87" t="s">
        <v>78</v>
      </c>
      <c r="M2" s="89"/>
      <c r="N2" s="321" t="s">
        <v>351</v>
      </c>
      <c r="O2" s="322"/>
      <c r="P2" s="364" t="s">
        <v>352</v>
      </c>
      <c r="Q2" s="379"/>
      <c r="R2" s="380" t="s">
        <v>84</v>
      </c>
      <c r="S2" s="381"/>
      <c r="T2" s="381"/>
      <c r="U2" s="381"/>
      <c r="V2" s="381"/>
      <c r="W2" s="381"/>
      <c r="X2" s="382" t="s">
        <v>353</v>
      </c>
      <c r="Y2" s="394"/>
      <c r="Z2" s="55"/>
      <c r="AA2" s="65" t="s">
        <v>85</v>
      </c>
      <c r="AB2" s="65"/>
      <c r="AC2" s="216"/>
      <c r="AD2" s="395" t="s">
        <v>86</v>
      </c>
      <c r="AE2" s="396"/>
      <c r="AF2" s="397" t="s">
        <v>88</v>
      </c>
      <c r="AG2" s="1"/>
      <c r="AH2" s="1"/>
      <c r="AI2" s="1"/>
      <c r="AJ2" s="1"/>
      <c r="AK2" s="1"/>
      <c r="AL2" s="1"/>
      <c r="AM2" s="1"/>
      <c r="AN2" s="1"/>
      <c r="AO2" s="1"/>
    </row>
    <row r="3" ht="18" customHeight="1" spans="1:41">
      <c r="A3" s="116" t="s">
        <v>89</v>
      </c>
      <c r="B3" s="272" t="s">
        <v>90</v>
      </c>
      <c r="C3" s="272" t="s">
        <v>91</v>
      </c>
      <c r="D3" s="78" t="s">
        <v>354</v>
      </c>
      <c r="E3" s="77" t="s">
        <v>355</v>
      </c>
      <c r="F3" s="78" t="s">
        <v>93</v>
      </c>
      <c r="G3" s="78" t="s">
        <v>94</v>
      </c>
      <c r="H3" s="116" t="s">
        <v>95</v>
      </c>
      <c r="I3" s="92" t="s">
        <v>97</v>
      </c>
      <c r="J3" s="92"/>
      <c r="K3" s="92"/>
      <c r="L3" s="94" t="s">
        <v>356</v>
      </c>
      <c r="M3" s="93"/>
      <c r="N3" s="43" t="s">
        <v>102</v>
      </c>
      <c r="O3" s="43" t="s">
        <v>357</v>
      </c>
      <c r="P3" s="365" t="s">
        <v>358</v>
      </c>
      <c r="Q3" s="365" t="s">
        <v>105</v>
      </c>
      <c r="R3" s="383" t="s">
        <v>113</v>
      </c>
      <c r="S3" s="383" t="s">
        <v>114</v>
      </c>
      <c r="T3" s="384" t="s">
        <v>115</v>
      </c>
      <c r="U3" s="384" t="s">
        <v>116</v>
      </c>
      <c r="V3" s="383" t="s">
        <v>117</v>
      </c>
      <c r="W3" s="383" t="s">
        <v>118</v>
      </c>
      <c r="X3" s="385" t="s">
        <v>111</v>
      </c>
      <c r="Y3" s="385" t="s">
        <v>112</v>
      </c>
      <c r="Z3" s="24" t="s">
        <v>119</v>
      </c>
      <c r="AA3" s="398" t="s">
        <v>359</v>
      </c>
      <c r="AB3" s="69" t="s">
        <v>121</v>
      </c>
      <c r="AC3" s="116" t="s">
        <v>120</v>
      </c>
      <c r="AD3" s="399" t="s">
        <v>360</v>
      </c>
      <c r="AE3" s="400" t="s">
        <v>361</v>
      </c>
      <c r="AF3" s="401" t="s">
        <v>88</v>
      </c>
      <c r="AG3" s="1"/>
      <c r="AH3" s="1"/>
      <c r="AI3" s="1"/>
      <c r="AJ3" s="1"/>
      <c r="AK3" s="1"/>
      <c r="AL3" s="1"/>
      <c r="AM3" s="1"/>
      <c r="AN3" s="1"/>
      <c r="AO3" s="1"/>
    </row>
    <row r="4" ht="65" customHeight="1" spans="1:32">
      <c r="A4" s="69"/>
      <c r="B4" s="114"/>
      <c r="C4" s="114"/>
      <c r="D4" s="24"/>
      <c r="E4" s="23"/>
      <c r="F4" s="24"/>
      <c r="G4" s="24"/>
      <c r="H4" s="69"/>
      <c r="I4" s="92"/>
      <c r="J4" s="92" t="s">
        <v>98</v>
      </c>
      <c r="K4" s="92" t="s">
        <v>357</v>
      </c>
      <c r="L4" s="94"/>
      <c r="M4" s="94" t="s">
        <v>362</v>
      </c>
      <c r="N4" s="43"/>
      <c r="O4" s="43"/>
      <c r="P4" s="365"/>
      <c r="Q4" s="365"/>
      <c r="R4" s="384"/>
      <c r="S4" s="384"/>
      <c r="T4" s="386"/>
      <c r="U4" s="386"/>
      <c r="V4" s="384"/>
      <c r="W4" s="384"/>
      <c r="X4" s="387"/>
      <c r="Y4" s="387"/>
      <c r="Z4" s="23"/>
      <c r="AA4" s="402"/>
      <c r="AB4" s="71"/>
      <c r="AC4" s="69"/>
      <c r="AD4" s="403"/>
      <c r="AE4" s="404"/>
      <c r="AF4" s="405"/>
    </row>
    <row r="5" s="335" customFormat="1" ht="23" customHeight="1" spans="1:892">
      <c r="A5" s="340">
        <v>1</v>
      </c>
      <c r="B5" s="341"/>
      <c r="C5" s="516" t="s">
        <v>124</v>
      </c>
      <c r="D5" s="343" t="s">
        <v>363</v>
      </c>
      <c r="E5" s="83"/>
      <c r="F5" s="81">
        <v>1</v>
      </c>
      <c r="G5" s="344" t="s">
        <v>364</v>
      </c>
      <c r="H5" s="345" t="s">
        <v>365</v>
      </c>
      <c r="I5" s="366" t="s">
        <v>128</v>
      </c>
      <c r="J5" s="366" t="s">
        <v>128</v>
      </c>
      <c r="K5" s="367"/>
      <c r="L5" s="368"/>
      <c r="M5" s="368"/>
      <c r="N5" s="369" t="s">
        <v>366</v>
      </c>
      <c r="O5" s="370"/>
      <c r="P5" s="371"/>
      <c r="Q5" s="371"/>
      <c r="R5" s="388" t="s">
        <v>136</v>
      </c>
      <c r="S5" s="388"/>
      <c r="T5" s="388"/>
      <c r="U5" s="388"/>
      <c r="V5" s="388" t="s">
        <v>136</v>
      </c>
      <c r="W5" s="388"/>
      <c r="X5" s="340" t="s">
        <v>135</v>
      </c>
      <c r="Y5" s="340" t="s">
        <v>135</v>
      </c>
      <c r="Z5" s="120">
        <f t="shared" ref="Z5:Z20" si="0">ROUNDUP(HOUR(AA5)*60+MINUTE(AA5)+SECOND(AA5)/60,0)</f>
        <v>47</v>
      </c>
      <c r="AA5" s="303" t="str">
        <f t="shared" ref="AA5:AA20" si="1">TEXT((HOUR(AC5)*60+MINUTE(AC5)+IF(SECOND(AC5)&lt;=29,0,1))*60/86400,"hh:mm:ss")</f>
        <v>00:47:00</v>
      </c>
      <c r="AB5" s="120">
        <f t="shared" ref="AB5:AB20" si="2">Z5*60</f>
        <v>2820</v>
      </c>
      <c r="AC5" s="406">
        <v>0.0324305555555556</v>
      </c>
      <c r="AD5" s="407">
        <v>169</v>
      </c>
      <c r="AE5" s="407">
        <v>43</v>
      </c>
      <c r="AF5" s="340" t="s">
        <v>138</v>
      </c>
      <c r="AG5" s="409"/>
      <c r="AH5" s="410"/>
      <c r="AI5" s="411"/>
      <c r="AJ5" s="410"/>
      <c r="AK5" s="410"/>
      <c r="AL5" s="409"/>
      <c r="AM5" s="412"/>
      <c r="AN5" s="412"/>
      <c r="AO5" s="412"/>
      <c r="AP5" s="413"/>
      <c r="AQ5" s="413"/>
      <c r="AR5" s="413"/>
      <c r="AS5" s="413"/>
      <c r="AT5" s="413"/>
      <c r="AU5" s="413"/>
      <c r="AV5" s="413"/>
      <c r="AW5" s="413"/>
      <c r="AX5" s="413"/>
      <c r="AY5" s="413"/>
      <c r="AZ5" s="413"/>
      <c r="BA5" s="413"/>
      <c r="BB5" s="413"/>
      <c r="BC5" s="413"/>
      <c r="BD5" s="413"/>
      <c r="BE5" s="413"/>
      <c r="BF5" s="413"/>
      <c r="BG5" s="413"/>
      <c r="BH5" s="413"/>
      <c r="BI5" s="413"/>
      <c r="BJ5" s="413"/>
      <c r="BK5" s="413"/>
      <c r="BL5" s="413"/>
      <c r="BM5" s="413"/>
      <c r="BN5" s="413"/>
      <c r="BO5" s="413"/>
      <c r="BP5" s="413"/>
      <c r="BQ5" s="413"/>
      <c r="BR5" s="413"/>
      <c r="BS5" s="413"/>
      <c r="BT5" s="413"/>
      <c r="BU5" s="413"/>
      <c r="BV5" s="413"/>
      <c r="BW5" s="413"/>
      <c r="BX5" s="413"/>
      <c r="BY5" s="413"/>
      <c r="BZ5" s="413"/>
      <c r="CA5" s="413"/>
      <c r="CB5" s="413"/>
      <c r="CC5" s="413"/>
      <c r="CD5" s="413"/>
      <c r="CE5" s="413"/>
      <c r="CF5" s="413"/>
      <c r="CG5" s="413"/>
      <c r="CH5" s="413"/>
      <c r="CI5" s="413"/>
      <c r="CJ5" s="413"/>
      <c r="CK5" s="413"/>
      <c r="CL5" s="413"/>
      <c r="CM5" s="413"/>
      <c r="CN5" s="413"/>
      <c r="CO5" s="413"/>
      <c r="CP5" s="413"/>
      <c r="CQ5" s="413"/>
      <c r="CR5" s="413"/>
      <c r="CS5" s="413"/>
      <c r="CT5" s="413"/>
      <c r="CU5" s="413"/>
      <c r="CV5" s="413"/>
      <c r="CW5" s="413"/>
      <c r="CX5" s="413"/>
      <c r="CY5" s="413"/>
      <c r="CZ5" s="413"/>
      <c r="DA5" s="413"/>
      <c r="DB5" s="413"/>
      <c r="DC5" s="413"/>
      <c r="DD5" s="413"/>
      <c r="DE5" s="413"/>
      <c r="DF5" s="413"/>
      <c r="DG5" s="413"/>
      <c r="DH5" s="413"/>
      <c r="DI5" s="413"/>
      <c r="DJ5" s="413"/>
      <c r="DK5" s="413"/>
      <c r="DL5" s="413"/>
      <c r="DM5" s="413"/>
      <c r="DN5" s="413"/>
      <c r="DO5" s="413"/>
      <c r="DP5" s="413"/>
      <c r="DQ5" s="413"/>
      <c r="DR5" s="413"/>
      <c r="DS5" s="413"/>
      <c r="DT5" s="413"/>
      <c r="DU5" s="413"/>
      <c r="DV5" s="413"/>
      <c r="DW5" s="413"/>
      <c r="DX5" s="413"/>
      <c r="DY5" s="413"/>
      <c r="DZ5" s="413"/>
      <c r="EA5" s="413"/>
      <c r="EB5" s="413"/>
      <c r="EC5" s="413"/>
      <c r="ED5" s="413"/>
      <c r="EE5" s="413"/>
      <c r="EF5" s="413"/>
      <c r="EG5" s="413"/>
      <c r="EH5" s="413"/>
      <c r="EI5" s="413"/>
      <c r="EJ5" s="413"/>
      <c r="EK5" s="413"/>
      <c r="EL5" s="413"/>
      <c r="EM5" s="413"/>
      <c r="EN5" s="413"/>
      <c r="EO5" s="413"/>
      <c r="EP5" s="413"/>
      <c r="EQ5" s="413"/>
      <c r="ER5" s="413"/>
      <c r="ES5" s="413"/>
      <c r="ET5" s="413"/>
      <c r="EU5" s="413"/>
      <c r="EV5" s="413"/>
      <c r="EW5" s="413"/>
      <c r="EX5" s="413"/>
      <c r="EY5" s="413"/>
      <c r="EZ5" s="413"/>
      <c r="FA5" s="413"/>
      <c r="FB5" s="413"/>
      <c r="FC5" s="413"/>
      <c r="FD5" s="413"/>
      <c r="FE5" s="413"/>
      <c r="FF5" s="413"/>
      <c r="FG5" s="413"/>
      <c r="FH5" s="413"/>
      <c r="FI5" s="413"/>
      <c r="FJ5" s="413"/>
      <c r="FK5" s="413"/>
      <c r="FL5" s="413"/>
      <c r="FM5" s="413"/>
      <c r="FN5" s="413"/>
      <c r="FO5" s="413"/>
      <c r="FP5" s="413"/>
      <c r="FQ5" s="413"/>
      <c r="FR5" s="413"/>
      <c r="FS5" s="413"/>
      <c r="FT5" s="413"/>
      <c r="FU5" s="413"/>
      <c r="FV5" s="413"/>
      <c r="FW5" s="413"/>
      <c r="FX5" s="413"/>
      <c r="FY5" s="413"/>
      <c r="FZ5" s="413"/>
      <c r="GA5" s="413"/>
      <c r="GB5" s="413"/>
      <c r="GC5" s="413"/>
      <c r="GD5" s="413"/>
      <c r="GE5" s="413"/>
      <c r="GF5" s="413"/>
      <c r="GG5" s="413"/>
      <c r="GH5" s="413"/>
      <c r="GI5" s="413"/>
      <c r="GJ5" s="413"/>
      <c r="GK5" s="413"/>
      <c r="GL5" s="413"/>
      <c r="GM5" s="413"/>
      <c r="GN5" s="413"/>
      <c r="GO5" s="413"/>
      <c r="GP5" s="413"/>
      <c r="GQ5" s="413"/>
      <c r="GR5" s="413"/>
      <c r="GS5" s="413"/>
      <c r="GT5" s="413"/>
      <c r="GU5" s="413"/>
      <c r="GV5" s="413"/>
      <c r="GW5" s="413"/>
      <c r="GX5" s="413"/>
      <c r="GY5" s="413"/>
      <c r="GZ5" s="413"/>
      <c r="HA5" s="413"/>
      <c r="HB5" s="413"/>
      <c r="HC5" s="413"/>
      <c r="HD5" s="413"/>
      <c r="HE5" s="413"/>
      <c r="HF5" s="413"/>
      <c r="HG5" s="413"/>
      <c r="HH5" s="413"/>
      <c r="HI5" s="413"/>
      <c r="HJ5" s="413"/>
      <c r="HK5" s="413"/>
      <c r="HL5" s="413"/>
      <c r="HM5" s="413"/>
      <c r="HN5" s="413"/>
      <c r="HO5" s="413"/>
      <c r="HP5" s="413"/>
      <c r="HQ5" s="413"/>
      <c r="HR5" s="413"/>
      <c r="HS5" s="413"/>
      <c r="HT5" s="413"/>
      <c r="HU5" s="413"/>
      <c r="HV5" s="413"/>
      <c r="HW5" s="413"/>
      <c r="HX5" s="413"/>
      <c r="HY5" s="413"/>
      <c r="HZ5" s="413"/>
      <c r="IA5" s="413"/>
      <c r="IB5" s="413"/>
      <c r="IC5" s="413"/>
      <c r="ID5" s="413"/>
      <c r="IE5" s="413"/>
      <c r="IF5" s="413"/>
      <c r="IG5" s="413"/>
      <c r="IH5" s="413"/>
      <c r="II5" s="413"/>
      <c r="IJ5" s="413"/>
      <c r="IK5" s="413"/>
      <c r="IL5" s="413"/>
      <c r="IM5" s="413"/>
      <c r="IN5" s="413"/>
      <c r="IO5" s="413"/>
      <c r="IP5" s="413"/>
      <c r="IQ5" s="413"/>
      <c r="IR5" s="413"/>
      <c r="IS5" s="413"/>
      <c r="IT5" s="413"/>
      <c r="IU5" s="413"/>
      <c r="IV5" s="413"/>
      <c r="IW5" s="413"/>
      <c r="IX5" s="413"/>
      <c r="IY5" s="413"/>
      <c r="IZ5" s="413"/>
      <c r="JA5" s="413"/>
      <c r="JB5" s="413"/>
      <c r="JC5" s="413"/>
      <c r="JD5" s="413"/>
      <c r="JE5" s="413"/>
      <c r="JF5" s="413"/>
      <c r="JG5" s="413"/>
      <c r="JH5" s="413"/>
      <c r="JI5" s="413"/>
      <c r="JJ5" s="413"/>
      <c r="JK5" s="413"/>
      <c r="JL5" s="413"/>
      <c r="JM5" s="413"/>
      <c r="JN5" s="413"/>
      <c r="JO5" s="413"/>
      <c r="JP5" s="413"/>
      <c r="JQ5" s="413"/>
      <c r="JR5" s="413"/>
      <c r="JS5" s="413"/>
      <c r="JT5" s="413"/>
      <c r="JU5" s="413"/>
      <c r="JV5" s="413"/>
      <c r="JW5" s="413"/>
      <c r="JX5" s="413"/>
      <c r="JY5" s="413"/>
      <c r="JZ5" s="413"/>
      <c r="KA5" s="413"/>
      <c r="KB5" s="413"/>
      <c r="KC5" s="413"/>
      <c r="KD5" s="413"/>
      <c r="KE5" s="413"/>
      <c r="KF5" s="413"/>
      <c r="KG5" s="413"/>
      <c r="KH5" s="413"/>
      <c r="KI5" s="413"/>
      <c r="KJ5" s="413"/>
      <c r="KK5" s="413"/>
      <c r="KL5" s="413"/>
      <c r="KM5" s="413"/>
      <c r="KN5" s="413"/>
      <c r="KO5" s="413"/>
      <c r="KP5" s="413"/>
      <c r="KQ5" s="413"/>
      <c r="KR5" s="413"/>
      <c r="KS5" s="413"/>
      <c r="KT5" s="413"/>
      <c r="KU5" s="413"/>
      <c r="KV5" s="413"/>
      <c r="KW5" s="413"/>
      <c r="KX5" s="413"/>
      <c r="KY5" s="413"/>
      <c r="KZ5" s="413"/>
      <c r="LA5" s="413"/>
      <c r="LB5" s="413"/>
      <c r="LC5" s="413"/>
      <c r="LD5" s="413"/>
      <c r="LE5" s="413"/>
      <c r="LF5" s="413"/>
      <c r="LG5" s="413"/>
      <c r="LH5" s="413"/>
      <c r="LI5" s="413"/>
      <c r="LJ5" s="413"/>
      <c r="LK5" s="413"/>
      <c r="LL5" s="413"/>
      <c r="LM5" s="413"/>
      <c r="LN5" s="413"/>
      <c r="LO5" s="413"/>
      <c r="LP5" s="413"/>
      <c r="LQ5" s="413"/>
      <c r="LR5" s="413"/>
      <c r="LS5" s="413"/>
      <c r="LT5" s="413"/>
      <c r="LU5" s="413"/>
      <c r="LV5" s="413"/>
      <c r="LW5" s="413"/>
      <c r="LX5" s="413"/>
      <c r="LY5" s="413"/>
      <c r="LZ5" s="413"/>
      <c r="MA5" s="413"/>
      <c r="MB5" s="413"/>
      <c r="MC5" s="413"/>
      <c r="MD5" s="413"/>
      <c r="ME5" s="413"/>
      <c r="MF5" s="413"/>
      <c r="MG5" s="413"/>
      <c r="MH5" s="413"/>
      <c r="MI5" s="413"/>
      <c r="MJ5" s="413"/>
      <c r="MK5" s="413"/>
      <c r="ML5" s="413"/>
      <c r="MM5" s="413"/>
      <c r="MN5" s="413"/>
      <c r="MO5" s="413"/>
      <c r="MP5" s="413"/>
      <c r="MQ5" s="413"/>
      <c r="MR5" s="413"/>
      <c r="MS5" s="413"/>
      <c r="MT5" s="413"/>
      <c r="MU5" s="413"/>
      <c r="MV5" s="413"/>
      <c r="MW5" s="413"/>
      <c r="MX5" s="413"/>
      <c r="MY5" s="413"/>
      <c r="MZ5" s="413"/>
      <c r="NA5" s="413"/>
      <c r="NB5" s="413"/>
      <c r="NC5" s="413"/>
      <c r="ND5" s="413"/>
      <c r="NE5" s="413"/>
      <c r="NF5" s="413"/>
      <c r="NG5" s="413"/>
      <c r="NH5" s="413"/>
      <c r="NI5" s="413"/>
      <c r="NJ5" s="413"/>
      <c r="NK5" s="413"/>
      <c r="NL5" s="413"/>
      <c r="NM5" s="413"/>
      <c r="NN5" s="413"/>
      <c r="NO5" s="413"/>
      <c r="NP5" s="413"/>
      <c r="NQ5" s="413"/>
      <c r="NR5" s="413"/>
      <c r="NS5" s="413"/>
      <c r="NT5" s="413"/>
      <c r="NU5" s="413"/>
      <c r="NV5" s="413"/>
      <c r="NW5" s="413"/>
      <c r="NX5" s="413"/>
      <c r="NY5" s="413"/>
      <c r="NZ5" s="413"/>
      <c r="OA5" s="413"/>
      <c r="OB5" s="413"/>
      <c r="OC5" s="413"/>
      <c r="OD5" s="413"/>
      <c r="OE5" s="413"/>
      <c r="OF5" s="413"/>
      <c r="OG5" s="413"/>
      <c r="OH5" s="413"/>
      <c r="OI5" s="413"/>
      <c r="OJ5" s="413"/>
      <c r="OK5" s="413"/>
      <c r="OL5" s="413"/>
      <c r="OM5" s="413"/>
      <c r="ON5" s="413"/>
      <c r="OO5" s="413"/>
      <c r="OP5" s="413"/>
      <c r="OQ5" s="413"/>
      <c r="OR5" s="413"/>
      <c r="OS5" s="413"/>
      <c r="OT5" s="413"/>
      <c r="OU5" s="413"/>
      <c r="OV5" s="413"/>
      <c r="OW5" s="413"/>
      <c r="OX5" s="413"/>
      <c r="OY5" s="413"/>
      <c r="OZ5" s="413"/>
      <c r="PA5" s="413"/>
      <c r="PB5" s="413"/>
      <c r="PC5" s="413"/>
      <c r="PD5" s="413"/>
      <c r="PE5" s="413"/>
      <c r="PF5" s="413"/>
      <c r="PG5" s="413"/>
      <c r="PH5" s="413"/>
      <c r="PI5" s="413"/>
      <c r="PJ5" s="413"/>
      <c r="PK5" s="413"/>
      <c r="PL5" s="413"/>
      <c r="PM5" s="413"/>
      <c r="PN5" s="413"/>
      <c r="PO5" s="413"/>
      <c r="PP5" s="413"/>
      <c r="PQ5" s="413"/>
      <c r="PR5" s="413"/>
      <c r="PS5" s="413"/>
      <c r="PT5" s="413"/>
      <c r="PU5" s="413"/>
      <c r="PV5" s="413"/>
      <c r="PW5" s="413"/>
      <c r="PX5" s="413"/>
      <c r="PY5" s="413"/>
      <c r="PZ5" s="413"/>
      <c r="QA5" s="413"/>
      <c r="QB5" s="413"/>
      <c r="QC5" s="413"/>
      <c r="QD5" s="413"/>
      <c r="QE5" s="413"/>
      <c r="QF5" s="413"/>
      <c r="QG5" s="413"/>
      <c r="QH5" s="413"/>
      <c r="QI5" s="413"/>
      <c r="QJ5" s="413"/>
      <c r="QK5" s="413"/>
      <c r="QL5" s="413"/>
      <c r="QM5" s="413"/>
      <c r="QN5" s="413"/>
      <c r="QO5" s="413"/>
      <c r="QP5" s="413"/>
      <c r="QQ5" s="413"/>
      <c r="QR5" s="413"/>
      <c r="QS5" s="413"/>
      <c r="QT5" s="413"/>
      <c r="QU5" s="413"/>
      <c r="QV5" s="413"/>
      <c r="QW5" s="413"/>
      <c r="QX5" s="413"/>
      <c r="QY5" s="413"/>
      <c r="QZ5" s="413"/>
      <c r="RA5" s="413"/>
      <c r="RB5" s="413"/>
      <c r="RC5" s="413"/>
      <c r="RD5" s="413"/>
      <c r="RE5" s="413"/>
      <c r="RF5" s="413"/>
      <c r="RG5" s="413"/>
      <c r="RH5" s="413"/>
      <c r="RI5" s="413"/>
      <c r="RJ5" s="413"/>
      <c r="RK5" s="413"/>
      <c r="RL5" s="413"/>
      <c r="RM5" s="413"/>
      <c r="RN5" s="413"/>
      <c r="RO5" s="413"/>
      <c r="RP5" s="413"/>
      <c r="RQ5" s="413"/>
      <c r="RR5" s="413"/>
      <c r="RS5" s="413"/>
      <c r="RT5" s="413"/>
      <c r="RU5" s="413"/>
      <c r="RV5" s="413"/>
      <c r="RW5" s="413"/>
      <c r="RX5" s="413"/>
      <c r="RY5" s="413"/>
      <c r="RZ5" s="413"/>
      <c r="SA5" s="413"/>
      <c r="SB5" s="413"/>
      <c r="SC5" s="413"/>
      <c r="SD5" s="413"/>
      <c r="SE5" s="413"/>
      <c r="SF5" s="413"/>
      <c r="SG5" s="413"/>
      <c r="SH5" s="413"/>
      <c r="SI5" s="413"/>
      <c r="SJ5" s="413"/>
      <c r="SK5" s="413"/>
      <c r="SL5" s="413"/>
      <c r="SM5" s="413"/>
      <c r="SN5" s="413"/>
      <c r="SO5" s="413"/>
      <c r="SP5" s="413"/>
      <c r="SQ5" s="413"/>
      <c r="SR5" s="413"/>
      <c r="SS5" s="413"/>
      <c r="ST5" s="413"/>
      <c r="SU5" s="413"/>
      <c r="SV5" s="413"/>
      <c r="SW5" s="413"/>
      <c r="SX5" s="413"/>
      <c r="SY5" s="413"/>
      <c r="SZ5" s="413"/>
      <c r="TA5" s="413"/>
      <c r="TB5" s="413"/>
      <c r="TC5" s="413"/>
      <c r="TD5" s="413"/>
      <c r="TE5" s="413"/>
      <c r="TF5" s="413"/>
      <c r="TG5" s="413"/>
      <c r="TH5" s="413"/>
      <c r="TI5" s="413"/>
      <c r="TJ5" s="413"/>
      <c r="TK5" s="413"/>
      <c r="TL5" s="413"/>
      <c r="TM5" s="413"/>
      <c r="TN5" s="413"/>
      <c r="TO5" s="413"/>
      <c r="TP5" s="413"/>
      <c r="TQ5" s="413"/>
      <c r="TR5" s="413"/>
      <c r="TS5" s="413"/>
      <c r="TT5" s="413"/>
      <c r="TU5" s="413"/>
      <c r="TV5" s="413"/>
      <c r="TW5" s="413"/>
      <c r="TX5" s="413"/>
      <c r="TY5" s="413"/>
      <c r="TZ5" s="413"/>
      <c r="UA5" s="413"/>
      <c r="UB5" s="413"/>
      <c r="UC5" s="413"/>
      <c r="UD5" s="413"/>
      <c r="UE5" s="413"/>
      <c r="UF5" s="413"/>
      <c r="UG5" s="413"/>
      <c r="UH5" s="413"/>
      <c r="UI5" s="413"/>
      <c r="UJ5" s="413"/>
      <c r="UK5" s="413"/>
      <c r="UL5" s="413"/>
      <c r="UM5" s="413"/>
      <c r="UN5" s="413"/>
      <c r="UO5" s="413"/>
      <c r="UP5" s="413"/>
      <c r="UQ5" s="413"/>
      <c r="UR5" s="413"/>
      <c r="US5" s="413"/>
      <c r="UT5" s="413"/>
      <c r="UU5" s="413"/>
      <c r="UV5" s="413"/>
      <c r="UW5" s="413"/>
      <c r="UX5" s="413"/>
      <c r="UY5" s="413"/>
      <c r="UZ5" s="413"/>
      <c r="VA5" s="413"/>
      <c r="VB5" s="413"/>
      <c r="VC5" s="413"/>
      <c r="VD5" s="413"/>
      <c r="VE5" s="413"/>
      <c r="VF5" s="413"/>
      <c r="VG5" s="413"/>
      <c r="VH5" s="413"/>
      <c r="VI5" s="413"/>
      <c r="VJ5" s="413"/>
      <c r="VK5" s="413"/>
      <c r="VL5" s="413"/>
      <c r="VM5" s="413"/>
      <c r="VN5" s="413"/>
      <c r="VO5" s="413"/>
      <c r="VP5" s="413"/>
      <c r="VQ5" s="413"/>
      <c r="VR5" s="413"/>
      <c r="VS5" s="413"/>
      <c r="VT5" s="413"/>
      <c r="VU5" s="413"/>
      <c r="VV5" s="413"/>
      <c r="VW5" s="413"/>
      <c r="VX5" s="413"/>
      <c r="VY5" s="413"/>
      <c r="VZ5" s="413"/>
      <c r="WA5" s="413"/>
      <c r="WB5" s="413"/>
      <c r="WC5" s="413"/>
      <c r="WD5" s="413"/>
      <c r="WE5" s="413"/>
      <c r="WF5" s="413"/>
      <c r="WG5" s="413"/>
      <c r="WH5" s="413"/>
      <c r="WI5" s="413"/>
      <c r="WJ5" s="413"/>
      <c r="WK5" s="413"/>
      <c r="WL5" s="413"/>
      <c r="WM5" s="413"/>
      <c r="WN5" s="413"/>
      <c r="WO5" s="413"/>
      <c r="WP5" s="413"/>
      <c r="WQ5" s="413"/>
      <c r="WR5" s="413"/>
      <c r="WS5" s="413"/>
      <c r="WT5" s="413"/>
      <c r="WU5" s="413"/>
      <c r="WV5" s="413"/>
      <c r="WW5" s="413"/>
      <c r="WX5" s="413"/>
      <c r="WY5" s="413"/>
      <c r="WZ5" s="413"/>
      <c r="XA5" s="413"/>
      <c r="XB5" s="413"/>
      <c r="XC5" s="413"/>
      <c r="XD5" s="413"/>
      <c r="XE5" s="413"/>
      <c r="XF5" s="413"/>
      <c r="XG5" s="413"/>
      <c r="XH5" s="413"/>
      <c r="XI5" s="413"/>
      <c r="XJ5" s="413"/>
      <c r="XK5" s="413"/>
      <c r="XL5" s="413"/>
      <c r="XM5" s="413"/>
      <c r="XN5" s="413"/>
      <c r="XO5" s="413"/>
      <c r="XP5" s="413"/>
      <c r="XQ5" s="413"/>
      <c r="XR5" s="413"/>
      <c r="XS5" s="413"/>
      <c r="XT5" s="413"/>
      <c r="XU5" s="413"/>
      <c r="XV5" s="413"/>
      <c r="XW5" s="413"/>
      <c r="XX5" s="413"/>
      <c r="XY5" s="413"/>
      <c r="XZ5" s="413"/>
      <c r="YA5" s="413"/>
      <c r="YB5" s="413"/>
      <c r="YC5" s="413"/>
      <c r="YD5" s="413"/>
      <c r="YE5" s="413"/>
      <c r="YF5" s="413"/>
      <c r="YG5" s="413"/>
      <c r="YH5" s="413"/>
      <c r="YI5" s="413"/>
      <c r="YJ5" s="413"/>
      <c r="YK5" s="413"/>
      <c r="YL5" s="413"/>
      <c r="YM5" s="413"/>
      <c r="YN5" s="413"/>
      <c r="YO5" s="413"/>
      <c r="YP5" s="413"/>
      <c r="YQ5" s="413"/>
      <c r="YR5" s="413"/>
      <c r="YS5" s="413"/>
      <c r="YT5" s="413"/>
      <c r="YU5" s="413"/>
      <c r="YV5" s="413"/>
      <c r="YW5" s="413"/>
      <c r="YX5" s="413"/>
      <c r="YY5" s="413"/>
      <c r="YZ5" s="413"/>
      <c r="ZA5" s="413"/>
      <c r="ZB5" s="413"/>
      <c r="ZC5" s="413"/>
      <c r="ZD5" s="413"/>
      <c r="ZE5" s="413"/>
      <c r="ZF5" s="413"/>
      <c r="ZG5" s="413"/>
      <c r="ZH5" s="413"/>
      <c r="ZI5" s="413"/>
      <c r="ZJ5" s="413"/>
      <c r="ZK5" s="413"/>
      <c r="ZL5" s="413"/>
      <c r="ZM5" s="413"/>
      <c r="ZN5" s="413"/>
      <c r="ZO5" s="413"/>
      <c r="ZP5" s="413"/>
      <c r="ZQ5" s="413"/>
      <c r="ZR5" s="413"/>
      <c r="ZS5" s="413"/>
      <c r="ZT5" s="413"/>
      <c r="ZU5" s="413"/>
      <c r="ZV5" s="413"/>
      <c r="ZW5" s="413"/>
      <c r="ZX5" s="413"/>
      <c r="ZY5" s="413"/>
      <c r="ZZ5" s="413"/>
      <c r="AAA5" s="413"/>
      <c r="AAB5" s="413"/>
      <c r="AAC5" s="413"/>
      <c r="AAD5" s="413"/>
      <c r="AAE5" s="413"/>
      <c r="AAF5" s="413"/>
      <c r="AAG5" s="413"/>
      <c r="AAH5" s="413"/>
      <c r="AAI5" s="413"/>
      <c r="AAJ5" s="413"/>
      <c r="AAK5" s="413"/>
      <c r="AAL5" s="413"/>
      <c r="AAM5" s="413"/>
      <c r="AAN5" s="413"/>
      <c r="AAO5" s="413"/>
      <c r="AAP5" s="413"/>
      <c r="AAQ5" s="413"/>
      <c r="AAR5" s="413"/>
      <c r="AAS5" s="413"/>
      <c r="AAT5" s="413"/>
      <c r="AAU5" s="413"/>
      <c r="AAV5" s="413"/>
      <c r="AAW5" s="413"/>
      <c r="AAX5" s="413"/>
      <c r="AAY5" s="413"/>
      <c r="AAZ5" s="413"/>
      <c r="ABA5" s="413"/>
      <c r="ABB5" s="413"/>
      <c r="ABC5" s="413"/>
      <c r="ABD5" s="413"/>
      <c r="ABE5" s="413"/>
      <c r="ABF5" s="413"/>
      <c r="ABG5" s="413"/>
      <c r="ABH5" s="413"/>
      <c r="ABI5" s="413"/>
      <c r="ABJ5" s="413"/>
      <c r="ABK5" s="413"/>
      <c r="ABL5" s="413"/>
      <c r="ABM5" s="413"/>
      <c r="ABN5" s="413"/>
      <c r="ABO5" s="413"/>
      <c r="ABP5" s="413"/>
      <c r="ABQ5" s="413"/>
      <c r="ABR5" s="413"/>
      <c r="ABS5" s="413"/>
      <c r="ABT5" s="413"/>
      <c r="ABU5" s="413"/>
      <c r="ABV5" s="413"/>
      <c r="ABW5" s="413"/>
      <c r="ABX5" s="413"/>
      <c r="ABY5" s="413"/>
      <c r="ABZ5" s="413"/>
      <c r="ACA5" s="413"/>
      <c r="ACB5" s="413"/>
      <c r="ACC5" s="413"/>
      <c r="ACD5" s="413"/>
      <c r="ACE5" s="413"/>
      <c r="ACF5" s="413"/>
      <c r="ACG5" s="413"/>
      <c r="ACH5" s="413"/>
      <c r="ACI5" s="413"/>
      <c r="ACJ5" s="413"/>
      <c r="ACK5" s="413"/>
      <c r="ACL5" s="413"/>
      <c r="ACM5" s="413"/>
      <c r="ACN5" s="413"/>
      <c r="ACO5" s="413"/>
      <c r="ACP5" s="413"/>
      <c r="ACQ5" s="413"/>
      <c r="ACR5" s="413"/>
      <c r="ACS5" s="413"/>
      <c r="ACT5" s="413"/>
      <c r="ACU5" s="413"/>
      <c r="ACV5" s="413"/>
      <c r="ACW5" s="413"/>
      <c r="ACX5" s="413"/>
      <c r="ACY5" s="413"/>
      <c r="ACZ5" s="413"/>
      <c r="ADA5" s="413"/>
      <c r="ADB5" s="413"/>
      <c r="ADC5" s="413"/>
      <c r="ADD5" s="413"/>
      <c r="ADE5" s="413"/>
      <c r="ADF5" s="413"/>
      <c r="ADG5" s="413"/>
      <c r="ADH5" s="413"/>
      <c r="ADI5" s="413"/>
      <c r="ADJ5" s="413"/>
      <c r="ADK5" s="413"/>
      <c r="ADL5" s="413"/>
      <c r="ADM5" s="413"/>
      <c r="ADN5" s="413"/>
      <c r="ADO5" s="413"/>
      <c r="ADP5" s="413"/>
      <c r="ADQ5" s="413"/>
      <c r="ADR5" s="413"/>
      <c r="ADS5" s="413"/>
      <c r="ADT5" s="413"/>
      <c r="ADU5" s="413"/>
      <c r="ADV5" s="413"/>
      <c r="ADW5" s="413"/>
      <c r="ADX5" s="413"/>
      <c r="ADY5" s="413"/>
      <c r="ADZ5" s="413"/>
      <c r="AEA5" s="413"/>
      <c r="AEB5" s="413"/>
      <c r="AEC5" s="413"/>
      <c r="AED5" s="413"/>
      <c r="AEE5" s="413"/>
      <c r="AEF5" s="413"/>
      <c r="AEG5" s="413"/>
      <c r="AEH5" s="413"/>
      <c r="AEI5" s="413"/>
      <c r="AEJ5" s="413"/>
      <c r="AEK5" s="413"/>
      <c r="AEL5" s="413"/>
      <c r="AEM5" s="413"/>
      <c r="AEN5" s="413"/>
      <c r="AEO5" s="413"/>
      <c r="AEP5" s="413"/>
      <c r="AEQ5" s="413"/>
      <c r="AER5" s="413"/>
      <c r="AES5" s="413"/>
      <c r="AET5" s="413"/>
      <c r="AEU5" s="413"/>
      <c r="AEV5" s="413"/>
      <c r="AEW5" s="413"/>
      <c r="AEX5" s="413"/>
      <c r="AEY5" s="413"/>
      <c r="AEZ5" s="413"/>
      <c r="AFA5" s="413"/>
      <c r="AFB5" s="413"/>
      <c r="AFC5" s="413"/>
      <c r="AFD5" s="413"/>
      <c r="AFE5" s="413"/>
      <c r="AFF5" s="413"/>
      <c r="AFG5" s="413"/>
      <c r="AFH5" s="413"/>
      <c r="AFI5" s="413"/>
      <c r="AFJ5" s="413"/>
      <c r="AFK5" s="413"/>
      <c r="AFL5" s="413"/>
      <c r="AFM5" s="413"/>
      <c r="AFN5" s="413"/>
      <c r="AFO5" s="413"/>
      <c r="AFP5" s="413"/>
      <c r="AFQ5" s="413"/>
      <c r="AFR5" s="413"/>
      <c r="AFS5" s="413"/>
      <c r="AFT5" s="413"/>
      <c r="AFU5" s="413"/>
      <c r="AFV5" s="413"/>
      <c r="AFW5" s="413"/>
      <c r="AFX5" s="413"/>
      <c r="AFY5" s="413"/>
      <c r="AFZ5" s="413"/>
      <c r="AGA5" s="413"/>
      <c r="AGB5" s="413"/>
      <c r="AGC5" s="413"/>
      <c r="AGD5" s="413"/>
      <c r="AGE5" s="413"/>
      <c r="AGF5" s="413"/>
      <c r="AGG5" s="413"/>
      <c r="AGH5" s="413"/>
      <c r="AGI5" s="413"/>
      <c r="AGJ5" s="413"/>
      <c r="AGK5" s="413"/>
      <c r="AGL5" s="413"/>
      <c r="AGM5" s="413"/>
      <c r="AGN5" s="413"/>
      <c r="AGO5" s="413"/>
      <c r="AGP5" s="413"/>
      <c r="AGQ5" s="413"/>
      <c r="AGR5" s="413"/>
      <c r="AGS5" s="413"/>
      <c r="AGT5" s="413"/>
      <c r="AGU5" s="413"/>
      <c r="AGV5" s="413"/>
      <c r="AGW5" s="413"/>
      <c r="AGX5" s="413"/>
      <c r="AGY5" s="413"/>
      <c r="AGZ5" s="413"/>
      <c r="AHA5" s="413"/>
      <c r="AHB5" s="413"/>
      <c r="AHC5" s="414"/>
      <c r="AHD5" s="414"/>
      <c r="AHE5" s="414"/>
      <c r="AHF5" s="414"/>
      <c r="AHG5" s="414"/>
      <c r="AHH5" s="415"/>
    </row>
    <row r="6" s="335" customFormat="1" ht="23" customHeight="1" spans="1:892">
      <c r="A6" s="340">
        <v>2</v>
      </c>
      <c r="B6" s="341"/>
      <c r="C6" s="516" t="s">
        <v>124</v>
      </c>
      <c r="D6" s="346"/>
      <c r="E6" s="85"/>
      <c r="F6" s="81">
        <v>2</v>
      </c>
      <c r="G6" s="344" t="s">
        <v>367</v>
      </c>
      <c r="H6" s="345" t="s">
        <v>368</v>
      </c>
      <c r="I6" s="366" t="s">
        <v>128</v>
      </c>
      <c r="J6" s="366" t="s">
        <v>128</v>
      </c>
      <c r="K6" s="367"/>
      <c r="L6" s="368"/>
      <c r="M6" s="368"/>
      <c r="N6" s="369" t="s">
        <v>369</v>
      </c>
      <c r="O6" s="370"/>
      <c r="P6" s="371"/>
      <c r="Q6" s="371"/>
      <c r="R6" s="388" t="s">
        <v>136</v>
      </c>
      <c r="S6" s="388"/>
      <c r="T6" s="388"/>
      <c r="U6" s="388"/>
      <c r="V6" s="388" t="s">
        <v>136</v>
      </c>
      <c r="W6" s="388"/>
      <c r="X6" s="340" t="s">
        <v>135</v>
      </c>
      <c r="Y6" s="340" t="s">
        <v>135</v>
      </c>
      <c r="Z6" s="120">
        <f t="shared" si="0"/>
        <v>54</v>
      </c>
      <c r="AA6" s="303" t="str">
        <f t="shared" si="1"/>
        <v>00:54:00</v>
      </c>
      <c r="AB6" s="120">
        <f t="shared" si="2"/>
        <v>3240</v>
      </c>
      <c r="AC6" s="406">
        <v>0.0374652777777778</v>
      </c>
      <c r="AD6" s="407">
        <v>169</v>
      </c>
      <c r="AE6" s="407">
        <v>43</v>
      </c>
      <c r="AF6" s="340" t="s">
        <v>138</v>
      </c>
      <c r="AG6" s="409"/>
      <c r="AH6" s="410"/>
      <c r="AI6" s="411"/>
      <c r="AJ6" s="410"/>
      <c r="AK6" s="410"/>
      <c r="AL6" s="409"/>
      <c r="AM6" s="412"/>
      <c r="AN6" s="412"/>
      <c r="AO6" s="412"/>
      <c r="AP6" s="413"/>
      <c r="AQ6" s="413"/>
      <c r="AR6" s="413"/>
      <c r="AS6" s="413"/>
      <c r="AT6" s="413"/>
      <c r="AU6" s="413"/>
      <c r="AV6" s="413"/>
      <c r="AW6" s="413"/>
      <c r="AX6" s="413"/>
      <c r="AY6" s="413"/>
      <c r="AZ6" s="413"/>
      <c r="BA6" s="413"/>
      <c r="BB6" s="413"/>
      <c r="BC6" s="413"/>
      <c r="BD6" s="413"/>
      <c r="BE6" s="413"/>
      <c r="BF6" s="413"/>
      <c r="BG6" s="413"/>
      <c r="BH6" s="413"/>
      <c r="BI6" s="413"/>
      <c r="BJ6" s="413"/>
      <c r="BK6" s="413"/>
      <c r="BL6" s="413"/>
      <c r="BM6" s="413"/>
      <c r="BN6" s="413"/>
      <c r="BO6" s="413"/>
      <c r="BP6" s="413"/>
      <c r="BQ6" s="413"/>
      <c r="BR6" s="413"/>
      <c r="BS6" s="413"/>
      <c r="BT6" s="413"/>
      <c r="BU6" s="413"/>
      <c r="BV6" s="413"/>
      <c r="BW6" s="413"/>
      <c r="BX6" s="413"/>
      <c r="BY6" s="413"/>
      <c r="BZ6" s="413"/>
      <c r="CA6" s="413"/>
      <c r="CB6" s="413"/>
      <c r="CC6" s="413"/>
      <c r="CD6" s="413"/>
      <c r="CE6" s="413"/>
      <c r="CF6" s="413"/>
      <c r="CG6" s="413"/>
      <c r="CH6" s="413"/>
      <c r="CI6" s="413"/>
      <c r="CJ6" s="413"/>
      <c r="CK6" s="413"/>
      <c r="CL6" s="413"/>
      <c r="CM6" s="413"/>
      <c r="CN6" s="413"/>
      <c r="CO6" s="413"/>
      <c r="CP6" s="413"/>
      <c r="CQ6" s="413"/>
      <c r="CR6" s="413"/>
      <c r="CS6" s="413"/>
      <c r="CT6" s="413"/>
      <c r="CU6" s="413"/>
      <c r="CV6" s="413"/>
      <c r="CW6" s="413"/>
      <c r="CX6" s="413"/>
      <c r="CY6" s="413"/>
      <c r="CZ6" s="413"/>
      <c r="DA6" s="413"/>
      <c r="DB6" s="413"/>
      <c r="DC6" s="413"/>
      <c r="DD6" s="413"/>
      <c r="DE6" s="413"/>
      <c r="DF6" s="413"/>
      <c r="DG6" s="413"/>
      <c r="DH6" s="413"/>
      <c r="DI6" s="413"/>
      <c r="DJ6" s="413"/>
      <c r="DK6" s="413"/>
      <c r="DL6" s="413"/>
      <c r="DM6" s="413"/>
      <c r="DN6" s="413"/>
      <c r="DO6" s="413"/>
      <c r="DP6" s="413"/>
      <c r="DQ6" s="413"/>
      <c r="DR6" s="413"/>
      <c r="DS6" s="413"/>
      <c r="DT6" s="413"/>
      <c r="DU6" s="413"/>
      <c r="DV6" s="413"/>
      <c r="DW6" s="413"/>
      <c r="DX6" s="413"/>
      <c r="DY6" s="413"/>
      <c r="DZ6" s="413"/>
      <c r="EA6" s="413"/>
      <c r="EB6" s="413"/>
      <c r="EC6" s="413"/>
      <c r="ED6" s="413"/>
      <c r="EE6" s="413"/>
      <c r="EF6" s="413"/>
      <c r="EG6" s="413"/>
      <c r="EH6" s="413"/>
      <c r="EI6" s="413"/>
      <c r="EJ6" s="413"/>
      <c r="EK6" s="413"/>
      <c r="EL6" s="413"/>
      <c r="EM6" s="413"/>
      <c r="EN6" s="413"/>
      <c r="EO6" s="413"/>
      <c r="EP6" s="413"/>
      <c r="EQ6" s="413"/>
      <c r="ER6" s="413"/>
      <c r="ES6" s="413"/>
      <c r="ET6" s="413"/>
      <c r="EU6" s="413"/>
      <c r="EV6" s="413"/>
      <c r="EW6" s="413"/>
      <c r="EX6" s="413"/>
      <c r="EY6" s="413"/>
      <c r="EZ6" s="413"/>
      <c r="FA6" s="413"/>
      <c r="FB6" s="413"/>
      <c r="FC6" s="413"/>
      <c r="FD6" s="413"/>
      <c r="FE6" s="413"/>
      <c r="FF6" s="413"/>
      <c r="FG6" s="413"/>
      <c r="FH6" s="413"/>
      <c r="FI6" s="413"/>
      <c r="FJ6" s="413"/>
      <c r="FK6" s="413"/>
      <c r="FL6" s="413"/>
      <c r="FM6" s="413"/>
      <c r="FN6" s="413"/>
      <c r="FO6" s="413"/>
      <c r="FP6" s="413"/>
      <c r="FQ6" s="413"/>
      <c r="FR6" s="413"/>
      <c r="FS6" s="413"/>
      <c r="FT6" s="413"/>
      <c r="FU6" s="413"/>
      <c r="FV6" s="413"/>
      <c r="FW6" s="413"/>
      <c r="FX6" s="413"/>
      <c r="FY6" s="413"/>
      <c r="FZ6" s="413"/>
      <c r="GA6" s="413"/>
      <c r="GB6" s="413"/>
      <c r="GC6" s="413"/>
      <c r="GD6" s="413"/>
      <c r="GE6" s="413"/>
      <c r="GF6" s="413"/>
      <c r="GG6" s="413"/>
      <c r="GH6" s="413"/>
      <c r="GI6" s="413"/>
      <c r="GJ6" s="413"/>
      <c r="GK6" s="413"/>
      <c r="GL6" s="413"/>
      <c r="GM6" s="413"/>
      <c r="GN6" s="413"/>
      <c r="GO6" s="413"/>
      <c r="GP6" s="413"/>
      <c r="GQ6" s="413"/>
      <c r="GR6" s="413"/>
      <c r="GS6" s="413"/>
      <c r="GT6" s="413"/>
      <c r="GU6" s="413"/>
      <c r="GV6" s="413"/>
      <c r="GW6" s="413"/>
      <c r="GX6" s="413"/>
      <c r="GY6" s="413"/>
      <c r="GZ6" s="413"/>
      <c r="HA6" s="413"/>
      <c r="HB6" s="413"/>
      <c r="HC6" s="413"/>
      <c r="HD6" s="413"/>
      <c r="HE6" s="413"/>
      <c r="HF6" s="413"/>
      <c r="HG6" s="413"/>
      <c r="HH6" s="413"/>
      <c r="HI6" s="413"/>
      <c r="HJ6" s="413"/>
      <c r="HK6" s="413"/>
      <c r="HL6" s="413"/>
      <c r="HM6" s="413"/>
      <c r="HN6" s="413"/>
      <c r="HO6" s="413"/>
      <c r="HP6" s="413"/>
      <c r="HQ6" s="413"/>
      <c r="HR6" s="413"/>
      <c r="HS6" s="413"/>
      <c r="HT6" s="413"/>
      <c r="HU6" s="413"/>
      <c r="HV6" s="413"/>
      <c r="HW6" s="413"/>
      <c r="HX6" s="413"/>
      <c r="HY6" s="413"/>
      <c r="HZ6" s="413"/>
      <c r="IA6" s="413"/>
      <c r="IB6" s="413"/>
      <c r="IC6" s="413"/>
      <c r="ID6" s="413"/>
      <c r="IE6" s="413"/>
      <c r="IF6" s="413"/>
      <c r="IG6" s="413"/>
      <c r="IH6" s="413"/>
      <c r="II6" s="413"/>
      <c r="IJ6" s="413"/>
      <c r="IK6" s="413"/>
      <c r="IL6" s="413"/>
      <c r="IM6" s="413"/>
      <c r="IN6" s="413"/>
      <c r="IO6" s="413"/>
      <c r="IP6" s="413"/>
      <c r="IQ6" s="413"/>
      <c r="IR6" s="413"/>
      <c r="IS6" s="413"/>
      <c r="IT6" s="413"/>
      <c r="IU6" s="413"/>
      <c r="IV6" s="413"/>
      <c r="IW6" s="413"/>
      <c r="IX6" s="413"/>
      <c r="IY6" s="413"/>
      <c r="IZ6" s="413"/>
      <c r="JA6" s="413"/>
      <c r="JB6" s="413"/>
      <c r="JC6" s="413"/>
      <c r="JD6" s="413"/>
      <c r="JE6" s="413"/>
      <c r="JF6" s="413"/>
      <c r="JG6" s="413"/>
      <c r="JH6" s="413"/>
      <c r="JI6" s="413"/>
      <c r="JJ6" s="413"/>
      <c r="JK6" s="413"/>
      <c r="JL6" s="413"/>
      <c r="JM6" s="413"/>
      <c r="JN6" s="413"/>
      <c r="JO6" s="413"/>
      <c r="JP6" s="413"/>
      <c r="JQ6" s="413"/>
      <c r="JR6" s="413"/>
      <c r="JS6" s="413"/>
      <c r="JT6" s="413"/>
      <c r="JU6" s="413"/>
      <c r="JV6" s="413"/>
      <c r="JW6" s="413"/>
      <c r="JX6" s="413"/>
      <c r="JY6" s="413"/>
      <c r="JZ6" s="413"/>
      <c r="KA6" s="413"/>
      <c r="KB6" s="413"/>
      <c r="KC6" s="413"/>
      <c r="KD6" s="413"/>
      <c r="KE6" s="413"/>
      <c r="KF6" s="413"/>
      <c r="KG6" s="413"/>
      <c r="KH6" s="413"/>
      <c r="KI6" s="413"/>
      <c r="KJ6" s="413"/>
      <c r="KK6" s="413"/>
      <c r="KL6" s="413"/>
      <c r="KM6" s="413"/>
      <c r="KN6" s="413"/>
      <c r="KO6" s="413"/>
      <c r="KP6" s="413"/>
      <c r="KQ6" s="413"/>
      <c r="KR6" s="413"/>
      <c r="KS6" s="413"/>
      <c r="KT6" s="413"/>
      <c r="KU6" s="413"/>
      <c r="KV6" s="413"/>
      <c r="KW6" s="413"/>
      <c r="KX6" s="413"/>
      <c r="KY6" s="413"/>
      <c r="KZ6" s="413"/>
      <c r="LA6" s="413"/>
      <c r="LB6" s="413"/>
      <c r="LC6" s="413"/>
      <c r="LD6" s="413"/>
      <c r="LE6" s="413"/>
      <c r="LF6" s="413"/>
      <c r="LG6" s="413"/>
      <c r="LH6" s="413"/>
      <c r="LI6" s="413"/>
      <c r="LJ6" s="413"/>
      <c r="LK6" s="413"/>
      <c r="LL6" s="413"/>
      <c r="LM6" s="413"/>
      <c r="LN6" s="413"/>
      <c r="LO6" s="413"/>
      <c r="LP6" s="413"/>
      <c r="LQ6" s="413"/>
      <c r="LR6" s="413"/>
      <c r="LS6" s="413"/>
      <c r="LT6" s="413"/>
      <c r="LU6" s="413"/>
      <c r="LV6" s="413"/>
      <c r="LW6" s="413"/>
      <c r="LX6" s="413"/>
      <c r="LY6" s="413"/>
      <c r="LZ6" s="413"/>
      <c r="MA6" s="413"/>
      <c r="MB6" s="413"/>
      <c r="MC6" s="413"/>
      <c r="MD6" s="413"/>
      <c r="ME6" s="413"/>
      <c r="MF6" s="413"/>
      <c r="MG6" s="413"/>
      <c r="MH6" s="413"/>
      <c r="MI6" s="413"/>
      <c r="MJ6" s="413"/>
      <c r="MK6" s="413"/>
      <c r="ML6" s="413"/>
      <c r="MM6" s="413"/>
      <c r="MN6" s="413"/>
      <c r="MO6" s="413"/>
      <c r="MP6" s="413"/>
      <c r="MQ6" s="413"/>
      <c r="MR6" s="413"/>
      <c r="MS6" s="413"/>
      <c r="MT6" s="413"/>
      <c r="MU6" s="413"/>
      <c r="MV6" s="413"/>
      <c r="MW6" s="413"/>
      <c r="MX6" s="413"/>
      <c r="MY6" s="413"/>
      <c r="MZ6" s="413"/>
      <c r="NA6" s="413"/>
      <c r="NB6" s="413"/>
      <c r="NC6" s="413"/>
      <c r="ND6" s="413"/>
      <c r="NE6" s="413"/>
      <c r="NF6" s="413"/>
      <c r="NG6" s="413"/>
      <c r="NH6" s="413"/>
      <c r="NI6" s="413"/>
      <c r="NJ6" s="413"/>
      <c r="NK6" s="413"/>
      <c r="NL6" s="413"/>
      <c r="NM6" s="413"/>
      <c r="NN6" s="413"/>
      <c r="NO6" s="413"/>
      <c r="NP6" s="413"/>
      <c r="NQ6" s="413"/>
      <c r="NR6" s="413"/>
      <c r="NS6" s="413"/>
      <c r="NT6" s="413"/>
      <c r="NU6" s="413"/>
      <c r="NV6" s="413"/>
      <c r="NW6" s="413"/>
      <c r="NX6" s="413"/>
      <c r="NY6" s="413"/>
      <c r="NZ6" s="413"/>
      <c r="OA6" s="413"/>
      <c r="OB6" s="413"/>
      <c r="OC6" s="413"/>
      <c r="OD6" s="413"/>
      <c r="OE6" s="413"/>
      <c r="OF6" s="413"/>
      <c r="OG6" s="413"/>
      <c r="OH6" s="413"/>
      <c r="OI6" s="413"/>
      <c r="OJ6" s="413"/>
      <c r="OK6" s="413"/>
      <c r="OL6" s="413"/>
      <c r="OM6" s="413"/>
      <c r="ON6" s="413"/>
      <c r="OO6" s="413"/>
      <c r="OP6" s="413"/>
      <c r="OQ6" s="413"/>
      <c r="OR6" s="413"/>
      <c r="OS6" s="413"/>
      <c r="OT6" s="413"/>
      <c r="OU6" s="413"/>
      <c r="OV6" s="413"/>
      <c r="OW6" s="413"/>
      <c r="OX6" s="413"/>
      <c r="OY6" s="413"/>
      <c r="OZ6" s="413"/>
      <c r="PA6" s="413"/>
      <c r="PB6" s="413"/>
      <c r="PC6" s="413"/>
      <c r="PD6" s="413"/>
      <c r="PE6" s="413"/>
      <c r="PF6" s="413"/>
      <c r="PG6" s="413"/>
      <c r="PH6" s="413"/>
      <c r="PI6" s="413"/>
      <c r="PJ6" s="413"/>
      <c r="PK6" s="413"/>
      <c r="PL6" s="413"/>
      <c r="PM6" s="413"/>
      <c r="PN6" s="413"/>
      <c r="PO6" s="413"/>
      <c r="PP6" s="413"/>
      <c r="PQ6" s="413"/>
      <c r="PR6" s="413"/>
      <c r="PS6" s="413"/>
      <c r="PT6" s="413"/>
      <c r="PU6" s="413"/>
      <c r="PV6" s="413"/>
      <c r="PW6" s="413"/>
      <c r="PX6" s="413"/>
      <c r="PY6" s="413"/>
      <c r="PZ6" s="413"/>
      <c r="QA6" s="413"/>
      <c r="QB6" s="413"/>
      <c r="QC6" s="413"/>
      <c r="QD6" s="413"/>
      <c r="QE6" s="413"/>
      <c r="QF6" s="413"/>
      <c r="QG6" s="413"/>
      <c r="QH6" s="413"/>
      <c r="QI6" s="413"/>
      <c r="QJ6" s="413"/>
      <c r="QK6" s="413"/>
      <c r="QL6" s="413"/>
      <c r="QM6" s="413"/>
      <c r="QN6" s="413"/>
      <c r="QO6" s="413"/>
      <c r="QP6" s="413"/>
      <c r="QQ6" s="413"/>
      <c r="QR6" s="413"/>
      <c r="QS6" s="413"/>
      <c r="QT6" s="413"/>
      <c r="QU6" s="413"/>
      <c r="QV6" s="413"/>
      <c r="QW6" s="413"/>
      <c r="QX6" s="413"/>
      <c r="QY6" s="413"/>
      <c r="QZ6" s="413"/>
      <c r="RA6" s="413"/>
      <c r="RB6" s="413"/>
      <c r="RC6" s="413"/>
      <c r="RD6" s="413"/>
      <c r="RE6" s="413"/>
      <c r="RF6" s="413"/>
      <c r="RG6" s="413"/>
      <c r="RH6" s="413"/>
      <c r="RI6" s="413"/>
      <c r="RJ6" s="413"/>
      <c r="RK6" s="413"/>
      <c r="RL6" s="413"/>
      <c r="RM6" s="413"/>
      <c r="RN6" s="413"/>
      <c r="RO6" s="413"/>
      <c r="RP6" s="413"/>
      <c r="RQ6" s="413"/>
      <c r="RR6" s="413"/>
      <c r="RS6" s="413"/>
      <c r="RT6" s="413"/>
      <c r="RU6" s="413"/>
      <c r="RV6" s="413"/>
      <c r="RW6" s="413"/>
      <c r="RX6" s="413"/>
      <c r="RY6" s="413"/>
      <c r="RZ6" s="413"/>
      <c r="SA6" s="413"/>
      <c r="SB6" s="413"/>
      <c r="SC6" s="413"/>
      <c r="SD6" s="413"/>
      <c r="SE6" s="413"/>
      <c r="SF6" s="413"/>
      <c r="SG6" s="413"/>
      <c r="SH6" s="413"/>
      <c r="SI6" s="413"/>
      <c r="SJ6" s="413"/>
      <c r="SK6" s="413"/>
      <c r="SL6" s="413"/>
      <c r="SM6" s="413"/>
      <c r="SN6" s="413"/>
      <c r="SO6" s="413"/>
      <c r="SP6" s="413"/>
      <c r="SQ6" s="413"/>
      <c r="SR6" s="413"/>
      <c r="SS6" s="413"/>
      <c r="ST6" s="413"/>
      <c r="SU6" s="413"/>
      <c r="SV6" s="413"/>
      <c r="SW6" s="413"/>
      <c r="SX6" s="413"/>
      <c r="SY6" s="413"/>
      <c r="SZ6" s="413"/>
      <c r="TA6" s="413"/>
      <c r="TB6" s="413"/>
      <c r="TC6" s="413"/>
      <c r="TD6" s="413"/>
      <c r="TE6" s="413"/>
      <c r="TF6" s="413"/>
      <c r="TG6" s="413"/>
      <c r="TH6" s="413"/>
      <c r="TI6" s="413"/>
      <c r="TJ6" s="413"/>
      <c r="TK6" s="413"/>
      <c r="TL6" s="413"/>
      <c r="TM6" s="413"/>
      <c r="TN6" s="413"/>
      <c r="TO6" s="413"/>
      <c r="TP6" s="413"/>
      <c r="TQ6" s="413"/>
      <c r="TR6" s="413"/>
      <c r="TS6" s="413"/>
      <c r="TT6" s="413"/>
      <c r="TU6" s="413"/>
      <c r="TV6" s="413"/>
      <c r="TW6" s="413"/>
      <c r="TX6" s="413"/>
      <c r="TY6" s="413"/>
      <c r="TZ6" s="413"/>
      <c r="UA6" s="413"/>
      <c r="UB6" s="413"/>
      <c r="UC6" s="413"/>
      <c r="UD6" s="413"/>
      <c r="UE6" s="413"/>
      <c r="UF6" s="413"/>
      <c r="UG6" s="413"/>
      <c r="UH6" s="413"/>
      <c r="UI6" s="413"/>
      <c r="UJ6" s="413"/>
      <c r="UK6" s="413"/>
      <c r="UL6" s="413"/>
      <c r="UM6" s="413"/>
      <c r="UN6" s="413"/>
      <c r="UO6" s="413"/>
      <c r="UP6" s="413"/>
      <c r="UQ6" s="413"/>
      <c r="UR6" s="413"/>
      <c r="US6" s="413"/>
      <c r="UT6" s="413"/>
      <c r="UU6" s="413"/>
      <c r="UV6" s="413"/>
      <c r="UW6" s="413"/>
      <c r="UX6" s="413"/>
      <c r="UY6" s="413"/>
      <c r="UZ6" s="413"/>
      <c r="VA6" s="413"/>
      <c r="VB6" s="413"/>
      <c r="VC6" s="413"/>
      <c r="VD6" s="413"/>
      <c r="VE6" s="413"/>
      <c r="VF6" s="413"/>
      <c r="VG6" s="413"/>
      <c r="VH6" s="413"/>
      <c r="VI6" s="413"/>
      <c r="VJ6" s="413"/>
      <c r="VK6" s="413"/>
      <c r="VL6" s="413"/>
      <c r="VM6" s="413"/>
      <c r="VN6" s="413"/>
      <c r="VO6" s="413"/>
      <c r="VP6" s="413"/>
      <c r="VQ6" s="413"/>
      <c r="VR6" s="413"/>
      <c r="VS6" s="413"/>
      <c r="VT6" s="413"/>
      <c r="VU6" s="413"/>
      <c r="VV6" s="413"/>
      <c r="VW6" s="413"/>
      <c r="VX6" s="413"/>
      <c r="VY6" s="413"/>
      <c r="VZ6" s="413"/>
      <c r="WA6" s="413"/>
      <c r="WB6" s="413"/>
      <c r="WC6" s="413"/>
      <c r="WD6" s="413"/>
      <c r="WE6" s="413"/>
      <c r="WF6" s="413"/>
      <c r="WG6" s="413"/>
      <c r="WH6" s="413"/>
      <c r="WI6" s="413"/>
      <c r="WJ6" s="413"/>
      <c r="WK6" s="413"/>
      <c r="WL6" s="413"/>
      <c r="WM6" s="413"/>
      <c r="WN6" s="413"/>
      <c r="WO6" s="413"/>
      <c r="WP6" s="413"/>
      <c r="WQ6" s="413"/>
      <c r="WR6" s="413"/>
      <c r="WS6" s="413"/>
      <c r="WT6" s="413"/>
      <c r="WU6" s="413"/>
      <c r="WV6" s="413"/>
      <c r="WW6" s="413"/>
      <c r="WX6" s="413"/>
      <c r="WY6" s="413"/>
      <c r="WZ6" s="413"/>
      <c r="XA6" s="413"/>
      <c r="XB6" s="413"/>
      <c r="XC6" s="413"/>
      <c r="XD6" s="413"/>
      <c r="XE6" s="413"/>
      <c r="XF6" s="413"/>
      <c r="XG6" s="413"/>
      <c r="XH6" s="413"/>
      <c r="XI6" s="413"/>
      <c r="XJ6" s="413"/>
      <c r="XK6" s="413"/>
      <c r="XL6" s="413"/>
      <c r="XM6" s="413"/>
      <c r="XN6" s="413"/>
      <c r="XO6" s="413"/>
      <c r="XP6" s="413"/>
      <c r="XQ6" s="413"/>
      <c r="XR6" s="413"/>
      <c r="XS6" s="413"/>
      <c r="XT6" s="413"/>
      <c r="XU6" s="413"/>
      <c r="XV6" s="413"/>
      <c r="XW6" s="413"/>
      <c r="XX6" s="413"/>
      <c r="XY6" s="413"/>
      <c r="XZ6" s="413"/>
      <c r="YA6" s="413"/>
      <c r="YB6" s="413"/>
      <c r="YC6" s="413"/>
      <c r="YD6" s="413"/>
      <c r="YE6" s="413"/>
      <c r="YF6" s="413"/>
      <c r="YG6" s="413"/>
      <c r="YH6" s="413"/>
      <c r="YI6" s="413"/>
      <c r="YJ6" s="413"/>
      <c r="YK6" s="413"/>
      <c r="YL6" s="413"/>
      <c r="YM6" s="413"/>
      <c r="YN6" s="413"/>
      <c r="YO6" s="413"/>
      <c r="YP6" s="413"/>
      <c r="YQ6" s="413"/>
      <c r="YR6" s="413"/>
      <c r="YS6" s="413"/>
      <c r="YT6" s="413"/>
      <c r="YU6" s="413"/>
      <c r="YV6" s="413"/>
      <c r="YW6" s="413"/>
      <c r="YX6" s="413"/>
      <c r="YY6" s="413"/>
      <c r="YZ6" s="413"/>
      <c r="ZA6" s="413"/>
      <c r="ZB6" s="413"/>
      <c r="ZC6" s="413"/>
      <c r="ZD6" s="413"/>
      <c r="ZE6" s="413"/>
      <c r="ZF6" s="413"/>
      <c r="ZG6" s="413"/>
      <c r="ZH6" s="413"/>
      <c r="ZI6" s="413"/>
      <c r="ZJ6" s="413"/>
      <c r="ZK6" s="413"/>
      <c r="ZL6" s="413"/>
      <c r="ZM6" s="413"/>
      <c r="ZN6" s="413"/>
      <c r="ZO6" s="413"/>
      <c r="ZP6" s="413"/>
      <c r="ZQ6" s="413"/>
      <c r="ZR6" s="413"/>
      <c r="ZS6" s="413"/>
      <c r="ZT6" s="413"/>
      <c r="ZU6" s="413"/>
      <c r="ZV6" s="413"/>
      <c r="ZW6" s="413"/>
      <c r="ZX6" s="413"/>
      <c r="ZY6" s="413"/>
      <c r="ZZ6" s="413"/>
      <c r="AAA6" s="413"/>
      <c r="AAB6" s="413"/>
      <c r="AAC6" s="413"/>
      <c r="AAD6" s="413"/>
      <c r="AAE6" s="413"/>
      <c r="AAF6" s="413"/>
      <c r="AAG6" s="413"/>
      <c r="AAH6" s="413"/>
      <c r="AAI6" s="413"/>
      <c r="AAJ6" s="413"/>
      <c r="AAK6" s="413"/>
      <c r="AAL6" s="413"/>
      <c r="AAM6" s="413"/>
      <c r="AAN6" s="413"/>
      <c r="AAO6" s="413"/>
      <c r="AAP6" s="413"/>
      <c r="AAQ6" s="413"/>
      <c r="AAR6" s="413"/>
      <c r="AAS6" s="413"/>
      <c r="AAT6" s="413"/>
      <c r="AAU6" s="413"/>
      <c r="AAV6" s="413"/>
      <c r="AAW6" s="413"/>
      <c r="AAX6" s="413"/>
      <c r="AAY6" s="413"/>
      <c r="AAZ6" s="413"/>
      <c r="ABA6" s="413"/>
      <c r="ABB6" s="413"/>
      <c r="ABC6" s="413"/>
      <c r="ABD6" s="413"/>
      <c r="ABE6" s="413"/>
      <c r="ABF6" s="413"/>
      <c r="ABG6" s="413"/>
      <c r="ABH6" s="413"/>
      <c r="ABI6" s="413"/>
      <c r="ABJ6" s="413"/>
      <c r="ABK6" s="413"/>
      <c r="ABL6" s="413"/>
      <c r="ABM6" s="413"/>
      <c r="ABN6" s="413"/>
      <c r="ABO6" s="413"/>
      <c r="ABP6" s="413"/>
      <c r="ABQ6" s="413"/>
      <c r="ABR6" s="413"/>
      <c r="ABS6" s="413"/>
      <c r="ABT6" s="413"/>
      <c r="ABU6" s="413"/>
      <c r="ABV6" s="413"/>
      <c r="ABW6" s="413"/>
      <c r="ABX6" s="413"/>
      <c r="ABY6" s="413"/>
      <c r="ABZ6" s="413"/>
      <c r="ACA6" s="413"/>
      <c r="ACB6" s="413"/>
      <c r="ACC6" s="413"/>
      <c r="ACD6" s="413"/>
      <c r="ACE6" s="413"/>
      <c r="ACF6" s="413"/>
      <c r="ACG6" s="413"/>
      <c r="ACH6" s="413"/>
      <c r="ACI6" s="413"/>
      <c r="ACJ6" s="413"/>
      <c r="ACK6" s="413"/>
      <c r="ACL6" s="413"/>
      <c r="ACM6" s="413"/>
      <c r="ACN6" s="413"/>
      <c r="ACO6" s="413"/>
      <c r="ACP6" s="413"/>
      <c r="ACQ6" s="413"/>
      <c r="ACR6" s="413"/>
      <c r="ACS6" s="413"/>
      <c r="ACT6" s="413"/>
      <c r="ACU6" s="413"/>
      <c r="ACV6" s="413"/>
      <c r="ACW6" s="413"/>
      <c r="ACX6" s="413"/>
      <c r="ACY6" s="413"/>
      <c r="ACZ6" s="413"/>
      <c r="ADA6" s="413"/>
      <c r="ADB6" s="413"/>
      <c r="ADC6" s="413"/>
      <c r="ADD6" s="413"/>
      <c r="ADE6" s="413"/>
      <c r="ADF6" s="413"/>
      <c r="ADG6" s="413"/>
      <c r="ADH6" s="413"/>
      <c r="ADI6" s="413"/>
      <c r="ADJ6" s="413"/>
      <c r="ADK6" s="413"/>
      <c r="ADL6" s="413"/>
      <c r="ADM6" s="413"/>
      <c r="ADN6" s="413"/>
      <c r="ADO6" s="413"/>
      <c r="ADP6" s="413"/>
      <c r="ADQ6" s="413"/>
      <c r="ADR6" s="413"/>
      <c r="ADS6" s="413"/>
      <c r="ADT6" s="413"/>
      <c r="ADU6" s="413"/>
      <c r="ADV6" s="413"/>
      <c r="ADW6" s="413"/>
      <c r="ADX6" s="413"/>
      <c r="ADY6" s="413"/>
      <c r="ADZ6" s="413"/>
      <c r="AEA6" s="413"/>
      <c r="AEB6" s="413"/>
      <c r="AEC6" s="413"/>
      <c r="AED6" s="413"/>
      <c r="AEE6" s="413"/>
      <c r="AEF6" s="413"/>
      <c r="AEG6" s="413"/>
      <c r="AEH6" s="413"/>
      <c r="AEI6" s="413"/>
      <c r="AEJ6" s="413"/>
      <c r="AEK6" s="413"/>
      <c r="AEL6" s="413"/>
      <c r="AEM6" s="413"/>
      <c r="AEN6" s="413"/>
      <c r="AEO6" s="413"/>
      <c r="AEP6" s="413"/>
      <c r="AEQ6" s="413"/>
      <c r="AER6" s="413"/>
      <c r="AES6" s="413"/>
      <c r="AET6" s="413"/>
      <c r="AEU6" s="413"/>
      <c r="AEV6" s="413"/>
      <c r="AEW6" s="413"/>
      <c r="AEX6" s="413"/>
      <c r="AEY6" s="413"/>
      <c r="AEZ6" s="413"/>
      <c r="AFA6" s="413"/>
      <c r="AFB6" s="413"/>
      <c r="AFC6" s="413"/>
      <c r="AFD6" s="413"/>
      <c r="AFE6" s="413"/>
      <c r="AFF6" s="413"/>
      <c r="AFG6" s="413"/>
      <c r="AFH6" s="413"/>
      <c r="AFI6" s="413"/>
      <c r="AFJ6" s="413"/>
      <c r="AFK6" s="413"/>
      <c r="AFL6" s="413"/>
      <c r="AFM6" s="413"/>
      <c r="AFN6" s="413"/>
      <c r="AFO6" s="413"/>
      <c r="AFP6" s="413"/>
      <c r="AFQ6" s="413"/>
      <c r="AFR6" s="413"/>
      <c r="AFS6" s="413"/>
      <c r="AFT6" s="413"/>
      <c r="AFU6" s="413"/>
      <c r="AFV6" s="413"/>
      <c r="AFW6" s="413"/>
      <c r="AFX6" s="413"/>
      <c r="AFY6" s="413"/>
      <c r="AFZ6" s="413"/>
      <c r="AGA6" s="413"/>
      <c r="AGB6" s="413"/>
      <c r="AGC6" s="413"/>
      <c r="AGD6" s="413"/>
      <c r="AGE6" s="413"/>
      <c r="AGF6" s="413"/>
      <c r="AGG6" s="413"/>
      <c r="AGH6" s="413"/>
      <c r="AGI6" s="413"/>
      <c r="AGJ6" s="413"/>
      <c r="AGK6" s="413"/>
      <c r="AGL6" s="413"/>
      <c r="AGM6" s="413"/>
      <c r="AGN6" s="413"/>
      <c r="AGO6" s="413"/>
      <c r="AGP6" s="413"/>
      <c r="AGQ6" s="413"/>
      <c r="AGR6" s="413"/>
      <c r="AGS6" s="413"/>
      <c r="AGT6" s="413"/>
      <c r="AGU6" s="413"/>
      <c r="AGV6" s="413"/>
      <c r="AGW6" s="413"/>
      <c r="AGX6" s="413"/>
      <c r="AGY6" s="413"/>
      <c r="AGZ6" s="413"/>
      <c r="AHA6" s="413"/>
      <c r="AHB6" s="413"/>
      <c r="AHC6" s="414"/>
      <c r="AHD6" s="414"/>
      <c r="AHE6" s="414"/>
      <c r="AHF6" s="414"/>
      <c r="AHG6" s="414"/>
      <c r="AHH6" s="415"/>
    </row>
    <row r="7" s="335" customFormat="1" ht="23" customHeight="1" spans="1:892">
      <c r="A7" s="340">
        <v>3</v>
      </c>
      <c r="B7" s="341"/>
      <c r="C7" s="516" t="s">
        <v>124</v>
      </c>
      <c r="D7" s="346"/>
      <c r="E7" s="85"/>
      <c r="F7" s="81">
        <v>3</v>
      </c>
      <c r="G7" s="344" t="s">
        <v>370</v>
      </c>
      <c r="H7" s="345" t="s">
        <v>371</v>
      </c>
      <c r="I7" s="366" t="s">
        <v>128</v>
      </c>
      <c r="J7" s="366" t="s">
        <v>128</v>
      </c>
      <c r="K7" s="367"/>
      <c r="L7" s="368"/>
      <c r="M7" s="368"/>
      <c r="N7" s="369" t="s">
        <v>372</v>
      </c>
      <c r="O7" s="370"/>
      <c r="P7" s="371"/>
      <c r="Q7" s="371"/>
      <c r="R7" s="388" t="s">
        <v>136</v>
      </c>
      <c r="S7" s="388"/>
      <c r="T7" s="389"/>
      <c r="U7" s="389"/>
      <c r="V7" s="388" t="s">
        <v>136</v>
      </c>
      <c r="W7" s="388"/>
      <c r="X7" s="340" t="s">
        <v>135</v>
      </c>
      <c r="Y7" s="340" t="s">
        <v>135</v>
      </c>
      <c r="Z7" s="120">
        <f t="shared" si="0"/>
        <v>45</v>
      </c>
      <c r="AA7" s="303" t="str">
        <f t="shared" si="1"/>
        <v>00:45:00</v>
      </c>
      <c r="AB7" s="120">
        <f t="shared" si="2"/>
        <v>2700</v>
      </c>
      <c r="AC7" s="406">
        <v>0.0313310185185185</v>
      </c>
      <c r="AD7" s="407">
        <v>169</v>
      </c>
      <c r="AE7" s="407">
        <v>43</v>
      </c>
      <c r="AF7" s="340" t="s">
        <v>138</v>
      </c>
      <c r="AG7" s="409"/>
      <c r="AH7" s="410"/>
      <c r="AI7" s="411"/>
      <c r="AJ7" s="410"/>
      <c r="AK7" s="410"/>
      <c r="AL7" s="409"/>
      <c r="AM7" s="412"/>
      <c r="AN7" s="412"/>
      <c r="AO7" s="412"/>
      <c r="AP7" s="413"/>
      <c r="AQ7" s="413"/>
      <c r="AR7" s="413"/>
      <c r="AS7" s="413"/>
      <c r="AT7" s="413"/>
      <c r="AU7" s="413"/>
      <c r="AV7" s="413"/>
      <c r="AW7" s="413"/>
      <c r="AX7" s="413"/>
      <c r="AY7" s="413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3"/>
      <c r="BT7" s="413"/>
      <c r="BU7" s="413"/>
      <c r="BV7" s="413"/>
      <c r="BW7" s="413"/>
      <c r="BX7" s="413"/>
      <c r="BY7" s="413"/>
      <c r="BZ7" s="413"/>
      <c r="CA7" s="413"/>
      <c r="CB7" s="413"/>
      <c r="CC7" s="413"/>
      <c r="CD7" s="413"/>
      <c r="CE7" s="413"/>
      <c r="CF7" s="413"/>
      <c r="CG7" s="413"/>
      <c r="CH7" s="413"/>
      <c r="CI7" s="413"/>
      <c r="CJ7" s="413"/>
      <c r="CK7" s="413"/>
      <c r="CL7" s="413"/>
      <c r="CM7" s="413"/>
      <c r="CN7" s="413"/>
      <c r="CO7" s="413"/>
      <c r="CP7" s="413"/>
      <c r="CQ7" s="413"/>
      <c r="CR7" s="413"/>
      <c r="CS7" s="413"/>
      <c r="CT7" s="413"/>
      <c r="CU7" s="413"/>
      <c r="CV7" s="413"/>
      <c r="CW7" s="413"/>
      <c r="CX7" s="413"/>
      <c r="CY7" s="413"/>
      <c r="CZ7" s="413"/>
      <c r="DA7" s="413"/>
      <c r="DB7" s="413"/>
      <c r="DC7" s="413"/>
      <c r="DD7" s="413"/>
      <c r="DE7" s="413"/>
      <c r="DF7" s="413"/>
      <c r="DG7" s="413"/>
      <c r="DH7" s="413"/>
      <c r="DI7" s="413"/>
      <c r="DJ7" s="413"/>
      <c r="DK7" s="413"/>
      <c r="DL7" s="413"/>
      <c r="DM7" s="413"/>
      <c r="DN7" s="413"/>
      <c r="DO7" s="413"/>
      <c r="DP7" s="413"/>
      <c r="DQ7" s="413"/>
      <c r="DR7" s="413"/>
      <c r="DS7" s="413"/>
      <c r="DT7" s="413"/>
      <c r="DU7" s="413"/>
      <c r="DV7" s="413"/>
      <c r="DW7" s="413"/>
      <c r="DX7" s="413"/>
      <c r="DY7" s="413"/>
      <c r="DZ7" s="413"/>
      <c r="EA7" s="413"/>
      <c r="EB7" s="413"/>
      <c r="EC7" s="413"/>
      <c r="ED7" s="413"/>
      <c r="EE7" s="413"/>
      <c r="EF7" s="413"/>
      <c r="EG7" s="413"/>
      <c r="EH7" s="413"/>
      <c r="EI7" s="413"/>
      <c r="EJ7" s="413"/>
      <c r="EK7" s="413"/>
      <c r="EL7" s="413"/>
      <c r="EM7" s="413"/>
      <c r="EN7" s="413"/>
      <c r="EO7" s="413"/>
      <c r="EP7" s="413"/>
      <c r="EQ7" s="413"/>
      <c r="ER7" s="413"/>
      <c r="ES7" s="413"/>
      <c r="ET7" s="413"/>
      <c r="EU7" s="413"/>
      <c r="EV7" s="413"/>
      <c r="EW7" s="413"/>
      <c r="EX7" s="413"/>
      <c r="EY7" s="413"/>
      <c r="EZ7" s="413"/>
      <c r="FA7" s="413"/>
      <c r="FB7" s="413"/>
      <c r="FC7" s="413"/>
      <c r="FD7" s="413"/>
      <c r="FE7" s="413"/>
      <c r="FF7" s="413"/>
      <c r="FG7" s="413"/>
      <c r="FH7" s="413"/>
      <c r="FI7" s="413"/>
      <c r="FJ7" s="413"/>
      <c r="FK7" s="413"/>
      <c r="FL7" s="413"/>
      <c r="FM7" s="413"/>
      <c r="FN7" s="413"/>
      <c r="FO7" s="413"/>
      <c r="FP7" s="413"/>
      <c r="FQ7" s="413"/>
      <c r="FR7" s="413"/>
      <c r="FS7" s="413"/>
      <c r="FT7" s="413"/>
      <c r="FU7" s="413"/>
      <c r="FV7" s="413"/>
      <c r="FW7" s="413"/>
      <c r="FX7" s="413"/>
      <c r="FY7" s="413"/>
      <c r="FZ7" s="413"/>
      <c r="GA7" s="413"/>
      <c r="GB7" s="413"/>
      <c r="GC7" s="413"/>
      <c r="GD7" s="413"/>
      <c r="GE7" s="413"/>
      <c r="GF7" s="413"/>
      <c r="GG7" s="413"/>
      <c r="GH7" s="413"/>
      <c r="GI7" s="413"/>
      <c r="GJ7" s="413"/>
      <c r="GK7" s="413"/>
      <c r="GL7" s="413"/>
      <c r="GM7" s="413"/>
      <c r="GN7" s="413"/>
      <c r="GO7" s="413"/>
      <c r="GP7" s="413"/>
      <c r="GQ7" s="413"/>
      <c r="GR7" s="413"/>
      <c r="GS7" s="413"/>
      <c r="GT7" s="413"/>
      <c r="GU7" s="413"/>
      <c r="GV7" s="413"/>
      <c r="GW7" s="413"/>
      <c r="GX7" s="413"/>
      <c r="GY7" s="413"/>
      <c r="GZ7" s="413"/>
      <c r="HA7" s="413"/>
      <c r="HB7" s="413"/>
      <c r="HC7" s="413"/>
      <c r="HD7" s="413"/>
      <c r="HE7" s="413"/>
      <c r="HF7" s="413"/>
      <c r="HG7" s="413"/>
      <c r="HH7" s="413"/>
      <c r="HI7" s="413"/>
      <c r="HJ7" s="413"/>
      <c r="HK7" s="413"/>
      <c r="HL7" s="413"/>
      <c r="HM7" s="413"/>
      <c r="HN7" s="413"/>
      <c r="HO7" s="413"/>
      <c r="HP7" s="413"/>
      <c r="HQ7" s="413"/>
      <c r="HR7" s="413"/>
      <c r="HS7" s="413"/>
      <c r="HT7" s="413"/>
      <c r="HU7" s="413"/>
      <c r="HV7" s="413"/>
      <c r="HW7" s="413"/>
      <c r="HX7" s="413"/>
      <c r="HY7" s="413"/>
      <c r="HZ7" s="413"/>
      <c r="IA7" s="413"/>
      <c r="IB7" s="413"/>
      <c r="IC7" s="413"/>
      <c r="ID7" s="413"/>
      <c r="IE7" s="413"/>
      <c r="IF7" s="413"/>
      <c r="IG7" s="413"/>
      <c r="IH7" s="413"/>
      <c r="II7" s="413"/>
      <c r="IJ7" s="413"/>
      <c r="IK7" s="413"/>
      <c r="IL7" s="413"/>
      <c r="IM7" s="413"/>
      <c r="IN7" s="413"/>
      <c r="IO7" s="413"/>
      <c r="IP7" s="413"/>
      <c r="IQ7" s="413"/>
      <c r="IR7" s="413"/>
      <c r="IS7" s="413"/>
      <c r="IT7" s="413"/>
      <c r="IU7" s="413"/>
      <c r="IV7" s="413"/>
      <c r="IW7" s="413"/>
      <c r="IX7" s="413"/>
      <c r="IY7" s="413"/>
      <c r="IZ7" s="413"/>
      <c r="JA7" s="413"/>
      <c r="JB7" s="413"/>
      <c r="JC7" s="413"/>
      <c r="JD7" s="413"/>
      <c r="JE7" s="413"/>
      <c r="JF7" s="413"/>
      <c r="JG7" s="413"/>
      <c r="JH7" s="413"/>
      <c r="JI7" s="413"/>
      <c r="JJ7" s="413"/>
      <c r="JK7" s="413"/>
      <c r="JL7" s="413"/>
      <c r="JM7" s="413"/>
      <c r="JN7" s="413"/>
      <c r="JO7" s="413"/>
      <c r="JP7" s="413"/>
      <c r="JQ7" s="413"/>
      <c r="JR7" s="413"/>
      <c r="JS7" s="413"/>
      <c r="JT7" s="413"/>
      <c r="JU7" s="413"/>
      <c r="JV7" s="413"/>
      <c r="JW7" s="413"/>
      <c r="JX7" s="413"/>
      <c r="JY7" s="413"/>
      <c r="JZ7" s="413"/>
      <c r="KA7" s="413"/>
      <c r="KB7" s="413"/>
      <c r="KC7" s="413"/>
      <c r="KD7" s="413"/>
      <c r="KE7" s="413"/>
      <c r="KF7" s="413"/>
      <c r="KG7" s="413"/>
      <c r="KH7" s="413"/>
      <c r="KI7" s="413"/>
      <c r="KJ7" s="413"/>
      <c r="KK7" s="413"/>
      <c r="KL7" s="413"/>
      <c r="KM7" s="413"/>
      <c r="KN7" s="413"/>
      <c r="KO7" s="413"/>
      <c r="KP7" s="413"/>
      <c r="KQ7" s="413"/>
      <c r="KR7" s="413"/>
      <c r="KS7" s="413"/>
      <c r="KT7" s="413"/>
      <c r="KU7" s="413"/>
      <c r="KV7" s="413"/>
      <c r="KW7" s="413"/>
      <c r="KX7" s="413"/>
      <c r="KY7" s="413"/>
      <c r="KZ7" s="413"/>
      <c r="LA7" s="413"/>
      <c r="LB7" s="413"/>
      <c r="LC7" s="413"/>
      <c r="LD7" s="413"/>
      <c r="LE7" s="413"/>
      <c r="LF7" s="413"/>
      <c r="LG7" s="413"/>
      <c r="LH7" s="413"/>
      <c r="LI7" s="413"/>
      <c r="LJ7" s="413"/>
      <c r="LK7" s="413"/>
      <c r="LL7" s="413"/>
      <c r="LM7" s="413"/>
      <c r="LN7" s="413"/>
      <c r="LO7" s="413"/>
      <c r="LP7" s="413"/>
      <c r="LQ7" s="413"/>
      <c r="LR7" s="413"/>
      <c r="LS7" s="413"/>
      <c r="LT7" s="413"/>
      <c r="LU7" s="413"/>
      <c r="LV7" s="413"/>
      <c r="LW7" s="413"/>
      <c r="LX7" s="413"/>
      <c r="LY7" s="413"/>
      <c r="LZ7" s="413"/>
      <c r="MA7" s="413"/>
      <c r="MB7" s="413"/>
      <c r="MC7" s="413"/>
      <c r="MD7" s="413"/>
      <c r="ME7" s="413"/>
      <c r="MF7" s="413"/>
      <c r="MG7" s="413"/>
      <c r="MH7" s="413"/>
      <c r="MI7" s="413"/>
      <c r="MJ7" s="413"/>
      <c r="MK7" s="413"/>
      <c r="ML7" s="413"/>
      <c r="MM7" s="413"/>
      <c r="MN7" s="413"/>
      <c r="MO7" s="413"/>
      <c r="MP7" s="413"/>
      <c r="MQ7" s="413"/>
      <c r="MR7" s="413"/>
      <c r="MS7" s="413"/>
      <c r="MT7" s="413"/>
      <c r="MU7" s="413"/>
      <c r="MV7" s="413"/>
      <c r="MW7" s="413"/>
      <c r="MX7" s="413"/>
      <c r="MY7" s="413"/>
      <c r="MZ7" s="413"/>
      <c r="NA7" s="413"/>
      <c r="NB7" s="413"/>
      <c r="NC7" s="413"/>
      <c r="ND7" s="413"/>
      <c r="NE7" s="413"/>
      <c r="NF7" s="413"/>
      <c r="NG7" s="413"/>
      <c r="NH7" s="413"/>
      <c r="NI7" s="413"/>
      <c r="NJ7" s="413"/>
      <c r="NK7" s="413"/>
      <c r="NL7" s="413"/>
      <c r="NM7" s="413"/>
      <c r="NN7" s="413"/>
      <c r="NO7" s="413"/>
      <c r="NP7" s="413"/>
      <c r="NQ7" s="413"/>
      <c r="NR7" s="413"/>
      <c r="NS7" s="413"/>
      <c r="NT7" s="413"/>
      <c r="NU7" s="413"/>
      <c r="NV7" s="413"/>
      <c r="NW7" s="413"/>
      <c r="NX7" s="413"/>
      <c r="NY7" s="413"/>
      <c r="NZ7" s="413"/>
      <c r="OA7" s="413"/>
      <c r="OB7" s="413"/>
      <c r="OC7" s="413"/>
      <c r="OD7" s="413"/>
      <c r="OE7" s="413"/>
      <c r="OF7" s="413"/>
      <c r="OG7" s="413"/>
      <c r="OH7" s="413"/>
      <c r="OI7" s="413"/>
      <c r="OJ7" s="413"/>
      <c r="OK7" s="413"/>
      <c r="OL7" s="413"/>
      <c r="OM7" s="413"/>
      <c r="ON7" s="413"/>
      <c r="OO7" s="413"/>
      <c r="OP7" s="413"/>
      <c r="OQ7" s="413"/>
      <c r="OR7" s="413"/>
      <c r="OS7" s="413"/>
      <c r="OT7" s="413"/>
      <c r="OU7" s="413"/>
      <c r="OV7" s="413"/>
      <c r="OW7" s="413"/>
      <c r="OX7" s="413"/>
      <c r="OY7" s="413"/>
      <c r="OZ7" s="413"/>
      <c r="PA7" s="413"/>
      <c r="PB7" s="413"/>
      <c r="PC7" s="413"/>
      <c r="PD7" s="413"/>
      <c r="PE7" s="413"/>
      <c r="PF7" s="413"/>
      <c r="PG7" s="413"/>
      <c r="PH7" s="413"/>
      <c r="PI7" s="413"/>
      <c r="PJ7" s="413"/>
      <c r="PK7" s="413"/>
      <c r="PL7" s="413"/>
      <c r="PM7" s="413"/>
      <c r="PN7" s="413"/>
      <c r="PO7" s="413"/>
      <c r="PP7" s="413"/>
      <c r="PQ7" s="413"/>
      <c r="PR7" s="413"/>
      <c r="PS7" s="413"/>
      <c r="PT7" s="413"/>
      <c r="PU7" s="413"/>
      <c r="PV7" s="413"/>
      <c r="PW7" s="413"/>
      <c r="PX7" s="413"/>
      <c r="PY7" s="413"/>
      <c r="PZ7" s="413"/>
      <c r="QA7" s="413"/>
      <c r="QB7" s="413"/>
      <c r="QC7" s="413"/>
      <c r="QD7" s="413"/>
      <c r="QE7" s="413"/>
      <c r="QF7" s="413"/>
      <c r="QG7" s="413"/>
      <c r="QH7" s="413"/>
      <c r="QI7" s="413"/>
      <c r="QJ7" s="413"/>
      <c r="QK7" s="413"/>
      <c r="QL7" s="413"/>
      <c r="QM7" s="413"/>
      <c r="QN7" s="413"/>
      <c r="QO7" s="413"/>
      <c r="QP7" s="413"/>
      <c r="QQ7" s="413"/>
      <c r="QR7" s="413"/>
      <c r="QS7" s="413"/>
      <c r="QT7" s="413"/>
      <c r="QU7" s="413"/>
      <c r="QV7" s="413"/>
      <c r="QW7" s="413"/>
      <c r="QX7" s="413"/>
      <c r="QY7" s="413"/>
      <c r="QZ7" s="413"/>
      <c r="RA7" s="413"/>
      <c r="RB7" s="413"/>
      <c r="RC7" s="413"/>
      <c r="RD7" s="413"/>
      <c r="RE7" s="413"/>
      <c r="RF7" s="413"/>
      <c r="RG7" s="413"/>
      <c r="RH7" s="413"/>
      <c r="RI7" s="413"/>
      <c r="RJ7" s="413"/>
      <c r="RK7" s="413"/>
      <c r="RL7" s="413"/>
      <c r="RM7" s="413"/>
      <c r="RN7" s="413"/>
      <c r="RO7" s="413"/>
      <c r="RP7" s="413"/>
      <c r="RQ7" s="413"/>
      <c r="RR7" s="413"/>
      <c r="RS7" s="413"/>
      <c r="RT7" s="413"/>
      <c r="RU7" s="413"/>
      <c r="RV7" s="413"/>
      <c r="RW7" s="413"/>
      <c r="RX7" s="413"/>
      <c r="RY7" s="413"/>
      <c r="RZ7" s="413"/>
      <c r="SA7" s="413"/>
      <c r="SB7" s="413"/>
      <c r="SC7" s="413"/>
      <c r="SD7" s="413"/>
      <c r="SE7" s="413"/>
      <c r="SF7" s="413"/>
      <c r="SG7" s="413"/>
      <c r="SH7" s="413"/>
      <c r="SI7" s="413"/>
      <c r="SJ7" s="413"/>
      <c r="SK7" s="413"/>
      <c r="SL7" s="413"/>
      <c r="SM7" s="413"/>
      <c r="SN7" s="413"/>
      <c r="SO7" s="413"/>
      <c r="SP7" s="413"/>
      <c r="SQ7" s="413"/>
      <c r="SR7" s="413"/>
      <c r="SS7" s="413"/>
      <c r="ST7" s="413"/>
      <c r="SU7" s="413"/>
      <c r="SV7" s="413"/>
      <c r="SW7" s="413"/>
      <c r="SX7" s="413"/>
      <c r="SY7" s="413"/>
      <c r="SZ7" s="413"/>
      <c r="TA7" s="413"/>
      <c r="TB7" s="413"/>
      <c r="TC7" s="413"/>
      <c r="TD7" s="413"/>
      <c r="TE7" s="413"/>
      <c r="TF7" s="413"/>
      <c r="TG7" s="413"/>
      <c r="TH7" s="413"/>
      <c r="TI7" s="413"/>
      <c r="TJ7" s="413"/>
      <c r="TK7" s="413"/>
      <c r="TL7" s="413"/>
      <c r="TM7" s="413"/>
      <c r="TN7" s="413"/>
      <c r="TO7" s="413"/>
      <c r="TP7" s="413"/>
      <c r="TQ7" s="413"/>
      <c r="TR7" s="413"/>
      <c r="TS7" s="413"/>
      <c r="TT7" s="413"/>
      <c r="TU7" s="413"/>
      <c r="TV7" s="413"/>
      <c r="TW7" s="413"/>
      <c r="TX7" s="413"/>
      <c r="TY7" s="413"/>
      <c r="TZ7" s="413"/>
      <c r="UA7" s="413"/>
      <c r="UB7" s="413"/>
      <c r="UC7" s="413"/>
      <c r="UD7" s="413"/>
      <c r="UE7" s="413"/>
      <c r="UF7" s="413"/>
      <c r="UG7" s="413"/>
      <c r="UH7" s="413"/>
      <c r="UI7" s="413"/>
      <c r="UJ7" s="413"/>
      <c r="UK7" s="413"/>
      <c r="UL7" s="413"/>
      <c r="UM7" s="413"/>
      <c r="UN7" s="413"/>
      <c r="UO7" s="413"/>
      <c r="UP7" s="413"/>
      <c r="UQ7" s="413"/>
      <c r="UR7" s="413"/>
      <c r="US7" s="413"/>
      <c r="UT7" s="413"/>
      <c r="UU7" s="413"/>
      <c r="UV7" s="413"/>
      <c r="UW7" s="413"/>
      <c r="UX7" s="413"/>
      <c r="UY7" s="413"/>
      <c r="UZ7" s="413"/>
      <c r="VA7" s="413"/>
      <c r="VB7" s="413"/>
      <c r="VC7" s="413"/>
      <c r="VD7" s="413"/>
      <c r="VE7" s="413"/>
      <c r="VF7" s="413"/>
      <c r="VG7" s="413"/>
      <c r="VH7" s="413"/>
      <c r="VI7" s="413"/>
      <c r="VJ7" s="413"/>
      <c r="VK7" s="413"/>
      <c r="VL7" s="413"/>
      <c r="VM7" s="413"/>
      <c r="VN7" s="413"/>
      <c r="VO7" s="413"/>
      <c r="VP7" s="413"/>
      <c r="VQ7" s="413"/>
      <c r="VR7" s="413"/>
      <c r="VS7" s="413"/>
      <c r="VT7" s="413"/>
      <c r="VU7" s="413"/>
      <c r="VV7" s="413"/>
      <c r="VW7" s="413"/>
      <c r="VX7" s="413"/>
      <c r="VY7" s="413"/>
      <c r="VZ7" s="413"/>
      <c r="WA7" s="413"/>
      <c r="WB7" s="413"/>
      <c r="WC7" s="413"/>
      <c r="WD7" s="413"/>
      <c r="WE7" s="413"/>
      <c r="WF7" s="413"/>
      <c r="WG7" s="413"/>
      <c r="WH7" s="413"/>
      <c r="WI7" s="413"/>
      <c r="WJ7" s="413"/>
      <c r="WK7" s="413"/>
      <c r="WL7" s="413"/>
      <c r="WM7" s="413"/>
      <c r="WN7" s="413"/>
      <c r="WO7" s="413"/>
      <c r="WP7" s="413"/>
      <c r="WQ7" s="413"/>
      <c r="WR7" s="413"/>
      <c r="WS7" s="413"/>
      <c r="WT7" s="413"/>
      <c r="WU7" s="413"/>
      <c r="WV7" s="413"/>
      <c r="WW7" s="413"/>
      <c r="WX7" s="413"/>
      <c r="WY7" s="413"/>
      <c r="WZ7" s="413"/>
      <c r="XA7" s="413"/>
      <c r="XB7" s="413"/>
      <c r="XC7" s="413"/>
      <c r="XD7" s="413"/>
      <c r="XE7" s="413"/>
      <c r="XF7" s="413"/>
      <c r="XG7" s="413"/>
      <c r="XH7" s="413"/>
      <c r="XI7" s="413"/>
      <c r="XJ7" s="413"/>
      <c r="XK7" s="413"/>
      <c r="XL7" s="413"/>
      <c r="XM7" s="413"/>
      <c r="XN7" s="413"/>
      <c r="XO7" s="413"/>
      <c r="XP7" s="413"/>
      <c r="XQ7" s="413"/>
      <c r="XR7" s="413"/>
      <c r="XS7" s="413"/>
      <c r="XT7" s="413"/>
      <c r="XU7" s="413"/>
      <c r="XV7" s="413"/>
      <c r="XW7" s="413"/>
      <c r="XX7" s="413"/>
      <c r="XY7" s="413"/>
      <c r="XZ7" s="413"/>
      <c r="YA7" s="413"/>
      <c r="YB7" s="413"/>
      <c r="YC7" s="413"/>
      <c r="YD7" s="413"/>
      <c r="YE7" s="413"/>
      <c r="YF7" s="413"/>
      <c r="YG7" s="413"/>
      <c r="YH7" s="413"/>
      <c r="YI7" s="413"/>
      <c r="YJ7" s="413"/>
      <c r="YK7" s="413"/>
      <c r="YL7" s="413"/>
      <c r="YM7" s="413"/>
      <c r="YN7" s="413"/>
      <c r="YO7" s="413"/>
      <c r="YP7" s="413"/>
      <c r="YQ7" s="413"/>
      <c r="YR7" s="413"/>
      <c r="YS7" s="413"/>
      <c r="YT7" s="413"/>
      <c r="YU7" s="413"/>
      <c r="YV7" s="413"/>
      <c r="YW7" s="413"/>
      <c r="YX7" s="413"/>
      <c r="YY7" s="413"/>
      <c r="YZ7" s="413"/>
      <c r="ZA7" s="413"/>
      <c r="ZB7" s="413"/>
      <c r="ZC7" s="413"/>
      <c r="ZD7" s="413"/>
      <c r="ZE7" s="413"/>
      <c r="ZF7" s="413"/>
      <c r="ZG7" s="413"/>
      <c r="ZH7" s="413"/>
      <c r="ZI7" s="413"/>
      <c r="ZJ7" s="413"/>
      <c r="ZK7" s="413"/>
      <c r="ZL7" s="413"/>
      <c r="ZM7" s="413"/>
      <c r="ZN7" s="413"/>
      <c r="ZO7" s="413"/>
      <c r="ZP7" s="413"/>
      <c r="ZQ7" s="413"/>
      <c r="ZR7" s="413"/>
      <c r="ZS7" s="413"/>
      <c r="ZT7" s="413"/>
      <c r="ZU7" s="413"/>
      <c r="ZV7" s="413"/>
      <c r="ZW7" s="413"/>
      <c r="ZX7" s="413"/>
      <c r="ZY7" s="413"/>
      <c r="ZZ7" s="413"/>
      <c r="AAA7" s="413"/>
      <c r="AAB7" s="413"/>
      <c r="AAC7" s="413"/>
      <c r="AAD7" s="413"/>
      <c r="AAE7" s="413"/>
      <c r="AAF7" s="413"/>
      <c r="AAG7" s="413"/>
      <c r="AAH7" s="413"/>
      <c r="AAI7" s="413"/>
      <c r="AAJ7" s="413"/>
      <c r="AAK7" s="413"/>
      <c r="AAL7" s="413"/>
      <c r="AAM7" s="413"/>
      <c r="AAN7" s="413"/>
      <c r="AAO7" s="413"/>
      <c r="AAP7" s="413"/>
      <c r="AAQ7" s="413"/>
      <c r="AAR7" s="413"/>
      <c r="AAS7" s="413"/>
      <c r="AAT7" s="413"/>
      <c r="AAU7" s="413"/>
      <c r="AAV7" s="413"/>
      <c r="AAW7" s="413"/>
      <c r="AAX7" s="413"/>
      <c r="AAY7" s="413"/>
      <c r="AAZ7" s="413"/>
      <c r="ABA7" s="413"/>
      <c r="ABB7" s="413"/>
      <c r="ABC7" s="413"/>
      <c r="ABD7" s="413"/>
      <c r="ABE7" s="413"/>
      <c r="ABF7" s="413"/>
      <c r="ABG7" s="413"/>
      <c r="ABH7" s="413"/>
      <c r="ABI7" s="413"/>
      <c r="ABJ7" s="413"/>
      <c r="ABK7" s="413"/>
      <c r="ABL7" s="413"/>
      <c r="ABM7" s="413"/>
      <c r="ABN7" s="413"/>
      <c r="ABO7" s="413"/>
      <c r="ABP7" s="413"/>
      <c r="ABQ7" s="413"/>
      <c r="ABR7" s="413"/>
      <c r="ABS7" s="413"/>
      <c r="ABT7" s="413"/>
      <c r="ABU7" s="413"/>
      <c r="ABV7" s="413"/>
      <c r="ABW7" s="413"/>
      <c r="ABX7" s="413"/>
      <c r="ABY7" s="413"/>
      <c r="ABZ7" s="413"/>
      <c r="ACA7" s="413"/>
      <c r="ACB7" s="413"/>
      <c r="ACC7" s="413"/>
      <c r="ACD7" s="413"/>
      <c r="ACE7" s="413"/>
      <c r="ACF7" s="413"/>
      <c r="ACG7" s="413"/>
      <c r="ACH7" s="413"/>
      <c r="ACI7" s="413"/>
      <c r="ACJ7" s="413"/>
      <c r="ACK7" s="413"/>
      <c r="ACL7" s="413"/>
      <c r="ACM7" s="413"/>
      <c r="ACN7" s="413"/>
      <c r="ACO7" s="413"/>
      <c r="ACP7" s="413"/>
      <c r="ACQ7" s="413"/>
      <c r="ACR7" s="413"/>
      <c r="ACS7" s="413"/>
      <c r="ACT7" s="413"/>
      <c r="ACU7" s="413"/>
      <c r="ACV7" s="413"/>
      <c r="ACW7" s="413"/>
      <c r="ACX7" s="413"/>
      <c r="ACY7" s="413"/>
      <c r="ACZ7" s="413"/>
      <c r="ADA7" s="413"/>
      <c r="ADB7" s="413"/>
      <c r="ADC7" s="413"/>
      <c r="ADD7" s="413"/>
      <c r="ADE7" s="413"/>
      <c r="ADF7" s="413"/>
      <c r="ADG7" s="413"/>
      <c r="ADH7" s="413"/>
      <c r="ADI7" s="413"/>
      <c r="ADJ7" s="413"/>
      <c r="ADK7" s="413"/>
      <c r="ADL7" s="413"/>
      <c r="ADM7" s="413"/>
      <c r="ADN7" s="413"/>
      <c r="ADO7" s="413"/>
      <c r="ADP7" s="413"/>
      <c r="ADQ7" s="413"/>
      <c r="ADR7" s="413"/>
      <c r="ADS7" s="413"/>
      <c r="ADT7" s="413"/>
      <c r="ADU7" s="413"/>
      <c r="ADV7" s="413"/>
      <c r="ADW7" s="413"/>
      <c r="ADX7" s="413"/>
      <c r="ADY7" s="413"/>
      <c r="ADZ7" s="413"/>
      <c r="AEA7" s="413"/>
      <c r="AEB7" s="413"/>
      <c r="AEC7" s="413"/>
      <c r="AED7" s="413"/>
      <c r="AEE7" s="413"/>
      <c r="AEF7" s="413"/>
      <c r="AEG7" s="413"/>
      <c r="AEH7" s="413"/>
      <c r="AEI7" s="413"/>
      <c r="AEJ7" s="413"/>
      <c r="AEK7" s="413"/>
      <c r="AEL7" s="413"/>
      <c r="AEM7" s="413"/>
      <c r="AEN7" s="413"/>
      <c r="AEO7" s="413"/>
      <c r="AEP7" s="413"/>
      <c r="AEQ7" s="413"/>
      <c r="AER7" s="413"/>
      <c r="AES7" s="413"/>
      <c r="AET7" s="413"/>
      <c r="AEU7" s="413"/>
      <c r="AEV7" s="413"/>
      <c r="AEW7" s="413"/>
      <c r="AEX7" s="413"/>
      <c r="AEY7" s="413"/>
      <c r="AEZ7" s="413"/>
      <c r="AFA7" s="413"/>
      <c r="AFB7" s="413"/>
      <c r="AFC7" s="413"/>
      <c r="AFD7" s="413"/>
      <c r="AFE7" s="413"/>
      <c r="AFF7" s="413"/>
      <c r="AFG7" s="413"/>
      <c r="AFH7" s="413"/>
      <c r="AFI7" s="413"/>
      <c r="AFJ7" s="413"/>
      <c r="AFK7" s="413"/>
      <c r="AFL7" s="413"/>
      <c r="AFM7" s="413"/>
      <c r="AFN7" s="413"/>
      <c r="AFO7" s="413"/>
      <c r="AFP7" s="413"/>
      <c r="AFQ7" s="413"/>
      <c r="AFR7" s="413"/>
      <c r="AFS7" s="413"/>
      <c r="AFT7" s="413"/>
      <c r="AFU7" s="413"/>
      <c r="AFV7" s="413"/>
      <c r="AFW7" s="413"/>
      <c r="AFX7" s="413"/>
      <c r="AFY7" s="413"/>
      <c r="AFZ7" s="413"/>
      <c r="AGA7" s="413"/>
      <c r="AGB7" s="413"/>
      <c r="AGC7" s="413"/>
      <c r="AGD7" s="413"/>
      <c r="AGE7" s="413"/>
      <c r="AGF7" s="413"/>
      <c r="AGG7" s="413"/>
      <c r="AGH7" s="413"/>
      <c r="AGI7" s="413"/>
      <c r="AGJ7" s="413"/>
      <c r="AGK7" s="413"/>
      <c r="AGL7" s="413"/>
      <c r="AGM7" s="413"/>
      <c r="AGN7" s="413"/>
      <c r="AGO7" s="413"/>
      <c r="AGP7" s="413"/>
      <c r="AGQ7" s="413"/>
      <c r="AGR7" s="413"/>
      <c r="AGS7" s="413"/>
      <c r="AGT7" s="413"/>
      <c r="AGU7" s="413"/>
      <c r="AGV7" s="413"/>
      <c r="AGW7" s="413"/>
      <c r="AGX7" s="413"/>
      <c r="AGY7" s="413"/>
      <c r="AGZ7" s="413"/>
      <c r="AHA7" s="413"/>
      <c r="AHB7" s="413"/>
      <c r="AHC7" s="414"/>
      <c r="AHD7" s="414"/>
      <c r="AHE7" s="414"/>
      <c r="AHF7" s="414"/>
      <c r="AHG7" s="414"/>
      <c r="AHH7" s="415"/>
    </row>
    <row r="8" s="335" customFormat="1" ht="23" customHeight="1" spans="1:892">
      <c r="A8" s="340">
        <v>4</v>
      </c>
      <c r="B8" s="341"/>
      <c r="C8" s="516" t="s">
        <v>124</v>
      </c>
      <c r="D8" s="346"/>
      <c r="E8" s="85"/>
      <c r="F8" s="81">
        <v>4</v>
      </c>
      <c r="G8" s="344" t="s">
        <v>373</v>
      </c>
      <c r="H8" s="345" t="s">
        <v>374</v>
      </c>
      <c r="I8" s="366" t="s">
        <v>128</v>
      </c>
      <c r="J8" s="366" t="s">
        <v>128</v>
      </c>
      <c r="K8" s="367"/>
      <c r="L8" s="368"/>
      <c r="M8" s="368"/>
      <c r="N8" s="369" t="s">
        <v>375</v>
      </c>
      <c r="O8" s="370"/>
      <c r="P8" s="371"/>
      <c r="Q8" s="371"/>
      <c r="R8" s="388" t="s">
        <v>136</v>
      </c>
      <c r="S8" s="388"/>
      <c r="T8" s="389"/>
      <c r="U8" s="389"/>
      <c r="V8" s="388" t="s">
        <v>136</v>
      </c>
      <c r="W8" s="388"/>
      <c r="X8" s="340" t="s">
        <v>135</v>
      </c>
      <c r="Y8" s="340" t="s">
        <v>135</v>
      </c>
      <c r="Z8" s="120">
        <f t="shared" si="0"/>
        <v>30</v>
      </c>
      <c r="AA8" s="303" t="str">
        <f t="shared" si="1"/>
        <v>00:30:00</v>
      </c>
      <c r="AB8" s="120">
        <f t="shared" si="2"/>
        <v>1800</v>
      </c>
      <c r="AC8" s="406">
        <v>0.0207986111111111</v>
      </c>
      <c r="AD8" s="407">
        <v>169</v>
      </c>
      <c r="AE8" s="407">
        <v>43</v>
      </c>
      <c r="AF8" s="340" t="s">
        <v>138</v>
      </c>
      <c r="AG8" s="409"/>
      <c r="AH8" s="410"/>
      <c r="AI8" s="411"/>
      <c r="AJ8" s="410"/>
      <c r="AK8" s="410"/>
      <c r="AL8" s="409"/>
      <c r="AM8" s="412"/>
      <c r="AN8" s="412"/>
      <c r="AO8" s="412"/>
      <c r="AP8" s="413"/>
      <c r="AQ8" s="413"/>
      <c r="AR8" s="413"/>
      <c r="AS8" s="413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413"/>
      <c r="BG8" s="413"/>
      <c r="BH8" s="413"/>
      <c r="BI8" s="413"/>
      <c r="BJ8" s="413"/>
      <c r="BK8" s="413"/>
      <c r="BL8" s="413"/>
      <c r="BM8" s="413"/>
      <c r="BN8" s="413"/>
      <c r="BO8" s="413"/>
      <c r="BP8" s="413"/>
      <c r="BQ8" s="413"/>
      <c r="BR8" s="413"/>
      <c r="BS8" s="413"/>
      <c r="BT8" s="413"/>
      <c r="BU8" s="413"/>
      <c r="BV8" s="413"/>
      <c r="BW8" s="413"/>
      <c r="BX8" s="413"/>
      <c r="BY8" s="413"/>
      <c r="BZ8" s="413"/>
      <c r="CA8" s="413"/>
      <c r="CB8" s="413"/>
      <c r="CC8" s="413"/>
      <c r="CD8" s="413"/>
      <c r="CE8" s="413"/>
      <c r="CF8" s="413"/>
      <c r="CG8" s="413"/>
      <c r="CH8" s="413"/>
      <c r="CI8" s="413"/>
      <c r="CJ8" s="413"/>
      <c r="CK8" s="413"/>
      <c r="CL8" s="413"/>
      <c r="CM8" s="413"/>
      <c r="CN8" s="413"/>
      <c r="CO8" s="413"/>
      <c r="CP8" s="413"/>
      <c r="CQ8" s="413"/>
      <c r="CR8" s="413"/>
      <c r="CS8" s="413"/>
      <c r="CT8" s="413"/>
      <c r="CU8" s="413"/>
      <c r="CV8" s="413"/>
      <c r="CW8" s="413"/>
      <c r="CX8" s="413"/>
      <c r="CY8" s="413"/>
      <c r="CZ8" s="413"/>
      <c r="DA8" s="413"/>
      <c r="DB8" s="413"/>
      <c r="DC8" s="413"/>
      <c r="DD8" s="413"/>
      <c r="DE8" s="413"/>
      <c r="DF8" s="413"/>
      <c r="DG8" s="413"/>
      <c r="DH8" s="413"/>
      <c r="DI8" s="413"/>
      <c r="DJ8" s="413"/>
      <c r="DK8" s="413"/>
      <c r="DL8" s="413"/>
      <c r="DM8" s="413"/>
      <c r="DN8" s="413"/>
      <c r="DO8" s="413"/>
      <c r="DP8" s="413"/>
      <c r="DQ8" s="413"/>
      <c r="DR8" s="413"/>
      <c r="DS8" s="413"/>
      <c r="DT8" s="413"/>
      <c r="DU8" s="413"/>
      <c r="DV8" s="413"/>
      <c r="DW8" s="413"/>
      <c r="DX8" s="413"/>
      <c r="DY8" s="413"/>
      <c r="DZ8" s="413"/>
      <c r="EA8" s="413"/>
      <c r="EB8" s="413"/>
      <c r="EC8" s="413"/>
      <c r="ED8" s="413"/>
      <c r="EE8" s="413"/>
      <c r="EF8" s="413"/>
      <c r="EG8" s="413"/>
      <c r="EH8" s="413"/>
      <c r="EI8" s="413"/>
      <c r="EJ8" s="413"/>
      <c r="EK8" s="413"/>
      <c r="EL8" s="413"/>
      <c r="EM8" s="413"/>
      <c r="EN8" s="413"/>
      <c r="EO8" s="413"/>
      <c r="EP8" s="413"/>
      <c r="EQ8" s="413"/>
      <c r="ER8" s="413"/>
      <c r="ES8" s="413"/>
      <c r="ET8" s="413"/>
      <c r="EU8" s="413"/>
      <c r="EV8" s="413"/>
      <c r="EW8" s="413"/>
      <c r="EX8" s="413"/>
      <c r="EY8" s="413"/>
      <c r="EZ8" s="413"/>
      <c r="FA8" s="413"/>
      <c r="FB8" s="413"/>
      <c r="FC8" s="413"/>
      <c r="FD8" s="413"/>
      <c r="FE8" s="413"/>
      <c r="FF8" s="413"/>
      <c r="FG8" s="413"/>
      <c r="FH8" s="413"/>
      <c r="FI8" s="413"/>
      <c r="FJ8" s="413"/>
      <c r="FK8" s="413"/>
      <c r="FL8" s="413"/>
      <c r="FM8" s="413"/>
      <c r="FN8" s="413"/>
      <c r="FO8" s="413"/>
      <c r="FP8" s="413"/>
      <c r="FQ8" s="413"/>
      <c r="FR8" s="413"/>
      <c r="FS8" s="413"/>
      <c r="FT8" s="413"/>
      <c r="FU8" s="413"/>
      <c r="FV8" s="413"/>
      <c r="FW8" s="413"/>
      <c r="FX8" s="413"/>
      <c r="FY8" s="413"/>
      <c r="FZ8" s="413"/>
      <c r="GA8" s="413"/>
      <c r="GB8" s="413"/>
      <c r="GC8" s="413"/>
      <c r="GD8" s="413"/>
      <c r="GE8" s="413"/>
      <c r="GF8" s="413"/>
      <c r="GG8" s="413"/>
      <c r="GH8" s="413"/>
      <c r="GI8" s="413"/>
      <c r="GJ8" s="413"/>
      <c r="GK8" s="413"/>
      <c r="GL8" s="413"/>
      <c r="GM8" s="413"/>
      <c r="GN8" s="413"/>
      <c r="GO8" s="413"/>
      <c r="GP8" s="413"/>
      <c r="GQ8" s="413"/>
      <c r="GR8" s="413"/>
      <c r="GS8" s="413"/>
      <c r="GT8" s="413"/>
      <c r="GU8" s="413"/>
      <c r="GV8" s="413"/>
      <c r="GW8" s="413"/>
      <c r="GX8" s="413"/>
      <c r="GY8" s="413"/>
      <c r="GZ8" s="413"/>
      <c r="HA8" s="413"/>
      <c r="HB8" s="413"/>
      <c r="HC8" s="413"/>
      <c r="HD8" s="413"/>
      <c r="HE8" s="413"/>
      <c r="HF8" s="413"/>
      <c r="HG8" s="413"/>
      <c r="HH8" s="413"/>
      <c r="HI8" s="413"/>
      <c r="HJ8" s="413"/>
      <c r="HK8" s="413"/>
      <c r="HL8" s="413"/>
      <c r="HM8" s="413"/>
      <c r="HN8" s="413"/>
      <c r="HO8" s="413"/>
      <c r="HP8" s="413"/>
      <c r="HQ8" s="413"/>
      <c r="HR8" s="413"/>
      <c r="HS8" s="413"/>
      <c r="HT8" s="413"/>
      <c r="HU8" s="413"/>
      <c r="HV8" s="413"/>
      <c r="HW8" s="413"/>
      <c r="HX8" s="413"/>
      <c r="HY8" s="413"/>
      <c r="HZ8" s="413"/>
      <c r="IA8" s="413"/>
      <c r="IB8" s="413"/>
      <c r="IC8" s="413"/>
      <c r="ID8" s="413"/>
      <c r="IE8" s="413"/>
      <c r="IF8" s="413"/>
      <c r="IG8" s="413"/>
      <c r="IH8" s="413"/>
      <c r="II8" s="413"/>
      <c r="IJ8" s="413"/>
      <c r="IK8" s="413"/>
      <c r="IL8" s="413"/>
      <c r="IM8" s="413"/>
      <c r="IN8" s="413"/>
      <c r="IO8" s="413"/>
      <c r="IP8" s="413"/>
      <c r="IQ8" s="413"/>
      <c r="IR8" s="413"/>
      <c r="IS8" s="413"/>
      <c r="IT8" s="413"/>
      <c r="IU8" s="413"/>
      <c r="IV8" s="413"/>
      <c r="IW8" s="413"/>
      <c r="IX8" s="413"/>
      <c r="IY8" s="413"/>
      <c r="IZ8" s="413"/>
      <c r="JA8" s="413"/>
      <c r="JB8" s="413"/>
      <c r="JC8" s="413"/>
      <c r="JD8" s="413"/>
      <c r="JE8" s="413"/>
      <c r="JF8" s="413"/>
      <c r="JG8" s="413"/>
      <c r="JH8" s="413"/>
      <c r="JI8" s="413"/>
      <c r="JJ8" s="413"/>
      <c r="JK8" s="413"/>
      <c r="JL8" s="413"/>
      <c r="JM8" s="413"/>
      <c r="JN8" s="413"/>
      <c r="JO8" s="413"/>
      <c r="JP8" s="413"/>
      <c r="JQ8" s="413"/>
      <c r="JR8" s="413"/>
      <c r="JS8" s="413"/>
      <c r="JT8" s="413"/>
      <c r="JU8" s="413"/>
      <c r="JV8" s="413"/>
      <c r="JW8" s="413"/>
      <c r="JX8" s="413"/>
      <c r="JY8" s="413"/>
      <c r="JZ8" s="413"/>
      <c r="KA8" s="413"/>
      <c r="KB8" s="413"/>
      <c r="KC8" s="413"/>
      <c r="KD8" s="413"/>
      <c r="KE8" s="413"/>
      <c r="KF8" s="413"/>
      <c r="KG8" s="413"/>
      <c r="KH8" s="413"/>
      <c r="KI8" s="413"/>
      <c r="KJ8" s="413"/>
      <c r="KK8" s="413"/>
      <c r="KL8" s="413"/>
      <c r="KM8" s="413"/>
      <c r="KN8" s="413"/>
      <c r="KO8" s="413"/>
      <c r="KP8" s="413"/>
      <c r="KQ8" s="413"/>
      <c r="KR8" s="413"/>
      <c r="KS8" s="413"/>
      <c r="KT8" s="413"/>
      <c r="KU8" s="413"/>
      <c r="KV8" s="413"/>
      <c r="KW8" s="413"/>
      <c r="KX8" s="413"/>
      <c r="KY8" s="413"/>
      <c r="KZ8" s="413"/>
      <c r="LA8" s="413"/>
      <c r="LB8" s="413"/>
      <c r="LC8" s="413"/>
      <c r="LD8" s="413"/>
      <c r="LE8" s="413"/>
      <c r="LF8" s="413"/>
      <c r="LG8" s="413"/>
      <c r="LH8" s="413"/>
      <c r="LI8" s="413"/>
      <c r="LJ8" s="413"/>
      <c r="LK8" s="413"/>
      <c r="LL8" s="413"/>
      <c r="LM8" s="413"/>
      <c r="LN8" s="413"/>
      <c r="LO8" s="413"/>
      <c r="LP8" s="413"/>
      <c r="LQ8" s="413"/>
      <c r="LR8" s="413"/>
      <c r="LS8" s="413"/>
      <c r="LT8" s="413"/>
      <c r="LU8" s="413"/>
      <c r="LV8" s="413"/>
      <c r="LW8" s="413"/>
      <c r="LX8" s="413"/>
      <c r="LY8" s="413"/>
      <c r="LZ8" s="413"/>
      <c r="MA8" s="413"/>
      <c r="MB8" s="413"/>
      <c r="MC8" s="413"/>
      <c r="MD8" s="413"/>
      <c r="ME8" s="413"/>
      <c r="MF8" s="413"/>
      <c r="MG8" s="413"/>
      <c r="MH8" s="413"/>
      <c r="MI8" s="413"/>
      <c r="MJ8" s="413"/>
      <c r="MK8" s="413"/>
      <c r="ML8" s="413"/>
      <c r="MM8" s="413"/>
      <c r="MN8" s="413"/>
      <c r="MO8" s="413"/>
      <c r="MP8" s="413"/>
      <c r="MQ8" s="413"/>
      <c r="MR8" s="413"/>
      <c r="MS8" s="413"/>
      <c r="MT8" s="413"/>
      <c r="MU8" s="413"/>
      <c r="MV8" s="413"/>
      <c r="MW8" s="413"/>
      <c r="MX8" s="413"/>
      <c r="MY8" s="413"/>
      <c r="MZ8" s="413"/>
      <c r="NA8" s="413"/>
      <c r="NB8" s="413"/>
      <c r="NC8" s="413"/>
      <c r="ND8" s="413"/>
      <c r="NE8" s="413"/>
      <c r="NF8" s="413"/>
      <c r="NG8" s="413"/>
      <c r="NH8" s="413"/>
      <c r="NI8" s="413"/>
      <c r="NJ8" s="413"/>
      <c r="NK8" s="413"/>
      <c r="NL8" s="413"/>
      <c r="NM8" s="413"/>
      <c r="NN8" s="413"/>
      <c r="NO8" s="413"/>
      <c r="NP8" s="413"/>
      <c r="NQ8" s="413"/>
      <c r="NR8" s="413"/>
      <c r="NS8" s="413"/>
      <c r="NT8" s="413"/>
      <c r="NU8" s="413"/>
      <c r="NV8" s="413"/>
      <c r="NW8" s="413"/>
      <c r="NX8" s="413"/>
      <c r="NY8" s="413"/>
      <c r="NZ8" s="413"/>
      <c r="OA8" s="413"/>
      <c r="OB8" s="413"/>
      <c r="OC8" s="413"/>
      <c r="OD8" s="413"/>
      <c r="OE8" s="413"/>
      <c r="OF8" s="413"/>
      <c r="OG8" s="413"/>
      <c r="OH8" s="413"/>
      <c r="OI8" s="413"/>
      <c r="OJ8" s="413"/>
      <c r="OK8" s="413"/>
      <c r="OL8" s="413"/>
      <c r="OM8" s="413"/>
      <c r="ON8" s="413"/>
      <c r="OO8" s="413"/>
      <c r="OP8" s="413"/>
      <c r="OQ8" s="413"/>
      <c r="OR8" s="413"/>
      <c r="OS8" s="413"/>
      <c r="OT8" s="413"/>
      <c r="OU8" s="413"/>
      <c r="OV8" s="413"/>
      <c r="OW8" s="413"/>
      <c r="OX8" s="413"/>
      <c r="OY8" s="413"/>
      <c r="OZ8" s="413"/>
      <c r="PA8" s="413"/>
      <c r="PB8" s="413"/>
      <c r="PC8" s="413"/>
      <c r="PD8" s="413"/>
      <c r="PE8" s="413"/>
      <c r="PF8" s="413"/>
      <c r="PG8" s="413"/>
      <c r="PH8" s="413"/>
      <c r="PI8" s="413"/>
      <c r="PJ8" s="413"/>
      <c r="PK8" s="413"/>
      <c r="PL8" s="413"/>
      <c r="PM8" s="413"/>
      <c r="PN8" s="413"/>
      <c r="PO8" s="413"/>
      <c r="PP8" s="413"/>
      <c r="PQ8" s="413"/>
      <c r="PR8" s="413"/>
      <c r="PS8" s="413"/>
      <c r="PT8" s="413"/>
      <c r="PU8" s="413"/>
      <c r="PV8" s="413"/>
      <c r="PW8" s="413"/>
      <c r="PX8" s="413"/>
      <c r="PY8" s="413"/>
      <c r="PZ8" s="413"/>
      <c r="QA8" s="413"/>
      <c r="QB8" s="413"/>
      <c r="QC8" s="413"/>
      <c r="QD8" s="413"/>
      <c r="QE8" s="413"/>
      <c r="QF8" s="413"/>
      <c r="QG8" s="413"/>
      <c r="QH8" s="413"/>
      <c r="QI8" s="413"/>
      <c r="QJ8" s="413"/>
      <c r="QK8" s="413"/>
      <c r="QL8" s="413"/>
      <c r="QM8" s="413"/>
      <c r="QN8" s="413"/>
      <c r="QO8" s="413"/>
      <c r="QP8" s="413"/>
      <c r="QQ8" s="413"/>
      <c r="QR8" s="413"/>
      <c r="QS8" s="413"/>
      <c r="QT8" s="413"/>
      <c r="QU8" s="413"/>
      <c r="QV8" s="413"/>
      <c r="QW8" s="413"/>
      <c r="QX8" s="413"/>
      <c r="QY8" s="413"/>
      <c r="QZ8" s="413"/>
      <c r="RA8" s="413"/>
      <c r="RB8" s="413"/>
      <c r="RC8" s="413"/>
      <c r="RD8" s="413"/>
      <c r="RE8" s="413"/>
      <c r="RF8" s="413"/>
      <c r="RG8" s="413"/>
      <c r="RH8" s="413"/>
      <c r="RI8" s="413"/>
      <c r="RJ8" s="413"/>
      <c r="RK8" s="413"/>
      <c r="RL8" s="413"/>
      <c r="RM8" s="413"/>
      <c r="RN8" s="413"/>
      <c r="RO8" s="413"/>
      <c r="RP8" s="413"/>
      <c r="RQ8" s="413"/>
      <c r="RR8" s="413"/>
      <c r="RS8" s="413"/>
      <c r="RT8" s="413"/>
      <c r="RU8" s="413"/>
      <c r="RV8" s="413"/>
      <c r="RW8" s="413"/>
      <c r="RX8" s="413"/>
      <c r="RY8" s="413"/>
      <c r="RZ8" s="413"/>
      <c r="SA8" s="413"/>
      <c r="SB8" s="413"/>
      <c r="SC8" s="413"/>
      <c r="SD8" s="413"/>
      <c r="SE8" s="413"/>
      <c r="SF8" s="413"/>
      <c r="SG8" s="413"/>
      <c r="SH8" s="413"/>
      <c r="SI8" s="413"/>
      <c r="SJ8" s="413"/>
      <c r="SK8" s="413"/>
      <c r="SL8" s="413"/>
      <c r="SM8" s="413"/>
      <c r="SN8" s="413"/>
      <c r="SO8" s="413"/>
      <c r="SP8" s="413"/>
      <c r="SQ8" s="413"/>
      <c r="SR8" s="413"/>
      <c r="SS8" s="413"/>
      <c r="ST8" s="413"/>
      <c r="SU8" s="413"/>
      <c r="SV8" s="413"/>
      <c r="SW8" s="413"/>
      <c r="SX8" s="413"/>
      <c r="SY8" s="413"/>
      <c r="SZ8" s="413"/>
      <c r="TA8" s="413"/>
      <c r="TB8" s="413"/>
      <c r="TC8" s="413"/>
      <c r="TD8" s="413"/>
      <c r="TE8" s="413"/>
      <c r="TF8" s="413"/>
      <c r="TG8" s="413"/>
      <c r="TH8" s="413"/>
      <c r="TI8" s="413"/>
      <c r="TJ8" s="413"/>
      <c r="TK8" s="413"/>
      <c r="TL8" s="413"/>
      <c r="TM8" s="413"/>
      <c r="TN8" s="413"/>
      <c r="TO8" s="413"/>
      <c r="TP8" s="413"/>
      <c r="TQ8" s="413"/>
      <c r="TR8" s="413"/>
      <c r="TS8" s="413"/>
      <c r="TT8" s="413"/>
      <c r="TU8" s="413"/>
      <c r="TV8" s="413"/>
      <c r="TW8" s="413"/>
      <c r="TX8" s="413"/>
      <c r="TY8" s="413"/>
      <c r="TZ8" s="413"/>
      <c r="UA8" s="413"/>
      <c r="UB8" s="413"/>
      <c r="UC8" s="413"/>
      <c r="UD8" s="413"/>
      <c r="UE8" s="413"/>
      <c r="UF8" s="413"/>
      <c r="UG8" s="413"/>
      <c r="UH8" s="413"/>
      <c r="UI8" s="413"/>
      <c r="UJ8" s="413"/>
      <c r="UK8" s="413"/>
      <c r="UL8" s="413"/>
      <c r="UM8" s="413"/>
      <c r="UN8" s="413"/>
      <c r="UO8" s="413"/>
      <c r="UP8" s="413"/>
      <c r="UQ8" s="413"/>
      <c r="UR8" s="413"/>
      <c r="US8" s="413"/>
      <c r="UT8" s="413"/>
      <c r="UU8" s="413"/>
      <c r="UV8" s="413"/>
      <c r="UW8" s="413"/>
      <c r="UX8" s="413"/>
      <c r="UY8" s="413"/>
      <c r="UZ8" s="413"/>
      <c r="VA8" s="413"/>
      <c r="VB8" s="413"/>
      <c r="VC8" s="413"/>
      <c r="VD8" s="413"/>
      <c r="VE8" s="413"/>
      <c r="VF8" s="413"/>
      <c r="VG8" s="413"/>
      <c r="VH8" s="413"/>
      <c r="VI8" s="413"/>
      <c r="VJ8" s="413"/>
      <c r="VK8" s="413"/>
      <c r="VL8" s="413"/>
      <c r="VM8" s="413"/>
      <c r="VN8" s="413"/>
      <c r="VO8" s="413"/>
      <c r="VP8" s="413"/>
      <c r="VQ8" s="413"/>
      <c r="VR8" s="413"/>
      <c r="VS8" s="413"/>
      <c r="VT8" s="413"/>
      <c r="VU8" s="413"/>
      <c r="VV8" s="413"/>
      <c r="VW8" s="413"/>
      <c r="VX8" s="413"/>
      <c r="VY8" s="413"/>
      <c r="VZ8" s="413"/>
      <c r="WA8" s="413"/>
      <c r="WB8" s="413"/>
      <c r="WC8" s="413"/>
      <c r="WD8" s="413"/>
      <c r="WE8" s="413"/>
      <c r="WF8" s="413"/>
      <c r="WG8" s="413"/>
      <c r="WH8" s="413"/>
      <c r="WI8" s="413"/>
      <c r="WJ8" s="413"/>
      <c r="WK8" s="413"/>
      <c r="WL8" s="413"/>
      <c r="WM8" s="413"/>
      <c r="WN8" s="413"/>
      <c r="WO8" s="413"/>
      <c r="WP8" s="413"/>
      <c r="WQ8" s="413"/>
      <c r="WR8" s="413"/>
      <c r="WS8" s="413"/>
      <c r="WT8" s="413"/>
      <c r="WU8" s="413"/>
      <c r="WV8" s="413"/>
      <c r="WW8" s="413"/>
      <c r="WX8" s="413"/>
      <c r="WY8" s="413"/>
      <c r="WZ8" s="413"/>
      <c r="XA8" s="413"/>
      <c r="XB8" s="413"/>
      <c r="XC8" s="413"/>
      <c r="XD8" s="413"/>
      <c r="XE8" s="413"/>
      <c r="XF8" s="413"/>
      <c r="XG8" s="413"/>
      <c r="XH8" s="413"/>
      <c r="XI8" s="413"/>
      <c r="XJ8" s="413"/>
      <c r="XK8" s="413"/>
      <c r="XL8" s="413"/>
      <c r="XM8" s="413"/>
      <c r="XN8" s="413"/>
      <c r="XO8" s="413"/>
      <c r="XP8" s="413"/>
      <c r="XQ8" s="413"/>
      <c r="XR8" s="413"/>
      <c r="XS8" s="413"/>
      <c r="XT8" s="413"/>
      <c r="XU8" s="413"/>
      <c r="XV8" s="413"/>
      <c r="XW8" s="413"/>
      <c r="XX8" s="413"/>
      <c r="XY8" s="413"/>
      <c r="XZ8" s="413"/>
      <c r="YA8" s="413"/>
      <c r="YB8" s="413"/>
      <c r="YC8" s="413"/>
      <c r="YD8" s="413"/>
      <c r="YE8" s="413"/>
      <c r="YF8" s="413"/>
      <c r="YG8" s="413"/>
      <c r="YH8" s="413"/>
      <c r="YI8" s="413"/>
      <c r="YJ8" s="413"/>
      <c r="YK8" s="413"/>
      <c r="YL8" s="413"/>
      <c r="YM8" s="413"/>
      <c r="YN8" s="413"/>
      <c r="YO8" s="413"/>
      <c r="YP8" s="413"/>
      <c r="YQ8" s="413"/>
      <c r="YR8" s="413"/>
      <c r="YS8" s="413"/>
      <c r="YT8" s="413"/>
      <c r="YU8" s="413"/>
      <c r="YV8" s="413"/>
      <c r="YW8" s="413"/>
      <c r="YX8" s="413"/>
      <c r="YY8" s="413"/>
      <c r="YZ8" s="413"/>
      <c r="ZA8" s="413"/>
      <c r="ZB8" s="413"/>
      <c r="ZC8" s="413"/>
      <c r="ZD8" s="413"/>
      <c r="ZE8" s="413"/>
      <c r="ZF8" s="413"/>
      <c r="ZG8" s="413"/>
      <c r="ZH8" s="413"/>
      <c r="ZI8" s="413"/>
      <c r="ZJ8" s="413"/>
      <c r="ZK8" s="413"/>
      <c r="ZL8" s="413"/>
      <c r="ZM8" s="413"/>
      <c r="ZN8" s="413"/>
      <c r="ZO8" s="413"/>
      <c r="ZP8" s="413"/>
      <c r="ZQ8" s="413"/>
      <c r="ZR8" s="413"/>
      <c r="ZS8" s="413"/>
      <c r="ZT8" s="413"/>
      <c r="ZU8" s="413"/>
      <c r="ZV8" s="413"/>
      <c r="ZW8" s="413"/>
      <c r="ZX8" s="413"/>
      <c r="ZY8" s="413"/>
      <c r="ZZ8" s="413"/>
      <c r="AAA8" s="413"/>
      <c r="AAB8" s="413"/>
      <c r="AAC8" s="413"/>
      <c r="AAD8" s="413"/>
      <c r="AAE8" s="413"/>
      <c r="AAF8" s="413"/>
      <c r="AAG8" s="413"/>
      <c r="AAH8" s="413"/>
      <c r="AAI8" s="413"/>
      <c r="AAJ8" s="413"/>
      <c r="AAK8" s="413"/>
      <c r="AAL8" s="413"/>
      <c r="AAM8" s="413"/>
      <c r="AAN8" s="413"/>
      <c r="AAO8" s="413"/>
      <c r="AAP8" s="413"/>
      <c r="AAQ8" s="413"/>
      <c r="AAR8" s="413"/>
      <c r="AAS8" s="413"/>
      <c r="AAT8" s="413"/>
      <c r="AAU8" s="413"/>
      <c r="AAV8" s="413"/>
      <c r="AAW8" s="413"/>
      <c r="AAX8" s="413"/>
      <c r="AAY8" s="413"/>
      <c r="AAZ8" s="413"/>
      <c r="ABA8" s="413"/>
      <c r="ABB8" s="413"/>
      <c r="ABC8" s="413"/>
      <c r="ABD8" s="413"/>
      <c r="ABE8" s="413"/>
      <c r="ABF8" s="413"/>
      <c r="ABG8" s="413"/>
      <c r="ABH8" s="413"/>
      <c r="ABI8" s="413"/>
      <c r="ABJ8" s="413"/>
      <c r="ABK8" s="413"/>
      <c r="ABL8" s="413"/>
      <c r="ABM8" s="413"/>
      <c r="ABN8" s="413"/>
      <c r="ABO8" s="413"/>
      <c r="ABP8" s="413"/>
      <c r="ABQ8" s="413"/>
      <c r="ABR8" s="413"/>
      <c r="ABS8" s="413"/>
      <c r="ABT8" s="413"/>
      <c r="ABU8" s="413"/>
      <c r="ABV8" s="413"/>
      <c r="ABW8" s="413"/>
      <c r="ABX8" s="413"/>
      <c r="ABY8" s="413"/>
      <c r="ABZ8" s="413"/>
      <c r="ACA8" s="413"/>
      <c r="ACB8" s="413"/>
      <c r="ACC8" s="413"/>
      <c r="ACD8" s="413"/>
      <c r="ACE8" s="413"/>
      <c r="ACF8" s="413"/>
      <c r="ACG8" s="413"/>
      <c r="ACH8" s="413"/>
      <c r="ACI8" s="413"/>
      <c r="ACJ8" s="413"/>
      <c r="ACK8" s="413"/>
      <c r="ACL8" s="413"/>
      <c r="ACM8" s="413"/>
      <c r="ACN8" s="413"/>
      <c r="ACO8" s="413"/>
      <c r="ACP8" s="413"/>
      <c r="ACQ8" s="413"/>
      <c r="ACR8" s="413"/>
      <c r="ACS8" s="413"/>
      <c r="ACT8" s="413"/>
      <c r="ACU8" s="413"/>
      <c r="ACV8" s="413"/>
      <c r="ACW8" s="413"/>
      <c r="ACX8" s="413"/>
      <c r="ACY8" s="413"/>
      <c r="ACZ8" s="413"/>
      <c r="ADA8" s="413"/>
      <c r="ADB8" s="413"/>
      <c r="ADC8" s="413"/>
      <c r="ADD8" s="413"/>
      <c r="ADE8" s="413"/>
      <c r="ADF8" s="413"/>
      <c r="ADG8" s="413"/>
      <c r="ADH8" s="413"/>
      <c r="ADI8" s="413"/>
      <c r="ADJ8" s="413"/>
      <c r="ADK8" s="413"/>
      <c r="ADL8" s="413"/>
      <c r="ADM8" s="413"/>
      <c r="ADN8" s="413"/>
      <c r="ADO8" s="413"/>
      <c r="ADP8" s="413"/>
      <c r="ADQ8" s="413"/>
      <c r="ADR8" s="413"/>
      <c r="ADS8" s="413"/>
      <c r="ADT8" s="413"/>
      <c r="ADU8" s="413"/>
      <c r="ADV8" s="413"/>
      <c r="ADW8" s="413"/>
      <c r="ADX8" s="413"/>
      <c r="ADY8" s="413"/>
      <c r="ADZ8" s="413"/>
      <c r="AEA8" s="413"/>
      <c r="AEB8" s="413"/>
      <c r="AEC8" s="413"/>
      <c r="AED8" s="413"/>
      <c r="AEE8" s="413"/>
      <c r="AEF8" s="413"/>
      <c r="AEG8" s="413"/>
      <c r="AEH8" s="413"/>
      <c r="AEI8" s="413"/>
      <c r="AEJ8" s="413"/>
      <c r="AEK8" s="413"/>
      <c r="AEL8" s="413"/>
      <c r="AEM8" s="413"/>
      <c r="AEN8" s="413"/>
      <c r="AEO8" s="413"/>
      <c r="AEP8" s="413"/>
      <c r="AEQ8" s="413"/>
      <c r="AER8" s="413"/>
      <c r="AES8" s="413"/>
      <c r="AET8" s="413"/>
      <c r="AEU8" s="413"/>
      <c r="AEV8" s="413"/>
      <c r="AEW8" s="413"/>
      <c r="AEX8" s="413"/>
      <c r="AEY8" s="413"/>
      <c r="AEZ8" s="413"/>
      <c r="AFA8" s="413"/>
      <c r="AFB8" s="413"/>
      <c r="AFC8" s="413"/>
      <c r="AFD8" s="413"/>
      <c r="AFE8" s="413"/>
      <c r="AFF8" s="413"/>
      <c r="AFG8" s="413"/>
      <c r="AFH8" s="413"/>
      <c r="AFI8" s="413"/>
      <c r="AFJ8" s="413"/>
      <c r="AFK8" s="413"/>
      <c r="AFL8" s="413"/>
      <c r="AFM8" s="413"/>
      <c r="AFN8" s="413"/>
      <c r="AFO8" s="413"/>
      <c r="AFP8" s="413"/>
      <c r="AFQ8" s="413"/>
      <c r="AFR8" s="413"/>
      <c r="AFS8" s="413"/>
      <c r="AFT8" s="413"/>
      <c r="AFU8" s="413"/>
      <c r="AFV8" s="413"/>
      <c r="AFW8" s="413"/>
      <c r="AFX8" s="413"/>
      <c r="AFY8" s="413"/>
      <c r="AFZ8" s="413"/>
      <c r="AGA8" s="413"/>
      <c r="AGB8" s="413"/>
      <c r="AGC8" s="413"/>
      <c r="AGD8" s="413"/>
      <c r="AGE8" s="413"/>
      <c r="AGF8" s="413"/>
      <c r="AGG8" s="413"/>
      <c r="AGH8" s="413"/>
      <c r="AGI8" s="413"/>
      <c r="AGJ8" s="413"/>
      <c r="AGK8" s="413"/>
      <c r="AGL8" s="413"/>
      <c r="AGM8" s="413"/>
      <c r="AGN8" s="413"/>
      <c r="AGO8" s="413"/>
      <c r="AGP8" s="413"/>
      <c r="AGQ8" s="413"/>
      <c r="AGR8" s="413"/>
      <c r="AGS8" s="413"/>
      <c r="AGT8" s="413"/>
      <c r="AGU8" s="413"/>
      <c r="AGV8" s="413"/>
      <c r="AGW8" s="413"/>
      <c r="AGX8" s="413"/>
      <c r="AGY8" s="413"/>
      <c r="AGZ8" s="413"/>
      <c r="AHA8" s="413"/>
      <c r="AHB8" s="413"/>
      <c r="AHC8" s="414"/>
      <c r="AHD8" s="414"/>
      <c r="AHE8" s="414"/>
      <c r="AHF8" s="414"/>
      <c r="AHG8" s="414"/>
      <c r="AHH8" s="415"/>
    </row>
    <row r="9" s="335" customFormat="1" ht="23" customHeight="1" spans="1:892">
      <c r="A9" s="340">
        <v>5</v>
      </c>
      <c r="B9" s="341"/>
      <c r="C9" s="516" t="s">
        <v>124</v>
      </c>
      <c r="D9" s="346"/>
      <c r="E9" s="85"/>
      <c r="F9" s="81">
        <v>5</v>
      </c>
      <c r="G9" s="344" t="s">
        <v>376</v>
      </c>
      <c r="H9" s="345" t="s">
        <v>377</v>
      </c>
      <c r="I9" s="366" t="s">
        <v>128</v>
      </c>
      <c r="J9" s="366" t="s">
        <v>128</v>
      </c>
      <c r="K9" s="367"/>
      <c r="L9" s="368"/>
      <c r="M9" s="368"/>
      <c r="N9" s="369" t="s">
        <v>378</v>
      </c>
      <c r="O9" s="370"/>
      <c r="P9" s="371"/>
      <c r="Q9" s="371"/>
      <c r="R9" s="388" t="s">
        <v>136</v>
      </c>
      <c r="S9" s="388"/>
      <c r="T9" s="389"/>
      <c r="U9" s="389"/>
      <c r="V9" s="388" t="s">
        <v>136</v>
      </c>
      <c r="W9" s="388"/>
      <c r="X9" s="340" t="s">
        <v>135</v>
      </c>
      <c r="Y9" s="340" t="s">
        <v>135</v>
      </c>
      <c r="Z9" s="120">
        <f t="shared" si="0"/>
        <v>8</v>
      </c>
      <c r="AA9" s="303" t="str">
        <f t="shared" si="1"/>
        <v>00:08:00</v>
      </c>
      <c r="AB9" s="120">
        <f t="shared" si="2"/>
        <v>480</v>
      </c>
      <c r="AC9" s="406">
        <v>0.00534722222222222</v>
      </c>
      <c r="AD9" s="407">
        <v>169</v>
      </c>
      <c r="AE9" s="407">
        <v>43</v>
      </c>
      <c r="AF9" s="340" t="s">
        <v>138</v>
      </c>
      <c r="AG9" s="409"/>
      <c r="AH9" s="410"/>
      <c r="AI9" s="411"/>
      <c r="AJ9" s="410"/>
      <c r="AK9" s="410"/>
      <c r="AL9" s="409"/>
      <c r="AM9" s="412"/>
      <c r="AN9" s="412"/>
      <c r="AO9" s="412"/>
      <c r="AP9" s="413"/>
      <c r="AQ9" s="413"/>
      <c r="AR9" s="413"/>
      <c r="AS9" s="413"/>
      <c r="AT9" s="413"/>
      <c r="AU9" s="413"/>
      <c r="AV9" s="413"/>
      <c r="AW9" s="413"/>
      <c r="AX9" s="413"/>
      <c r="AY9" s="413"/>
      <c r="AZ9" s="413"/>
      <c r="BA9" s="413"/>
      <c r="BB9" s="413"/>
      <c r="BC9" s="413"/>
      <c r="BD9" s="413"/>
      <c r="BE9" s="413"/>
      <c r="BF9" s="413"/>
      <c r="BG9" s="413"/>
      <c r="BH9" s="413"/>
      <c r="BI9" s="413"/>
      <c r="BJ9" s="413"/>
      <c r="BK9" s="413"/>
      <c r="BL9" s="413"/>
      <c r="BM9" s="413"/>
      <c r="BN9" s="413"/>
      <c r="BO9" s="413"/>
      <c r="BP9" s="413"/>
      <c r="BQ9" s="413"/>
      <c r="BR9" s="413"/>
      <c r="BS9" s="413"/>
      <c r="BT9" s="413"/>
      <c r="BU9" s="413"/>
      <c r="BV9" s="413"/>
      <c r="BW9" s="413"/>
      <c r="BX9" s="413"/>
      <c r="BY9" s="413"/>
      <c r="BZ9" s="413"/>
      <c r="CA9" s="413"/>
      <c r="CB9" s="413"/>
      <c r="CC9" s="413"/>
      <c r="CD9" s="413"/>
      <c r="CE9" s="413"/>
      <c r="CF9" s="413"/>
      <c r="CG9" s="413"/>
      <c r="CH9" s="413"/>
      <c r="CI9" s="413"/>
      <c r="CJ9" s="413"/>
      <c r="CK9" s="413"/>
      <c r="CL9" s="413"/>
      <c r="CM9" s="413"/>
      <c r="CN9" s="413"/>
      <c r="CO9" s="413"/>
      <c r="CP9" s="413"/>
      <c r="CQ9" s="413"/>
      <c r="CR9" s="413"/>
      <c r="CS9" s="413"/>
      <c r="CT9" s="413"/>
      <c r="CU9" s="413"/>
      <c r="CV9" s="413"/>
      <c r="CW9" s="413"/>
      <c r="CX9" s="413"/>
      <c r="CY9" s="413"/>
      <c r="CZ9" s="413"/>
      <c r="DA9" s="413"/>
      <c r="DB9" s="413"/>
      <c r="DC9" s="413"/>
      <c r="DD9" s="413"/>
      <c r="DE9" s="413"/>
      <c r="DF9" s="413"/>
      <c r="DG9" s="413"/>
      <c r="DH9" s="413"/>
      <c r="DI9" s="413"/>
      <c r="DJ9" s="413"/>
      <c r="DK9" s="413"/>
      <c r="DL9" s="413"/>
      <c r="DM9" s="413"/>
      <c r="DN9" s="413"/>
      <c r="DO9" s="413"/>
      <c r="DP9" s="413"/>
      <c r="DQ9" s="413"/>
      <c r="DR9" s="413"/>
      <c r="DS9" s="413"/>
      <c r="DT9" s="413"/>
      <c r="DU9" s="413"/>
      <c r="DV9" s="413"/>
      <c r="DW9" s="413"/>
      <c r="DX9" s="413"/>
      <c r="DY9" s="413"/>
      <c r="DZ9" s="413"/>
      <c r="EA9" s="413"/>
      <c r="EB9" s="413"/>
      <c r="EC9" s="413"/>
      <c r="ED9" s="413"/>
      <c r="EE9" s="413"/>
      <c r="EF9" s="413"/>
      <c r="EG9" s="413"/>
      <c r="EH9" s="413"/>
      <c r="EI9" s="413"/>
      <c r="EJ9" s="413"/>
      <c r="EK9" s="413"/>
      <c r="EL9" s="413"/>
      <c r="EM9" s="413"/>
      <c r="EN9" s="413"/>
      <c r="EO9" s="413"/>
      <c r="EP9" s="413"/>
      <c r="EQ9" s="413"/>
      <c r="ER9" s="413"/>
      <c r="ES9" s="413"/>
      <c r="ET9" s="413"/>
      <c r="EU9" s="413"/>
      <c r="EV9" s="413"/>
      <c r="EW9" s="413"/>
      <c r="EX9" s="413"/>
      <c r="EY9" s="413"/>
      <c r="EZ9" s="413"/>
      <c r="FA9" s="413"/>
      <c r="FB9" s="413"/>
      <c r="FC9" s="413"/>
      <c r="FD9" s="413"/>
      <c r="FE9" s="413"/>
      <c r="FF9" s="413"/>
      <c r="FG9" s="413"/>
      <c r="FH9" s="413"/>
      <c r="FI9" s="413"/>
      <c r="FJ9" s="413"/>
      <c r="FK9" s="413"/>
      <c r="FL9" s="413"/>
      <c r="FM9" s="413"/>
      <c r="FN9" s="413"/>
      <c r="FO9" s="413"/>
      <c r="FP9" s="413"/>
      <c r="FQ9" s="413"/>
      <c r="FR9" s="413"/>
      <c r="FS9" s="413"/>
      <c r="FT9" s="413"/>
      <c r="FU9" s="413"/>
      <c r="FV9" s="413"/>
      <c r="FW9" s="413"/>
      <c r="FX9" s="413"/>
      <c r="FY9" s="413"/>
      <c r="FZ9" s="413"/>
      <c r="GA9" s="413"/>
      <c r="GB9" s="413"/>
      <c r="GC9" s="413"/>
      <c r="GD9" s="413"/>
      <c r="GE9" s="413"/>
      <c r="GF9" s="413"/>
      <c r="GG9" s="413"/>
      <c r="GH9" s="413"/>
      <c r="GI9" s="413"/>
      <c r="GJ9" s="413"/>
      <c r="GK9" s="413"/>
      <c r="GL9" s="413"/>
      <c r="GM9" s="413"/>
      <c r="GN9" s="413"/>
      <c r="GO9" s="413"/>
      <c r="GP9" s="413"/>
      <c r="GQ9" s="413"/>
      <c r="GR9" s="413"/>
      <c r="GS9" s="413"/>
      <c r="GT9" s="413"/>
      <c r="GU9" s="413"/>
      <c r="GV9" s="413"/>
      <c r="GW9" s="413"/>
      <c r="GX9" s="413"/>
      <c r="GY9" s="413"/>
      <c r="GZ9" s="413"/>
      <c r="HA9" s="413"/>
      <c r="HB9" s="413"/>
      <c r="HC9" s="413"/>
      <c r="HD9" s="413"/>
      <c r="HE9" s="413"/>
      <c r="HF9" s="413"/>
      <c r="HG9" s="413"/>
      <c r="HH9" s="413"/>
      <c r="HI9" s="413"/>
      <c r="HJ9" s="413"/>
      <c r="HK9" s="413"/>
      <c r="HL9" s="413"/>
      <c r="HM9" s="413"/>
      <c r="HN9" s="413"/>
      <c r="HO9" s="413"/>
      <c r="HP9" s="413"/>
      <c r="HQ9" s="413"/>
      <c r="HR9" s="413"/>
      <c r="HS9" s="413"/>
      <c r="HT9" s="413"/>
      <c r="HU9" s="413"/>
      <c r="HV9" s="413"/>
      <c r="HW9" s="413"/>
      <c r="HX9" s="413"/>
      <c r="HY9" s="413"/>
      <c r="HZ9" s="413"/>
      <c r="IA9" s="413"/>
      <c r="IB9" s="413"/>
      <c r="IC9" s="413"/>
      <c r="ID9" s="413"/>
      <c r="IE9" s="413"/>
      <c r="IF9" s="413"/>
      <c r="IG9" s="413"/>
      <c r="IH9" s="413"/>
      <c r="II9" s="413"/>
      <c r="IJ9" s="413"/>
      <c r="IK9" s="413"/>
      <c r="IL9" s="413"/>
      <c r="IM9" s="413"/>
      <c r="IN9" s="413"/>
      <c r="IO9" s="413"/>
      <c r="IP9" s="413"/>
      <c r="IQ9" s="413"/>
      <c r="IR9" s="413"/>
      <c r="IS9" s="413"/>
      <c r="IT9" s="413"/>
      <c r="IU9" s="413"/>
      <c r="IV9" s="413"/>
      <c r="IW9" s="413"/>
      <c r="IX9" s="413"/>
      <c r="IY9" s="413"/>
      <c r="IZ9" s="413"/>
      <c r="JA9" s="413"/>
      <c r="JB9" s="413"/>
      <c r="JC9" s="413"/>
      <c r="JD9" s="413"/>
      <c r="JE9" s="413"/>
      <c r="JF9" s="413"/>
      <c r="JG9" s="413"/>
      <c r="JH9" s="413"/>
      <c r="JI9" s="413"/>
      <c r="JJ9" s="413"/>
      <c r="JK9" s="413"/>
      <c r="JL9" s="413"/>
      <c r="JM9" s="413"/>
      <c r="JN9" s="413"/>
      <c r="JO9" s="413"/>
      <c r="JP9" s="413"/>
      <c r="JQ9" s="413"/>
      <c r="JR9" s="413"/>
      <c r="JS9" s="413"/>
      <c r="JT9" s="413"/>
      <c r="JU9" s="413"/>
      <c r="JV9" s="413"/>
      <c r="JW9" s="413"/>
      <c r="JX9" s="413"/>
      <c r="JY9" s="413"/>
      <c r="JZ9" s="413"/>
      <c r="KA9" s="413"/>
      <c r="KB9" s="413"/>
      <c r="KC9" s="413"/>
      <c r="KD9" s="413"/>
      <c r="KE9" s="413"/>
      <c r="KF9" s="413"/>
      <c r="KG9" s="413"/>
      <c r="KH9" s="413"/>
      <c r="KI9" s="413"/>
      <c r="KJ9" s="413"/>
      <c r="KK9" s="413"/>
      <c r="KL9" s="413"/>
      <c r="KM9" s="413"/>
      <c r="KN9" s="413"/>
      <c r="KO9" s="413"/>
      <c r="KP9" s="413"/>
      <c r="KQ9" s="413"/>
      <c r="KR9" s="413"/>
      <c r="KS9" s="413"/>
      <c r="KT9" s="413"/>
      <c r="KU9" s="413"/>
      <c r="KV9" s="413"/>
      <c r="KW9" s="413"/>
      <c r="KX9" s="413"/>
      <c r="KY9" s="413"/>
      <c r="KZ9" s="413"/>
      <c r="LA9" s="413"/>
      <c r="LB9" s="413"/>
      <c r="LC9" s="413"/>
      <c r="LD9" s="413"/>
      <c r="LE9" s="413"/>
      <c r="LF9" s="413"/>
      <c r="LG9" s="413"/>
      <c r="LH9" s="413"/>
      <c r="LI9" s="413"/>
      <c r="LJ9" s="413"/>
      <c r="LK9" s="413"/>
      <c r="LL9" s="413"/>
      <c r="LM9" s="413"/>
      <c r="LN9" s="413"/>
      <c r="LO9" s="413"/>
      <c r="LP9" s="413"/>
      <c r="LQ9" s="413"/>
      <c r="LR9" s="413"/>
      <c r="LS9" s="413"/>
      <c r="LT9" s="413"/>
      <c r="LU9" s="413"/>
      <c r="LV9" s="413"/>
      <c r="LW9" s="413"/>
      <c r="LX9" s="413"/>
      <c r="LY9" s="413"/>
      <c r="LZ9" s="413"/>
      <c r="MA9" s="413"/>
      <c r="MB9" s="413"/>
      <c r="MC9" s="413"/>
      <c r="MD9" s="413"/>
      <c r="ME9" s="413"/>
      <c r="MF9" s="413"/>
      <c r="MG9" s="413"/>
      <c r="MH9" s="413"/>
      <c r="MI9" s="413"/>
      <c r="MJ9" s="413"/>
      <c r="MK9" s="413"/>
      <c r="ML9" s="413"/>
      <c r="MM9" s="413"/>
      <c r="MN9" s="413"/>
      <c r="MO9" s="413"/>
      <c r="MP9" s="413"/>
      <c r="MQ9" s="413"/>
      <c r="MR9" s="413"/>
      <c r="MS9" s="413"/>
      <c r="MT9" s="413"/>
      <c r="MU9" s="413"/>
      <c r="MV9" s="413"/>
      <c r="MW9" s="413"/>
      <c r="MX9" s="413"/>
      <c r="MY9" s="413"/>
      <c r="MZ9" s="413"/>
      <c r="NA9" s="413"/>
      <c r="NB9" s="413"/>
      <c r="NC9" s="413"/>
      <c r="ND9" s="413"/>
      <c r="NE9" s="413"/>
      <c r="NF9" s="413"/>
      <c r="NG9" s="413"/>
      <c r="NH9" s="413"/>
      <c r="NI9" s="413"/>
      <c r="NJ9" s="413"/>
      <c r="NK9" s="413"/>
      <c r="NL9" s="413"/>
      <c r="NM9" s="413"/>
      <c r="NN9" s="413"/>
      <c r="NO9" s="413"/>
      <c r="NP9" s="413"/>
      <c r="NQ9" s="413"/>
      <c r="NR9" s="413"/>
      <c r="NS9" s="413"/>
      <c r="NT9" s="413"/>
      <c r="NU9" s="413"/>
      <c r="NV9" s="413"/>
      <c r="NW9" s="413"/>
      <c r="NX9" s="413"/>
      <c r="NY9" s="413"/>
      <c r="NZ9" s="413"/>
      <c r="OA9" s="413"/>
      <c r="OB9" s="413"/>
      <c r="OC9" s="413"/>
      <c r="OD9" s="413"/>
      <c r="OE9" s="413"/>
      <c r="OF9" s="413"/>
      <c r="OG9" s="413"/>
      <c r="OH9" s="413"/>
      <c r="OI9" s="413"/>
      <c r="OJ9" s="413"/>
      <c r="OK9" s="413"/>
      <c r="OL9" s="413"/>
      <c r="OM9" s="413"/>
      <c r="ON9" s="413"/>
      <c r="OO9" s="413"/>
      <c r="OP9" s="413"/>
      <c r="OQ9" s="413"/>
      <c r="OR9" s="413"/>
      <c r="OS9" s="413"/>
      <c r="OT9" s="413"/>
      <c r="OU9" s="413"/>
      <c r="OV9" s="413"/>
      <c r="OW9" s="413"/>
      <c r="OX9" s="413"/>
      <c r="OY9" s="413"/>
      <c r="OZ9" s="413"/>
      <c r="PA9" s="413"/>
      <c r="PB9" s="413"/>
      <c r="PC9" s="413"/>
      <c r="PD9" s="413"/>
      <c r="PE9" s="413"/>
      <c r="PF9" s="413"/>
      <c r="PG9" s="413"/>
      <c r="PH9" s="413"/>
      <c r="PI9" s="413"/>
      <c r="PJ9" s="413"/>
      <c r="PK9" s="413"/>
      <c r="PL9" s="413"/>
      <c r="PM9" s="413"/>
      <c r="PN9" s="413"/>
      <c r="PO9" s="413"/>
      <c r="PP9" s="413"/>
      <c r="PQ9" s="413"/>
      <c r="PR9" s="413"/>
      <c r="PS9" s="413"/>
      <c r="PT9" s="413"/>
      <c r="PU9" s="413"/>
      <c r="PV9" s="413"/>
      <c r="PW9" s="413"/>
      <c r="PX9" s="413"/>
      <c r="PY9" s="413"/>
      <c r="PZ9" s="413"/>
      <c r="QA9" s="413"/>
      <c r="QB9" s="413"/>
      <c r="QC9" s="413"/>
      <c r="QD9" s="413"/>
      <c r="QE9" s="413"/>
      <c r="QF9" s="413"/>
      <c r="QG9" s="413"/>
      <c r="QH9" s="413"/>
      <c r="QI9" s="413"/>
      <c r="QJ9" s="413"/>
      <c r="QK9" s="413"/>
      <c r="QL9" s="413"/>
      <c r="QM9" s="413"/>
      <c r="QN9" s="413"/>
      <c r="QO9" s="413"/>
      <c r="QP9" s="413"/>
      <c r="QQ9" s="413"/>
      <c r="QR9" s="413"/>
      <c r="QS9" s="413"/>
      <c r="QT9" s="413"/>
      <c r="QU9" s="413"/>
      <c r="QV9" s="413"/>
      <c r="QW9" s="413"/>
      <c r="QX9" s="413"/>
      <c r="QY9" s="413"/>
      <c r="QZ9" s="413"/>
      <c r="RA9" s="413"/>
      <c r="RB9" s="413"/>
      <c r="RC9" s="413"/>
      <c r="RD9" s="413"/>
      <c r="RE9" s="413"/>
      <c r="RF9" s="413"/>
      <c r="RG9" s="413"/>
      <c r="RH9" s="413"/>
      <c r="RI9" s="413"/>
      <c r="RJ9" s="413"/>
      <c r="RK9" s="413"/>
      <c r="RL9" s="413"/>
      <c r="RM9" s="413"/>
      <c r="RN9" s="413"/>
      <c r="RO9" s="413"/>
      <c r="RP9" s="413"/>
      <c r="RQ9" s="413"/>
      <c r="RR9" s="413"/>
      <c r="RS9" s="413"/>
      <c r="RT9" s="413"/>
      <c r="RU9" s="413"/>
      <c r="RV9" s="413"/>
      <c r="RW9" s="413"/>
      <c r="RX9" s="413"/>
      <c r="RY9" s="413"/>
      <c r="RZ9" s="413"/>
      <c r="SA9" s="413"/>
      <c r="SB9" s="413"/>
      <c r="SC9" s="413"/>
      <c r="SD9" s="413"/>
      <c r="SE9" s="413"/>
      <c r="SF9" s="413"/>
      <c r="SG9" s="413"/>
      <c r="SH9" s="413"/>
      <c r="SI9" s="413"/>
      <c r="SJ9" s="413"/>
      <c r="SK9" s="413"/>
      <c r="SL9" s="413"/>
      <c r="SM9" s="413"/>
      <c r="SN9" s="413"/>
      <c r="SO9" s="413"/>
      <c r="SP9" s="413"/>
      <c r="SQ9" s="413"/>
      <c r="SR9" s="413"/>
      <c r="SS9" s="413"/>
      <c r="ST9" s="413"/>
      <c r="SU9" s="413"/>
      <c r="SV9" s="413"/>
      <c r="SW9" s="413"/>
      <c r="SX9" s="413"/>
      <c r="SY9" s="413"/>
      <c r="SZ9" s="413"/>
      <c r="TA9" s="413"/>
      <c r="TB9" s="413"/>
      <c r="TC9" s="413"/>
      <c r="TD9" s="413"/>
      <c r="TE9" s="413"/>
      <c r="TF9" s="413"/>
      <c r="TG9" s="413"/>
      <c r="TH9" s="413"/>
      <c r="TI9" s="413"/>
      <c r="TJ9" s="413"/>
      <c r="TK9" s="413"/>
      <c r="TL9" s="413"/>
      <c r="TM9" s="413"/>
      <c r="TN9" s="413"/>
      <c r="TO9" s="413"/>
      <c r="TP9" s="413"/>
      <c r="TQ9" s="413"/>
      <c r="TR9" s="413"/>
      <c r="TS9" s="413"/>
      <c r="TT9" s="413"/>
      <c r="TU9" s="413"/>
      <c r="TV9" s="413"/>
      <c r="TW9" s="413"/>
      <c r="TX9" s="413"/>
      <c r="TY9" s="413"/>
      <c r="TZ9" s="413"/>
      <c r="UA9" s="413"/>
      <c r="UB9" s="413"/>
      <c r="UC9" s="413"/>
      <c r="UD9" s="413"/>
      <c r="UE9" s="413"/>
      <c r="UF9" s="413"/>
      <c r="UG9" s="413"/>
      <c r="UH9" s="413"/>
      <c r="UI9" s="413"/>
      <c r="UJ9" s="413"/>
      <c r="UK9" s="413"/>
      <c r="UL9" s="413"/>
      <c r="UM9" s="413"/>
      <c r="UN9" s="413"/>
      <c r="UO9" s="413"/>
      <c r="UP9" s="413"/>
      <c r="UQ9" s="413"/>
      <c r="UR9" s="413"/>
      <c r="US9" s="413"/>
      <c r="UT9" s="413"/>
      <c r="UU9" s="413"/>
      <c r="UV9" s="413"/>
      <c r="UW9" s="413"/>
      <c r="UX9" s="413"/>
      <c r="UY9" s="413"/>
      <c r="UZ9" s="413"/>
      <c r="VA9" s="413"/>
      <c r="VB9" s="413"/>
      <c r="VC9" s="413"/>
      <c r="VD9" s="413"/>
      <c r="VE9" s="413"/>
      <c r="VF9" s="413"/>
      <c r="VG9" s="413"/>
      <c r="VH9" s="413"/>
      <c r="VI9" s="413"/>
      <c r="VJ9" s="413"/>
      <c r="VK9" s="413"/>
      <c r="VL9" s="413"/>
      <c r="VM9" s="413"/>
      <c r="VN9" s="413"/>
      <c r="VO9" s="413"/>
      <c r="VP9" s="413"/>
      <c r="VQ9" s="413"/>
      <c r="VR9" s="413"/>
      <c r="VS9" s="413"/>
      <c r="VT9" s="413"/>
      <c r="VU9" s="413"/>
      <c r="VV9" s="413"/>
      <c r="VW9" s="413"/>
      <c r="VX9" s="413"/>
      <c r="VY9" s="413"/>
      <c r="VZ9" s="413"/>
      <c r="WA9" s="413"/>
      <c r="WB9" s="413"/>
      <c r="WC9" s="413"/>
      <c r="WD9" s="413"/>
      <c r="WE9" s="413"/>
      <c r="WF9" s="413"/>
      <c r="WG9" s="413"/>
      <c r="WH9" s="413"/>
      <c r="WI9" s="413"/>
      <c r="WJ9" s="413"/>
      <c r="WK9" s="413"/>
      <c r="WL9" s="413"/>
      <c r="WM9" s="413"/>
      <c r="WN9" s="413"/>
      <c r="WO9" s="413"/>
      <c r="WP9" s="413"/>
      <c r="WQ9" s="413"/>
      <c r="WR9" s="413"/>
      <c r="WS9" s="413"/>
      <c r="WT9" s="413"/>
      <c r="WU9" s="413"/>
      <c r="WV9" s="413"/>
      <c r="WW9" s="413"/>
      <c r="WX9" s="413"/>
      <c r="WY9" s="413"/>
      <c r="WZ9" s="413"/>
      <c r="XA9" s="413"/>
      <c r="XB9" s="413"/>
      <c r="XC9" s="413"/>
      <c r="XD9" s="413"/>
      <c r="XE9" s="413"/>
      <c r="XF9" s="413"/>
      <c r="XG9" s="413"/>
      <c r="XH9" s="413"/>
      <c r="XI9" s="413"/>
      <c r="XJ9" s="413"/>
      <c r="XK9" s="413"/>
      <c r="XL9" s="413"/>
      <c r="XM9" s="413"/>
      <c r="XN9" s="413"/>
      <c r="XO9" s="413"/>
      <c r="XP9" s="413"/>
      <c r="XQ9" s="413"/>
      <c r="XR9" s="413"/>
      <c r="XS9" s="413"/>
      <c r="XT9" s="413"/>
      <c r="XU9" s="413"/>
      <c r="XV9" s="413"/>
      <c r="XW9" s="413"/>
      <c r="XX9" s="413"/>
      <c r="XY9" s="413"/>
      <c r="XZ9" s="413"/>
      <c r="YA9" s="413"/>
      <c r="YB9" s="413"/>
      <c r="YC9" s="413"/>
      <c r="YD9" s="413"/>
      <c r="YE9" s="413"/>
      <c r="YF9" s="413"/>
      <c r="YG9" s="413"/>
      <c r="YH9" s="413"/>
      <c r="YI9" s="413"/>
      <c r="YJ9" s="413"/>
      <c r="YK9" s="413"/>
      <c r="YL9" s="413"/>
      <c r="YM9" s="413"/>
      <c r="YN9" s="413"/>
      <c r="YO9" s="413"/>
      <c r="YP9" s="413"/>
      <c r="YQ9" s="413"/>
      <c r="YR9" s="413"/>
      <c r="YS9" s="413"/>
      <c r="YT9" s="413"/>
      <c r="YU9" s="413"/>
      <c r="YV9" s="413"/>
      <c r="YW9" s="413"/>
      <c r="YX9" s="413"/>
      <c r="YY9" s="413"/>
      <c r="YZ9" s="413"/>
      <c r="ZA9" s="413"/>
      <c r="ZB9" s="413"/>
      <c r="ZC9" s="413"/>
      <c r="ZD9" s="413"/>
      <c r="ZE9" s="413"/>
      <c r="ZF9" s="413"/>
      <c r="ZG9" s="413"/>
      <c r="ZH9" s="413"/>
      <c r="ZI9" s="413"/>
      <c r="ZJ9" s="413"/>
      <c r="ZK9" s="413"/>
      <c r="ZL9" s="413"/>
      <c r="ZM9" s="413"/>
      <c r="ZN9" s="413"/>
      <c r="ZO9" s="413"/>
      <c r="ZP9" s="413"/>
      <c r="ZQ9" s="413"/>
      <c r="ZR9" s="413"/>
      <c r="ZS9" s="413"/>
      <c r="ZT9" s="413"/>
      <c r="ZU9" s="413"/>
      <c r="ZV9" s="413"/>
      <c r="ZW9" s="413"/>
      <c r="ZX9" s="413"/>
      <c r="ZY9" s="413"/>
      <c r="ZZ9" s="413"/>
      <c r="AAA9" s="413"/>
      <c r="AAB9" s="413"/>
      <c r="AAC9" s="413"/>
      <c r="AAD9" s="413"/>
      <c r="AAE9" s="413"/>
      <c r="AAF9" s="413"/>
      <c r="AAG9" s="413"/>
      <c r="AAH9" s="413"/>
      <c r="AAI9" s="413"/>
      <c r="AAJ9" s="413"/>
      <c r="AAK9" s="413"/>
      <c r="AAL9" s="413"/>
      <c r="AAM9" s="413"/>
      <c r="AAN9" s="413"/>
      <c r="AAO9" s="413"/>
      <c r="AAP9" s="413"/>
      <c r="AAQ9" s="413"/>
      <c r="AAR9" s="413"/>
      <c r="AAS9" s="413"/>
      <c r="AAT9" s="413"/>
      <c r="AAU9" s="413"/>
      <c r="AAV9" s="413"/>
      <c r="AAW9" s="413"/>
      <c r="AAX9" s="413"/>
      <c r="AAY9" s="413"/>
      <c r="AAZ9" s="413"/>
      <c r="ABA9" s="413"/>
      <c r="ABB9" s="413"/>
      <c r="ABC9" s="413"/>
      <c r="ABD9" s="413"/>
      <c r="ABE9" s="413"/>
      <c r="ABF9" s="413"/>
      <c r="ABG9" s="413"/>
      <c r="ABH9" s="413"/>
      <c r="ABI9" s="413"/>
      <c r="ABJ9" s="413"/>
      <c r="ABK9" s="413"/>
      <c r="ABL9" s="413"/>
      <c r="ABM9" s="413"/>
      <c r="ABN9" s="413"/>
      <c r="ABO9" s="413"/>
      <c r="ABP9" s="413"/>
      <c r="ABQ9" s="413"/>
      <c r="ABR9" s="413"/>
      <c r="ABS9" s="413"/>
      <c r="ABT9" s="413"/>
      <c r="ABU9" s="413"/>
      <c r="ABV9" s="413"/>
      <c r="ABW9" s="413"/>
      <c r="ABX9" s="413"/>
      <c r="ABY9" s="413"/>
      <c r="ABZ9" s="413"/>
      <c r="ACA9" s="413"/>
      <c r="ACB9" s="413"/>
      <c r="ACC9" s="413"/>
      <c r="ACD9" s="413"/>
      <c r="ACE9" s="413"/>
      <c r="ACF9" s="413"/>
      <c r="ACG9" s="413"/>
      <c r="ACH9" s="413"/>
      <c r="ACI9" s="413"/>
      <c r="ACJ9" s="413"/>
      <c r="ACK9" s="413"/>
      <c r="ACL9" s="413"/>
      <c r="ACM9" s="413"/>
      <c r="ACN9" s="413"/>
      <c r="ACO9" s="413"/>
      <c r="ACP9" s="413"/>
      <c r="ACQ9" s="413"/>
      <c r="ACR9" s="413"/>
      <c r="ACS9" s="413"/>
      <c r="ACT9" s="413"/>
      <c r="ACU9" s="413"/>
      <c r="ACV9" s="413"/>
      <c r="ACW9" s="413"/>
      <c r="ACX9" s="413"/>
      <c r="ACY9" s="413"/>
      <c r="ACZ9" s="413"/>
      <c r="ADA9" s="413"/>
      <c r="ADB9" s="413"/>
      <c r="ADC9" s="413"/>
      <c r="ADD9" s="413"/>
      <c r="ADE9" s="413"/>
      <c r="ADF9" s="413"/>
      <c r="ADG9" s="413"/>
      <c r="ADH9" s="413"/>
      <c r="ADI9" s="413"/>
      <c r="ADJ9" s="413"/>
      <c r="ADK9" s="413"/>
      <c r="ADL9" s="413"/>
      <c r="ADM9" s="413"/>
      <c r="ADN9" s="413"/>
      <c r="ADO9" s="413"/>
      <c r="ADP9" s="413"/>
      <c r="ADQ9" s="413"/>
      <c r="ADR9" s="413"/>
      <c r="ADS9" s="413"/>
      <c r="ADT9" s="413"/>
      <c r="ADU9" s="413"/>
      <c r="ADV9" s="413"/>
      <c r="ADW9" s="413"/>
      <c r="ADX9" s="413"/>
      <c r="ADY9" s="413"/>
      <c r="ADZ9" s="413"/>
      <c r="AEA9" s="413"/>
      <c r="AEB9" s="413"/>
      <c r="AEC9" s="413"/>
      <c r="AED9" s="413"/>
      <c r="AEE9" s="413"/>
      <c r="AEF9" s="413"/>
      <c r="AEG9" s="413"/>
      <c r="AEH9" s="413"/>
      <c r="AEI9" s="413"/>
      <c r="AEJ9" s="413"/>
      <c r="AEK9" s="413"/>
      <c r="AEL9" s="413"/>
      <c r="AEM9" s="413"/>
      <c r="AEN9" s="413"/>
      <c r="AEO9" s="413"/>
      <c r="AEP9" s="413"/>
      <c r="AEQ9" s="413"/>
      <c r="AER9" s="413"/>
      <c r="AES9" s="413"/>
      <c r="AET9" s="413"/>
      <c r="AEU9" s="413"/>
      <c r="AEV9" s="413"/>
      <c r="AEW9" s="413"/>
      <c r="AEX9" s="413"/>
      <c r="AEY9" s="413"/>
      <c r="AEZ9" s="413"/>
      <c r="AFA9" s="413"/>
      <c r="AFB9" s="413"/>
      <c r="AFC9" s="413"/>
      <c r="AFD9" s="413"/>
      <c r="AFE9" s="413"/>
      <c r="AFF9" s="413"/>
      <c r="AFG9" s="413"/>
      <c r="AFH9" s="413"/>
      <c r="AFI9" s="413"/>
      <c r="AFJ9" s="413"/>
      <c r="AFK9" s="413"/>
      <c r="AFL9" s="413"/>
      <c r="AFM9" s="413"/>
      <c r="AFN9" s="413"/>
      <c r="AFO9" s="413"/>
      <c r="AFP9" s="413"/>
      <c r="AFQ9" s="413"/>
      <c r="AFR9" s="413"/>
      <c r="AFS9" s="413"/>
      <c r="AFT9" s="413"/>
      <c r="AFU9" s="413"/>
      <c r="AFV9" s="413"/>
      <c r="AFW9" s="413"/>
      <c r="AFX9" s="413"/>
      <c r="AFY9" s="413"/>
      <c r="AFZ9" s="413"/>
      <c r="AGA9" s="413"/>
      <c r="AGB9" s="413"/>
      <c r="AGC9" s="413"/>
      <c r="AGD9" s="413"/>
      <c r="AGE9" s="413"/>
      <c r="AGF9" s="413"/>
      <c r="AGG9" s="413"/>
      <c r="AGH9" s="413"/>
      <c r="AGI9" s="413"/>
      <c r="AGJ9" s="413"/>
      <c r="AGK9" s="413"/>
      <c r="AGL9" s="413"/>
      <c r="AGM9" s="413"/>
      <c r="AGN9" s="413"/>
      <c r="AGO9" s="413"/>
      <c r="AGP9" s="413"/>
      <c r="AGQ9" s="413"/>
      <c r="AGR9" s="413"/>
      <c r="AGS9" s="413"/>
      <c r="AGT9" s="413"/>
      <c r="AGU9" s="413"/>
      <c r="AGV9" s="413"/>
      <c r="AGW9" s="413"/>
      <c r="AGX9" s="413"/>
      <c r="AGY9" s="413"/>
      <c r="AGZ9" s="413"/>
      <c r="AHA9" s="413"/>
      <c r="AHB9" s="413"/>
      <c r="AHC9" s="414"/>
      <c r="AHD9" s="414"/>
      <c r="AHE9" s="414"/>
      <c r="AHF9" s="414"/>
      <c r="AHG9" s="414"/>
      <c r="AHH9" s="415"/>
    </row>
    <row r="10" s="335" customFormat="1" ht="23" customHeight="1" spans="1:892">
      <c r="A10" s="340">
        <v>6</v>
      </c>
      <c r="B10" s="341"/>
      <c r="C10" s="516" t="s">
        <v>124</v>
      </c>
      <c r="D10" s="346"/>
      <c r="E10" s="85"/>
      <c r="F10" s="81">
        <v>6</v>
      </c>
      <c r="G10" s="344" t="s">
        <v>379</v>
      </c>
      <c r="H10" s="345" t="s">
        <v>380</v>
      </c>
      <c r="I10" s="366" t="s">
        <v>128</v>
      </c>
      <c r="J10" s="366" t="s">
        <v>128</v>
      </c>
      <c r="K10" s="367"/>
      <c r="L10" s="368"/>
      <c r="M10" s="368"/>
      <c r="N10" s="369" t="s">
        <v>381</v>
      </c>
      <c r="O10" s="370"/>
      <c r="P10" s="371"/>
      <c r="Q10" s="371"/>
      <c r="R10" s="388" t="s">
        <v>136</v>
      </c>
      <c r="S10" s="388"/>
      <c r="T10" s="389"/>
      <c r="U10" s="389"/>
      <c r="V10" s="388" t="s">
        <v>136</v>
      </c>
      <c r="W10" s="388"/>
      <c r="X10" s="340" t="s">
        <v>135</v>
      </c>
      <c r="Y10" s="340" t="s">
        <v>135</v>
      </c>
      <c r="Z10" s="120">
        <f t="shared" si="0"/>
        <v>19</v>
      </c>
      <c r="AA10" s="303" t="str">
        <f t="shared" si="1"/>
        <v>00:19:00</v>
      </c>
      <c r="AB10" s="120">
        <f t="shared" si="2"/>
        <v>1140</v>
      </c>
      <c r="AC10" s="406">
        <v>0.0132407407407407</v>
      </c>
      <c r="AD10" s="407">
        <v>169</v>
      </c>
      <c r="AE10" s="407">
        <v>43</v>
      </c>
      <c r="AF10" s="340" t="s">
        <v>138</v>
      </c>
      <c r="AG10" s="409"/>
      <c r="AH10" s="410"/>
      <c r="AI10" s="411"/>
      <c r="AJ10" s="410"/>
      <c r="AK10" s="410"/>
      <c r="AL10" s="409"/>
      <c r="AM10" s="412"/>
      <c r="AN10" s="412"/>
      <c r="AO10" s="412"/>
      <c r="AP10" s="413"/>
      <c r="AQ10" s="413"/>
      <c r="AR10" s="413"/>
      <c r="AS10" s="413"/>
      <c r="AT10" s="413"/>
      <c r="AU10" s="413"/>
      <c r="AV10" s="413"/>
      <c r="AW10" s="413"/>
      <c r="AX10" s="413"/>
      <c r="AY10" s="413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3"/>
      <c r="BT10" s="413"/>
      <c r="BU10" s="413"/>
      <c r="BV10" s="413"/>
      <c r="BW10" s="413"/>
      <c r="BX10" s="413"/>
      <c r="BY10" s="413"/>
      <c r="BZ10" s="413"/>
      <c r="CA10" s="413"/>
      <c r="CB10" s="413"/>
      <c r="CC10" s="413"/>
      <c r="CD10" s="413"/>
      <c r="CE10" s="413"/>
      <c r="CF10" s="413"/>
      <c r="CG10" s="413"/>
      <c r="CH10" s="413"/>
      <c r="CI10" s="413"/>
      <c r="CJ10" s="413"/>
      <c r="CK10" s="413"/>
      <c r="CL10" s="413"/>
      <c r="CM10" s="413"/>
      <c r="CN10" s="413"/>
      <c r="CO10" s="413"/>
      <c r="CP10" s="413"/>
      <c r="CQ10" s="413"/>
      <c r="CR10" s="413"/>
      <c r="CS10" s="413"/>
      <c r="CT10" s="413"/>
      <c r="CU10" s="413"/>
      <c r="CV10" s="413"/>
      <c r="CW10" s="413"/>
      <c r="CX10" s="413"/>
      <c r="CY10" s="413"/>
      <c r="CZ10" s="413"/>
      <c r="DA10" s="413"/>
      <c r="DB10" s="413"/>
      <c r="DC10" s="413"/>
      <c r="DD10" s="413"/>
      <c r="DE10" s="413"/>
      <c r="DF10" s="413"/>
      <c r="DG10" s="413"/>
      <c r="DH10" s="413"/>
      <c r="DI10" s="413"/>
      <c r="DJ10" s="413"/>
      <c r="DK10" s="413"/>
      <c r="DL10" s="413"/>
      <c r="DM10" s="413"/>
      <c r="DN10" s="413"/>
      <c r="DO10" s="413"/>
      <c r="DP10" s="413"/>
      <c r="DQ10" s="413"/>
      <c r="DR10" s="413"/>
      <c r="DS10" s="413"/>
      <c r="DT10" s="413"/>
      <c r="DU10" s="413"/>
      <c r="DV10" s="413"/>
      <c r="DW10" s="413"/>
      <c r="DX10" s="413"/>
      <c r="DY10" s="413"/>
      <c r="DZ10" s="413"/>
      <c r="EA10" s="413"/>
      <c r="EB10" s="413"/>
      <c r="EC10" s="413"/>
      <c r="ED10" s="413"/>
      <c r="EE10" s="413"/>
      <c r="EF10" s="413"/>
      <c r="EG10" s="413"/>
      <c r="EH10" s="413"/>
      <c r="EI10" s="413"/>
      <c r="EJ10" s="413"/>
      <c r="EK10" s="413"/>
      <c r="EL10" s="413"/>
      <c r="EM10" s="413"/>
      <c r="EN10" s="413"/>
      <c r="EO10" s="413"/>
      <c r="EP10" s="413"/>
      <c r="EQ10" s="413"/>
      <c r="ER10" s="413"/>
      <c r="ES10" s="413"/>
      <c r="ET10" s="413"/>
      <c r="EU10" s="413"/>
      <c r="EV10" s="413"/>
      <c r="EW10" s="413"/>
      <c r="EX10" s="413"/>
      <c r="EY10" s="413"/>
      <c r="EZ10" s="413"/>
      <c r="FA10" s="413"/>
      <c r="FB10" s="413"/>
      <c r="FC10" s="413"/>
      <c r="FD10" s="413"/>
      <c r="FE10" s="413"/>
      <c r="FF10" s="413"/>
      <c r="FG10" s="413"/>
      <c r="FH10" s="413"/>
      <c r="FI10" s="413"/>
      <c r="FJ10" s="413"/>
      <c r="FK10" s="413"/>
      <c r="FL10" s="413"/>
      <c r="FM10" s="413"/>
      <c r="FN10" s="413"/>
      <c r="FO10" s="413"/>
      <c r="FP10" s="413"/>
      <c r="FQ10" s="413"/>
      <c r="FR10" s="413"/>
      <c r="FS10" s="413"/>
      <c r="FT10" s="413"/>
      <c r="FU10" s="413"/>
      <c r="FV10" s="413"/>
      <c r="FW10" s="413"/>
      <c r="FX10" s="413"/>
      <c r="FY10" s="413"/>
      <c r="FZ10" s="413"/>
      <c r="GA10" s="413"/>
      <c r="GB10" s="413"/>
      <c r="GC10" s="413"/>
      <c r="GD10" s="413"/>
      <c r="GE10" s="413"/>
      <c r="GF10" s="413"/>
      <c r="GG10" s="413"/>
      <c r="GH10" s="413"/>
      <c r="GI10" s="413"/>
      <c r="GJ10" s="413"/>
      <c r="GK10" s="413"/>
      <c r="GL10" s="413"/>
      <c r="GM10" s="413"/>
      <c r="GN10" s="413"/>
      <c r="GO10" s="413"/>
      <c r="GP10" s="413"/>
      <c r="GQ10" s="413"/>
      <c r="GR10" s="413"/>
      <c r="GS10" s="413"/>
      <c r="GT10" s="413"/>
      <c r="GU10" s="413"/>
      <c r="GV10" s="413"/>
      <c r="GW10" s="413"/>
      <c r="GX10" s="413"/>
      <c r="GY10" s="413"/>
      <c r="GZ10" s="413"/>
      <c r="HA10" s="413"/>
      <c r="HB10" s="413"/>
      <c r="HC10" s="413"/>
      <c r="HD10" s="413"/>
      <c r="HE10" s="413"/>
      <c r="HF10" s="413"/>
      <c r="HG10" s="413"/>
      <c r="HH10" s="413"/>
      <c r="HI10" s="413"/>
      <c r="HJ10" s="413"/>
      <c r="HK10" s="413"/>
      <c r="HL10" s="413"/>
      <c r="HM10" s="413"/>
      <c r="HN10" s="413"/>
      <c r="HO10" s="413"/>
      <c r="HP10" s="413"/>
      <c r="HQ10" s="413"/>
      <c r="HR10" s="413"/>
      <c r="HS10" s="413"/>
      <c r="HT10" s="413"/>
      <c r="HU10" s="413"/>
      <c r="HV10" s="413"/>
      <c r="HW10" s="413"/>
      <c r="HX10" s="413"/>
      <c r="HY10" s="413"/>
      <c r="HZ10" s="413"/>
      <c r="IA10" s="413"/>
      <c r="IB10" s="413"/>
      <c r="IC10" s="413"/>
      <c r="ID10" s="413"/>
      <c r="IE10" s="413"/>
      <c r="IF10" s="413"/>
      <c r="IG10" s="413"/>
      <c r="IH10" s="413"/>
      <c r="II10" s="413"/>
      <c r="IJ10" s="413"/>
      <c r="IK10" s="413"/>
      <c r="IL10" s="413"/>
      <c r="IM10" s="413"/>
      <c r="IN10" s="413"/>
      <c r="IO10" s="413"/>
      <c r="IP10" s="413"/>
      <c r="IQ10" s="413"/>
      <c r="IR10" s="413"/>
      <c r="IS10" s="413"/>
      <c r="IT10" s="413"/>
      <c r="IU10" s="413"/>
      <c r="IV10" s="413"/>
      <c r="IW10" s="413"/>
      <c r="IX10" s="413"/>
      <c r="IY10" s="413"/>
      <c r="IZ10" s="413"/>
      <c r="JA10" s="413"/>
      <c r="JB10" s="413"/>
      <c r="JC10" s="413"/>
      <c r="JD10" s="413"/>
      <c r="JE10" s="413"/>
      <c r="JF10" s="413"/>
      <c r="JG10" s="413"/>
      <c r="JH10" s="413"/>
      <c r="JI10" s="413"/>
      <c r="JJ10" s="413"/>
      <c r="JK10" s="413"/>
      <c r="JL10" s="413"/>
      <c r="JM10" s="413"/>
      <c r="JN10" s="413"/>
      <c r="JO10" s="413"/>
      <c r="JP10" s="413"/>
      <c r="JQ10" s="413"/>
      <c r="JR10" s="413"/>
      <c r="JS10" s="413"/>
      <c r="JT10" s="413"/>
      <c r="JU10" s="413"/>
      <c r="JV10" s="413"/>
      <c r="JW10" s="413"/>
      <c r="JX10" s="413"/>
      <c r="JY10" s="413"/>
      <c r="JZ10" s="413"/>
      <c r="KA10" s="413"/>
      <c r="KB10" s="413"/>
      <c r="KC10" s="413"/>
      <c r="KD10" s="413"/>
      <c r="KE10" s="413"/>
      <c r="KF10" s="413"/>
      <c r="KG10" s="413"/>
      <c r="KH10" s="413"/>
      <c r="KI10" s="413"/>
      <c r="KJ10" s="413"/>
      <c r="KK10" s="413"/>
      <c r="KL10" s="413"/>
      <c r="KM10" s="413"/>
      <c r="KN10" s="413"/>
      <c r="KO10" s="413"/>
      <c r="KP10" s="413"/>
      <c r="KQ10" s="413"/>
      <c r="KR10" s="413"/>
      <c r="KS10" s="413"/>
      <c r="KT10" s="413"/>
      <c r="KU10" s="413"/>
      <c r="KV10" s="413"/>
      <c r="KW10" s="413"/>
      <c r="KX10" s="413"/>
      <c r="KY10" s="413"/>
      <c r="KZ10" s="413"/>
      <c r="LA10" s="413"/>
      <c r="LB10" s="413"/>
      <c r="LC10" s="413"/>
      <c r="LD10" s="413"/>
      <c r="LE10" s="413"/>
      <c r="LF10" s="413"/>
      <c r="LG10" s="413"/>
      <c r="LH10" s="413"/>
      <c r="LI10" s="413"/>
      <c r="LJ10" s="413"/>
      <c r="LK10" s="413"/>
      <c r="LL10" s="413"/>
      <c r="LM10" s="413"/>
      <c r="LN10" s="413"/>
      <c r="LO10" s="413"/>
      <c r="LP10" s="413"/>
      <c r="LQ10" s="413"/>
      <c r="LR10" s="413"/>
      <c r="LS10" s="413"/>
      <c r="LT10" s="413"/>
      <c r="LU10" s="413"/>
      <c r="LV10" s="413"/>
      <c r="LW10" s="413"/>
      <c r="LX10" s="413"/>
      <c r="LY10" s="413"/>
      <c r="LZ10" s="413"/>
      <c r="MA10" s="413"/>
      <c r="MB10" s="413"/>
      <c r="MC10" s="413"/>
      <c r="MD10" s="413"/>
      <c r="ME10" s="413"/>
      <c r="MF10" s="413"/>
      <c r="MG10" s="413"/>
      <c r="MH10" s="413"/>
      <c r="MI10" s="413"/>
      <c r="MJ10" s="413"/>
      <c r="MK10" s="413"/>
      <c r="ML10" s="413"/>
      <c r="MM10" s="413"/>
      <c r="MN10" s="413"/>
      <c r="MO10" s="413"/>
      <c r="MP10" s="413"/>
      <c r="MQ10" s="413"/>
      <c r="MR10" s="413"/>
      <c r="MS10" s="413"/>
      <c r="MT10" s="413"/>
      <c r="MU10" s="413"/>
      <c r="MV10" s="413"/>
      <c r="MW10" s="413"/>
      <c r="MX10" s="413"/>
      <c r="MY10" s="413"/>
      <c r="MZ10" s="413"/>
      <c r="NA10" s="413"/>
      <c r="NB10" s="413"/>
      <c r="NC10" s="413"/>
      <c r="ND10" s="413"/>
      <c r="NE10" s="413"/>
      <c r="NF10" s="413"/>
      <c r="NG10" s="413"/>
      <c r="NH10" s="413"/>
      <c r="NI10" s="413"/>
      <c r="NJ10" s="413"/>
      <c r="NK10" s="413"/>
      <c r="NL10" s="413"/>
      <c r="NM10" s="413"/>
      <c r="NN10" s="413"/>
      <c r="NO10" s="413"/>
      <c r="NP10" s="413"/>
      <c r="NQ10" s="413"/>
      <c r="NR10" s="413"/>
      <c r="NS10" s="413"/>
      <c r="NT10" s="413"/>
      <c r="NU10" s="413"/>
      <c r="NV10" s="413"/>
      <c r="NW10" s="413"/>
      <c r="NX10" s="413"/>
      <c r="NY10" s="413"/>
      <c r="NZ10" s="413"/>
      <c r="OA10" s="413"/>
      <c r="OB10" s="413"/>
      <c r="OC10" s="413"/>
      <c r="OD10" s="413"/>
      <c r="OE10" s="413"/>
      <c r="OF10" s="413"/>
      <c r="OG10" s="413"/>
      <c r="OH10" s="413"/>
      <c r="OI10" s="413"/>
      <c r="OJ10" s="413"/>
      <c r="OK10" s="413"/>
      <c r="OL10" s="413"/>
      <c r="OM10" s="413"/>
      <c r="ON10" s="413"/>
      <c r="OO10" s="413"/>
      <c r="OP10" s="413"/>
      <c r="OQ10" s="413"/>
      <c r="OR10" s="413"/>
      <c r="OS10" s="413"/>
      <c r="OT10" s="413"/>
      <c r="OU10" s="413"/>
      <c r="OV10" s="413"/>
      <c r="OW10" s="413"/>
      <c r="OX10" s="413"/>
      <c r="OY10" s="413"/>
      <c r="OZ10" s="413"/>
      <c r="PA10" s="413"/>
      <c r="PB10" s="413"/>
      <c r="PC10" s="413"/>
      <c r="PD10" s="413"/>
      <c r="PE10" s="413"/>
      <c r="PF10" s="413"/>
      <c r="PG10" s="413"/>
      <c r="PH10" s="413"/>
      <c r="PI10" s="413"/>
      <c r="PJ10" s="413"/>
      <c r="PK10" s="413"/>
      <c r="PL10" s="413"/>
      <c r="PM10" s="413"/>
      <c r="PN10" s="413"/>
      <c r="PO10" s="413"/>
      <c r="PP10" s="413"/>
      <c r="PQ10" s="413"/>
      <c r="PR10" s="413"/>
      <c r="PS10" s="413"/>
      <c r="PT10" s="413"/>
      <c r="PU10" s="413"/>
      <c r="PV10" s="413"/>
      <c r="PW10" s="413"/>
      <c r="PX10" s="413"/>
      <c r="PY10" s="413"/>
      <c r="PZ10" s="413"/>
      <c r="QA10" s="413"/>
      <c r="QB10" s="413"/>
      <c r="QC10" s="413"/>
      <c r="QD10" s="413"/>
      <c r="QE10" s="413"/>
      <c r="QF10" s="413"/>
      <c r="QG10" s="413"/>
      <c r="QH10" s="413"/>
      <c r="QI10" s="413"/>
      <c r="QJ10" s="413"/>
      <c r="QK10" s="413"/>
      <c r="QL10" s="413"/>
      <c r="QM10" s="413"/>
      <c r="QN10" s="413"/>
      <c r="QO10" s="413"/>
      <c r="QP10" s="413"/>
      <c r="QQ10" s="413"/>
      <c r="QR10" s="413"/>
      <c r="QS10" s="413"/>
      <c r="QT10" s="413"/>
      <c r="QU10" s="413"/>
      <c r="QV10" s="413"/>
      <c r="QW10" s="413"/>
      <c r="QX10" s="413"/>
      <c r="QY10" s="413"/>
      <c r="QZ10" s="413"/>
      <c r="RA10" s="413"/>
      <c r="RB10" s="413"/>
      <c r="RC10" s="413"/>
      <c r="RD10" s="413"/>
      <c r="RE10" s="413"/>
      <c r="RF10" s="413"/>
      <c r="RG10" s="413"/>
      <c r="RH10" s="413"/>
      <c r="RI10" s="413"/>
      <c r="RJ10" s="413"/>
      <c r="RK10" s="413"/>
      <c r="RL10" s="413"/>
      <c r="RM10" s="413"/>
      <c r="RN10" s="413"/>
      <c r="RO10" s="413"/>
      <c r="RP10" s="413"/>
      <c r="RQ10" s="413"/>
      <c r="RR10" s="413"/>
      <c r="RS10" s="413"/>
      <c r="RT10" s="413"/>
      <c r="RU10" s="413"/>
      <c r="RV10" s="413"/>
      <c r="RW10" s="413"/>
      <c r="RX10" s="413"/>
      <c r="RY10" s="413"/>
      <c r="RZ10" s="413"/>
      <c r="SA10" s="413"/>
      <c r="SB10" s="413"/>
      <c r="SC10" s="413"/>
      <c r="SD10" s="413"/>
      <c r="SE10" s="413"/>
      <c r="SF10" s="413"/>
      <c r="SG10" s="413"/>
      <c r="SH10" s="413"/>
      <c r="SI10" s="413"/>
      <c r="SJ10" s="413"/>
      <c r="SK10" s="413"/>
      <c r="SL10" s="413"/>
      <c r="SM10" s="413"/>
      <c r="SN10" s="413"/>
      <c r="SO10" s="413"/>
      <c r="SP10" s="413"/>
      <c r="SQ10" s="413"/>
      <c r="SR10" s="413"/>
      <c r="SS10" s="413"/>
      <c r="ST10" s="413"/>
      <c r="SU10" s="413"/>
      <c r="SV10" s="413"/>
      <c r="SW10" s="413"/>
      <c r="SX10" s="413"/>
      <c r="SY10" s="413"/>
      <c r="SZ10" s="413"/>
      <c r="TA10" s="413"/>
      <c r="TB10" s="413"/>
      <c r="TC10" s="413"/>
      <c r="TD10" s="413"/>
      <c r="TE10" s="413"/>
      <c r="TF10" s="413"/>
      <c r="TG10" s="413"/>
      <c r="TH10" s="413"/>
      <c r="TI10" s="413"/>
      <c r="TJ10" s="413"/>
      <c r="TK10" s="413"/>
      <c r="TL10" s="413"/>
      <c r="TM10" s="413"/>
      <c r="TN10" s="413"/>
      <c r="TO10" s="413"/>
      <c r="TP10" s="413"/>
      <c r="TQ10" s="413"/>
      <c r="TR10" s="413"/>
      <c r="TS10" s="413"/>
      <c r="TT10" s="413"/>
      <c r="TU10" s="413"/>
      <c r="TV10" s="413"/>
      <c r="TW10" s="413"/>
      <c r="TX10" s="413"/>
      <c r="TY10" s="413"/>
      <c r="TZ10" s="413"/>
      <c r="UA10" s="413"/>
      <c r="UB10" s="413"/>
      <c r="UC10" s="413"/>
      <c r="UD10" s="413"/>
      <c r="UE10" s="413"/>
      <c r="UF10" s="413"/>
      <c r="UG10" s="413"/>
      <c r="UH10" s="413"/>
      <c r="UI10" s="413"/>
      <c r="UJ10" s="413"/>
      <c r="UK10" s="413"/>
      <c r="UL10" s="413"/>
      <c r="UM10" s="413"/>
      <c r="UN10" s="413"/>
      <c r="UO10" s="413"/>
      <c r="UP10" s="413"/>
      <c r="UQ10" s="413"/>
      <c r="UR10" s="413"/>
      <c r="US10" s="413"/>
      <c r="UT10" s="413"/>
      <c r="UU10" s="413"/>
      <c r="UV10" s="413"/>
      <c r="UW10" s="413"/>
      <c r="UX10" s="413"/>
      <c r="UY10" s="413"/>
      <c r="UZ10" s="413"/>
      <c r="VA10" s="413"/>
      <c r="VB10" s="413"/>
      <c r="VC10" s="413"/>
      <c r="VD10" s="413"/>
      <c r="VE10" s="413"/>
      <c r="VF10" s="413"/>
      <c r="VG10" s="413"/>
      <c r="VH10" s="413"/>
      <c r="VI10" s="413"/>
      <c r="VJ10" s="413"/>
      <c r="VK10" s="413"/>
      <c r="VL10" s="413"/>
      <c r="VM10" s="413"/>
      <c r="VN10" s="413"/>
      <c r="VO10" s="413"/>
      <c r="VP10" s="413"/>
      <c r="VQ10" s="413"/>
      <c r="VR10" s="413"/>
      <c r="VS10" s="413"/>
      <c r="VT10" s="413"/>
      <c r="VU10" s="413"/>
      <c r="VV10" s="413"/>
      <c r="VW10" s="413"/>
      <c r="VX10" s="413"/>
      <c r="VY10" s="413"/>
      <c r="VZ10" s="413"/>
      <c r="WA10" s="413"/>
      <c r="WB10" s="413"/>
      <c r="WC10" s="413"/>
      <c r="WD10" s="413"/>
      <c r="WE10" s="413"/>
      <c r="WF10" s="413"/>
      <c r="WG10" s="413"/>
      <c r="WH10" s="413"/>
      <c r="WI10" s="413"/>
      <c r="WJ10" s="413"/>
      <c r="WK10" s="413"/>
      <c r="WL10" s="413"/>
      <c r="WM10" s="413"/>
      <c r="WN10" s="413"/>
      <c r="WO10" s="413"/>
      <c r="WP10" s="413"/>
      <c r="WQ10" s="413"/>
      <c r="WR10" s="413"/>
      <c r="WS10" s="413"/>
      <c r="WT10" s="413"/>
      <c r="WU10" s="413"/>
      <c r="WV10" s="413"/>
      <c r="WW10" s="413"/>
      <c r="WX10" s="413"/>
      <c r="WY10" s="413"/>
      <c r="WZ10" s="413"/>
      <c r="XA10" s="413"/>
      <c r="XB10" s="413"/>
      <c r="XC10" s="413"/>
      <c r="XD10" s="413"/>
      <c r="XE10" s="413"/>
      <c r="XF10" s="413"/>
      <c r="XG10" s="413"/>
      <c r="XH10" s="413"/>
      <c r="XI10" s="413"/>
      <c r="XJ10" s="413"/>
      <c r="XK10" s="413"/>
      <c r="XL10" s="413"/>
      <c r="XM10" s="413"/>
      <c r="XN10" s="413"/>
      <c r="XO10" s="413"/>
      <c r="XP10" s="413"/>
      <c r="XQ10" s="413"/>
      <c r="XR10" s="413"/>
      <c r="XS10" s="413"/>
      <c r="XT10" s="413"/>
      <c r="XU10" s="413"/>
      <c r="XV10" s="413"/>
      <c r="XW10" s="413"/>
      <c r="XX10" s="413"/>
      <c r="XY10" s="413"/>
      <c r="XZ10" s="413"/>
      <c r="YA10" s="413"/>
      <c r="YB10" s="413"/>
      <c r="YC10" s="413"/>
      <c r="YD10" s="413"/>
      <c r="YE10" s="413"/>
      <c r="YF10" s="413"/>
      <c r="YG10" s="413"/>
      <c r="YH10" s="413"/>
      <c r="YI10" s="413"/>
      <c r="YJ10" s="413"/>
      <c r="YK10" s="413"/>
      <c r="YL10" s="413"/>
      <c r="YM10" s="413"/>
      <c r="YN10" s="413"/>
      <c r="YO10" s="413"/>
      <c r="YP10" s="413"/>
      <c r="YQ10" s="413"/>
      <c r="YR10" s="413"/>
      <c r="YS10" s="413"/>
      <c r="YT10" s="413"/>
      <c r="YU10" s="413"/>
      <c r="YV10" s="413"/>
      <c r="YW10" s="413"/>
      <c r="YX10" s="413"/>
      <c r="YY10" s="413"/>
      <c r="YZ10" s="413"/>
      <c r="ZA10" s="413"/>
      <c r="ZB10" s="413"/>
      <c r="ZC10" s="413"/>
      <c r="ZD10" s="413"/>
      <c r="ZE10" s="413"/>
      <c r="ZF10" s="413"/>
      <c r="ZG10" s="413"/>
      <c r="ZH10" s="413"/>
      <c r="ZI10" s="413"/>
      <c r="ZJ10" s="413"/>
      <c r="ZK10" s="413"/>
      <c r="ZL10" s="413"/>
      <c r="ZM10" s="413"/>
      <c r="ZN10" s="413"/>
      <c r="ZO10" s="413"/>
      <c r="ZP10" s="413"/>
      <c r="ZQ10" s="413"/>
      <c r="ZR10" s="413"/>
      <c r="ZS10" s="413"/>
      <c r="ZT10" s="413"/>
      <c r="ZU10" s="413"/>
      <c r="ZV10" s="413"/>
      <c r="ZW10" s="413"/>
      <c r="ZX10" s="413"/>
      <c r="ZY10" s="413"/>
      <c r="ZZ10" s="413"/>
      <c r="AAA10" s="413"/>
      <c r="AAB10" s="413"/>
      <c r="AAC10" s="413"/>
      <c r="AAD10" s="413"/>
      <c r="AAE10" s="413"/>
      <c r="AAF10" s="413"/>
      <c r="AAG10" s="413"/>
      <c r="AAH10" s="413"/>
      <c r="AAI10" s="413"/>
      <c r="AAJ10" s="413"/>
      <c r="AAK10" s="413"/>
      <c r="AAL10" s="413"/>
      <c r="AAM10" s="413"/>
      <c r="AAN10" s="413"/>
      <c r="AAO10" s="413"/>
      <c r="AAP10" s="413"/>
      <c r="AAQ10" s="413"/>
      <c r="AAR10" s="413"/>
      <c r="AAS10" s="413"/>
      <c r="AAT10" s="413"/>
      <c r="AAU10" s="413"/>
      <c r="AAV10" s="413"/>
      <c r="AAW10" s="413"/>
      <c r="AAX10" s="413"/>
      <c r="AAY10" s="413"/>
      <c r="AAZ10" s="413"/>
      <c r="ABA10" s="413"/>
      <c r="ABB10" s="413"/>
      <c r="ABC10" s="413"/>
      <c r="ABD10" s="413"/>
      <c r="ABE10" s="413"/>
      <c r="ABF10" s="413"/>
      <c r="ABG10" s="413"/>
      <c r="ABH10" s="413"/>
      <c r="ABI10" s="413"/>
      <c r="ABJ10" s="413"/>
      <c r="ABK10" s="413"/>
      <c r="ABL10" s="413"/>
      <c r="ABM10" s="413"/>
      <c r="ABN10" s="413"/>
      <c r="ABO10" s="413"/>
      <c r="ABP10" s="413"/>
      <c r="ABQ10" s="413"/>
      <c r="ABR10" s="413"/>
      <c r="ABS10" s="413"/>
      <c r="ABT10" s="413"/>
      <c r="ABU10" s="413"/>
      <c r="ABV10" s="413"/>
      <c r="ABW10" s="413"/>
      <c r="ABX10" s="413"/>
      <c r="ABY10" s="413"/>
      <c r="ABZ10" s="413"/>
      <c r="ACA10" s="413"/>
      <c r="ACB10" s="413"/>
      <c r="ACC10" s="413"/>
      <c r="ACD10" s="413"/>
      <c r="ACE10" s="413"/>
      <c r="ACF10" s="413"/>
      <c r="ACG10" s="413"/>
      <c r="ACH10" s="413"/>
      <c r="ACI10" s="413"/>
      <c r="ACJ10" s="413"/>
      <c r="ACK10" s="413"/>
      <c r="ACL10" s="413"/>
      <c r="ACM10" s="413"/>
      <c r="ACN10" s="413"/>
      <c r="ACO10" s="413"/>
      <c r="ACP10" s="413"/>
      <c r="ACQ10" s="413"/>
      <c r="ACR10" s="413"/>
      <c r="ACS10" s="413"/>
      <c r="ACT10" s="413"/>
      <c r="ACU10" s="413"/>
      <c r="ACV10" s="413"/>
      <c r="ACW10" s="413"/>
      <c r="ACX10" s="413"/>
      <c r="ACY10" s="413"/>
      <c r="ACZ10" s="413"/>
      <c r="ADA10" s="413"/>
      <c r="ADB10" s="413"/>
      <c r="ADC10" s="413"/>
      <c r="ADD10" s="413"/>
      <c r="ADE10" s="413"/>
      <c r="ADF10" s="413"/>
      <c r="ADG10" s="413"/>
      <c r="ADH10" s="413"/>
      <c r="ADI10" s="413"/>
      <c r="ADJ10" s="413"/>
      <c r="ADK10" s="413"/>
      <c r="ADL10" s="413"/>
      <c r="ADM10" s="413"/>
      <c r="ADN10" s="413"/>
      <c r="ADO10" s="413"/>
      <c r="ADP10" s="413"/>
      <c r="ADQ10" s="413"/>
      <c r="ADR10" s="413"/>
      <c r="ADS10" s="413"/>
      <c r="ADT10" s="413"/>
      <c r="ADU10" s="413"/>
      <c r="ADV10" s="413"/>
      <c r="ADW10" s="413"/>
      <c r="ADX10" s="413"/>
      <c r="ADY10" s="413"/>
      <c r="ADZ10" s="413"/>
      <c r="AEA10" s="413"/>
      <c r="AEB10" s="413"/>
      <c r="AEC10" s="413"/>
      <c r="AED10" s="413"/>
      <c r="AEE10" s="413"/>
      <c r="AEF10" s="413"/>
      <c r="AEG10" s="413"/>
      <c r="AEH10" s="413"/>
      <c r="AEI10" s="413"/>
      <c r="AEJ10" s="413"/>
      <c r="AEK10" s="413"/>
      <c r="AEL10" s="413"/>
      <c r="AEM10" s="413"/>
      <c r="AEN10" s="413"/>
      <c r="AEO10" s="413"/>
      <c r="AEP10" s="413"/>
      <c r="AEQ10" s="413"/>
      <c r="AER10" s="413"/>
      <c r="AES10" s="413"/>
      <c r="AET10" s="413"/>
      <c r="AEU10" s="413"/>
      <c r="AEV10" s="413"/>
      <c r="AEW10" s="413"/>
      <c r="AEX10" s="413"/>
      <c r="AEY10" s="413"/>
      <c r="AEZ10" s="413"/>
      <c r="AFA10" s="413"/>
      <c r="AFB10" s="413"/>
      <c r="AFC10" s="413"/>
      <c r="AFD10" s="413"/>
      <c r="AFE10" s="413"/>
      <c r="AFF10" s="413"/>
      <c r="AFG10" s="413"/>
      <c r="AFH10" s="413"/>
      <c r="AFI10" s="413"/>
      <c r="AFJ10" s="413"/>
      <c r="AFK10" s="413"/>
      <c r="AFL10" s="413"/>
      <c r="AFM10" s="413"/>
      <c r="AFN10" s="413"/>
      <c r="AFO10" s="413"/>
      <c r="AFP10" s="413"/>
      <c r="AFQ10" s="413"/>
      <c r="AFR10" s="413"/>
      <c r="AFS10" s="413"/>
      <c r="AFT10" s="413"/>
      <c r="AFU10" s="413"/>
      <c r="AFV10" s="413"/>
      <c r="AFW10" s="413"/>
      <c r="AFX10" s="413"/>
      <c r="AFY10" s="413"/>
      <c r="AFZ10" s="413"/>
      <c r="AGA10" s="413"/>
      <c r="AGB10" s="413"/>
      <c r="AGC10" s="413"/>
      <c r="AGD10" s="413"/>
      <c r="AGE10" s="413"/>
      <c r="AGF10" s="413"/>
      <c r="AGG10" s="413"/>
      <c r="AGH10" s="413"/>
      <c r="AGI10" s="413"/>
      <c r="AGJ10" s="413"/>
      <c r="AGK10" s="413"/>
      <c r="AGL10" s="413"/>
      <c r="AGM10" s="413"/>
      <c r="AGN10" s="413"/>
      <c r="AGO10" s="413"/>
      <c r="AGP10" s="413"/>
      <c r="AGQ10" s="413"/>
      <c r="AGR10" s="413"/>
      <c r="AGS10" s="413"/>
      <c r="AGT10" s="413"/>
      <c r="AGU10" s="413"/>
      <c r="AGV10" s="413"/>
      <c r="AGW10" s="413"/>
      <c r="AGX10" s="413"/>
      <c r="AGY10" s="413"/>
      <c r="AGZ10" s="413"/>
      <c r="AHA10" s="413"/>
      <c r="AHB10" s="413"/>
      <c r="AHC10" s="414"/>
      <c r="AHD10" s="414"/>
      <c r="AHE10" s="414"/>
      <c r="AHF10" s="414"/>
      <c r="AHG10" s="414"/>
      <c r="AHH10" s="415"/>
    </row>
    <row r="11" s="335" customFormat="1" ht="23" customHeight="1" spans="1:892">
      <c r="A11" s="340">
        <v>7</v>
      </c>
      <c r="B11" s="341"/>
      <c r="C11" s="516" t="s">
        <v>124</v>
      </c>
      <c r="D11" s="346"/>
      <c r="E11" s="85"/>
      <c r="F11" s="81">
        <v>7</v>
      </c>
      <c r="G11" s="344" t="s">
        <v>382</v>
      </c>
      <c r="H11" s="345" t="s">
        <v>383</v>
      </c>
      <c r="I11" s="366" t="s">
        <v>128</v>
      </c>
      <c r="J11" s="366" t="s">
        <v>128</v>
      </c>
      <c r="K11" s="367"/>
      <c r="L11" s="368"/>
      <c r="M11" s="368"/>
      <c r="N11" s="369" t="s">
        <v>384</v>
      </c>
      <c r="O11" s="370"/>
      <c r="P11" s="371"/>
      <c r="Q11" s="371"/>
      <c r="R11" s="388" t="s">
        <v>136</v>
      </c>
      <c r="S11" s="388"/>
      <c r="T11" s="389"/>
      <c r="U11" s="389"/>
      <c r="V11" s="388" t="s">
        <v>136</v>
      </c>
      <c r="W11" s="388"/>
      <c r="X11" s="340" t="s">
        <v>135</v>
      </c>
      <c r="Y11" s="340" t="s">
        <v>135</v>
      </c>
      <c r="Z11" s="120">
        <f t="shared" si="0"/>
        <v>20</v>
      </c>
      <c r="AA11" s="303" t="str">
        <f t="shared" si="1"/>
        <v>00:20:00</v>
      </c>
      <c r="AB11" s="120">
        <f t="shared" si="2"/>
        <v>1200</v>
      </c>
      <c r="AC11" s="406">
        <v>0.0139351851851852</v>
      </c>
      <c r="AD11" s="407">
        <v>169</v>
      </c>
      <c r="AE11" s="407">
        <v>43</v>
      </c>
      <c r="AF11" s="340" t="s">
        <v>138</v>
      </c>
      <c r="AG11" s="409"/>
      <c r="AH11" s="410"/>
      <c r="AI11" s="411"/>
      <c r="AJ11" s="410"/>
      <c r="AK11" s="410"/>
      <c r="AL11" s="409"/>
      <c r="AM11" s="412"/>
      <c r="AN11" s="412"/>
      <c r="AO11" s="412"/>
      <c r="AP11" s="413"/>
      <c r="AQ11" s="413"/>
      <c r="AR11" s="413"/>
      <c r="AS11" s="413"/>
      <c r="AT11" s="413"/>
      <c r="AU11" s="413"/>
      <c r="AV11" s="413"/>
      <c r="AW11" s="413"/>
      <c r="AX11" s="413"/>
      <c r="AY11" s="413"/>
      <c r="AZ11" s="413"/>
      <c r="BA11" s="413"/>
      <c r="BB11" s="413"/>
      <c r="BC11" s="413"/>
      <c r="BD11" s="413"/>
      <c r="BE11" s="413"/>
      <c r="BF11" s="413"/>
      <c r="BG11" s="413"/>
      <c r="BH11" s="413"/>
      <c r="BI11" s="413"/>
      <c r="BJ11" s="413"/>
      <c r="BK11" s="413"/>
      <c r="BL11" s="413"/>
      <c r="BM11" s="413"/>
      <c r="BN11" s="413"/>
      <c r="BO11" s="413"/>
      <c r="BP11" s="413"/>
      <c r="BQ11" s="413"/>
      <c r="BR11" s="413"/>
      <c r="BS11" s="413"/>
      <c r="BT11" s="413"/>
      <c r="BU11" s="413"/>
      <c r="BV11" s="413"/>
      <c r="BW11" s="413"/>
      <c r="BX11" s="413"/>
      <c r="BY11" s="413"/>
      <c r="BZ11" s="413"/>
      <c r="CA11" s="413"/>
      <c r="CB11" s="413"/>
      <c r="CC11" s="413"/>
      <c r="CD11" s="413"/>
      <c r="CE11" s="413"/>
      <c r="CF11" s="413"/>
      <c r="CG11" s="413"/>
      <c r="CH11" s="413"/>
      <c r="CI11" s="413"/>
      <c r="CJ11" s="413"/>
      <c r="CK11" s="413"/>
      <c r="CL11" s="413"/>
      <c r="CM11" s="413"/>
      <c r="CN11" s="413"/>
      <c r="CO11" s="413"/>
      <c r="CP11" s="413"/>
      <c r="CQ11" s="413"/>
      <c r="CR11" s="413"/>
      <c r="CS11" s="413"/>
      <c r="CT11" s="413"/>
      <c r="CU11" s="413"/>
      <c r="CV11" s="413"/>
      <c r="CW11" s="413"/>
      <c r="CX11" s="413"/>
      <c r="CY11" s="413"/>
      <c r="CZ11" s="413"/>
      <c r="DA11" s="413"/>
      <c r="DB11" s="413"/>
      <c r="DC11" s="413"/>
      <c r="DD11" s="413"/>
      <c r="DE11" s="413"/>
      <c r="DF11" s="413"/>
      <c r="DG11" s="413"/>
      <c r="DH11" s="413"/>
      <c r="DI11" s="413"/>
      <c r="DJ11" s="413"/>
      <c r="DK11" s="413"/>
      <c r="DL11" s="413"/>
      <c r="DM11" s="413"/>
      <c r="DN11" s="413"/>
      <c r="DO11" s="413"/>
      <c r="DP11" s="413"/>
      <c r="DQ11" s="413"/>
      <c r="DR11" s="413"/>
      <c r="DS11" s="413"/>
      <c r="DT11" s="413"/>
      <c r="DU11" s="413"/>
      <c r="DV11" s="413"/>
      <c r="DW11" s="413"/>
      <c r="DX11" s="413"/>
      <c r="DY11" s="413"/>
      <c r="DZ11" s="413"/>
      <c r="EA11" s="413"/>
      <c r="EB11" s="413"/>
      <c r="EC11" s="413"/>
      <c r="ED11" s="413"/>
      <c r="EE11" s="413"/>
      <c r="EF11" s="413"/>
      <c r="EG11" s="413"/>
      <c r="EH11" s="413"/>
      <c r="EI11" s="413"/>
      <c r="EJ11" s="413"/>
      <c r="EK11" s="413"/>
      <c r="EL11" s="413"/>
      <c r="EM11" s="413"/>
      <c r="EN11" s="413"/>
      <c r="EO11" s="413"/>
      <c r="EP11" s="413"/>
      <c r="EQ11" s="413"/>
      <c r="ER11" s="413"/>
      <c r="ES11" s="413"/>
      <c r="ET11" s="413"/>
      <c r="EU11" s="413"/>
      <c r="EV11" s="413"/>
      <c r="EW11" s="413"/>
      <c r="EX11" s="413"/>
      <c r="EY11" s="413"/>
      <c r="EZ11" s="413"/>
      <c r="FA11" s="413"/>
      <c r="FB11" s="413"/>
      <c r="FC11" s="413"/>
      <c r="FD11" s="413"/>
      <c r="FE11" s="413"/>
      <c r="FF11" s="413"/>
      <c r="FG11" s="413"/>
      <c r="FH11" s="413"/>
      <c r="FI11" s="413"/>
      <c r="FJ11" s="413"/>
      <c r="FK11" s="413"/>
      <c r="FL11" s="413"/>
      <c r="FM11" s="413"/>
      <c r="FN11" s="413"/>
      <c r="FO11" s="413"/>
      <c r="FP11" s="413"/>
      <c r="FQ11" s="413"/>
      <c r="FR11" s="413"/>
      <c r="FS11" s="413"/>
      <c r="FT11" s="413"/>
      <c r="FU11" s="413"/>
      <c r="FV11" s="413"/>
      <c r="FW11" s="413"/>
      <c r="FX11" s="413"/>
      <c r="FY11" s="413"/>
      <c r="FZ11" s="413"/>
      <c r="GA11" s="413"/>
      <c r="GB11" s="413"/>
      <c r="GC11" s="413"/>
      <c r="GD11" s="413"/>
      <c r="GE11" s="413"/>
      <c r="GF11" s="413"/>
      <c r="GG11" s="413"/>
      <c r="GH11" s="413"/>
      <c r="GI11" s="413"/>
      <c r="GJ11" s="413"/>
      <c r="GK11" s="413"/>
      <c r="GL11" s="413"/>
      <c r="GM11" s="413"/>
      <c r="GN11" s="413"/>
      <c r="GO11" s="413"/>
      <c r="GP11" s="413"/>
      <c r="GQ11" s="413"/>
      <c r="GR11" s="413"/>
      <c r="GS11" s="413"/>
      <c r="GT11" s="413"/>
      <c r="GU11" s="413"/>
      <c r="GV11" s="413"/>
      <c r="GW11" s="413"/>
      <c r="GX11" s="413"/>
      <c r="GY11" s="413"/>
      <c r="GZ11" s="413"/>
      <c r="HA11" s="413"/>
      <c r="HB11" s="413"/>
      <c r="HC11" s="413"/>
      <c r="HD11" s="413"/>
      <c r="HE11" s="413"/>
      <c r="HF11" s="413"/>
      <c r="HG11" s="413"/>
      <c r="HH11" s="413"/>
      <c r="HI11" s="413"/>
      <c r="HJ11" s="413"/>
      <c r="HK11" s="413"/>
      <c r="HL11" s="413"/>
      <c r="HM11" s="413"/>
      <c r="HN11" s="413"/>
      <c r="HO11" s="413"/>
      <c r="HP11" s="413"/>
      <c r="HQ11" s="413"/>
      <c r="HR11" s="413"/>
      <c r="HS11" s="413"/>
      <c r="HT11" s="413"/>
      <c r="HU11" s="413"/>
      <c r="HV11" s="413"/>
      <c r="HW11" s="413"/>
      <c r="HX11" s="413"/>
      <c r="HY11" s="413"/>
      <c r="HZ11" s="413"/>
      <c r="IA11" s="413"/>
      <c r="IB11" s="413"/>
      <c r="IC11" s="413"/>
      <c r="ID11" s="413"/>
      <c r="IE11" s="413"/>
      <c r="IF11" s="413"/>
      <c r="IG11" s="413"/>
      <c r="IH11" s="413"/>
      <c r="II11" s="413"/>
      <c r="IJ11" s="413"/>
      <c r="IK11" s="413"/>
      <c r="IL11" s="413"/>
      <c r="IM11" s="413"/>
      <c r="IN11" s="413"/>
      <c r="IO11" s="413"/>
      <c r="IP11" s="413"/>
      <c r="IQ11" s="413"/>
      <c r="IR11" s="413"/>
      <c r="IS11" s="413"/>
      <c r="IT11" s="413"/>
      <c r="IU11" s="413"/>
      <c r="IV11" s="413"/>
      <c r="IW11" s="413"/>
      <c r="IX11" s="413"/>
      <c r="IY11" s="413"/>
      <c r="IZ11" s="413"/>
      <c r="JA11" s="413"/>
      <c r="JB11" s="413"/>
      <c r="JC11" s="413"/>
      <c r="JD11" s="413"/>
      <c r="JE11" s="413"/>
      <c r="JF11" s="413"/>
      <c r="JG11" s="413"/>
      <c r="JH11" s="413"/>
      <c r="JI11" s="413"/>
      <c r="JJ11" s="413"/>
      <c r="JK11" s="413"/>
      <c r="JL11" s="413"/>
      <c r="JM11" s="413"/>
      <c r="JN11" s="413"/>
      <c r="JO11" s="413"/>
      <c r="JP11" s="413"/>
      <c r="JQ11" s="413"/>
      <c r="JR11" s="413"/>
      <c r="JS11" s="413"/>
      <c r="JT11" s="413"/>
      <c r="JU11" s="413"/>
      <c r="JV11" s="413"/>
      <c r="JW11" s="413"/>
      <c r="JX11" s="413"/>
      <c r="JY11" s="413"/>
      <c r="JZ11" s="413"/>
      <c r="KA11" s="413"/>
      <c r="KB11" s="413"/>
      <c r="KC11" s="413"/>
      <c r="KD11" s="413"/>
      <c r="KE11" s="413"/>
      <c r="KF11" s="413"/>
      <c r="KG11" s="413"/>
      <c r="KH11" s="413"/>
      <c r="KI11" s="413"/>
      <c r="KJ11" s="413"/>
      <c r="KK11" s="413"/>
      <c r="KL11" s="413"/>
      <c r="KM11" s="413"/>
      <c r="KN11" s="413"/>
      <c r="KO11" s="413"/>
      <c r="KP11" s="413"/>
      <c r="KQ11" s="413"/>
      <c r="KR11" s="413"/>
      <c r="KS11" s="413"/>
      <c r="KT11" s="413"/>
      <c r="KU11" s="413"/>
      <c r="KV11" s="413"/>
      <c r="KW11" s="413"/>
      <c r="KX11" s="413"/>
      <c r="KY11" s="413"/>
      <c r="KZ11" s="413"/>
      <c r="LA11" s="413"/>
      <c r="LB11" s="413"/>
      <c r="LC11" s="413"/>
      <c r="LD11" s="413"/>
      <c r="LE11" s="413"/>
      <c r="LF11" s="413"/>
      <c r="LG11" s="413"/>
      <c r="LH11" s="413"/>
      <c r="LI11" s="413"/>
      <c r="LJ11" s="413"/>
      <c r="LK11" s="413"/>
      <c r="LL11" s="413"/>
      <c r="LM11" s="413"/>
      <c r="LN11" s="413"/>
      <c r="LO11" s="413"/>
      <c r="LP11" s="413"/>
      <c r="LQ11" s="413"/>
      <c r="LR11" s="413"/>
      <c r="LS11" s="413"/>
      <c r="LT11" s="413"/>
      <c r="LU11" s="413"/>
      <c r="LV11" s="413"/>
      <c r="LW11" s="413"/>
      <c r="LX11" s="413"/>
      <c r="LY11" s="413"/>
      <c r="LZ11" s="413"/>
      <c r="MA11" s="413"/>
      <c r="MB11" s="413"/>
      <c r="MC11" s="413"/>
      <c r="MD11" s="413"/>
      <c r="ME11" s="413"/>
      <c r="MF11" s="413"/>
      <c r="MG11" s="413"/>
      <c r="MH11" s="413"/>
      <c r="MI11" s="413"/>
      <c r="MJ11" s="413"/>
      <c r="MK11" s="413"/>
      <c r="ML11" s="413"/>
      <c r="MM11" s="413"/>
      <c r="MN11" s="413"/>
      <c r="MO11" s="413"/>
      <c r="MP11" s="413"/>
      <c r="MQ11" s="413"/>
      <c r="MR11" s="413"/>
      <c r="MS11" s="413"/>
      <c r="MT11" s="413"/>
      <c r="MU11" s="413"/>
      <c r="MV11" s="413"/>
      <c r="MW11" s="413"/>
      <c r="MX11" s="413"/>
      <c r="MY11" s="413"/>
      <c r="MZ11" s="413"/>
      <c r="NA11" s="413"/>
      <c r="NB11" s="413"/>
      <c r="NC11" s="413"/>
      <c r="ND11" s="413"/>
      <c r="NE11" s="413"/>
      <c r="NF11" s="413"/>
      <c r="NG11" s="413"/>
      <c r="NH11" s="413"/>
      <c r="NI11" s="413"/>
      <c r="NJ11" s="413"/>
      <c r="NK11" s="413"/>
      <c r="NL11" s="413"/>
      <c r="NM11" s="413"/>
      <c r="NN11" s="413"/>
      <c r="NO11" s="413"/>
      <c r="NP11" s="413"/>
      <c r="NQ11" s="413"/>
      <c r="NR11" s="413"/>
      <c r="NS11" s="413"/>
      <c r="NT11" s="413"/>
      <c r="NU11" s="413"/>
      <c r="NV11" s="413"/>
      <c r="NW11" s="413"/>
      <c r="NX11" s="413"/>
      <c r="NY11" s="413"/>
      <c r="NZ11" s="413"/>
      <c r="OA11" s="413"/>
      <c r="OB11" s="413"/>
      <c r="OC11" s="413"/>
      <c r="OD11" s="413"/>
      <c r="OE11" s="413"/>
      <c r="OF11" s="413"/>
      <c r="OG11" s="413"/>
      <c r="OH11" s="413"/>
      <c r="OI11" s="413"/>
      <c r="OJ11" s="413"/>
      <c r="OK11" s="413"/>
      <c r="OL11" s="413"/>
      <c r="OM11" s="413"/>
      <c r="ON11" s="413"/>
      <c r="OO11" s="413"/>
      <c r="OP11" s="413"/>
      <c r="OQ11" s="413"/>
      <c r="OR11" s="413"/>
      <c r="OS11" s="413"/>
      <c r="OT11" s="413"/>
      <c r="OU11" s="413"/>
      <c r="OV11" s="413"/>
      <c r="OW11" s="413"/>
      <c r="OX11" s="413"/>
      <c r="OY11" s="413"/>
      <c r="OZ11" s="413"/>
      <c r="PA11" s="413"/>
      <c r="PB11" s="413"/>
      <c r="PC11" s="413"/>
      <c r="PD11" s="413"/>
      <c r="PE11" s="413"/>
      <c r="PF11" s="413"/>
      <c r="PG11" s="413"/>
      <c r="PH11" s="413"/>
      <c r="PI11" s="413"/>
      <c r="PJ11" s="413"/>
      <c r="PK11" s="413"/>
      <c r="PL11" s="413"/>
      <c r="PM11" s="413"/>
      <c r="PN11" s="413"/>
      <c r="PO11" s="413"/>
      <c r="PP11" s="413"/>
      <c r="PQ11" s="413"/>
      <c r="PR11" s="413"/>
      <c r="PS11" s="413"/>
      <c r="PT11" s="413"/>
      <c r="PU11" s="413"/>
      <c r="PV11" s="413"/>
      <c r="PW11" s="413"/>
      <c r="PX11" s="413"/>
      <c r="PY11" s="413"/>
      <c r="PZ11" s="413"/>
      <c r="QA11" s="413"/>
      <c r="QB11" s="413"/>
      <c r="QC11" s="413"/>
      <c r="QD11" s="413"/>
      <c r="QE11" s="413"/>
      <c r="QF11" s="413"/>
      <c r="QG11" s="413"/>
      <c r="QH11" s="413"/>
      <c r="QI11" s="413"/>
      <c r="QJ11" s="413"/>
      <c r="QK11" s="413"/>
      <c r="QL11" s="413"/>
      <c r="QM11" s="413"/>
      <c r="QN11" s="413"/>
      <c r="QO11" s="413"/>
      <c r="QP11" s="413"/>
      <c r="QQ11" s="413"/>
      <c r="QR11" s="413"/>
      <c r="QS11" s="413"/>
      <c r="QT11" s="413"/>
      <c r="QU11" s="413"/>
      <c r="QV11" s="413"/>
      <c r="QW11" s="413"/>
      <c r="QX11" s="413"/>
      <c r="QY11" s="413"/>
      <c r="QZ11" s="413"/>
      <c r="RA11" s="413"/>
      <c r="RB11" s="413"/>
      <c r="RC11" s="413"/>
      <c r="RD11" s="413"/>
      <c r="RE11" s="413"/>
      <c r="RF11" s="413"/>
      <c r="RG11" s="413"/>
      <c r="RH11" s="413"/>
      <c r="RI11" s="413"/>
      <c r="RJ11" s="413"/>
      <c r="RK11" s="413"/>
      <c r="RL11" s="413"/>
      <c r="RM11" s="413"/>
      <c r="RN11" s="413"/>
      <c r="RO11" s="413"/>
      <c r="RP11" s="413"/>
      <c r="RQ11" s="413"/>
      <c r="RR11" s="413"/>
      <c r="RS11" s="413"/>
      <c r="RT11" s="413"/>
      <c r="RU11" s="413"/>
      <c r="RV11" s="413"/>
      <c r="RW11" s="413"/>
      <c r="RX11" s="413"/>
      <c r="RY11" s="413"/>
      <c r="RZ11" s="413"/>
      <c r="SA11" s="413"/>
      <c r="SB11" s="413"/>
      <c r="SC11" s="413"/>
      <c r="SD11" s="413"/>
      <c r="SE11" s="413"/>
      <c r="SF11" s="413"/>
      <c r="SG11" s="413"/>
      <c r="SH11" s="413"/>
      <c r="SI11" s="413"/>
      <c r="SJ11" s="413"/>
      <c r="SK11" s="413"/>
      <c r="SL11" s="413"/>
      <c r="SM11" s="413"/>
      <c r="SN11" s="413"/>
      <c r="SO11" s="413"/>
      <c r="SP11" s="413"/>
      <c r="SQ11" s="413"/>
      <c r="SR11" s="413"/>
      <c r="SS11" s="413"/>
      <c r="ST11" s="413"/>
      <c r="SU11" s="413"/>
      <c r="SV11" s="413"/>
      <c r="SW11" s="413"/>
      <c r="SX11" s="413"/>
      <c r="SY11" s="413"/>
      <c r="SZ11" s="413"/>
      <c r="TA11" s="413"/>
      <c r="TB11" s="413"/>
      <c r="TC11" s="413"/>
      <c r="TD11" s="413"/>
      <c r="TE11" s="413"/>
      <c r="TF11" s="413"/>
      <c r="TG11" s="413"/>
      <c r="TH11" s="413"/>
      <c r="TI11" s="413"/>
      <c r="TJ11" s="413"/>
      <c r="TK11" s="413"/>
      <c r="TL11" s="413"/>
      <c r="TM11" s="413"/>
      <c r="TN11" s="413"/>
      <c r="TO11" s="413"/>
      <c r="TP11" s="413"/>
      <c r="TQ11" s="413"/>
      <c r="TR11" s="413"/>
      <c r="TS11" s="413"/>
      <c r="TT11" s="413"/>
      <c r="TU11" s="413"/>
      <c r="TV11" s="413"/>
      <c r="TW11" s="413"/>
      <c r="TX11" s="413"/>
      <c r="TY11" s="413"/>
      <c r="TZ11" s="413"/>
      <c r="UA11" s="413"/>
      <c r="UB11" s="413"/>
      <c r="UC11" s="413"/>
      <c r="UD11" s="413"/>
      <c r="UE11" s="413"/>
      <c r="UF11" s="413"/>
      <c r="UG11" s="413"/>
      <c r="UH11" s="413"/>
      <c r="UI11" s="413"/>
      <c r="UJ11" s="413"/>
      <c r="UK11" s="413"/>
      <c r="UL11" s="413"/>
      <c r="UM11" s="413"/>
      <c r="UN11" s="413"/>
      <c r="UO11" s="413"/>
      <c r="UP11" s="413"/>
      <c r="UQ11" s="413"/>
      <c r="UR11" s="413"/>
      <c r="US11" s="413"/>
      <c r="UT11" s="413"/>
      <c r="UU11" s="413"/>
      <c r="UV11" s="413"/>
      <c r="UW11" s="413"/>
      <c r="UX11" s="413"/>
      <c r="UY11" s="413"/>
      <c r="UZ11" s="413"/>
      <c r="VA11" s="413"/>
      <c r="VB11" s="413"/>
      <c r="VC11" s="413"/>
      <c r="VD11" s="413"/>
      <c r="VE11" s="413"/>
      <c r="VF11" s="413"/>
      <c r="VG11" s="413"/>
      <c r="VH11" s="413"/>
      <c r="VI11" s="413"/>
      <c r="VJ11" s="413"/>
      <c r="VK11" s="413"/>
      <c r="VL11" s="413"/>
      <c r="VM11" s="413"/>
      <c r="VN11" s="413"/>
      <c r="VO11" s="413"/>
      <c r="VP11" s="413"/>
      <c r="VQ11" s="413"/>
      <c r="VR11" s="413"/>
      <c r="VS11" s="413"/>
      <c r="VT11" s="413"/>
      <c r="VU11" s="413"/>
      <c r="VV11" s="413"/>
      <c r="VW11" s="413"/>
      <c r="VX11" s="413"/>
      <c r="VY11" s="413"/>
      <c r="VZ11" s="413"/>
      <c r="WA11" s="413"/>
      <c r="WB11" s="413"/>
      <c r="WC11" s="413"/>
      <c r="WD11" s="413"/>
      <c r="WE11" s="413"/>
      <c r="WF11" s="413"/>
      <c r="WG11" s="413"/>
      <c r="WH11" s="413"/>
      <c r="WI11" s="413"/>
      <c r="WJ11" s="413"/>
      <c r="WK11" s="413"/>
      <c r="WL11" s="413"/>
      <c r="WM11" s="413"/>
      <c r="WN11" s="413"/>
      <c r="WO11" s="413"/>
      <c r="WP11" s="413"/>
      <c r="WQ11" s="413"/>
      <c r="WR11" s="413"/>
      <c r="WS11" s="413"/>
      <c r="WT11" s="413"/>
      <c r="WU11" s="413"/>
      <c r="WV11" s="413"/>
      <c r="WW11" s="413"/>
      <c r="WX11" s="413"/>
      <c r="WY11" s="413"/>
      <c r="WZ11" s="413"/>
      <c r="XA11" s="413"/>
      <c r="XB11" s="413"/>
      <c r="XC11" s="413"/>
      <c r="XD11" s="413"/>
      <c r="XE11" s="413"/>
      <c r="XF11" s="413"/>
      <c r="XG11" s="413"/>
      <c r="XH11" s="413"/>
      <c r="XI11" s="413"/>
      <c r="XJ11" s="413"/>
      <c r="XK11" s="413"/>
      <c r="XL11" s="413"/>
      <c r="XM11" s="413"/>
      <c r="XN11" s="413"/>
      <c r="XO11" s="413"/>
      <c r="XP11" s="413"/>
      <c r="XQ11" s="413"/>
      <c r="XR11" s="413"/>
      <c r="XS11" s="413"/>
      <c r="XT11" s="413"/>
      <c r="XU11" s="413"/>
      <c r="XV11" s="413"/>
      <c r="XW11" s="413"/>
      <c r="XX11" s="413"/>
      <c r="XY11" s="413"/>
      <c r="XZ11" s="413"/>
      <c r="YA11" s="413"/>
      <c r="YB11" s="413"/>
      <c r="YC11" s="413"/>
      <c r="YD11" s="413"/>
      <c r="YE11" s="413"/>
      <c r="YF11" s="413"/>
      <c r="YG11" s="413"/>
      <c r="YH11" s="413"/>
      <c r="YI11" s="413"/>
      <c r="YJ11" s="413"/>
      <c r="YK11" s="413"/>
      <c r="YL11" s="413"/>
      <c r="YM11" s="413"/>
      <c r="YN11" s="413"/>
      <c r="YO11" s="413"/>
      <c r="YP11" s="413"/>
      <c r="YQ11" s="413"/>
      <c r="YR11" s="413"/>
      <c r="YS11" s="413"/>
      <c r="YT11" s="413"/>
      <c r="YU11" s="413"/>
      <c r="YV11" s="413"/>
      <c r="YW11" s="413"/>
      <c r="YX11" s="413"/>
      <c r="YY11" s="413"/>
      <c r="YZ11" s="413"/>
      <c r="ZA11" s="413"/>
      <c r="ZB11" s="413"/>
      <c r="ZC11" s="413"/>
      <c r="ZD11" s="413"/>
      <c r="ZE11" s="413"/>
      <c r="ZF11" s="413"/>
      <c r="ZG11" s="413"/>
      <c r="ZH11" s="413"/>
      <c r="ZI11" s="413"/>
      <c r="ZJ11" s="413"/>
      <c r="ZK11" s="413"/>
      <c r="ZL11" s="413"/>
      <c r="ZM11" s="413"/>
      <c r="ZN11" s="413"/>
      <c r="ZO11" s="413"/>
      <c r="ZP11" s="413"/>
      <c r="ZQ11" s="413"/>
      <c r="ZR11" s="413"/>
      <c r="ZS11" s="413"/>
      <c r="ZT11" s="413"/>
      <c r="ZU11" s="413"/>
      <c r="ZV11" s="413"/>
      <c r="ZW11" s="413"/>
      <c r="ZX11" s="413"/>
      <c r="ZY11" s="413"/>
      <c r="ZZ11" s="413"/>
      <c r="AAA11" s="413"/>
      <c r="AAB11" s="413"/>
      <c r="AAC11" s="413"/>
      <c r="AAD11" s="413"/>
      <c r="AAE11" s="413"/>
      <c r="AAF11" s="413"/>
      <c r="AAG11" s="413"/>
      <c r="AAH11" s="413"/>
      <c r="AAI11" s="413"/>
      <c r="AAJ11" s="413"/>
      <c r="AAK11" s="413"/>
      <c r="AAL11" s="413"/>
      <c r="AAM11" s="413"/>
      <c r="AAN11" s="413"/>
      <c r="AAO11" s="413"/>
      <c r="AAP11" s="413"/>
      <c r="AAQ11" s="413"/>
      <c r="AAR11" s="413"/>
      <c r="AAS11" s="413"/>
      <c r="AAT11" s="413"/>
      <c r="AAU11" s="413"/>
      <c r="AAV11" s="413"/>
      <c r="AAW11" s="413"/>
      <c r="AAX11" s="413"/>
      <c r="AAY11" s="413"/>
      <c r="AAZ11" s="413"/>
      <c r="ABA11" s="413"/>
      <c r="ABB11" s="413"/>
      <c r="ABC11" s="413"/>
      <c r="ABD11" s="413"/>
      <c r="ABE11" s="413"/>
      <c r="ABF11" s="413"/>
      <c r="ABG11" s="413"/>
      <c r="ABH11" s="413"/>
      <c r="ABI11" s="413"/>
      <c r="ABJ11" s="413"/>
      <c r="ABK11" s="413"/>
      <c r="ABL11" s="413"/>
      <c r="ABM11" s="413"/>
      <c r="ABN11" s="413"/>
      <c r="ABO11" s="413"/>
      <c r="ABP11" s="413"/>
      <c r="ABQ11" s="413"/>
      <c r="ABR11" s="413"/>
      <c r="ABS11" s="413"/>
      <c r="ABT11" s="413"/>
      <c r="ABU11" s="413"/>
      <c r="ABV11" s="413"/>
      <c r="ABW11" s="413"/>
      <c r="ABX11" s="413"/>
      <c r="ABY11" s="413"/>
      <c r="ABZ11" s="413"/>
      <c r="ACA11" s="413"/>
      <c r="ACB11" s="413"/>
      <c r="ACC11" s="413"/>
      <c r="ACD11" s="413"/>
      <c r="ACE11" s="413"/>
      <c r="ACF11" s="413"/>
      <c r="ACG11" s="413"/>
      <c r="ACH11" s="413"/>
      <c r="ACI11" s="413"/>
      <c r="ACJ11" s="413"/>
      <c r="ACK11" s="413"/>
      <c r="ACL11" s="413"/>
      <c r="ACM11" s="413"/>
      <c r="ACN11" s="413"/>
      <c r="ACO11" s="413"/>
      <c r="ACP11" s="413"/>
      <c r="ACQ11" s="413"/>
      <c r="ACR11" s="413"/>
      <c r="ACS11" s="413"/>
      <c r="ACT11" s="413"/>
      <c r="ACU11" s="413"/>
      <c r="ACV11" s="413"/>
      <c r="ACW11" s="413"/>
      <c r="ACX11" s="413"/>
      <c r="ACY11" s="413"/>
      <c r="ACZ11" s="413"/>
      <c r="ADA11" s="413"/>
      <c r="ADB11" s="413"/>
      <c r="ADC11" s="413"/>
      <c r="ADD11" s="413"/>
      <c r="ADE11" s="413"/>
      <c r="ADF11" s="413"/>
      <c r="ADG11" s="413"/>
      <c r="ADH11" s="413"/>
      <c r="ADI11" s="413"/>
      <c r="ADJ11" s="413"/>
      <c r="ADK11" s="413"/>
      <c r="ADL11" s="413"/>
      <c r="ADM11" s="413"/>
      <c r="ADN11" s="413"/>
      <c r="ADO11" s="413"/>
      <c r="ADP11" s="413"/>
      <c r="ADQ11" s="413"/>
      <c r="ADR11" s="413"/>
      <c r="ADS11" s="413"/>
      <c r="ADT11" s="413"/>
      <c r="ADU11" s="413"/>
      <c r="ADV11" s="413"/>
      <c r="ADW11" s="413"/>
      <c r="ADX11" s="413"/>
      <c r="ADY11" s="413"/>
      <c r="ADZ11" s="413"/>
      <c r="AEA11" s="413"/>
      <c r="AEB11" s="413"/>
      <c r="AEC11" s="413"/>
      <c r="AED11" s="413"/>
      <c r="AEE11" s="413"/>
      <c r="AEF11" s="413"/>
      <c r="AEG11" s="413"/>
      <c r="AEH11" s="413"/>
      <c r="AEI11" s="413"/>
      <c r="AEJ11" s="413"/>
      <c r="AEK11" s="413"/>
      <c r="AEL11" s="413"/>
      <c r="AEM11" s="413"/>
      <c r="AEN11" s="413"/>
      <c r="AEO11" s="413"/>
      <c r="AEP11" s="413"/>
      <c r="AEQ11" s="413"/>
      <c r="AER11" s="413"/>
      <c r="AES11" s="413"/>
      <c r="AET11" s="413"/>
      <c r="AEU11" s="413"/>
      <c r="AEV11" s="413"/>
      <c r="AEW11" s="413"/>
      <c r="AEX11" s="413"/>
      <c r="AEY11" s="413"/>
      <c r="AEZ11" s="413"/>
      <c r="AFA11" s="413"/>
      <c r="AFB11" s="413"/>
      <c r="AFC11" s="413"/>
      <c r="AFD11" s="413"/>
      <c r="AFE11" s="413"/>
      <c r="AFF11" s="413"/>
      <c r="AFG11" s="413"/>
      <c r="AFH11" s="413"/>
      <c r="AFI11" s="413"/>
      <c r="AFJ11" s="413"/>
      <c r="AFK11" s="413"/>
      <c r="AFL11" s="413"/>
      <c r="AFM11" s="413"/>
      <c r="AFN11" s="413"/>
      <c r="AFO11" s="413"/>
      <c r="AFP11" s="413"/>
      <c r="AFQ11" s="413"/>
      <c r="AFR11" s="413"/>
      <c r="AFS11" s="413"/>
      <c r="AFT11" s="413"/>
      <c r="AFU11" s="413"/>
      <c r="AFV11" s="413"/>
      <c r="AFW11" s="413"/>
      <c r="AFX11" s="413"/>
      <c r="AFY11" s="413"/>
      <c r="AFZ11" s="413"/>
      <c r="AGA11" s="413"/>
      <c r="AGB11" s="413"/>
      <c r="AGC11" s="413"/>
      <c r="AGD11" s="413"/>
      <c r="AGE11" s="413"/>
      <c r="AGF11" s="413"/>
      <c r="AGG11" s="413"/>
      <c r="AGH11" s="413"/>
      <c r="AGI11" s="413"/>
      <c r="AGJ11" s="413"/>
      <c r="AGK11" s="413"/>
      <c r="AGL11" s="413"/>
      <c r="AGM11" s="413"/>
      <c r="AGN11" s="413"/>
      <c r="AGO11" s="413"/>
      <c r="AGP11" s="413"/>
      <c r="AGQ11" s="413"/>
      <c r="AGR11" s="413"/>
      <c r="AGS11" s="413"/>
      <c r="AGT11" s="413"/>
      <c r="AGU11" s="413"/>
      <c r="AGV11" s="413"/>
      <c r="AGW11" s="413"/>
      <c r="AGX11" s="413"/>
      <c r="AGY11" s="413"/>
      <c r="AGZ11" s="413"/>
      <c r="AHA11" s="413"/>
      <c r="AHB11" s="413"/>
      <c r="AHC11" s="414"/>
      <c r="AHD11" s="414"/>
      <c r="AHE11" s="414"/>
      <c r="AHF11" s="414"/>
      <c r="AHG11" s="414"/>
      <c r="AHH11" s="415"/>
    </row>
    <row r="12" s="335" customFormat="1" ht="23" customHeight="1" spans="1:892">
      <c r="A12" s="340">
        <v>8</v>
      </c>
      <c r="B12" s="341"/>
      <c r="C12" s="516" t="s">
        <v>124</v>
      </c>
      <c r="D12" s="346"/>
      <c r="E12" s="85"/>
      <c r="F12" s="81">
        <v>8</v>
      </c>
      <c r="G12" s="344" t="s">
        <v>385</v>
      </c>
      <c r="H12" s="345" t="s">
        <v>386</v>
      </c>
      <c r="I12" s="366" t="s">
        <v>128</v>
      </c>
      <c r="J12" s="366" t="s">
        <v>128</v>
      </c>
      <c r="K12" s="367"/>
      <c r="L12" s="368"/>
      <c r="M12" s="368"/>
      <c r="N12" s="369" t="s">
        <v>387</v>
      </c>
      <c r="O12" s="370"/>
      <c r="P12" s="371"/>
      <c r="Q12" s="371"/>
      <c r="R12" s="388" t="s">
        <v>136</v>
      </c>
      <c r="S12" s="388"/>
      <c r="T12" s="389"/>
      <c r="U12" s="389"/>
      <c r="V12" s="388" t="s">
        <v>136</v>
      </c>
      <c r="W12" s="388"/>
      <c r="X12" s="340" t="s">
        <v>135</v>
      </c>
      <c r="Y12" s="340" t="s">
        <v>135</v>
      </c>
      <c r="Z12" s="120">
        <f t="shared" si="0"/>
        <v>20</v>
      </c>
      <c r="AA12" s="303" t="str">
        <f t="shared" si="1"/>
        <v>00:20:00</v>
      </c>
      <c r="AB12" s="120">
        <f t="shared" si="2"/>
        <v>1200</v>
      </c>
      <c r="AC12" s="406">
        <v>0.0139467592592593</v>
      </c>
      <c r="AD12" s="407">
        <v>169</v>
      </c>
      <c r="AE12" s="407">
        <v>43</v>
      </c>
      <c r="AF12" s="340" t="s">
        <v>138</v>
      </c>
      <c r="AG12" s="409"/>
      <c r="AH12" s="410"/>
      <c r="AI12" s="411"/>
      <c r="AJ12" s="410"/>
      <c r="AK12" s="410"/>
      <c r="AL12" s="409"/>
      <c r="AM12" s="412"/>
      <c r="AN12" s="412"/>
      <c r="AO12" s="412"/>
      <c r="AP12" s="413"/>
      <c r="AQ12" s="413"/>
      <c r="AR12" s="413"/>
      <c r="AS12" s="413"/>
      <c r="AT12" s="413"/>
      <c r="AU12" s="413"/>
      <c r="AV12" s="413"/>
      <c r="AW12" s="413"/>
      <c r="AX12" s="413"/>
      <c r="AY12" s="413"/>
      <c r="AZ12" s="413"/>
      <c r="BA12" s="413"/>
      <c r="BB12" s="413"/>
      <c r="BC12" s="413"/>
      <c r="BD12" s="413"/>
      <c r="BE12" s="413"/>
      <c r="BF12" s="413"/>
      <c r="BG12" s="413"/>
      <c r="BH12" s="413"/>
      <c r="BI12" s="413"/>
      <c r="BJ12" s="413"/>
      <c r="BK12" s="413"/>
      <c r="BL12" s="413"/>
      <c r="BM12" s="413"/>
      <c r="BN12" s="413"/>
      <c r="BO12" s="413"/>
      <c r="BP12" s="413"/>
      <c r="BQ12" s="413"/>
      <c r="BR12" s="413"/>
      <c r="BS12" s="413"/>
      <c r="BT12" s="413"/>
      <c r="BU12" s="413"/>
      <c r="BV12" s="413"/>
      <c r="BW12" s="413"/>
      <c r="BX12" s="413"/>
      <c r="BY12" s="413"/>
      <c r="BZ12" s="413"/>
      <c r="CA12" s="413"/>
      <c r="CB12" s="413"/>
      <c r="CC12" s="413"/>
      <c r="CD12" s="413"/>
      <c r="CE12" s="413"/>
      <c r="CF12" s="413"/>
      <c r="CG12" s="413"/>
      <c r="CH12" s="413"/>
      <c r="CI12" s="413"/>
      <c r="CJ12" s="413"/>
      <c r="CK12" s="413"/>
      <c r="CL12" s="413"/>
      <c r="CM12" s="413"/>
      <c r="CN12" s="413"/>
      <c r="CO12" s="413"/>
      <c r="CP12" s="413"/>
      <c r="CQ12" s="413"/>
      <c r="CR12" s="413"/>
      <c r="CS12" s="413"/>
      <c r="CT12" s="413"/>
      <c r="CU12" s="413"/>
      <c r="CV12" s="413"/>
      <c r="CW12" s="413"/>
      <c r="CX12" s="413"/>
      <c r="CY12" s="413"/>
      <c r="CZ12" s="413"/>
      <c r="DA12" s="413"/>
      <c r="DB12" s="413"/>
      <c r="DC12" s="413"/>
      <c r="DD12" s="413"/>
      <c r="DE12" s="413"/>
      <c r="DF12" s="413"/>
      <c r="DG12" s="413"/>
      <c r="DH12" s="413"/>
      <c r="DI12" s="413"/>
      <c r="DJ12" s="413"/>
      <c r="DK12" s="413"/>
      <c r="DL12" s="413"/>
      <c r="DM12" s="413"/>
      <c r="DN12" s="413"/>
      <c r="DO12" s="413"/>
      <c r="DP12" s="413"/>
      <c r="DQ12" s="413"/>
      <c r="DR12" s="413"/>
      <c r="DS12" s="413"/>
      <c r="DT12" s="413"/>
      <c r="DU12" s="413"/>
      <c r="DV12" s="413"/>
      <c r="DW12" s="413"/>
      <c r="DX12" s="413"/>
      <c r="DY12" s="413"/>
      <c r="DZ12" s="413"/>
      <c r="EA12" s="413"/>
      <c r="EB12" s="413"/>
      <c r="EC12" s="413"/>
      <c r="ED12" s="413"/>
      <c r="EE12" s="413"/>
      <c r="EF12" s="413"/>
      <c r="EG12" s="413"/>
      <c r="EH12" s="413"/>
      <c r="EI12" s="413"/>
      <c r="EJ12" s="413"/>
      <c r="EK12" s="413"/>
      <c r="EL12" s="413"/>
      <c r="EM12" s="413"/>
      <c r="EN12" s="413"/>
      <c r="EO12" s="413"/>
      <c r="EP12" s="413"/>
      <c r="EQ12" s="413"/>
      <c r="ER12" s="413"/>
      <c r="ES12" s="413"/>
      <c r="ET12" s="413"/>
      <c r="EU12" s="413"/>
      <c r="EV12" s="413"/>
      <c r="EW12" s="413"/>
      <c r="EX12" s="413"/>
      <c r="EY12" s="413"/>
      <c r="EZ12" s="413"/>
      <c r="FA12" s="413"/>
      <c r="FB12" s="413"/>
      <c r="FC12" s="413"/>
      <c r="FD12" s="413"/>
      <c r="FE12" s="413"/>
      <c r="FF12" s="413"/>
      <c r="FG12" s="413"/>
      <c r="FH12" s="413"/>
      <c r="FI12" s="413"/>
      <c r="FJ12" s="413"/>
      <c r="FK12" s="413"/>
      <c r="FL12" s="413"/>
      <c r="FM12" s="413"/>
      <c r="FN12" s="413"/>
      <c r="FO12" s="413"/>
      <c r="FP12" s="413"/>
      <c r="FQ12" s="413"/>
      <c r="FR12" s="413"/>
      <c r="FS12" s="413"/>
      <c r="FT12" s="413"/>
      <c r="FU12" s="413"/>
      <c r="FV12" s="413"/>
      <c r="FW12" s="413"/>
      <c r="FX12" s="413"/>
      <c r="FY12" s="413"/>
      <c r="FZ12" s="413"/>
      <c r="GA12" s="413"/>
      <c r="GB12" s="413"/>
      <c r="GC12" s="413"/>
      <c r="GD12" s="413"/>
      <c r="GE12" s="413"/>
      <c r="GF12" s="413"/>
      <c r="GG12" s="413"/>
      <c r="GH12" s="413"/>
      <c r="GI12" s="413"/>
      <c r="GJ12" s="413"/>
      <c r="GK12" s="413"/>
      <c r="GL12" s="413"/>
      <c r="GM12" s="413"/>
      <c r="GN12" s="413"/>
      <c r="GO12" s="413"/>
      <c r="GP12" s="413"/>
      <c r="GQ12" s="413"/>
      <c r="GR12" s="413"/>
      <c r="GS12" s="413"/>
      <c r="GT12" s="413"/>
      <c r="GU12" s="413"/>
      <c r="GV12" s="413"/>
      <c r="GW12" s="413"/>
      <c r="GX12" s="413"/>
      <c r="GY12" s="413"/>
      <c r="GZ12" s="413"/>
      <c r="HA12" s="413"/>
      <c r="HB12" s="413"/>
      <c r="HC12" s="413"/>
      <c r="HD12" s="413"/>
      <c r="HE12" s="413"/>
      <c r="HF12" s="413"/>
      <c r="HG12" s="413"/>
      <c r="HH12" s="413"/>
      <c r="HI12" s="413"/>
      <c r="HJ12" s="413"/>
      <c r="HK12" s="413"/>
      <c r="HL12" s="413"/>
      <c r="HM12" s="413"/>
      <c r="HN12" s="413"/>
      <c r="HO12" s="413"/>
      <c r="HP12" s="413"/>
      <c r="HQ12" s="413"/>
      <c r="HR12" s="413"/>
      <c r="HS12" s="413"/>
      <c r="HT12" s="413"/>
      <c r="HU12" s="413"/>
      <c r="HV12" s="413"/>
      <c r="HW12" s="413"/>
      <c r="HX12" s="413"/>
      <c r="HY12" s="413"/>
      <c r="HZ12" s="413"/>
      <c r="IA12" s="413"/>
      <c r="IB12" s="413"/>
      <c r="IC12" s="413"/>
      <c r="ID12" s="413"/>
      <c r="IE12" s="413"/>
      <c r="IF12" s="413"/>
      <c r="IG12" s="413"/>
      <c r="IH12" s="413"/>
      <c r="II12" s="413"/>
      <c r="IJ12" s="413"/>
      <c r="IK12" s="413"/>
      <c r="IL12" s="413"/>
      <c r="IM12" s="413"/>
      <c r="IN12" s="413"/>
      <c r="IO12" s="413"/>
      <c r="IP12" s="413"/>
      <c r="IQ12" s="413"/>
      <c r="IR12" s="413"/>
      <c r="IS12" s="413"/>
      <c r="IT12" s="413"/>
      <c r="IU12" s="413"/>
      <c r="IV12" s="413"/>
      <c r="IW12" s="413"/>
      <c r="IX12" s="413"/>
      <c r="IY12" s="413"/>
      <c r="IZ12" s="413"/>
      <c r="JA12" s="413"/>
      <c r="JB12" s="413"/>
      <c r="JC12" s="413"/>
      <c r="JD12" s="413"/>
      <c r="JE12" s="413"/>
      <c r="JF12" s="413"/>
      <c r="JG12" s="413"/>
      <c r="JH12" s="413"/>
      <c r="JI12" s="413"/>
      <c r="JJ12" s="413"/>
      <c r="JK12" s="413"/>
      <c r="JL12" s="413"/>
      <c r="JM12" s="413"/>
      <c r="JN12" s="413"/>
      <c r="JO12" s="413"/>
      <c r="JP12" s="413"/>
      <c r="JQ12" s="413"/>
      <c r="JR12" s="413"/>
      <c r="JS12" s="413"/>
      <c r="JT12" s="413"/>
      <c r="JU12" s="413"/>
      <c r="JV12" s="413"/>
      <c r="JW12" s="413"/>
      <c r="JX12" s="413"/>
      <c r="JY12" s="413"/>
      <c r="JZ12" s="413"/>
      <c r="KA12" s="413"/>
      <c r="KB12" s="413"/>
      <c r="KC12" s="413"/>
      <c r="KD12" s="413"/>
      <c r="KE12" s="413"/>
      <c r="KF12" s="413"/>
      <c r="KG12" s="413"/>
      <c r="KH12" s="413"/>
      <c r="KI12" s="413"/>
      <c r="KJ12" s="413"/>
      <c r="KK12" s="413"/>
      <c r="KL12" s="413"/>
      <c r="KM12" s="413"/>
      <c r="KN12" s="413"/>
      <c r="KO12" s="413"/>
      <c r="KP12" s="413"/>
      <c r="KQ12" s="413"/>
      <c r="KR12" s="413"/>
      <c r="KS12" s="413"/>
      <c r="KT12" s="413"/>
      <c r="KU12" s="413"/>
      <c r="KV12" s="413"/>
      <c r="KW12" s="413"/>
      <c r="KX12" s="413"/>
      <c r="KY12" s="413"/>
      <c r="KZ12" s="413"/>
      <c r="LA12" s="413"/>
      <c r="LB12" s="413"/>
      <c r="LC12" s="413"/>
      <c r="LD12" s="413"/>
      <c r="LE12" s="413"/>
      <c r="LF12" s="413"/>
      <c r="LG12" s="413"/>
      <c r="LH12" s="413"/>
      <c r="LI12" s="413"/>
      <c r="LJ12" s="413"/>
      <c r="LK12" s="413"/>
      <c r="LL12" s="413"/>
      <c r="LM12" s="413"/>
      <c r="LN12" s="413"/>
      <c r="LO12" s="413"/>
      <c r="LP12" s="413"/>
      <c r="LQ12" s="413"/>
      <c r="LR12" s="413"/>
      <c r="LS12" s="413"/>
      <c r="LT12" s="413"/>
      <c r="LU12" s="413"/>
      <c r="LV12" s="413"/>
      <c r="LW12" s="413"/>
      <c r="LX12" s="413"/>
      <c r="LY12" s="413"/>
      <c r="LZ12" s="413"/>
      <c r="MA12" s="413"/>
      <c r="MB12" s="413"/>
      <c r="MC12" s="413"/>
      <c r="MD12" s="413"/>
      <c r="ME12" s="413"/>
      <c r="MF12" s="413"/>
      <c r="MG12" s="413"/>
      <c r="MH12" s="413"/>
      <c r="MI12" s="413"/>
      <c r="MJ12" s="413"/>
      <c r="MK12" s="413"/>
      <c r="ML12" s="413"/>
      <c r="MM12" s="413"/>
      <c r="MN12" s="413"/>
      <c r="MO12" s="413"/>
      <c r="MP12" s="413"/>
      <c r="MQ12" s="413"/>
      <c r="MR12" s="413"/>
      <c r="MS12" s="413"/>
      <c r="MT12" s="413"/>
      <c r="MU12" s="413"/>
      <c r="MV12" s="413"/>
      <c r="MW12" s="413"/>
      <c r="MX12" s="413"/>
      <c r="MY12" s="413"/>
      <c r="MZ12" s="413"/>
      <c r="NA12" s="413"/>
      <c r="NB12" s="413"/>
      <c r="NC12" s="413"/>
      <c r="ND12" s="413"/>
      <c r="NE12" s="413"/>
      <c r="NF12" s="413"/>
      <c r="NG12" s="413"/>
      <c r="NH12" s="413"/>
      <c r="NI12" s="413"/>
      <c r="NJ12" s="413"/>
      <c r="NK12" s="413"/>
      <c r="NL12" s="413"/>
      <c r="NM12" s="413"/>
      <c r="NN12" s="413"/>
      <c r="NO12" s="413"/>
      <c r="NP12" s="413"/>
      <c r="NQ12" s="413"/>
      <c r="NR12" s="413"/>
      <c r="NS12" s="413"/>
      <c r="NT12" s="413"/>
      <c r="NU12" s="413"/>
      <c r="NV12" s="413"/>
      <c r="NW12" s="413"/>
      <c r="NX12" s="413"/>
      <c r="NY12" s="413"/>
      <c r="NZ12" s="413"/>
      <c r="OA12" s="413"/>
      <c r="OB12" s="413"/>
      <c r="OC12" s="413"/>
      <c r="OD12" s="413"/>
      <c r="OE12" s="413"/>
      <c r="OF12" s="413"/>
      <c r="OG12" s="413"/>
      <c r="OH12" s="413"/>
      <c r="OI12" s="413"/>
      <c r="OJ12" s="413"/>
      <c r="OK12" s="413"/>
      <c r="OL12" s="413"/>
      <c r="OM12" s="413"/>
      <c r="ON12" s="413"/>
      <c r="OO12" s="413"/>
      <c r="OP12" s="413"/>
      <c r="OQ12" s="413"/>
      <c r="OR12" s="413"/>
      <c r="OS12" s="413"/>
      <c r="OT12" s="413"/>
      <c r="OU12" s="413"/>
      <c r="OV12" s="413"/>
      <c r="OW12" s="413"/>
      <c r="OX12" s="413"/>
      <c r="OY12" s="413"/>
      <c r="OZ12" s="413"/>
      <c r="PA12" s="413"/>
      <c r="PB12" s="413"/>
      <c r="PC12" s="413"/>
      <c r="PD12" s="413"/>
      <c r="PE12" s="413"/>
      <c r="PF12" s="413"/>
      <c r="PG12" s="413"/>
      <c r="PH12" s="413"/>
      <c r="PI12" s="413"/>
      <c r="PJ12" s="413"/>
      <c r="PK12" s="413"/>
      <c r="PL12" s="413"/>
      <c r="PM12" s="413"/>
      <c r="PN12" s="413"/>
      <c r="PO12" s="413"/>
      <c r="PP12" s="413"/>
      <c r="PQ12" s="413"/>
      <c r="PR12" s="413"/>
      <c r="PS12" s="413"/>
      <c r="PT12" s="413"/>
      <c r="PU12" s="413"/>
      <c r="PV12" s="413"/>
      <c r="PW12" s="413"/>
      <c r="PX12" s="413"/>
      <c r="PY12" s="413"/>
      <c r="PZ12" s="413"/>
      <c r="QA12" s="413"/>
      <c r="QB12" s="413"/>
      <c r="QC12" s="413"/>
      <c r="QD12" s="413"/>
      <c r="QE12" s="413"/>
      <c r="QF12" s="413"/>
      <c r="QG12" s="413"/>
      <c r="QH12" s="413"/>
      <c r="QI12" s="413"/>
      <c r="QJ12" s="413"/>
      <c r="QK12" s="413"/>
      <c r="QL12" s="413"/>
      <c r="QM12" s="413"/>
      <c r="QN12" s="413"/>
      <c r="QO12" s="413"/>
      <c r="QP12" s="413"/>
      <c r="QQ12" s="413"/>
      <c r="QR12" s="413"/>
      <c r="QS12" s="413"/>
      <c r="QT12" s="413"/>
      <c r="QU12" s="413"/>
      <c r="QV12" s="413"/>
      <c r="QW12" s="413"/>
      <c r="QX12" s="413"/>
      <c r="QY12" s="413"/>
      <c r="QZ12" s="413"/>
      <c r="RA12" s="413"/>
      <c r="RB12" s="413"/>
      <c r="RC12" s="413"/>
      <c r="RD12" s="413"/>
      <c r="RE12" s="413"/>
      <c r="RF12" s="413"/>
      <c r="RG12" s="413"/>
      <c r="RH12" s="413"/>
      <c r="RI12" s="413"/>
      <c r="RJ12" s="413"/>
      <c r="RK12" s="413"/>
      <c r="RL12" s="413"/>
      <c r="RM12" s="413"/>
      <c r="RN12" s="413"/>
      <c r="RO12" s="413"/>
      <c r="RP12" s="413"/>
      <c r="RQ12" s="413"/>
      <c r="RR12" s="413"/>
      <c r="RS12" s="413"/>
      <c r="RT12" s="413"/>
      <c r="RU12" s="413"/>
      <c r="RV12" s="413"/>
      <c r="RW12" s="413"/>
      <c r="RX12" s="413"/>
      <c r="RY12" s="413"/>
      <c r="RZ12" s="413"/>
      <c r="SA12" s="413"/>
      <c r="SB12" s="413"/>
      <c r="SC12" s="413"/>
      <c r="SD12" s="413"/>
      <c r="SE12" s="413"/>
      <c r="SF12" s="413"/>
      <c r="SG12" s="413"/>
      <c r="SH12" s="413"/>
      <c r="SI12" s="413"/>
      <c r="SJ12" s="413"/>
      <c r="SK12" s="413"/>
      <c r="SL12" s="413"/>
      <c r="SM12" s="413"/>
      <c r="SN12" s="413"/>
      <c r="SO12" s="413"/>
      <c r="SP12" s="413"/>
      <c r="SQ12" s="413"/>
      <c r="SR12" s="413"/>
      <c r="SS12" s="413"/>
      <c r="ST12" s="413"/>
      <c r="SU12" s="413"/>
      <c r="SV12" s="413"/>
      <c r="SW12" s="413"/>
      <c r="SX12" s="413"/>
      <c r="SY12" s="413"/>
      <c r="SZ12" s="413"/>
      <c r="TA12" s="413"/>
      <c r="TB12" s="413"/>
      <c r="TC12" s="413"/>
      <c r="TD12" s="413"/>
      <c r="TE12" s="413"/>
      <c r="TF12" s="413"/>
      <c r="TG12" s="413"/>
      <c r="TH12" s="413"/>
      <c r="TI12" s="413"/>
      <c r="TJ12" s="413"/>
      <c r="TK12" s="413"/>
      <c r="TL12" s="413"/>
      <c r="TM12" s="413"/>
      <c r="TN12" s="413"/>
      <c r="TO12" s="413"/>
      <c r="TP12" s="413"/>
      <c r="TQ12" s="413"/>
      <c r="TR12" s="413"/>
      <c r="TS12" s="413"/>
      <c r="TT12" s="413"/>
      <c r="TU12" s="413"/>
      <c r="TV12" s="413"/>
      <c r="TW12" s="413"/>
      <c r="TX12" s="413"/>
      <c r="TY12" s="413"/>
      <c r="TZ12" s="413"/>
      <c r="UA12" s="413"/>
      <c r="UB12" s="413"/>
      <c r="UC12" s="413"/>
      <c r="UD12" s="413"/>
      <c r="UE12" s="413"/>
      <c r="UF12" s="413"/>
      <c r="UG12" s="413"/>
      <c r="UH12" s="413"/>
      <c r="UI12" s="413"/>
      <c r="UJ12" s="413"/>
      <c r="UK12" s="413"/>
      <c r="UL12" s="413"/>
      <c r="UM12" s="413"/>
      <c r="UN12" s="413"/>
      <c r="UO12" s="413"/>
      <c r="UP12" s="413"/>
      <c r="UQ12" s="413"/>
      <c r="UR12" s="413"/>
      <c r="US12" s="413"/>
      <c r="UT12" s="413"/>
      <c r="UU12" s="413"/>
      <c r="UV12" s="413"/>
      <c r="UW12" s="413"/>
      <c r="UX12" s="413"/>
      <c r="UY12" s="413"/>
      <c r="UZ12" s="413"/>
      <c r="VA12" s="413"/>
      <c r="VB12" s="413"/>
      <c r="VC12" s="413"/>
      <c r="VD12" s="413"/>
      <c r="VE12" s="413"/>
      <c r="VF12" s="413"/>
      <c r="VG12" s="413"/>
      <c r="VH12" s="413"/>
      <c r="VI12" s="413"/>
      <c r="VJ12" s="413"/>
      <c r="VK12" s="413"/>
      <c r="VL12" s="413"/>
      <c r="VM12" s="413"/>
      <c r="VN12" s="413"/>
      <c r="VO12" s="413"/>
      <c r="VP12" s="413"/>
      <c r="VQ12" s="413"/>
      <c r="VR12" s="413"/>
      <c r="VS12" s="413"/>
      <c r="VT12" s="413"/>
      <c r="VU12" s="413"/>
      <c r="VV12" s="413"/>
      <c r="VW12" s="413"/>
      <c r="VX12" s="413"/>
      <c r="VY12" s="413"/>
      <c r="VZ12" s="413"/>
      <c r="WA12" s="413"/>
      <c r="WB12" s="413"/>
      <c r="WC12" s="413"/>
      <c r="WD12" s="413"/>
      <c r="WE12" s="413"/>
      <c r="WF12" s="413"/>
      <c r="WG12" s="413"/>
      <c r="WH12" s="413"/>
      <c r="WI12" s="413"/>
      <c r="WJ12" s="413"/>
      <c r="WK12" s="413"/>
      <c r="WL12" s="413"/>
      <c r="WM12" s="413"/>
      <c r="WN12" s="413"/>
      <c r="WO12" s="413"/>
      <c r="WP12" s="413"/>
      <c r="WQ12" s="413"/>
      <c r="WR12" s="413"/>
      <c r="WS12" s="413"/>
      <c r="WT12" s="413"/>
      <c r="WU12" s="413"/>
      <c r="WV12" s="413"/>
      <c r="WW12" s="413"/>
      <c r="WX12" s="413"/>
      <c r="WY12" s="413"/>
      <c r="WZ12" s="413"/>
      <c r="XA12" s="413"/>
      <c r="XB12" s="413"/>
      <c r="XC12" s="413"/>
      <c r="XD12" s="413"/>
      <c r="XE12" s="413"/>
      <c r="XF12" s="413"/>
      <c r="XG12" s="413"/>
      <c r="XH12" s="413"/>
      <c r="XI12" s="413"/>
      <c r="XJ12" s="413"/>
      <c r="XK12" s="413"/>
      <c r="XL12" s="413"/>
      <c r="XM12" s="413"/>
      <c r="XN12" s="413"/>
      <c r="XO12" s="413"/>
      <c r="XP12" s="413"/>
      <c r="XQ12" s="413"/>
      <c r="XR12" s="413"/>
      <c r="XS12" s="413"/>
      <c r="XT12" s="413"/>
      <c r="XU12" s="413"/>
      <c r="XV12" s="413"/>
      <c r="XW12" s="413"/>
      <c r="XX12" s="413"/>
      <c r="XY12" s="413"/>
      <c r="XZ12" s="413"/>
      <c r="YA12" s="413"/>
      <c r="YB12" s="413"/>
      <c r="YC12" s="413"/>
      <c r="YD12" s="413"/>
      <c r="YE12" s="413"/>
      <c r="YF12" s="413"/>
      <c r="YG12" s="413"/>
      <c r="YH12" s="413"/>
      <c r="YI12" s="413"/>
      <c r="YJ12" s="413"/>
      <c r="YK12" s="413"/>
      <c r="YL12" s="413"/>
      <c r="YM12" s="413"/>
      <c r="YN12" s="413"/>
      <c r="YO12" s="413"/>
      <c r="YP12" s="413"/>
      <c r="YQ12" s="413"/>
      <c r="YR12" s="413"/>
      <c r="YS12" s="413"/>
      <c r="YT12" s="413"/>
      <c r="YU12" s="413"/>
      <c r="YV12" s="413"/>
      <c r="YW12" s="413"/>
      <c r="YX12" s="413"/>
      <c r="YY12" s="413"/>
      <c r="YZ12" s="413"/>
      <c r="ZA12" s="413"/>
      <c r="ZB12" s="413"/>
      <c r="ZC12" s="413"/>
      <c r="ZD12" s="413"/>
      <c r="ZE12" s="413"/>
      <c r="ZF12" s="413"/>
      <c r="ZG12" s="413"/>
      <c r="ZH12" s="413"/>
      <c r="ZI12" s="413"/>
      <c r="ZJ12" s="413"/>
      <c r="ZK12" s="413"/>
      <c r="ZL12" s="413"/>
      <c r="ZM12" s="413"/>
      <c r="ZN12" s="413"/>
      <c r="ZO12" s="413"/>
      <c r="ZP12" s="413"/>
      <c r="ZQ12" s="413"/>
      <c r="ZR12" s="413"/>
      <c r="ZS12" s="413"/>
      <c r="ZT12" s="413"/>
      <c r="ZU12" s="413"/>
      <c r="ZV12" s="413"/>
      <c r="ZW12" s="413"/>
      <c r="ZX12" s="413"/>
      <c r="ZY12" s="413"/>
      <c r="ZZ12" s="413"/>
      <c r="AAA12" s="413"/>
      <c r="AAB12" s="413"/>
      <c r="AAC12" s="413"/>
      <c r="AAD12" s="413"/>
      <c r="AAE12" s="413"/>
      <c r="AAF12" s="413"/>
      <c r="AAG12" s="413"/>
      <c r="AAH12" s="413"/>
      <c r="AAI12" s="413"/>
      <c r="AAJ12" s="413"/>
      <c r="AAK12" s="413"/>
      <c r="AAL12" s="413"/>
      <c r="AAM12" s="413"/>
      <c r="AAN12" s="413"/>
      <c r="AAO12" s="413"/>
      <c r="AAP12" s="413"/>
      <c r="AAQ12" s="413"/>
      <c r="AAR12" s="413"/>
      <c r="AAS12" s="413"/>
      <c r="AAT12" s="413"/>
      <c r="AAU12" s="413"/>
      <c r="AAV12" s="413"/>
      <c r="AAW12" s="413"/>
      <c r="AAX12" s="413"/>
      <c r="AAY12" s="413"/>
      <c r="AAZ12" s="413"/>
      <c r="ABA12" s="413"/>
      <c r="ABB12" s="413"/>
      <c r="ABC12" s="413"/>
      <c r="ABD12" s="413"/>
      <c r="ABE12" s="413"/>
      <c r="ABF12" s="413"/>
      <c r="ABG12" s="413"/>
      <c r="ABH12" s="413"/>
      <c r="ABI12" s="413"/>
      <c r="ABJ12" s="413"/>
      <c r="ABK12" s="413"/>
      <c r="ABL12" s="413"/>
      <c r="ABM12" s="413"/>
      <c r="ABN12" s="413"/>
      <c r="ABO12" s="413"/>
      <c r="ABP12" s="413"/>
      <c r="ABQ12" s="413"/>
      <c r="ABR12" s="413"/>
      <c r="ABS12" s="413"/>
      <c r="ABT12" s="413"/>
      <c r="ABU12" s="413"/>
      <c r="ABV12" s="413"/>
      <c r="ABW12" s="413"/>
      <c r="ABX12" s="413"/>
      <c r="ABY12" s="413"/>
      <c r="ABZ12" s="413"/>
      <c r="ACA12" s="413"/>
      <c r="ACB12" s="413"/>
      <c r="ACC12" s="413"/>
      <c r="ACD12" s="413"/>
      <c r="ACE12" s="413"/>
      <c r="ACF12" s="413"/>
      <c r="ACG12" s="413"/>
      <c r="ACH12" s="413"/>
      <c r="ACI12" s="413"/>
      <c r="ACJ12" s="413"/>
      <c r="ACK12" s="413"/>
      <c r="ACL12" s="413"/>
      <c r="ACM12" s="413"/>
      <c r="ACN12" s="413"/>
      <c r="ACO12" s="413"/>
      <c r="ACP12" s="413"/>
      <c r="ACQ12" s="413"/>
      <c r="ACR12" s="413"/>
      <c r="ACS12" s="413"/>
      <c r="ACT12" s="413"/>
      <c r="ACU12" s="413"/>
      <c r="ACV12" s="413"/>
      <c r="ACW12" s="413"/>
      <c r="ACX12" s="413"/>
      <c r="ACY12" s="413"/>
      <c r="ACZ12" s="413"/>
      <c r="ADA12" s="413"/>
      <c r="ADB12" s="413"/>
      <c r="ADC12" s="413"/>
      <c r="ADD12" s="413"/>
      <c r="ADE12" s="413"/>
      <c r="ADF12" s="413"/>
      <c r="ADG12" s="413"/>
      <c r="ADH12" s="413"/>
      <c r="ADI12" s="413"/>
      <c r="ADJ12" s="413"/>
      <c r="ADK12" s="413"/>
      <c r="ADL12" s="413"/>
      <c r="ADM12" s="413"/>
      <c r="ADN12" s="413"/>
      <c r="ADO12" s="413"/>
      <c r="ADP12" s="413"/>
      <c r="ADQ12" s="413"/>
      <c r="ADR12" s="413"/>
      <c r="ADS12" s="413"/>
      <c r="ADT12" s="413"/>
      <c r="ADU12" s="413"/>
      <c r="ADV12" s="413"/>
      <c r="ADW12" s="413"/>
      <c r="ADX12" s="413"/>
      <c r="ADY12" s="413"/>
      <c r="ADZ12" s="413"/>
      <c r="AEA12" s="413"/>
      <c r="AEB12" s="413"/>
      <c r="AEC12" s="413"/>
      <c r="AED12" s="413"/>
      <c r="AEE12" s="413"/>
      <c r="AEF12" s="413"/>
      <c r="AEG12" s="413"/>
      <c r="AEH12" s="413"/>
      <c r="AEI12" s="413"/>
      <c r="AEJ12" s="413"/>
      <c r="AEK12" s="413"/>
      <c r="AEL12" s="413"/>
      <c r="AEM12" s="413"/>
      <c r="AEN12" s="413"/>
      <c r="AEO12" s="413"/>
      <c r="AEP12" s="413"/>
      <c r="AEQ12" s="413"/>
      <c r="AER12" s="413"/>
      <c r="AES12" s="413"/>
      <c r="AET12" s="413"/>
      <c r="AEU12" s="413"/>
      <c r="AEV12" s="413"/>
      <c r="AEW12" s="413"/>
      <c r="AEX12" s="413"/>
      <c r="AEY12" s="413"/>
      <c r="AEZ12" s="413"/>
      <c r="AFA12" s="413"/>
      <c r="AFB12" s="413"/>
      <c r="AFC12" s="413"/>
      <c r="AFD12" s="413"/>
      <c r="AFE12" s="413"/>
      <c r="AFF12" s="413"/>
      <c r="AFG12" s="413"/>
      <c r="AFH12" s="413"/>
      <c r="AFI12" s="413"/>
      <c r="AFJ12" s="413"/>
      <c r="AFK12" s="413"/>
      <c r="AFL12" s="413"/>
      <c r="AFM12" s="413"/>
      <c r="AFN12" s="413"/>
      <c r="AFO12" s="413"/>
      <c r="AFP12" s="413"/>
      <c r="AFQ12" s="413"/>
      <c r="AFR12" s="413"/>
      <c r="AFS12" s="413"/>
      <c r="AFT12" s="413"/>
      <c r="AFU12" s="413"/>
      <c r="AFV12" s="413"/>
      <c r="AFW12" s="413"/>
      <c r="AFX12" s="413"/>
      <c r="AFY12" s="413"/>
      <c r="AFZ12" s="413"/>
      <c r="AGA12" s="413"/>
      <c r="AGB12" s="413"/>
      <c r="AGC12" s="413"/>
      <c r="AGD12" s="413"/>
      <c r="AGE12" s="413"/>
      <c r="AGF12" s="413"/>
      <c r="AGG12" s="413"/>
      <c r="AGH12" s="413"/>
      <c r="AGI12" s="413"/>
      <c r="AGJ12" s="413"/>
      <c r="AGK12" s="413"/>
      <c r="AGL12" s="413"/>
      <c r="AGM12" s="413"/>
      <c r="AGN12" s="413"/>
      <c r="AGO12" s="413"/>
      <c r="AGP12" s="413"/>
      <c r="AGQ12" s="413"/>
      <c r="AGR12" s="413"/>
      <c r="AGS12" s="413"/>
      <c r="AGT12" s="413"/>
      <c r="AGU12" s="413"/>
      <c r="AGV12" s="413"/>
      <c r="AGW12" s="413"/>
      <c r="AGX12" s="413"/>
      <c r="AGY12" s="413"/>
      <c r="AGZ12" s="413"/>
      <c r="AHA12" s="413"/>
      <c r="AHB12" s="413"/>
      <c r="AHC12" s="414"/>
      <c r="AHD12" s="414"/>
      <c r="AHE12" s="414"/>
      <c r="AHF12" s="414"/>
      <c r="AHG12" s="414"/>
      <c r="AHH12" s="415"/>
    </row>
    <row r="13" s="335" customFormat="1" ht="23" customHeight="1" spans="1:892">
      <c r="A13" s="340">
        <v>9</v>
      </c>
      <c r="B13" s="341"/>
      <c r="C13" s="516" t="s">
        <v>124</v>
      </c>
      <c r="D13" s="346"/>
      <c r="E13" s="85"/>
      <c r="F13" s="81">
        <v>9</v>
      </c>
      <c r="G13" s="344" t="s">
        <v>388</v>
      </c>
      <c r="H13" s="345" t="s">
        <v>389</v>
      </c>
      <c r="I13" s="366" t="s">
        <v>128</v>
      </c>
      <c r="J13" s="366" t="s">
        <v>128</v>
      </c>
      <c r="K13" s="367"/>
      <c r="L13" s="368"/>
      <c r="M13" s="368"/>
      <c r="N13" s="369" t="s">
        <v>390</v>
      </c>
      <c r="O13" s="370"/>
      <c r="P13" s="371"/>
      <c r="Q13" s="371"/>
      <c r="R13" s="388" t="s">
        <v>136</v>
      </c>
      <c r="S13" s="388"/>
      <c r="T13" s="389"/>
      <c r="U13" s="389"/>
      <c r="V13" s="388" t="s">
        <v>136</v>
      </c>
      <c r="W13" s="388"/>
      <c r="X13" s="340" t="s">
        <v>135</v>
      </c>
      <c r="Y13" s="340" t="s">
        <v>135</v>
      </c>
      <c r="Z13" s="120">
        <f t="shared" si="0"/>
        <v>46</v>
      </c>
      <c r="AA13" s="303" t="str">
        <f t="shared" si="1"/>
        <v>00:46:00</v>
      </c>
      <c r="AB13" s="120">
        <f t="shared" si="2"/>
        <v>2760</v>
      </c>
      <c r="AC13" s="406">
        <v>0.0321990740740741</v>
      </c>
      <c r="AD13" s="407">
        <v>169</v>
      </c>
      <c r="AE13" s="407">
        <v>43</v>
      </c>
      <c r="AF13" s="340" t="s">
        <v>138</v>
      </c>
      <c r="AG13" s="409"/>
      <c r="AH13" s="410"/>
      <c r="AI13" s="411"/>
      <c r="AJ13" s="410"/>
      <c r="AK13" s="410"/>
      <c r="AL13" s="409"/>
      <c r="AM13" s="412"/>
      <c r="AN13" s="412"/>
      <c r="AO13" s="412"/>
      <c r="AP13" s="413"/>
      <c r="AQ13" s="413"/>
      <c r="AR13" s="413"/>
      <c r="AS13" s="413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3"/>
      <c r="BH13" s="413"/>
      <c r="BI13" s="413"/>
      <c r="BJ13" s="413"/>
      <c r="BK13" s="413"/>
      <c r="BL13" s="413"/>
      <c r="BM13" s="413"/>
      <c r="BN13" s="413"/>
      <c r="BO13" s="413"/>
      <c r="BP13" s="413"/>
      <c r="BQ13" s="413"/>
      <c r="BR13" s="413"/>
      <c r="BS13" s="413"/>
      <c r="BT13" s="413"/>
      <c r="BU13" s="413"/>
      <c r="BV13" s="413"/>
      <c r="BW13" s="413"/>
      <c r="BX13" s="413"/>
      <c r="BY13" s="413"/>
      <c r="BZ13" s="413"/>
      <c r="CA13" s="413"/>
      <c r="CB13" s="413"/>
      <c r="CC13" s="413"/>
      <c r="CD13" s="413"/>
      <c r="CE13" s="413"/>
      <c r="CF13" s="413"/>
      <c r="CG13" s="413"/>
      <c r="CH13" s="413"/>
      <c r="CI13" s="413"/>
      <c r="CJ13" s="413"/>
      <c r="CK13" s="413"/>
      <c r="CL13" s="413"/>
      <c r="CM13" s="413"/>
      <c r="CN13" s="413"/>
      <c r="CO13" s="413"/>
      <c r="CP13" s="413"/>
      <c r="CQ13" s="413"/>
      <c r="CR13" s="413"/>
      <c r="CS13" s="413"/>
      <c r="CT13" s="413"/>
      <c r="CU13" s="413"/>
      <c r="CV13" s="413"/>
      <c r="CW13" s="413"/>
      <c r="CX13" s="413"/>
      <c r="CY13" s="413"/>
      <c r="CZ13" s="413"/>
      <c r="DA13" s="413"/>
      <c r="DB13" s="413"/>
      <c r="DC13" s="413"/>
      <c r="DD13" s="413"/>
      <c r="DE13" s="413"/>
      <c r="DF13" s="413"/>
      <c r="DG13" s="413"/>
      <c r="DH13" s="413"/>
      <c r="DI13" s="413"/>
      <c r="DJ13" s="413"/>
      <c r="DK13" s="413"/>
      <c r="DL13" s="413"/>
      <c r="DM13" s="413"/>
      <c r="DN13" s="413"/>
      <c r="DO13" s="413"/>
      <c r="DP13" s="413"/>
      <c r="DQ13" s="413"/>
      <c r="DR13" s="413"/>
      <c r="DS13" s="413"/>
      <c r="DT13" s="413"/>
      <c r="DU13" s="413"/>
      <c r="DV13" s="413"/>
      <c r="DW13" s="413"/>
      <c r="DX13" s="413"/>
      <c r="DY13" s="413"/>
      <c r="DZ13" s="413"/>
      <c r="EA13" s="413"/>
      <c r="EB13" s="413"/>
      <c r="EC13" s="413"/>
      <c r="ED13" s="413"/>
      <c r="EE13" s="413"/>
      <c r="EF13" s="413"/>
      <c r="EG13" s="413"/>
      <c r="EH13" s="413"/>
      <c r="EI13" s="413"/>
      <c r="EJ13" s="413"/>
      <c r="EK13" s="413"/>
      <c r="EL13" s="413"/>
      <c r="EM13" s="413"/>
      <c r="EN13" s="413"/>
      <c r="EO13" s="413"/>
      <c r="EP13" s="413"/>
      <c r="EQ13" s="413"/>
      <c r="ER13" s="413"/>
      <c r="ES13" s="413"/>
      <c r="ET13" s="413"/>
      <c r="EU13" s="413"/>
      <c r="EV13" s="413"/>
      <c r="EW13" s="413"/>
      <c r="EX13" s="413"/>
      <c r="EY13" s="413"/>
      <c r="EZ13" s="413"/>
      <c r="FA13" s="413"/>
      <c r="FB13" s="413"/>
      <c r="FC13" s="413"/>
      <c r="FD13" s="413"/>
      <c r="FE13" s="413"/>
      <c r="FF13" s="413"/>
      <c r="FG13" s="413"/>
      <c r="FH13" s="413"/>
      <c r="FI13" s="413"/>
      <c r="FJ13" s="413"/>
      <c r="FK13" s="413"/>
      <c r="FL13" s="413"/>
      <c r="FM13" s="413"/>
      <c r="FN13" s="413"/>
      <c r="FO13" s="413"/>
      <c r="FP13" s="413"/>
      <c r="FQ13" s="413"/>
      <c r="FR13" s="413"/>
      <c r="FS13" s="413"/>
      <c r="FT13" s="413"/>
      <c r="FU13" s="413"/>
      <c r="FV13" s="413"/>
      <c r="FW13" s="413"/>
      <c r="FX13" s="413"/>
      <c r="FY13" s="413"/>
      <c r="FZ13" s="413"/>
      <c r="GA13" s="413"/>
      <c r="GB13" s="413"/>
      <c r="GC13" s="413"/>
      <c r="GD13" s="413"/>
      <c r="GE13" s="413"/>
      <c r="GF13" s="413"/>
      <c r="GG13" s="413"/>
      <c r="GH13" s="413"/>
      <c r="GI13" s="413"/>
      <c r="GJ13" s="413"/>
      <c r="GK13" s="413"/>
      <c r="GL13" s="413"/>
      <c r="GM13" s="413"/>
      <c r="GN13" s="413"/>
      <c r="GO13" s="413"/>
      <c r="GP13" s="413"/>
      <c r="GQ13" s="413"/>
      <c r="GR13" s="413"/>
      <c r="GS13" s="413"/>
      <c r="GT13" s="413"/>
      <c r="GU13" s="413"/>
      <c r="GV13" s="413"/>
      <c r="GW13" s="413"/>
      <c r="GX13" s="413"/>
      <c r="GY13" s="413"/>
      <c r="GZ13" s="413"/>
      <c r="HA13" s="413"/>
      <c r="HB13" s="413"/>
      <c r="HC13" s="413"/>
      <c r="HD13" s="413"/>
      <c r="HE13" s="413"/>
      <c r="HF13" s="413"/>
      <c r="HG13" s="413"/>
      <c r="HH13" s="413"/>
      <c r="HI13" s="413"/>
      <c r="HJ13" s="413"/>
      <c r="HK13" s="413"/>
      <c r="HL13" s="413"/>
      <c r="HM13" s="413"/>
      <c r="HN13" s="413"/>
      <c r="HO13" s="413"/>
      <c r="HP13" s="413"/>
      <c r="HQ13" s="413"/>
      <c r="HR13" s="413"/>
      <c r="HS13" s="413"/>
      <c r="HT13" s="413"/>
      <c r="HU13" s="413"/>
      <c r="HV13" s="413"/>
      <c r="HW13" s="413"/>
      <c r="HX13" s="413"/>
      <c r="HY13" s="413"/>
      <c r="HZ13" s="413"/>
      <c r="IA13" s="413"/>
      <c r="IB13" s="413"/>
      <c r="IC13" s="413"/>
      <c r="ID13" s="413"/>
      <c r="IE13" s="413"/>
      <c r="IF13" s="413"/>
      <c r="IG13" s="413"/>
      <c r="IH13" s="413"/>
      <c r="II13" s="413"/>
      <c r="IJ13" s="413"/>
      <c r="IK13" s="413"/>
      <c r="IL13" s="413"/>
      <c r="IM13" s="413"/>
      <c r="IN13" s="413"/>
      <c r="IO13" s="413"/>
      <c r="IP13" s="413"/>
      <c r="IQ13" s="413"/>
      <c r="IR13" s="413"/>
      <c r="IS13" s="413"/>
      <c r="IT13" s="413"/>
      <c r="IU13" s="413"/>
      <c r="IV13" s="413"/>
      <c r="IW13" s="413"/>
      <c r="IX13" s="413"/>
      <c r="IY13" s="413"/>
      <c r="IZ13" s="413"/>
      <c r="JA13" s="413"/>
      <c r="JB13" s="413"/>
      <c r="JC13" s="413"/>
      <c r="JD13" s="413"/>
      <c r="JE13" s="413"/>
      <c r="JF13" s="413"/>
      <c r="JG13" s="413"/>
      <c r="JH13" s="413"/>
      <c r="JI13" s="413"/>
      <c r="JJ13" s="413"/>
      <c r="JK13" s="413"/>
      <c r="JL13" s="413"/>
      <c r="JM13" s="413"/>
      <c r="JN13" s="413"/>
      <c r="JO13" s="413"/>
      <c r="JP13" s="413"/>
      <c r="JQ13" s="413"/>
      <c r="JR13" s="413"/>
      <c r="JS13" s="413"/>
      <c r="JT13" s="413"/>
      <c r="JU13" s="413"/>
      <c r="JV13" s="413"/>
      <c r="JW13" s="413"/>
      <c r="JX13" s="413"/>
      <c r="JY13" s="413"/>
      <c r="JZ13" s="413"/>
      <c r="KA13" s="413"/>
      <c r="KB13" s="413"/>
      <c r="KC13" s="413"/>
      <c r="KD13" s="413"/>
      <c r="KE13" s="413"/>
      <c r="KF13" s="413"/>
      <c r="KG13" s="413"/>
      <c r="KH13" s="413"/>
      <c r="KI13" s="413"/>
      <c r="KJ13" s="413"/>
      <c r="KK13" s="413"/>
      <c r="KL13" s="413"/>
      <c r="KM13" s="413"/>
      <c r="KN13" s="413"/>
      <c r="KO13" s="413"/>
      <c r="KP13" s="413"/>
      <c r="KQ13" s="413"/>
      <c r="KR13" s="413"/>
      <c r="KS13" s="413"/>
      <c r="KT13" s="413"/>
      <c r="KU13" s="413"/>
      <c r="KV13" s="413"/>
      <c r="KW13" s="413"/>
      <c r="KX13" s="413"/>
      <c r="KY13" s="413"/>
      <c r="KZ13" s="413"/>
      <c r="LA13" s="413"/>
      <c r="LB13" s="413"/>
      <c r="LC13" s="413"/>
      <c r="LD13" s="413"/>
      <c r="LE13" s="413"/>
      <c r="LF13" s="413"/>
      <c r="LG13" s="413"/>
      <c r="LH13" s="413"/>
      <c r="LI13" s="413"/>
      <c r="LJ13" s="413"/>
      <c r="LK13" s="413"/>
      <c r="LL13" s="413"/>
      <c r="LM13" s="413"/>
      <c r="LN13" s="413"/>
      <c r="LO13" s="413"/>
      <c r="LP13" s="413"/>
      <c r="LQ13" s="413"/>
      <c r="LR13" s="413"/>
      <c r="LS13" s="413"/>
      <c r="LT13" s="413"/>
      <c r="LU13" s="413"/>
      <c r="LV13" s="413"/>
      <c r="LW13" s="413"/>
      <c r="LX13" s="413"/>
      <c r="LY13" s="413"/>
      <c r="LZ13" s="413"/>
      <c r="MA13" s="413"/>
      <c r="MB13" s="413"/>
      <c r="MC13" s="413"/>
      <c r="MD13" s="413"/>
      <c r="ME13" s="413"/>
      <c r="MF13" s="413"/>
      <c r="MG13" s="413"/>
      <c r="MH13" s="413"/>
      <c r="MI13" s="413"/>
      <c r="MJ13" s="413"/>
      <c r="MK13" s="413"/>
      <c r="ML13" s="413"/>
      <c r="MM13" s="413"/>
      <c r="MN13" s="413"/>
      <c r="MO13" s="413"/>
      <c r="MP13" s="413"/>
      <c r="MQ13" s="413"/>
      <c r="MR13" s="413"/>
      <c r="MS13" s="413"/>
      <c r="MT13" s="413"/>
      <c r="MU13" s="413"/>
      <c r="MV13" s="413"/>
      <c r="MW13" s="413"/>
      <c r="MX13" s="413"/>
      <c r="MY13" s="413"/>
      <c r="MZ13" s="413"/>
      <c r="NA13" s="413"/>
      <c r="NB13" s="413"/>
      <c r="NC13" s="413"/>
      <c r="ND13" s="413"/>
      <c r="NE13" s="413"/>
      <c r="NF13" s="413"/>
      <c r="NG13" s="413"/>
      <c r="NH13" s="413"/>
      <c r="NI13" s="413"/>
      <c r="NJ13" s="413"/>
      <c r="NK13" s="413"/>
      <c r="NL13" s="413"/>
      <c r="NM13" s="413"/>
      <c r="NN13" s="413"/>
      <c r="NO13" s="413"/>
      <c r="NP13" s="413"/>
      <c r="NQ13" s="413"/>
      <c r="NR13" s="413"/>
      <c r="NS13" s="413"/>
      <c r="NT13" s="413"/>
      <c r="NU13" s="413"/>
      <c r="NV13" s="413"/>
      <c r="NW13" s="413"/>
      <c r="NX13" s="413"/>
      <c r="NY13" s="413"/>
      <c r="NZ13" s="413"/>
      <c r="OA13" s="413"/>
      <c r="OB13" s="413"/>
      <c r="OC13" s="413"/>
      <c r="OD13" s="413"/>
      <c r="OE13" s="413"/>
      <c r="OF13" s="413"/>
      <c r="OG13" s="413"/>
      <c r="OH13" s="413"/>
      <c r="OI13" s="413"/>
      <c r="OJ13" s="413"/>
      <c r="OK13" s="413"/>
      <c r="OL13" s="413"/>
      <c r="OM13" s="413"/>
      <c r="ON13" s="413"/>
      <c r="OO13" s="413"/>
      <c r="OP13" s="413"/>
      <c r="OQ13" s="413"/>
      <c r="OR13" s="413"/>
      <c r="OS13" s="413"/>
      <c r="OT13" s="413"/>
      <c r="OU13" s="413"/>
      <c r="OV13" s="413"/>
      <c r="OW13" s="413"/>
      <c r="OX13" s="413"/>
      <c r="OY13" s="413"/>
      <c r="OZ13" s="413"/>
      <c r="PA13" s="413"/>
      <c r="PB13" s="413"/>
      <c r="PC13" s="413"/>
      <c r="PD13" s="413"/>
      <c r="PE13" s="413"/>
      <c r="PF13" s="413"/>
      <c r="PG13" s="413"/>
      <c r="PH13" s="413"/>
      <c r="PI13" s="413"/>
      <c r="PJ13" s="413"/>
      <c r="PK13" s="413"/>
      <c r="PL13" s="413"/>
      <c r="PM13" s="413"/>
      <c r="PN13" s="413"/>
      <c r="PO13" s="413"/>
      <c r="PP13" s="413"/>
      <c r="PQ13" s="413"/>
      <c r="PR13" s="413"/>
      <c r="PS13" s="413"/>
      <c r="PT13" s="413"/>
      <c r="PU13" s="413"/>
      <c r="PV13" s="413"/>
      <c r="PW13" s="413"/>
      <c r="PX13" s="413"/>
      <c r="PY13" s="413"/>
      <c r="PZ13" s="413"/>
      <c r="QA13" s="413"/>
      <c r="QB13" s="413"/>
      <c r="QC13" s="413"/>
      <c r="QD13" s="413"/>
      <c r="QE13" s="413"/>
      <c r="QF13" s="413"/>
      <c r="QG13" s="413"/>
      <c r="QH13" s="413"/>
      <c r="QI13" s="413"/>
      <c r="QJ13" s="413"/>
      <c r="QK13" s="413"/>
      <c r="QL13" s="413"/>
      <c r="QM13" s="413"/>
      <c r="QN13" s="413"/>
      <c r="QO13" s="413"/>
      <c r="QP13" s="413"/>
      <c r="QQ13" s="413"/>
      <c r="QR13" s="413"/>
      <c r="QS13" s="413"/>
      <c r="QT13" s="413"/>
      <c r="QU13" s="413"/>
      <c r="QV13" s="413"/>
      <c r="QW13" s="413"/>
      <c r="QX13" s="413"/>
      <c r="QY13" s="413"/>
      <c r="QZ13" s="413"/>
      <c r="RA13" s="413"/>
      <c r="RB13" s="413"/>
      <c r="RC13" s="413"/>
      <c r="RD13" s="413"/>
      <c r="RE13" s="413"/>
      <c r="RF13" s="413"/>
      <c r="RG13" s="413"/>
      <c r="RH13" s="413"/>
      <c r="RI13" s="413"/>
      <c r="RJ13" s="413"/>
      <c r="RK13" s="413"/>
      <c r="RL13" s="413"/>
      <c r="RM13" s="413"/>
      <c r="RN13" s="413"/>
      <c r="RO13" s="413"/>
      <c r="RP13" s="413"/>
      <c r="RQ13" s="413"/>
      <c r="RR13" s="413"/>
      <c r="RS13" s="413"/>
      <c r="RT13" s="413"/>
      <c r="RU13" s="413"/>
      <c r="RV13" s="413"/>
      <c r="RW13" s="413"/>
      <c r="RX13" s="413"/>
      <c r="RY13" s="413"/>
      <c r="RZ13" s="413"/>
      <c r="SA13" s="413"/>
      <c r="SB13" s="413"/>
      <c r="SC13" s="413"/>
      <c r="SD13" s="413"/>
      <c r="SE13" s="413"/>
      <c r="SF13" s="413"/>
      <c r="SG13" s="413"/>
      <c r="SH13" s="413"/>
      <c r="SI13" s="413"/>
      <c r="SJ13" s="413"/>
      <c r="SK13" s="413"/>
      <c r="SL13" s="413"/>
      <c r="SM13" s="413"/>
      <c r="SN13" s="413"/>
      <c r="SO13" s="413"/>
      <c r="SP13" s="413"/>
      <c r="SQ13" s="413"/>
      <c r="SR13" s="413"/>
      <c r="SS13" s="413"/>
      <c r="ST13" s="413"/>
      <c r="SU13" s="413"/>
      <c r="SV13" s="413"/>
      <c r="SW13" s="413"/>
      <c r="SX13" s="413"/>
      <c r="SY13" s="413"/>
      <c r="SZ13" s="413"/>
      <c r="TA13" s="413"/>
      <c r="TB13" s="413"/>
      <c r="TC13" s="413"/>
      <c r="TD13" s="413"/>
      <c r="TE13" s="413"/>
      <c r="TF13" s="413"/>
      <c r="TG13" s="413"/>
      <c r="TH13" s="413"/>
      <c r="TI13" s="413"/>
      <c r="TJ13" s="413"/>
      <c r="TK13" s="413"/>
      <c r="TL13" s="413"/>
      <c r="TM13" s="413"/>
      <c r="TN13" s="413"/>
      <c r="TO13" s="413"/>
      <c r="TP13" s="413"/>
      <c r="TQ13" s="413"/>
      <c r="TR13" s="413"/>
      <c r="TS13" s="413"/>
      <c r="TT13" s="413"/>
      <c r="TU13" s="413"/>
      <c r="TV13" s="413"/>
      <c r="TW13" s="413"/>
      <c r="TX13" s="413"/>
      <c r="TY13" s="413"/>
      <c r="TZ13" s="413"/>
      <c r="UA13" s="413"/>
      <c r="UB13" s="413"/>
      <c r="UC13" s="413"/>
      <c r="UD13" s="413"/>
      <c r="UE13" s="413"/>
      <c r="UF13" s="413"/>
      <c r="UG13" s="413"/>
      <c r="UH13" s="413"/>
      <c r="UI13" s="413"/>
      <c r="UJ13" s="413"/>
      <c r="UK13" s="413"/>
      <c r="UL13" s="413"/>
      <c r="UM13" s="413"/>
      <c r="UN13" s="413"/>
      <c r="UO13" s="413"/>
      <c r="UP13" s="413"/>
      <c r="UQ13" s="413"/>
      <c r="UR13" s="413"/>
      <c r="US13" s="413"/>
      <c r="UT13" s="413"/>
      <c r="UU13" s="413"/>
      <c r="UV13" s="413"/>
      <c r="UW13" s="413"/>
      <c r="UX13" s="413"/>
      <c r="UY13" s="413"/>
      <c r="UZ13" s="413"/>
      <c r="VA13" s="413"/>
      <c r="VB13" s="413"/>
      <c r="VC13" s="413"/>
      <c r="VD13" s="413"/>
      <c r="VE13" s="413"/>
      <c r="VF13" s="413"/>
      <c r="VG13" s="413"/>
      <c r="VH13" s="413"/>
      <c r="VI13" s="413"/>
      <c r="VJ13" s="413"/>
      <c r="VK13" s="413"/>
      <c r="VL13" s="413"/>
      <c r="VM13" s="413"/>
      <c r="VN13" s="413"/>
      <c r="VO13" s="413"/>
      <c r="VP13" s="413"/>
      <c r="VQ13" s="413"/>
      <c r="VR13" s="413"/>
      <c r="VS13" s="413"/>
      <c r="VT13" s="413"/>
      <c r="VU13" s="413"/>
      <c r="VV13" s="413"/>
      <c r="VW13" s="413"/>
      <c r="VX13" s="413"/>
      <c r="VY13" s="413"/>
      <c r="VZ13" s="413"/>
      <c r="WA13" s="413"/>
      <c r="WB13" s="413"/>
      <c r="WC13" s="413"/>
      <c r="WD13" s="413"/>
      <c r="WE13" s="413"/>
      <c r="WF13" s="413"/>
      <c r="WG13" s="413"/>
      <c r="WH13" s="413"/>
      <c r="WI13" s="413"/>
      <c r="WJ13" s="413"/>
      <c r="WK13" s="413"/>
      <c r="WL13" s="413"/>
      <c r="WM13" s="413"/>
      <c r="WN13" s="413"/>
      <c r="WO13" s="413"/>
      <c r="WP13" s="413"/>
      <c r="WQ13" s="413"/>
      <c r="WR13" s="413"/>
      <c r="WS13" s="413"/>
      <c r="WT13" s="413"/>
      <c r="WU13" s="413"/>
      <c r="WV13" s="413"/>
      <c r="WW13" s="413"/>
      <c r="WX13" s="413"/>
      <c r="WY13" s="413"/>
      <c r="WZ13" s="413"/>
      <c r="XA13" s="413"/>
      <c r="XB13" s="413"/>
      <c r="XC13" s="413"/>
      <c r="XD13" s="413"/>
      <c r="XE13" s="413"/>
      <c r="XF13" s="413"/>
      <c r="XG13" s="413"/>
      <c r="XH13" s="413"/>
      <c r="XI13" s="413"/>
      <c r="XJ13" s="413"/>
      <c r="XK13" s="413"/>
      <c r="XL13" s="413"/>
      <c r="XM13" s="413"/>
      <c r="XN13" s="413"/>
      <c r="XO13" s="413"/>
      <c r="XP13" s="413"/>
      <c r="XQ13" s="413"/>
      <c r="XR13" s="413"/>
      <c r="XS13" s="413"/>
      <c r="XT13" s="413"/>
      <c r="XU13" s="413"/>
      <c r="XV13" s="413"/>
      <c r="XW13" s="413"/>
      <c r="XX13" s="413"/>
      <c r="XY13" s="413"/>
      <c r="XZ13" s="413"/>
      <c r="YA13" s="413"/>
      <c r="YB13" s="413"/>
      <c r="YC13" s="413"/>
      <c r="YD13" s="413"/>
      <c r="YE13" s="413"/>
      <c r="YF13" s="413"/>
      <c r="YG13" s="413"/>
      <c r="YH13" s="413"/>
      <c r="YI13" s="413"/>
      <c r="YJ13" s="413"/>
      <c r="YK13" s="413"/>
      <c r="YL13" s="413"/>
      <c r="YM13" s="413"/>
      <c r="YN13" s="413"/>
      <c r="YO13" s="413"/>
      <c r="YP13" s="413"/>
      <c r="YQ13" s="413"/>
      <c r="YR13" s="413"/>
      <c r="YS13" s="413"/>
      <c r="YT13" s="413"/>
      <c r="YU13" s="413"/>
      <c r="YV13" s="413"/>
      <c r="YW13" s="413"/>
      <c r="YX13" s="413"/>
      <c r="YY13" s="413"/>
      <c r="YZ13" s="413"/>
      <c r="ZA13" s="413"/>
      <c r="ZB13" s="413"/>
      <c r="ZC13" s="413"/>
      <c r="ZD13" s="413"/>
      <c r="ZE13" s="413"/>
      <c r="ZF13" s="413"/>
      <c r="ZG13" s="413"/>
      <c r="ZH13" s="413"/>
      <c r="ZI13" s="413"/>
      <c r="ZJ13" s="413"/>
      <c r="ZK13" s="413"/>
      <c r="ZL13" s="413"/>
      <c r="ZM13" s="413"/>
      <c r="ZN13" s="413"/>
      <c r="ZO13" s="413"/>
      <c r="ZP13" s="413"/>
      <c r="ZQ13" s="413"/>
      <c r="ZR13" s="413"/>
      <c r="ZS13" s="413"/>
      <c r="ZT13" s="413"/>
      <c r="ZU13" s="413"/>
      <c r="ZV13" s="413"/>
      <c r="ZW13" s="413"/>
      <c r="ZX13" s="413"/>
      <c r="ZY13" s="413"/>
      <c r="ZZ13" s="413"/>
      <c r="AAA13" s="413"/>
      <c r="AAB13" s="413"/>
      <c r="AAC13" s="413"/>
      <c r="AAD13" s="413"/>
      <c r="AAE13" s="413"/>
      <c r="AAF13" s="413"/>
      <c r="AAG13" s="413"/>
      <c r="AAH13" s="413"/>
      <c r="AAI13" s="413"/>
      <c r="AAJ13" s="413"/>
      <c r="AAK13" s="413"/>
      <c r="AAL13" s="413"/>
      <c r="AAM13" s="413"/>
      <c r="AAN13" s="413"/>
      <c r="AAO13" s="413"/>
      <c r="AAP13" s="413"/>
      <c r="AAQ13" s="413"/>
      <c r="AAR13" s="413"/>
      <c r="AAS13" s="413"/>
      <c r="AAT13" s="413"/>
      <c r="AAU13" s="413"/>
      <c r="AAV13" s="413"/>
      <c r="AAW13" s="413"/>
      <c r="AAX13" s="413"/>
      <c r="AAY13" s="413"/>
      <c r="AAZ13" s="413"/>
      <c r="ABA13" s="413"/>
      <c r="ABB13" s="413"/>
      <c r="ABC13" s="413"/>
      <c r="ABD13" s="413"/>
      <c r="ABE13" s="413"/>
      <c r="ABF13" s="413"/>
      <c r="ABG13" s="413"/>
      <c r="ABH13" s="413"/>
      <c r="ABI13" s="413"/>
      <c r="ABJ13" s="413"/>
      <c r="ABK13" s="413"/>
      <c r="ABL13" s="413"/>
      <c r="ABM13" s="413"/>
      <c r="ABN13" s="413"/>
      <c r="ABO13" s="413"/>
      <c r="ABP13" s="413"/>
      <c r="ABQ13" s="413"/>
      <c r="ABR13" s="413"/>
      <c r="ABS13" s="413"/>
      <c r="ABT13" s="413"/>
      <c r="ABU13" s="413"/>
      <c r="ABV13" s="413"/>
      <c r="ABW13" s="413"/>
      <c r="ABX13" s="413"/>
      <c r="ABY13" s="413"/>
      <c r="ABZ13" s="413"/>
      <c r="ACA13" s="413"/>
      <c r="ACB13" s="413"/>
      <c r="ACC13" s="413"/>
      <c r="ACD13" s="413"/>
      <c r="ACE13" s="413"/>
      <c r="ACF13" s="413"/>
      <c r="ACG13" s="413"/>
      <c r="ACH13" s="413"/>
      <c r="ACI13" s="413"/>
      <c r="ACJ13" s="413"/>
      <c r="ACK13" s="413"/>
      <c r="ACL13" s="413"/>
      <c r="ACM13" s="413"/>
      <c r="ACN13" s="413"/>
      <c r="ACO13" s="413"/>
      <c r="ACP13" s="413"/>
      <c r="ACQ13" s="413"/>
      <c r="ACR13" s="413"/>
      <c r="ACS13" s="413"/>
      <c r="ACT13" s="413"/>
      <c r="ACU13" s="413"/>
      <c r="ACV13" s="413"/>
      <c r="ACW13" s="413"/>
      <c r="ACX13" s="413"/>
      <c r="ACY13" s="413"/>
      <c r="ACZ13" s="413"/>
      <c r="ADA13" s="413"/>
      <c r="ADB13" s="413"/>
      <c r="ADC13" s="413"/>
      <c r="ADD13" s="413"/>
      <c r="ADE13" s="413"/>
      <c r="ADF13" s="413"/>
      <c r="ADG13" s="413"/>
      <c r="ADH13" s="413"/>
      <c r="ADI13" s="413"/>
      <c r="ADJ13" s="413"/>
      <c r="ADK13" s="413"/>
      <c r="ADL13" s="413"/>
      <c r="ADM13" s="413"/>
      <c r="ADN13" s="413"/>
      <c r="ADO13" s="413"/>
      <c r="ADP13" s="413"/>
      <c r="ADQ13" s="413"/>
      <c r="ADR13" s="413"/>
      <c r="ADS13" s="413"/>
      <c r="ADT13" s="413"/>
      <c r="ADU13" s="413"/>
      <c r="ADV13" s="413"/>
      <c r="ADW13" s="413"/>
      <c r="ADX13" s="413"/>
      <c r="ADY13" s="413"/>
      <c r="ADZ13" s="413"/>
      <c r="AEA13" s="413"/>
      <c r="AEB13" s="413"/>
      <c r="AEC13" s="413"/>
      <c r="AED13" s="413"/>
      <c r="AEE13" s="413"/>
      <c r="AEF13" s="413"/>
      <c r="AEG13" s="413"/>
      <c r="AEH13" s="413"/>
      <c r="AEI13" s="413"/>
      <c r="AEJ13" s="413"/>
      <c r="AEK13" s="413"/>
      <c r="AEL13" s="413"/>
      <c r="AEM13" s="413"/>
      <c r="AEN13" s="413"/>
      <c r="AEO13" s="413"/>
      <c r="AEP13" s="413"/>
      <c r="AEQ13" s="413"/>
      <c r="AER13" s="413"/>
      <c r="AES13" s="413"/>
      <c r="AET13" s="413"/>
      <c r="AEU13" s="413"/>
      <c r="AEV13" s="413"/>
      <c r="AEW13" s="413"/>
      <c r="AEX13" s="413"/>
      <c r="AEY13" s="413"/>
      <c r="AEZ13" s="413"/>
      <c r="AFA13" s="413"/>
      <c r="AFB13" s="413"/>
      <c r="AFC13" s="413"/>
      <c r="AFD13" s="413"/>
      <c r="AFE13" s="413"/>
      <c r="AFF13" s="413"/>
      <c r="AFG13" s="413"/>
      <c r="AFH13" s="413"/>
      <c r="AFI13" s="413"/>
      <c r="AFJ13" s="413"/>
      <c r="AFK13" s="413"/>
      <c r="AFL13" s="413"/>
      <c r="AFM13" s="413"/>
      <c r="AFN13" s="413"/>
      <c r="AFO13" s="413"/>
      <c r="AFP13" s="413"/>
      <c r="AFQ13" s="413"/>
      <c r="AFR13" s="413"/>
      <c r="AFS13" s="413"/>
      <c r="AFT13" s="413"/>
      <c r="AFU13" s="413"/>
      <c r="AFV13" s="413"/>
      <c r="AFW13" s="413"/>
      <c r="AFX13" s="413"/>
      <c r="AFY13" s="413"/>
      <c r="AFZ13" s="413"/>
      <c r="AGA13" s="413"/>
      <c r="AGB13" s="413"/>
      <c r="AGC13" s="413"/>
      <c r="AGD13" s="413"/>
      <c r="AGE13" s="413"/>
      <c r="AGF13" s="413"/>
      <c r="AGG13" s="413"/>
      <c r="AGH13" s="413"/>
      <c r="AGI13" s="413"/>
      <c r="AGJ13" s="413"/>
      <c r="AGK13" s="413"/>
      <c r="AGL13" s="413"/>
      <c r="AGM13" s="413"/>
      <c r="AGN13" s="413"/>
      <c r="AGO13" s="413"/>
      <c r="AGP13" s="413"/>
      <c r="AGQ13" s="413"/>
      <c r="AGR13" s="413"/>
      <c r="AGS13" s="413"/>
      <c r="AGT13" s="413"/>
      <c r="AGU13" s="413"/>
      <c r="AGV13" s="413"/>
      <c r="AGW13" s="413"/>
      <c r="AGX13" s="413"/>
      <c r="AGY13" s="413"/>
      <c r="AGZ13" s="413"/>
      <c r="AHA13" s="413"/>
      <c r="AHB13" s="413"/>
      <c r="AHC13" s="414"/>
      <c r="AHD13" s="414"/>
      <c r="AHE13" s="414"/>
      <c r="AHF13" s="414"/>
      <c r="AHG13" s="414"/>
      <c r="AHH13" s="415"/>
    </row>
    <row r="14" s="335" customFormat="1" ht="23" customHeight="1" spans="1:892">
      <c r="A14" s="340">
        <v>10</v>
      </c>
      <c r="B14" s="341"/>
      <c r="C14" s="516" t="s">
        <v>124</v>
      </c>
      <c r="D14" s="346"/>
      <c r="E14" s="85"/>
      <c r="F14" s="81">
        <v>10</v>
      </c>
      <c r="G14" s="344" t="s">
        <v>391</v>
      </c>
      <c r="H14" s="345" t="s">
        <v>392</v>
      </c>
      <c r="I14" s="366" t="s">
        <v>128</v>
      </c>
      <c r="J14" s="366" t="s">
        <v>128</v>
      </c>
      <c r="K14" s="367"/>
      <c r="L14" s="368"/>
      <c r="M14" s="368"/>
      <c r="N14" s="369" t="s">
        <v>393</v>
      </c>
      <c r="O14" s="370"/>
      <c r="P14" s="371"/>
      <c r="Q14" s="371"/>
      <c r="R14" s="388" t="s">
        <v>136</v>
      </c>
      <c r="S14" s="388"/>
      <c r="T14" s="389"/>
      <c r="U14" s="389"/>
      <c r="V14" s="388" t="s">
        <v>136</v>
      </c>
      <c r="W14" s="388"/>
      <c r="X14" s="340" t="s">
        <v>135</v>
      </c>
      <c r="Y14" s="340" t="s">
        <v>135</v>
      </c>
      <c r="Z14" s="120">
        <f t="shared" si="0"/>
        <v>46</v>
      </c>
      <c r="AA14" s="303" t="str">
        <f t="shared" si="1"/>
        <v>00:46:00</v>
      </c>
      <c r="AB14" s="120">
        <f t="shared" si="2"/>
        <v>2760</v>
      </c>
      <c r="AC14" s="406">
        <v>0.0316898148148148</v>
      </c>
      <c r="AD14" s="407">
        <v>169</v>
      </c>
      <c r="AE14" s="407">
        <v>43</v>
      </c>
      <c r="AF14" s="340" t="s">
        <v>138</v>
      </c>
      <c r="AG14" s="409"/>
      <c r="AH14" s="410"/>
      <c r="AI14" s="411"/>
      <c r="AJ14" s="410"/>
      <c r="AK14" s="410"/>
      <c r="AL14" s="409"/>
      <c r="AM14" s="412"/>
      <c r="AN14" s="412"/>
      <c r="AO14" s="412"/>
      <c r="AP14" s="413"/>
      <c r="AQ14" s="413"/>
      <c r="AR14" s="413"/>
      <c r="AS14" s="413"/>
      <c r="AT14" s="413"/>
      <c r="AU14" s="413"/>
      <c r="AV14" s="413"/>
      <c r="AW14" s="413"/>
      <c r="AX14" s="413"/>
      <c r="AY14" s="413"/>
      <c r="AZ14" s="413"/>
      <c r="BA14" s="413"/>
      <c r="BB14" s="413"/>
      <c r="BC14" s="413"/>
      <c r="BD14" s="413"/>
      <c r="BE14" s="413"/>
      <c r="BF14" s="413"/>
      <c r="BG14" s="413"/>
      <c r="BH14" s="413"/>
      <c r="BI14" s="413"/>
      <c r="BJ14" s="413"/>
      <c r="BK14" s="413"/>
      <c r="BL14" s="413"/>
      <c r="BM14" s="413"/>
      <c r="BN14" s="413"/>
      <c r="BO14" s="413"/>
      <c r="BP14" s="413"/>
      <c r="BQ14" s="413"/>
      <c r="BR14" s="413"/>
      <c r="BS14" s="413"/>
      <c r="BT14" s="413"/>
      <c r="BU14" s="413"/>
      <c r="BV14" s="413"/>
      <c r="BW14" s="413"/>
      <c r="BX14" s="413"/>
      <c r="BY14" s="413"/>
      <c r="BZ14" s="413"/>
      <c r="CA14" s="413"/>
      <c r="CB14" s="413"/>
      <c r="CC14" s="413"/>
      <c r="CD14" s="413"/>
      <c r="CE14" s="413"/>
      <c r="CF14" s="413"/>
      <c r="CG14" s="413"/>
      <c r="CH14" s="413"/>
      <c r="CI14" s="413"/>
      <c r="CJ14" s="413"/>
      <c r="CK14" s="413"/>
      <c r="CL14" s="413"/>
      <c r="CM14" s="413"/>
      <c r="CN14" s="413"/>
      <c r="CO14" s="413"/>
      <c r="CP14" s="413"/>
      <c r="CQ14" s="413"/>
      <c r="CR14" s="413"/>
      <c r="CS14" s="413"/>
      <c r="CT14" s="413"/>
      <c r="CU14" s="413"/>
      <c r="CV14" s="413"/>
      <c r="CW14" s="413"/>
      <c r="CX14" s="413"/>
      <c r="CY14" s="413"/>
      <c r="CZ14" s="413"/>
      <c r="DA14" s="413"/>
      <c r="DB14" s="413"/>
      <c r="DC14" s="413"/>
      <c r="DD14" s="413"/>
      <c r="DE14" s="413"/>
      <c r="DF14" s="413"/>
      <c r="DG14" s="413"/>
      <c r="DH14" s="413"/>
      <c r="DI14" s="413"/>
      <c r="DJ14" s="413"/>
      <c r="DK14" s="413"/>
      <c r="DL14" s="413"/>
      <c r="DM14" s="413"/>
      <c r="DN14" s="413"/>
      <c r="DO14" s="413"/>
      <c r="DP14" s="413"/>
      <c r="DQ14" s="413"/>
      <c r="DR14" s="413"/>
      <c r="DS14" s="413"/>
      <c r="DT14" s="413"/>
      <c r="DU14" s="413"/>
      <c r="DV14" s="413"/>
      <c r="DW14" s="413"/>
      <c r="DX14" s="413"/>
      <c r="DY14" s="413"/>
      <c r="DZ14" s="413"/>
      <c r="EA14" s="413"/>
      <c r="EB14" s="413"/>
      <c r="EC14" s="413"/>
      <c r="ED14" s="413"/>
      <c r="EE14" s="413"/>
      <c r="EF14" s="413"/>
      <c r="EG14" s="413"/>
      <c r="EH14" s="413"/>
      <c r="EI14" s="413"/>
      <c r="EJ14" s="413"/>
      <c r="EK14" s="413"/>
      <c r="EL14" s="413"/>
      <c r="EM14" s="413"/>
      <c r="EN14" s="413"/>
      <c r="EO14" s="413"/>
      <c r="EP14" s="413"/>
      <c r="EQ14" s="413"/>
      <c r="ER14" s="413"/>
      <c r="ES14" s="413"/>
      <c r="ET14" s="413"/>
      <c r="EU14" s="413"/>
      <c r="EV14" s="413"/>
      <c r="EW14" s="413"/>
      <c r="EX14" s="413"/>
      <c r="EY14" s="413"/>
      <c r="EZ14" s="413"/>
      <c r="FA14" s="413"/>
      <c r="FB14" s="413"/>
      <c r="FC14" s="413"/>
      <c r="FD14" s="413"/>
      <c r="FE14" s="4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413"/>
      <c r="GV14" s="413"/>
      <c r="GW14" s="413"/>
      <c r="GX14" s="413"/>
      <c r="GY14" s="413"/>
      <c r="GZ14" s="413"/>
      <c r="HA14" s="413"/>
      <c r="HB14" s="413"/>
      <c r="HC14" s="413"/>
      <c r="HD14" s="413"/>
      <c r="HE14" s="413"/>
      <c r="HF14" s="413"/>
      <c r="HG14" s="413"/>
      <c r="HH14" s="413"/>
      <c r="HI14" s="413"/>
      <c r="HJ14" s="413"/>
      <c r="HK14" s="413"/>
      <c r="HL14" s="413"/>
      <c r="HM14" s="413"/>
      <c r="HN14" s="413"/>
      <c r="HO14" s="413"/>
      <c r="HP14" s="413"/>
      <c r="HQ14" s="413"/>
      <c r="HR14" s="413"/>
      <c r="HS14" s="413"/>
      <c r="HT14" s="413"/>
      <c r="HU14" s="413"/>
      <c r="HV14" s="413"/>
      <c r="HW14" s="413"/>
      <c r="HX14" s="413"/>
      <c r="HY14" s="413"/>
      <c r="HZ14" s="413"/>
      <c r="IA14" s="413"/>
      <c r="IB14" s="413"/>
      <c r="IC14" s="413"/>
      <c r="ID14" s="413"/>
      <c r="IE14" s="413"/>
      <c r="IF14" s="413"/>
      <c r="IG14" s="413"/>
      <c r="IH14" s="413"/>
      <c r="II14" s="413"/>
      <c r="IJ14" s="413"/>
      <c r="IK14" s="413"/>
      <c r="IL14" s="413"/>
      <c r="IM14" s="413"/>
      <c r="IN14" s="413"/>
      <c r="IO14" s="413"/>
      <c r="IP14" s="413"/>
      <c r="IQ14" s="413"/>
      <c r="IR14" s="413"/>
      <c r="IS14" s="413"/>
      <c r="IT14" s="413"/>
      <c r="IU14" s="413"/>
      <c r="IV14" s="413"/>
      <c r="IW14" s="413"/>
      <c r="IX14" s="413"/>
      <c r="IY14" s="413"/>
      <c r="IZ14" s="413"/>
      <c r="JA14" s="413"/>
      <c r="JB14" s="413"/>
      <c r="JC14" s="413"/>
      <c r="JD14" s="413"/>
      <c r="JE14" s="413"/>
      <c r="JF14" s="413"/>
      <c r="JG14" s="413"/>
      <c r="JH14" s="413"/>
      <c r="JI14" s="413"/>
      <c r="JJ14" s="413"/>
      <c r="JK14" s="413"/>
      <c r="JL14" s="413"/>
      <c r="JM14" s="413"/>
      <c r="JN14" s="413"/>
      <c r="JO14" s="413"/>
      <c r="JP14" s="413"/>
      <c r="JQ14" s="413"/>
      <c r="JR14" s="413"/>
      <c r="JS14" s="413"/>
      <c r="JT14" s="413"/>
      <c r="JU14" s="413"/>
      <c r="JV14" s="413"/>
      <c r="JW14" s="413"/>
      <c r="JX14" s="413"/>
      <c r="JY14" s="413"/>
      <c r="JZ14" s="413"/>
      <c r="KA14" s="413"/>
      <c r="KB14" s="413"/>
      <c r="KC14" s="413"/>
      <c r="KD14" s="413"/>
      <c r="KE14" s="413"/>
      <c r="KF14" s="413"/>
      <c r="KG14" s="413"/>
      <c r="KH14" s="413"/>
      <c r="KI14" s="413"/>
      <c r="KJ14" s="413"/>
      <c r="KK14" s="413"/>
      <c r="KL14" s="413"/>
      <c r="KM14" s="413"/>
      <c r="KN14" s="413"/>
      <c r="KO14" s="413"/>
      <c r="KP14" s="413"/>
      <c r="KQ14" s="413"/>
      <c r="KR14" s="413"/>
      <c r="KS14" s="413"/>
      <c r="KT14" s="413"/>
      <c r="KU14" s="413"/>
      <c r="KV14" s="413"/>
      <c r="KW14" s="413"/>
      <c r="KX14" s="413"/>
      <c r="KY14" s="413"/>
      <c r="KZ14" s="413"/>
      <c r="LA14" s="413"/>
      <c r="LB14" s="413"/>
      <c r="LC14" s="413"/>
      <c r="LD14" s="413"/>
      <c r="LE14" s="413"/>
      <c r="LF14" s="413"/>
      <c r="LG14" s="413"/>
      <c r="LH14" s="413"/>
      <c r="LI14" s="413"/>
      <c r="LJ14" s="413"/>
      <c r="LK14" s="413"/>
      <c r="LL14" s="413"/>
      <c r="LM14" s="413"/>
      <c r="LN14" s="413"/>
      <c r="LO14" s="413"/>
      <c r="LP14" s="413"/>
      <c r="LQ14" s="413"/>
      <c r="LR14" s="413"/>
      <c r="LS14" s="413"/>
      <c r="LT14" s="413"/>
      <c r="LU14" s="413"/>
      <c r="LV14" s="413"/>
      <c r="LW14" s="413"/>
      <c r="LX14" s="413"/>
      <c r="LY14" s="413"/>
      <c r="LZ14" s="413"/>
      <c r="MA14" s="413"/>
      <c r="MB14" s="413"/>
      <c r="MC14" s="413"/>
      <c r="MD14" s="413"/>
      <c r="ME14" s="413"/>
      <c r="MF14" s="413"/>
      <c r="MG14" s="413"/>
      <c r="MH14" s="413"/>
      <c r="MI14" s="413"/>
      <c r="MJ14" s="413"/>
      <c r="MK14" s="413"/>
      <c r="ML14" s="413"/>
      <c r="MM14" s="413"/>
      <c r="MN14" s="413"/>
      <c r="MO14" s="413"/>
      <c r="MP14" s="413"/>
      <c r="MQ14" s="413"/>
      <c r="MR14" s="413"/>
      <c r="MS14" s="413"/>
      <c r="MT14" s="413"/>
      <c r="MU14" s="413"/>
      <c r="MV14" s="413"/>
      <c r="MW14" s="413"/>
      <c r="MX14" s="413"/>
      <c r="MY14" s="413"/>
      <c r="MZ14" s="413"/>
      <c r="NA14" s="413"/>
      <c r="NB14" s="413"/>
      <c r="NC14" s="413"/>
      <c r="ND14" s="413"/>
      <c r="NE14" s="413"/>
      <c r="NF14" s="413"/>
      <c r="NG14" s="413"/>
      <c r="NH14" s="413"/>
      <c r="NI14" s="413"/>
      <c r="NJ14" s="413"/>
      <c r="NK14" s="413"/>
      <c r="NL14" s="413"/>
      <c r="NM14" s="413"/>
      <c r="NN14" s="413"/>
      <c r="NO14" s="413"/>
      <c r="NP14" s="413"/>
      <c r="NQ14" s="413"/>
      <c r="NR14" s="413"/>
      <c r="NS14" s="413"/>
      <c r="NT14" s="413"/>
      <c r="NU14" s="413"/>
      <c r="NV14" s="413"/>
      <c r="NW14" s="413"/>
      <c r="NX14" s="413"/>
      <c r="NY14" s="413"/>
      <c r="NZ14" s="413"/>
      <c r="OA14" s="413"/>
      <c r="OB14" s="413"/>
      <c r="OC14" s="413"/>
      <c r="OD14" s="413"/>
      <c r="OE14" s="413"/>
      <c r="OF14" s="413"/>
      <c r="OG14" s="413"/>
      <c r="OH14" s="413"/>
      <c r="OI14" s="413"/>
      <c r="OJ14" s="413"/>
      <c r="OK14" s="413"/>
      <c r="OL14" s="413"/>
      <c r="OM14" s="413"/>
      <c r="ON14" s="413"/>
      <c r="OO14" s="413"/>
      <c r="OP14" s="413"/>
      <c r="OQ14" s="413"/>
      <c r="OR14" s="413"/>
      <c r="OS14" s="413"/>
      <c r="OT14" s="413"/>
      <c r="OU14" s="413"/>
      <c r="OV14" s="413"/>
      <c r="OW14" s="413"/>
      <c r="OX14" s="413"/>
      <c r="OY14" s="413"/>
      <c r="OZ14" s="413"/>
      <c r="PA14" s="413"/>
      <c r="PB14" s="413"/>
      <c r="PC14" s="413"/>
      <c r="PD14" s="413"/>
      <c r="PE14" s="413"/>
      <c r="PF14" s="413"/>
      <c r="PG14" s="413"/>
      <c r="PH14" s="413"/>
      <c r="PI14" s="413"/>
      <c r="PJ14" s="413"/>
      <c r="PK14" s="413"/>
      <c r="PL14" s="413"/>
      <c r="PM14" s="413"/>
      <c r="PN14" s="413"/>
      <c r="PO14" s="413"/>
      <c r="PP14" s="413"/>
      <c r="PQ14" s="413"/>
      <c r="PR14" s="413"/>
      <c r="PS14" s="413"/>
      <c r="PT14" s="413"/>
      <c r="PU14" s="413"/>
      <c r="PV14" s="413"/>
      <c r="PW14" s="413"/>
      <c r="PX14" s="413"/>
      <c r="PY14" s="413"/>
      <c r="PZ14" s="413"/>
      <c r="QA14" s="413"/>
      <c r="QB14" s="413"/>
      <c r="QC14" s="413"/>
      <c r="QD14" s="413"/>
      <c r="QE14" s="413"/>
      <c r="QF14" s="413"/>
      <c r="QG14" s="413"/>
      <c r="QH14" s="413"/>
      <c r="QI14" s="413"/>
      <c r="QJ14" s="413"/>
      <c r="QK14" s="413"/>
      <c r="QL14" s="413"/>
      <c r="QM14" s="413"/>
      <c r="QN14" s="413"/>
      <c r="QO14" s="413"/>
      <c r="QP14" s="413"/>
      <c r="QQ14" s="413"/>
      <c r="QR14" s="413"/>
      <c r="QS14" s="413"/>
      <c r="QT14" s="413"/>
      <c r="QU14" s="413"/>
      <c r="QV14" s="413"/>
      <c r="QW14" s="413"/>
      <c r="QX14" s="413"/>
      <c r="QY14" s="413"/>
      <c r="QZ14" s="413"/>
      <c r="RA14" s="413"/>
      <c r="RB14" s="413"/>
      <c r="RC14" s="413"/>
      <c r="RD14" s="413"/>
      <c r="RE14" s="413"/>
      <c r="RF14" s="413"/>
      <c r="RG14" s="413"/>
      <c r="RH14" s="413"/>
      <c r="RI14" s="413"/>
      <c r="RJ14" s="413"/>
      <c r="RK14" s="413"/>
      <c r="RL14" s="413"/>
      <c r="RM14" s="413"/>
      <c r="RN14" s="413"/>
      <c r="RO14" s="413"/>
      <c r="RP14" s="413"/>
      <c r="RQ14" s="413"/>
      <c r="RR14" s="413"/>
      <c r="RS14" s="413"/>
      <c r="RT14" s="413"/>
      <c r="RU14" s="413"/>
      <c r="RV14" s="413"/>
      <c r="RW14" s="413"/>
      <c r="RX14" s="413"/>
      <c r="RY14" s="413"/>
      <c r="RZ14" s="413"/>
      <c r="SA14" s="413"/>
      <c r="SB14" s="413"/>
      <c r="SC14" s="413"/>
      <c r="SD14" s="413"/>
      <c r="SE14" s="413"/>
      <c r="SF14" s="413"/>
      <c r="SG14" s="413"/>
      <c r="SH14" s="413"/>
      <c r="SI14" s="413"/>
      <c r="SJ14" s="413"/>
      <c r="SK14" s="413"/>
      <c r="SL14" s="413"/>
      <c r="SM14" s="413"/>
      <c r="SN14" s="413"/>
      <c r="SO14" s="413"/>
      <c r="SP14" s="413"/>
      <c r="SQ14" s="413"/>
      <c r="SR14" s="413"/>
      <c r="SS14" s="413"/>
      <c r="ST14" s="413"/>
      <c r="SU14" s="413"/>
      <c r="SV14" s="413"/>
      <c r="SW14" s="413"/>
      <c r="SX14" s="413"/>
      <c r="SY14" s="413"/>
      <c r="SZ14" s="413"/>
      <c r="TA14" s="413"/>
      <c r="TB14" s="413"/>
      <c r="TC14" s="413"/>
      <c r="TD14" s="413"/>
      <c r="TE14" s="413"/>
      <c r="TF14" s="413"/>
      <c r="TG14" s="413"/>
      <c r="TH14" s="413"/>
      <c r="TI14" s="413"/>
      <c r="TJ14" s="413"/>
      <c r="TK14" s="413"/>
      <c r="TL14" s="413"/>
      <c r="TM14" s="413"/>
      <c r="TN14" s="413"/>
      <c r="TO14" s="413"/>
      <c r="TP14" s="413"/>
      <c r="TQ14" s="413"/>
      <c r="TR14" s="413"/>
      <c r="TS14" s="413"/>
      <c r="TT14" s="413"/>
      <c r="TU14" s="413"/>
      <c r="TV14" s="413"/>
      <c r="TW14" s="413"/>
      <c r="TX14" s="413"/>
      <c r="TY14" s="413"/>
      <c r="TZ14" s="413"/>
      <c r="UA14" s="413"/>
      <c r="UB14" s="413"/>
      <c r="UC14" s="413"/>
      <c r="UD14" s="413"/>
      <c r="UE14" s="413"/>
      <c r="UF14" s="413"/>
      <c r="UG14" s="413"/>
      <c r="UH14" s="413"/>
      <c r="UI14" s="413"/>
      <c r="UJ14" s="413"/>
      <c r="UK14" s="413"/>
      <c r="UL14" s="413"/>
      <c r="UM14" s="413"/>
      <c r="UN14" s="413"/>
      <c r="UO14" s="413"/>
      <c r="UP14" s="413"/>
      <c r="UQ14" s="413"/>
      <c r="UR14" s="413"/>
      <c r="US14" s="413"/>
      <c r="UT14" s="413"/>
      <c r="UU14" s="413"/>
      <c r="UV14" s="413"/>
      <c r="UW14" s="413"/>
      <c r="UX14" s="413"/>
      <c r="UY14" s="413"/>
      <c r="UZ14" s="413"/>
      <c r="VA14" s="413"/>
      <c r="VB14" s="413"/>
      <c r="VC14" s="413"/>
      <c r="VD14" s="413"/>
      <c r="VE14" s="413"/>
      <c r="VF14" s="413"/>
      <c r="VG14" s="413"/>
      <c r="VH14" s="413"/>
      <c r="VI14" s="413"/>
      <c r="VJ14" s="413"/>
      <c r="VK14" s="413"/>
      <c r="VL14" s="413"/>
      <c r="VM14" s="413"/>
      <c r="VN14" s="413"/>
      <c r="VO14" s="413"/>
      <c r="VP14" s="413"/>
      <c r="VQ14" s="413"/>
      <c r="VR14" s="413"/>
      <c r="VS14" s="413"/>
      <c r="VT14" s="413"/>
      <c r="VU14" s="413"/>
      <c r="VV14" s="413"/>
      <c r="VW14" s="413"/>
      <c r="VX14" s="413"/>
      <c r="VY14" s="413"/>
      <c r="VZ14" s="413"/>
      <c r="WA14" s="413"/>
      <c r="WB14" s="413"/>
      <c r="WC14" s="413"/>
      <c r="WD14" s="413"/>
      <c r="WE14" s="413"/>
      <c r="WF14" s="413"/>
      <c r="WG14" s="413"/>
      <c r="WH14" s="413"/>
      <c r="WI14" s="413"/>
      <c r="WJ14" s="413"/>
      <c r="WK14" s="413"/>
      <c r="WL14" s="413"/>
      <c r="WM14" s="413"/>
      <c r="WN14" s="413"/>
      <c r="WO14" s="413"/>
      <c r="WP14" s="413"/>
      <c r="WQ14" s="413"/>
      <c r="WR14" s="413"/>
      <c r="WS14" s="413"/>
      <c r="WT14" s="413"/>
      <c r="WU14" s="413"/>
      <c r="WV14" s="413"/>
      <c r="WW14" s="413"/>
      <c r="WX14" s="413"/>
      <c r="WY14" s="413"/>
      <c r="WZ14" s="413"/>
      <c r="XA14" s="413"/>
      <c r="XB14" s="413"/>
      <c r="XC14" s="413"/>
      <c r="XD14" s="413"/>
      <c r="XE14" s="413"/>
      <c r="XF14" s="413"/>
      <c r="XG14" s="413"/>
      <c r="XH14" s="413"/>
      <c r="XI14" s="413"/>
      <c r="XJ14" s="413"/>
      <c r="XK14" s="413"/>
      <c r="XL14" s="413"/>
      <c r="XM14" s="413"/>
      <c r="XN14" s="413"/>
      <c r="XO14" s="413"/>
      <c r="XP14" s="413"/>
      <c r="XQ14" s="413"/>
      <c r="XR14" s="413"/>
      <c r="XS14" s="413"/>
      <c r="XT14" s="413"/>
      <c r="XU14" s="413"/>
      <c r="XV14" s="413"/>
      <c r="XW14" s="413"/>
      <c r="XX14" s="413"/>
      <c r="XY14" s="413"/>
      <c r="XZ14" s="413"/>
      <c r="YA14" s="413"/>
      <c r="YB14" s="413"/>
      <c r="YC14" s="413"/>
      <c r="YD14" s="413"/>
      <c r="YE14" s="413"/>
      <c r="YF14" s="413"/>
      <c r="YG14" s="413"/>
      <c r="YH14" s="413"/>
      <c r="YI14" s="413"/>
      <c r="YJ14" s="413"/>
      <c r="YK14" s="413"/>
      <c r="YL14" s="413"/>
      <c r="YM14" s="413"/>
      <c r="YN14" s="413"/>
      <c r="YO14" s="413"/>
      <c r="YP14" s="413"/>
      <c r="YQ14" s="413"/>
      <c r="YR14" s="413"/>
      <c r="YS14" s="413"/>
      <c r="YT14" s="413"/>
      <c r="YU14" s="413"/>
      <c r="YV14" s="413"/>
      <c r="YW14" s="413"/>
      <c r="YX14" s="413"/>
      <c r="YY14" s="413"/>
      <c r="YZ14" s="413"/>
      <c r="ZA14" s="413"/>
      <c r="ZB14" s="413"/>
      <c r="ZC14" s="413"/>
      <c r="ZD14" s="413"/>
      <c r="ZE14" s="413"/>
      <c r="ZF14" s="413"/>
      <c r="ZG14" s="413"/>
      <c r="ZH14" s="413"/>
      <c r="ZI14" s="413"/>
      <c r="ZJ14" s="413"/>
      <c r="ZK14" s="413"/>
      <c r="ZL14" s="413"/>
      <c r="ZM14" s="413"/>
      <c r="ZN14" s="413"/>
      <c r="ZO14" s="413"/>
      <c r="ZP14" s="413"/>
      <c r="ZQ14" s="413"/>
      <c r="ZR14" s="413"/>
      <c r="ZS14" s="413"/>
      <c r="ZT14" s="413"/>
      <c r="ZU14" s="413"/>
      <c r="ZV14" s="413"/>
      <c r="ZW14" s="413"/>
      <c r="ZX14" s="413"/>
      <c r="ZY14" s="413"/>
      <c r="ZZ14" s="413"/>
      <c r="AAA14" s="413"/>
      <c r="AAB14" s="413"/>
      <c r="AAC14" s="413"/>
      <c r="AAD14" s="413"/>
      <c r="AAE14" s="413"/>
      <c r="AAF14" s="413"/>
      <c r="AAG14" s="413"/>
      <c r="AAH14" s="413"/>
      <c r="AAI14" s="413"/>
      <c r="AAJ14" s="413"/>
      <c r="AAK14" s="413"/>
      <c r="AAL14" s="413"/>
      <c r="AAM14" s="413"/>
      <c r="AAN14" s="413"/>
      <c r="AAO14" s="413"/>
      <c r="AAP14" s="413"/>
      <c r="AAQ14" s="413"/>
      <c r="AAR14" s="413"/>
      <c r="AAS14" s="413"/>
      <c r="AAT14" s="413"/>
      <c r="AAU14" s="413"/>
      <c r="AAV14" s="413"/>
      <c r="AAW14" s="413"/>
      <c r="AAX14" s="413"/>
      <c r="AAY14" s="413"/>
      <c r="AAZ14" s="413"/>
      <c r="ABA14" s="413"/>
      <c r="ABB14" s="413"/>
      <c r="ABC14" s="413"/>
      <c r="ABD14" s="413"/>
      <c r="ABE14" s="413"/>
      <c r="ABF14" s="413"/>
      <c r="ABG14" s="413"/>
      <c r="ABH14" s="413"/>
      <c r="ABI14" s="413"/>
      <c r="ABJ14" s="413"/>
      <c r="ABK14" s="413"/>
      <c r="ABL14" s="413"/>
      <c r="ABM14" s="413"/>
      <c r="ABN14" s="413"/>
      <c r="ABO14" s="413"/>
      <c r="ABP14" s="413"/>
      <c r="ABQ14" s="413"/>
      <c r="ABR14" s="413"/>
      <c r="ABS14" s="413"/>
      <c r="ABT14" s="413"/>
      <c r="ABU14" s="413"/>
      <c r="ABV14" s="413"/>
      <c r="ABW14" s="413"/>
      <c r="ABX14" s="413"/>
      <c r="ABY14" s="413"/>
      <c r="ABZ14" s="413"/>
      <c r="ACA14" s="413"/>
      <c r="ACB14" s="413"/>
      <c r="ACC14" s="413"/>
      <c r="ACD14" s="413"/>
      <c r="ACE14" s="413"/>
      <c r="ACF14" s="413"/>
      <c r="ACG14" s="413"/>
      <c r="ACH14" s="413"/>
      <c r="ACI14" s="413"/>
      <c r="ACJ14" s="413"/>
      <c r="ACK14" s="413"/>
      <c r="ACL14" s="413"/>
      <c r="ACM14" s="413"/>
      <c r="ACN14" s="413"/>
      <c r="ACO14" s="413"/>
      <c r="ACP14" s="413"/>
      <c r="ACQ14" s="413"/>
      <c r="ACR14" s="413"/>
      <c r="ACS14" s="413"/>
      <c r="ACT14" s="413"/>
      <c r="ACU14" s="413"/>
      <c r="ACV14" s="413"/>
      <c r="ACW14" s="413"/>
      <c r="ACX14" s="413"/>
      <c r="ACY14" s="413"/>
      <c r="ACZ14" s="413"/>
      <c r="ADA14" s="413"/>
      <c r="ADB14" s="413"/>
      <c r="ADC14" s="413"/>
      <c r="ADD14" s="413"/>
      <c r="ADE14" s="413"/>
      <c r="ADF14" s="413"/>
      <c r="ADG14" s="413"/>
      <c r="ADH14" s="413"/>
      <c r="ADI14" s="413"/>
      <c r="ADJ14" s="413"/>
      <c r="ADK14" s="413"/>
      <c r="ADL14" s="413"/>
      <c r="ADM14" s="413"/>
      <c r="ADN14" s="413"/>
      <c r="ADO14" s="413"/>
      <c r="ADP14" s="413"/>
      <c r="ADQ14" s="413"/>
      <c r="ADR14" s="413"/>
      <c r="ADS14" s="413"/>
      <c r="ADT14" s="413"/>
      <c r="ADU14" s="413"/>
      <c r="ADV14" s="413"/>
      <c r="ADW14" s="413"/>
      <c r="ADX14" s="413"/>
      <c r="ADY14" s="413"/>
      <c r="ADZ14" s="413"/>
      <c r="AEA14" s="413"/>
      <c r="AEB14" s="413"/>
      <c r="AEC14" s="413"/>
      <c r="AED14" s="413"/>
      <c r="AEE14" s="413"/>
      <c r="AEF14" s="413"/>
      <c r="AEG14" s="413"/>
      <c r="AEH14" s="413"/>
      <c r="AEI14" s="413"/>
      <c r="AEJ14" s="413"/>
      <c r="AEK14" s="413"/>
      <c r="AEL14" s="413"/>
      <c r="AEM14" s="413"/>
      <c r="AEN14" s="413"/>
      <c r="AEO14" s="413"/>
      <c r="AEP14" s="413"/>
      <c r="AEQ14" s="413"/>
      <c r="AER14" s="413"/>
      <c r="AES14" s="413"/>
      <c r="AET14" s="413"/>
      <c r="AEU14" s="413"/>
      <c r="AEV14" s="413"/>
      <c r="AEW14" s="413"/>
      <c r="AEX14" s="413"/>
      <c r="AEY14" s="413"/>
      <c r="AEZ14" s="413"/>
      <c r="AFA14" s="413"/>
      <c r="AFB14" s="413"/>
      <c r="AFC14" s="413"/>
      <c r="AFD14" s="413"/>
      <c r="AFE14" s="413"/>
      <c r="AFF14" s="413"/>
      <c r="AFG14" s="413"/>
      <c r="AFH14" s="413"/>
      <c r="AFI14" s="413"/>
      <c r="AFJ14" s="413"/>
      <c r="AFK14" s="413"/>
      <c r="AFL14" s="413"/>
      <c r="AFM14" s="413"/>
      <c r="AFN14" s="413"/>
      <c r="AFO14" s="413"/>
      <c r="AFP14" s="413"/>
      <c r="AFQ14" s="413"/>
      <c r="AFR14" s="413"/>
      <c r="AFS14" s="413"/>
      <c r="AFT14" s="413"/>
      <c r="AFU14" s="413"/>
      <c r="AFV14" s="413"/>
      <c r="AFW14" s="413"/>
      <c r="AFX14" s="413"/>
      <c r="AFY14" s="413"/>
      <c r="AFZ14" s="413"/>
      <c r="AGA14" s="413"/>
      <c r="AGB14" s="413"/>
      <c r="AGC14" s="413"/>
      <c r="AGD14" s="413"/>
      <c r="AGE14" s="413"/>
      <c r="AGF14" s="413"/>
      <c r="AGG14" s="413"/>
      <c r="AGH14" s="413"/>
      <c r="AGI14" s="413"/>
      <c r="AGJ14" s="413"/>
      <c r="AGK14" s="413"/>
      <c r="AGL14" s="413"/>
      <c r="AGM14" s="413"/>
      <c r="AGN14" s="413"/>
      <c r="AGO14" s="413"/>
      <c r="AGP14" s="413"/>
      <c r="AGQ14" s="413"/>
      <c r="AGR14" s="413"/>
      <c r="AGS14" s="413"/>
      <c r="AGT14" s="413"/>
      <c r="AGU14" s="413"/>
      <c r="AGV14" s="413"/>
      <c r="AGW14" s="413"/>
      <c r="AGX14" s="413"/>
      <c r="AGY14" s="413"/>
      <c r="AGZ14" s="413"/>
      <c r="AHA14" s="413"/>
      <c r="AHB14" s="413"/>
      <c r="AHC14" s="414"/>
      <c r="AHD14" s="414"/>
      <c r="AHE14" s="414"/>
      <c r="AHF14" s="414"/>
      <c r="AHG14" s="414"/>
      <c r="AHH14" s="415"/>
    </row>
    <row r="15" s="335" customFormat="1" ht="23" customHeight="1" spans="1:892">
      <c r="A15" s="340">
        <v>11</v>
      </c>
      <c r="B15" s="341"/>
      <c r="C15" s="516" t="s">
        <v>124</v>
      </c>
      <c r="D15" s="347"/>
      <c r="E15" s="86"/>
      <c r="F15" s="81">
        <v>11</v>
      </c>
      <c r="G15" s="344" t="s">
        <v>394</v>
      </c>
      <c r="H15" s="345" t="s">
        <v>395</v>
      </c>
      <c r="I15" s="366" t="s">
        <v>128</v>
      </c>
      <c r="J15" s="366" t="s">
        <v>128</v>
      </c>
      <c r="K15" s="367"/>
      <c r="L15" s="368"/>
      <c r="M15" s="368"/>
      <c r="N15" s="369" t="s">
        <v>396</v>
      </c>
      <c r="O15" s="370"/>
      <c r="P15" s="371"/>
      <c r="Q15" s="371"/>
      <c r="R15" s="388" t="s">
        <v>136</v>
      </c>
      <c r="S15" s="388"/>
      <c r="T15" s="389"/>
      <c r="U15" s="389"/>
      <c r="V15" s="388" t="s">
        <v>136</v>
      </c>
      <c r="W15" s="388"/>
      <c r="X15" s="340" t="s">
        <v>135</v>
      </c>
      <c r="Y15" s="340" t="s">
        <v>135</v>
      </c>
      <c r="Z15" s="120">
        <f t="shared" si="0"/>
        <v>20</v>
      </c>
      <c r="AA15" s="303" t="str">
        <f t="shared" si="1"/>
        <v>00:20:00</v>
      </c>
      <c r="AB15" s="120">
        <f t="shared" si="2"/>
        <v>1200</v>
      </c>
      <c r="AC15" s="406">
        <v>0.013912037037037</v>
      </c>
      <c r="AD15" s="407">
        <v>169</v>
      </c>
      <c r="AE15" s="407">
        <v>43</v>
      </c>
      <c r="AF15" s="340" t="s">
        <v>138</v>
      </c>
      <c r="AG15" s="409"/>
      <c r="AH15" s="410"/>
      <c r="AI15" s="411"/>
      <c r="AJ15" s="410"/>
      <c r="AK15" s="410"/>
      <c r="AL15" s="409"/>
      <c r="AM15" s="412"/>
      <c r="AN15" s="412"/>
      <c r="AO15" s="412"/>
      <c r="AP15" s="413"/>
      <c r="AQ15" s="413"/>
      <c r="AR15" s="413"/>
      <c r="AS15" s="413"/>
      <c r="AT15" s="413"/>
      <c r="AU15" s="413"/>
      <c r="AV15" s="413"/>
      <c r="AW15" s="413"/>
      <c r="AX15" s="413"/>
      <c r="AY15" s="413"/>
      <c r="AZ15" s="413"/>
      <c r="BA15" s="413"/>
      <c r="BB15" s="413"/>
      <c r="BC15" s="413"/>
      <c r="BD15" s="413"/>
      <c r="BE15" s="413"/>
      <c r="BF15" s="413"/>
      <c r="BG15" s="413"/>
      <c r="BH15" s="413"/>
      <c r="BI15" s="413"/>
      <c r="BJ15" s="413"/>
      <c r="BK15" s="413"/>
      <c r="BL15" s="413"/>
      <c r="BM15" s="413"/>
      <c r="BN15" s="413"/>
      <c r="BO15" s="413"/>
      <c r="BP15" s="413"/>
      <c r="BQ15" s="413"/>
      <c r="BR15" s="413"/>
      <c r="BS15" s="413"/>
      <c r="BT15" s="413"/>
      <c r="BU15" s="413"/>
      <c r="BV15" s="413"/>
      <c r="BW15" s="413"/>
      <c r="BX15" s="413"/>
      <c r="BY15" s="413"/>
      <c r="BZ15" s="413"/>
      <c r="CA15" s="413"/>
      <c r="CB15" s="413"/>
      <c r="CC15" s="413"/>
      <c r="CD15" s="413"/>
      <c r="CE15" s="413"/>
      <c r="CF15" s="413"/>
      <c r="CG15" s="413"/>
      <c r="CH15" s="413"/>
      <c r="CI15" s="413"/>
      <c r="CJ15" s="413"/>
      <c r="CK15" s="413"/>
      <c r="CL15" s="413"/>
      <c r="CM15" s="413"/>
      <c r="CN15" s="413"/>
      <c r="CO15" s="413"/>
      <c r="CP15" s="413"/>
      <c r="CQ15" s="413"/>
      <c r="CR15" s="413"/>
      <c r="CS15" s="413"/>
      <c r="CT15" s="413"/>
      <c r="CU15" s="413"/>
      <c r="CV15" s="413"/>
      <c r="CW15" s="413"/>
      <c r="CX15" s="413"/>
      <c r="CY15" s="413"/>
      <c r="CZ15" s="413"/>
      <c r="DA15" s="413"/>
      <c r="DB15" s="413"/>
      <c r="DC15" s="413"/>
      <c r="DD15" s="413"/>
      <c r="DE15" s="413"/>
      <c r="DF15" s="413"/>
      <c r="DG15" s="413"/>
      <c r="DH15" s="413"/>
      <c r="DI15" s="413"/>
      <c r="DJ15" s="413"/>
      <c r="DK15" s="413"/>
      <c r="DL15" s="413"/>
      <c r="DM15" s="413"/>
      <c r="DN15" s="413"/>
      <c r="DO15" s="413"/>
      <c r="DP15" s="413"/>
      <c r="DQ15" s="413"/>
      <c r="DR15" s="413"/>
      <c r="DS15" s="413"/>
      <c r="DT15" s="413"/>
      <c r="DU15" s="413"/>
      <c r="DV15" s="413"/>
      <c r="DW15" s="413"/>
      <c r="DX15" s="413"/>
      <c r="DY15" s="413"/>
      <c r="DZ15" s="413"/>
      <c r="EA15" s="413"/>
      <c r="EB15" s="413"/>
      <c r="EC15" s="413"/>
      <c r="ED15" s="413"/>
      <c r="EE15" s="413"/>
      <c r="EF15" s="413"/>
      <c r="EG15" s="413"/>
      <c r="EH15" s="413"/>
      <c r="EI15" s="413"/>
      <c r="EJ15" s="413"/>
      <c r="EK15" s="413"/>
      <c r="EL15" s="413"/>
      <c r="EM15" s="413"/>
      <c r="EN15" s="413"/>
      <c r="EO15" s="413"/>
      <c r="EP15" s="413"/>
      <c r="EQ15" s="413"/>
      <c r="ER15" s="413"/>
      <c r="ES15" s="413"/>
      <c r="ET15" s="413"/>
      <c r="EU15" s="413"/>
      <c r="EV15" s="413"/>
      <c r="EW15" s="413"/>
      <c r="EX15" s="413"/>
      <c r="EY15" s="413"/>
      <c r="EZ15" s="413"/>
      <c r="FA15" s="413"/>
      <c r="FB15" s="413"/>
      <c r="FC15" s="413"/>
      <c r="FD15" s="413"/>
      <c r="FE15" s="413"/>
      <c r="FF15" s="413"/>
      <c r="FG15" s="413"/>
      <c r="FH15" s="413"/>
      <c r="FI15" s="413"/>
      <c r="FJ15" s="413"/>
      <c r="FK15" s="413"/>
      <c r="FL15" s="413"/>
      <c r="FM15" s="413"/>
      <c r="FN15" s="413"/>
      <c r="FO15" s="413"/>
      <c r="FP15" s="413"/>
      <c r="FQ15" s="413"/>
      <c r="FR15" s="413"/>
      <c r="FS15" s="413"/>
      <c r="FT15" s="413"/>
      <c r="FU15" s="413"/>
      <c r="FV15" s="413"/>
      <c r="FW15" s="413"/>
      <c r="FX15" s="413"/>
      <c r="FY15" s="413"/>
      <c r="FZ15" s="413"/>
      <c r="GA15" s="413"/>
      <c r="GB15" s="413"/>
      <c r="GC15" s="413"/>
      <c r="GD15" s="413"/>
      <c r="GE15" s="413"/>
      <c r="GF15" s="413"/>
      <c r="GG15" s="413"/>
      <c r="GH15" s="413"/>
      <c r="GI15" s="413"/>
      <c r="GJ15" s="413"/>
      <c r="GK15" s="413"/>
      <c r="GL15" s="413"/>
      <c r="GM15" s="413"/>
      <c r="GN15" s="413"/>
      <c r="GO15" s="413"/>
      <c r="GP15" s="413"/>
      <c r="GQ15" s="413"/>
      <c r="GR15" s="413"/>
      <c r="GS15" s="413"/>
      <c r="GT15" s="413"/>
      <c r="GU15" s="413"/>
      <c r="GV15" s="413"/>
      <c r="GW15" s="413"/>
      <c r="GX15" s="413"/>
      <c r="GY15" s="413"/>
      <c r="GZ15" s="413"/>
      <c r="HA15" s="413"/>
      <c r="HB15" s="413"/>
      <c r="HC15" s="413"/>
      <c r="HD15" s="413"/>
      <c r="HE15" s="413"/>
      <c r="HF15" s="413"/>
      <c r="HG15" s="413"/>
      <c r="HH15" s="413"/>
      <c r="HI15" s="413"/>
      <c r="HJ15" s="413"/>
      <c r="HK15" s="413"/>
      <c r="HL15" s="413"/>
      <c r="HM15" s="413"/>
      <c r="HN15" s="413"/>
      <c r="HO15" s="413"/>
      <c r="HP15" s="413"/>
      <c r="HQ15" s="413"/>
      <c r="HR15" s="413"/>
      <c r="HS15" s="413"/>
      <c r="HT15" s="413"/>
      <c r="HU15" s="413"/>
      <c r="HV15" s="413"/>
      <c r="HW15" s="413"/>
      <c r="HX15" s="413"/>
      <c r="HY15" s="413"/>
      <c r="HZ15" s="413"/>
      <c r="IA15" s="413"/>
      <c r="IB15" s="413"/>
      <c r="IC15" s="413"/>
      <c r="ID15" s="413"/>
      <c r="IE15" s="413"/>
      <c r="IF15" s="413"/>
      <c r="IG15" s="413"/>
      <c r="IH15" s="413"/>
      <c r="II15" s="413"/>
      <c r="IJ15" s="413"/>
      <c r="IK15" s="413"/>
      <c r="IL15" s="413"/>
      <c r="IM15" s="413"/>
      <c r="IN15" s="413"/>
      <c r="IO15" s="413"/>
      <c r="IP15" s="413"/>
      <c r="IQ15" s="413"/>
      <c r="IR15" s="413"/>
      <c r="IS15" s="413"/>
      <c r="IT15" s="413"/>
      <c r="IU15" s="413"/>
      <c r="IV15" s="413"/>
      <c r="IW15" s="413"/>
      <c r="IX15" s="413"/>
      <c r="IY15" s="413"/>
      <c r="IZ15" s="413"/>
      <c r="JA15" s="413"/>
      <c r="JB15" s="413"/>
      <c r="JC15" s="413"/>
      <c r="JD15" s="413"/>
      <c r="JE15" s="413"/>
      <c r="JF15" s="413"/>
      <c r="JG15" s="413"/>
      <c r="JH15" s="413"/>
      <c r="JI15" s="413"/>
      <c r="JJ15" s="413"/>
      <c r="JK15" s="413"/>
      <c r="JL15" s="413"/>
      <c r="JM15" s="413"/>
      <c r="JN15" s="413"/>
      <c r="JO15" s="413"/>
      <c r="JP15" s="413"/>
      <c r="JQ15" s="413"/>
      <c r="JR15" s="413"/>
      <c r="JS15" s="413"/>
      <c r="JT15" s="413"/>
      <c r="JU15" s="413"/>
      <c r="JV15" s="413"/>
      <c r="JW15" s="413"/>
      <c r="JX15" s="413"/>
      <c r="JY15" s="413"/>
      <c r="JZ15" s="413"/>
      <c r="KA15" s="413"/>
      <c r="KB15" s="413"/>
      <c r="KC15" s="413"/>
      <c r="KD15" s="413"/>
      <c r="KE15" s="413"/>
      <c r="KF15" s="413"/>
      <c r="KG15" s="413"/>
      <c r="KH15" s="413"/>
      <c r="KI15" s="413"/>
      <c r="KJ15" s="413"/>
      <c r="KK15" s="413"/>
      <c r="KL15" s="413"/>
      <c r="KM15" s="413"/>
      <c r="KN15" s="413"/>
      <c r="KO15" s="413"/>
      <c r="KP15" s="413"/>
      <c r="KQ15" s="413"/>
      <c r="KR15" s="413"/>
      <c r="KS15" s="413"/>
      <c r="KT15" s="413"/>
      <c r="KU15" s="413"/>
      <c r="KV15" s="413"/>
      <c r="KW15" s="413"/>
      <c r="KX15" s="413"/>
      <c r="KY15" s="413"/>
      <c r="KZ15" s="413"/>
      <c r="LA15" s="413"/>
      <c r="LB15" s="413"/>
      <c r="LC15" s="413"/>
      <c r="LD15" s="413"/>
      <c r="LE15" s="413"/>
      <c r="LF15" s="413"/>
      <c r="LG15" s="413"/>
      <c r="LH15" s="413"/>
      <c r="LI15" s="413"/>
      <c r="LJ15" s="413"/>
      <c r="LK15" s="413"/>
      <c r="LL15" s="413"/>
      <c r="LM15" s="413"/>
      <c r="LN15" s="413"/>
      <c r="LO15" s="413"/>
      <c r="LP15" s="413"/>
      <c r="LQ15" s="413"/>
      <c r="LR15" s="413"/>
      <c r="LS15" s="413"/>
      <c r="LT15" s="413"/>
      <c r="LU15" s="413"/>
      <c r="LV15" s="413"/>
      <c r="LW15" s="413"/>
      <c r="LX15" s="413"/>
      <c r="LY15" s="413"/>
      <c r="LZ15" s="413"/>
      <c r="MA15" s="413"/>
      <c r="MB15" s="413"/>
      <c r="MC15" s="413"/>
      <c r="MD15" s="413"/>
      <c r="ME15" s="413"/>
      <c r="MF15" s="413"/>
      <c r="MG15" s="413"/>
      <c r="MH15" s="413"/>
      <c r="MI15" s="413"/>
      <c r="MJ15" s="413"/>
      <c r="MK15" s="413"/>
      <c r="ML15" s="413"/>
      <c r="MM15" s="413"/>
      <c r="MN15" s="413"/>
      <c r="MO15" s="413"/>
      <c r="MP15" s="413"/>
      <c r="MQ15" s="413"/>
      <c r="MR15" s="413"/>
      <c r="MS15" s="413"/>
      <c r="MT15" s="413"/>
      <c r="MU15" s="413"/>
      <c r="MV15" s="413"/>
      <c r="MW15" s="413"/>
      <c r="MX15" s="413"/>
      <c r="MY15" s="413"/>
      <c r="MZ15" s="413"/>
      <c r="NA15" s="413"/>
      <c r="NB15" s="413"/>
      <c r="NC15" s="413"/>
      <c r="ND15" s="413"/>
      <c r="NE15" s="413"/>
      <c r="NF15" s="413"/>
      <c r="NG15" s="413"/>
      <c r="NH15" s="413"/>
      <c r="NI15" s="413"/>
      <c r="NJ15" s="413"/>
      <c r="NK15" s="413"/>
      <c r="NL15" s="413"/>
      <c r="NM15" s="413"/>
      <c r="NN15" s="413"/>
      <c r="NO15" s="413"/>
      <c r="NP15" s="413"/>
      <c r="NQ15" s="413"/>
      <c r="NR15" s="413"/>
      <c r="NS15" s="413"/>
      <c r="NT15" s="413"/>
      <c r="NU15" s="413"/>
      <c r="NV15" s="413"/>
      <c r="NW15" s="413"/>
      <c r="NX15" s="413"/>
      <c r="NY15" s="413"/>
      <c r="NZ15" s="413"/>
      <c r="OA15" s="413"/>
      <c r="OB15" s="413"/>
      <c r="OC15" s="413"/>
      <c r="OD15" s="413"/>
      <c r="OE15" s="413"/>
      <c r="OF15" s="413"/>
      <c r="OG15" s="413"/>
      <c r="OH15" s="413"/>
      <c r="OI15" s="413"/>
      <c r="OJ15" s="413"/>
      <c r="OK15" s="413"/>
      <c r="OL15" s="413"/>
      <c r="OM15" s="413"/>
      <c r="ON15" s="413"/>
      <c r="OO15" s="413"/>
      <c r="OP15" s="413"/>
      <c r="OQ15" s="413"/>
      <c r="OR15" s="413"/>
      <c r="OS15" s="413"/>
      <c r="OT15" s="413"/>
      <c r="OU15" s="413"/>
      <c r="OV15" s="413"/>
      <c r="OW15" s="413"/>
      <c r="OX15" s="413"/>
      <c r="OY15" s="413"/>
      <c r="OZ15" s="413"/>
      <c r="PA15" s="413"/>
      <c r="PB15" s="413"/>
      <c r="PC15" s="413"/>
      <c r="PD15" s="413"/>
      <c r="PE15" s="413"/>
      <c r="PF15" s="413"/>
      <c r="PG15" s="413"/>
      <c r="PH15" s="413"/>
      <c r="PI15" s="413"/>
      <c r="PJ15" s="413"/>
      <c r="PK15" s="413"/>
      <c r="PL15" s="413"/>
      <c r="PM15" s="413"/>
      <c r="PN15" s="413"/>
      <c r="PO15" s="413"/>
      <c r="PP15" s="413"/>
      <c r="PQ15" s="413"/>
      <c r="PR15" s="413"/>
      <c r="PS15" s="413"/>
      <c r="PT15" s="413"/>
      <c r="PU15" s="413"/>
      <c r="PV15" s="413"/>
      <c r="PW15" s="413"/>
      <c r="PX15" s="413"/>
      <c r="PY15" s="413"/>
      <c r="PZ15" s="413"/>
      <c r="QA15" s="413"/>
      <c r="QB15" s="413"/>
      <c r="QC15" s="413"/>
      <c r="QD15" s="413"/>
      <c r="QE15" s="413"/>
      <c r="QF15" s="413"/>
      <c r="QG15" s="413"/>
      <c r="QH15" s="413"/>
      <c r="QI15" s="413"/>
      <c r="QJ15" s="413"/>
      <c r="QK15" s="413"/>
      <c r="QL15" s="413"/>
      <c r="QM15" s="413"/>
      <c r="QN15" s="413"/>
      <c r="QO15" s="413"/>
      <c r="QP15" s="413"/>
      <c r="QQ15" s="413"/>
      <c r="QR15" s="413"/>
      <c r="QS15" s="413"/>
      <c r="QT15" s="413"/>
      <c r="QU15" s="413"/>
      <c r="QV15" s="413"/>
      <c r="QW15" s="413"/>
      <c r="QX15" s="413"/>
      <c r="QY15" s="413"/>
      <c r="QZ15" s="413"/>
      <c r="RA15" s="413"/>
      <c r="RB15" s="413"/>
      <c r="RC15" s="413"/>
      <c r="RD15" s="413"/>
      <c r="RE15" s="413"/>
      <c r="RF15" s="413"/>
      <c r="RG15" s="413"/>
      <c r="RH15" s="413"/>
      <c r="RI15" s="413"/>
      <c r="RJ15" s="413"/>
      <c r="RK15" s="413"/>
      <c r="RL15" s="413"/>
      <c r="RM15" s="413"/>
      <c r="RN15" s="413"/>
      <c r="RO15" s="413"/>
      <c r="RP15" s="413"/>
      <c r="RQ15" s="413"/>
      <c r="RR15" s="413"/>
      <c r="RS15" s="413"/>
      <c r="RT15" s="413"/>
      <c r="RU15" s="413"/>
      <c r="RV15" s="413"/>
      <c r="RW15" s="413"/>
      <c r="RX15" s="413"/>
      <c r="RY15" s="413"/>
      <c r="RZ15" s="413"/>
      <c r="SA15" s="413"/>
      <c r="SB15" s="413"/>
      <c r="SC15" s="413"/>
      <c r="SD15" s="413"/>
      <c r="SE15" s="413"/>
      <c r="SF15" s="413"/>
      <c r="SG15" s="413"/>
      <c r="SH15" s="413"/>
      <c r="SI15" s="413"/>
      <c r="SJ15" s="413"/>
      <c r="SK15" s="413"/>
      <c r="SL15" s="413"/>
      <c r="SM15" s="413"/>
      <c r="SN15" s="413"/>
      <c r="SO15" s="413"/>
      <c r="SP15" s="413"/>
      <c r="SQ15" s="413"/>
      <c r="SR15" s="413"/>
      <c r="SS15" s="413"/>
      <c r="ST15" s="413"/>
      <c r="SU15" s="413"/>
      <c r="SV15" s="413"/>
      <c r="SW15" s="413"/>
      <c r="SX15" s="413"/>
      <c r="SY15" s="413"/>
      <c r="SZ15" s="413"/>
      <c r="TA15" s="413"/>
      <c r="TB15" s="413"/>
      <c r="TC15" s="413"/>
      <c r="TD15" s="413"/>
      <c r="TE15" s="413"/>
      <c r="TF15" s="413"/>
      <c r="TG15" s="413"/>
      <c r="TH15" s="413"/>
      <c r="TI15" s="413"/>
      <c r="TJ15" s="413"/>
      <c r="TK15" s="413"/>
      <c r="TL15" s="413"/>
      <c r="TM15" s="413"/>
      <c r="TN15" s="413"/>
      <c r="TO15" s="413"/>
      <c r="TP15" s="413"/>
      <c r="TQ15" s="413"/>
      <c r="TR15" s="413"/>
      <c r="TS15" s="413"/>
      <c r="TT15" s="413"/>
      <c r="TU15" s="413"/>
      <c r="TV15" s="413"/>
      <c r="TW15" s="413"/>
      <c r="TX15" s="413"/>
      <c r="TY15" s="413"/>
      <c r="TZ15" s="413"/>
      <c r="UA15" s="413"/>
      <c r="UB15" s="413"/>
      <c r="UC15" s="413"/>
      <c r="UD15" s="413"/>
      <c r="UE15" s="413"/>
      <c r="UF15" s="413"/>
      <c r="UG15" s="413"/>
      <c r="UH15" s="413"/>
      <c r="UI15" s="413"/>
      <c r="UJ15" s="413"/>
      <c r="UK15" s="413"/>
      <c r="UL15" s="413"/>
      <c r="UM15" s="413"/>
      <c r="UN15" s="413"/>
      <c r="UO15" s="413"/>
      <c r="UP15" s="413"/>
      <c r="UQ15" s="413"/>
      <c r="UR15" s="413"/>
      <c r="US15" s="413"/>
      <c r="UT15" s="413"/>
      <c r="UU15" s="413"/>
      <c r="UV15" s="413"/>
      <c r="UW15" s="413"/>
      <c r="UX15" s="413"/>
      <c r="UY15" s="413"/>
      <c r="UZ15" s="413"/>
      <c r="VA15" s="413"/>
      <c r="VB15" s="413"/>
      <c r="VC15" s="413"/>
      <c r="VD15" s="413"/>
      <c r="VE15" s="413"/>
      <c r="VF15" s="413"/>
      <c r="VG15" s="413"/>
      <c r="VH15" s="413"/>
      <c r="VI15" s="413"/>
      <c r="VJ15" s="413"/>
      <c r="VK15" s="413"/>
      <c r="VL15" s="413"/>
      <c r="VM15" s="413"/>
      <c r="VN15" s="413"/>
      <c r="VO15" s="413"/>
      <c r="VP15" s="413"/>
      <c r="VQ15" s="413"/>
      <c r="VR15" s="413"/>
      <c r="VS15" s="413"/>
      <c r="VT15" s="413"/>
      <c r="VU15" s="413"/>
      <c r="VV15" s="413"/>
      <c r="VW15" s="413"/>
      <c r="VX15" s="413"/>
      <c r="VY15" s="413"/>
      <c r="VZ15" s="413"/>
      <c r="WA15" s="413"/>
      <c r="WB15" s="413"/>
      <c r="WC15" s="413"/>
      <c r="WD15" s="413"/>
      <c r="WE15" s="413"/>
      <c r="WF15" s="413"/>
      <c r="WG15" s="413"/>
      <c r="WH15" s="413"/>
      <c r="WI15" s="413"/>
      <c r="WJ15" s="413"/>
      <c r="WK15" s="413"/>
      <c r="WL15" s="413"/>
      <c r="WM15" s="413"/>
      <c r="WN15" s="413"/>
      <c r="WO15" s="413"/>
      <c r="WP15" s="413"/>
      <c r="WQ15" s="413"/>
      <c r="WR15" s="413"/>
      <c r="WS15" s="413"/>
      <c r="WT15" s="413"/>
      <c r="WU15" s="413"/>
      <c r="WV15" s="413"/>
      <c r="WW15" s="413"/>
      <c r="WX15" s="413"/>
      <c r="WY15" s="413"/>
      <c r="WZ15" s="413"/>
      <c r="XA15" s="413"/>
      <c r="XB15" s="413"/>
      <c r="XC15" s="413"/>
      <c r="XD15" s="413"/>
      <c r="XE15" s="413"/>
      <c r="XF15" s="413"/>
      <c r="XG15" s="413"/>
      <c r="XH15" s="413"/>
      <c r="XI15" s="413"/>
      <c r="XJ15" s="413"/>
      <c r="XK15" s="413"/>
      <c r="XL15" s="413"/>
      <c r="XM15" s="413"/>
      <c r="XN15" s="413"/>
      <c r="XO15" s="413"/>
      <c r="XP15" s="413"/>
      <c r="XQ15" s="413"/>
      <c r="XR15" s="413"/>
      <c r="XS15" s="413"/>
      <c r="XT15" s="413"/>
      <c r="XU15" s="413"/>
      <c r="XV15" s="413"/>
      <c r="XW15" s="413"/>
      <c r="XX15" s="413"/>
      <c r="XY15" s="413"/>
      <c r="XZ15" s="413"/>
      <c r="YA15" s="413"/>
      <c r="YB15" s="413"/>
      <c r="YC15" s="413"/>
      <c r="YD15" s="413"/>
      <c r="YE15" s="413"/>
      <c r="YF15" s="413"/>
      <c r="YG15" s="413"/>
      <c r="YH15" s="413"/>
      <c r="YI15" s="413"/>
      <c r="YJ15" s="413"/>
      <c r="YK15" s="413"/>
      <c r="YL15" s="413"/>
      <c r="YM15" s="413"/>
      <c r="YN15" s="413"/>
      <c r="YO15" s="413"/>
      <c r="YP15" s="413"/>
      <c r="YQ15" s="413"/>
      <c r="YR15" s="413"/>
      <c r="YS15" s="413"/>
      <c r="YT15" s="413"/>
      <c r="YU15" s="413"/>
      <c r="YV15" s="413"/>
      <c r="YW15" s="413"/>
      <c r="YX15" s="413"/>
      <c r="YY15" s="413"/>
      <c r="YZ15" s="413"/>
      <c r="ZA15" s="413"/>
      <c r="ZB15" s="413"/>
      <c r="ZC15" s="413"/>
      <c r="ZD15" s="413"/>
      <c r="ZE15" s="413"/>
      <c r="ZF15" s="413"/>
      <c r="ZG15" s="413"/>
      <c r="ZH15" s="413"/>
      <c r="ZI15" s="413"/>
      <c r="ZJ15" s="413"/>
      <c r="ZK15" s="413"/>
      <c r="ZL15" s="413"/>
      <c r="ZM15" s="413"/>
      <c r="ZN15" s="413"/>
      <c r="ZO15" s="413"/>
      <c r="ZP15" s="413"/>
      <c r="ZQ15" s="413"/>
      <c r="ZR15" s="413"/>
      <c r="ZS15" s="413"/>
      <c r="ZT15" s="413"/>
      <c r="ZU15" s="413"/>
      <c r="ZV15" s="413"/>
      <c r="ZW15" s="413"/>
      <c r="ZX15" s="413"/>
      <c r="ZY15" s="413"/>
      <c r="ZZ15" s="413"/>
      <c r="AAA15" s="413"/>
      <c r="AAB15" s="413"/>
      <c r="AAC15" s="413"/>
      <c r="AAD15" s="413"/>
      <c r="AAE15" s="413"/>
      <c r="AAF15" s="413"/>
      <c r="AAG15" s="413"/>
      <c r="AAH15" s="413"/>
      <c r="AAI15" s="413"/>
      <c r="AAJ15" s="413"/>
      <c r="AAK15" s="413"/>
      <c r="AAL15" s="413"/>
      <c r="AAM15" s="413"/>
      <c r="AAN15" s="413"/>
      <c r="AAO15" s="413"/>
      <c r="AAP15" s="413"/>
      <c r="AAQ15" s="413"/>
      <c r="AAR15" s="413"/>
      <c r="AAS15" s="413"/>
      <c r="AAT15" s="413"/>
      <c r="AAU15" s="413"/>
      <c r="AAV15" s="413"/>
      <c r="AAW15" s="413"/>
      <c r="AAX15" s="413"/>
      <c r="AAY15" s="413"/>
      <c r="AAZ15" s="413"/>
      <c r="ABA15" s="413"/>
      <c r="ABB15" s="413"/>
      <c r="ABC15" s="413"/>
      <c r="ABD15" s="413"/>
      <c r="ABE15" s="413"/>
      <c r="ABF15" s="413"/>
      <c r="ABG15" s="413"/>
      <c r="ABH15" s="413"/>
      <c r="ABI15" s="413"/>
      <c r="ABJ15" s="413"/>
      <c r="ABK15" s="413"/>
      <c r="ABL15" s="413"/>
      <c r="ABM15" s="413"/>
      <c r="ABN15" s="413"/>
      <c r="ABO15" s="413"/>
      <c r="ABP15" s="413"/>
      <c r="ABQ15" s="413"/>
      <c r="ABR15" s="413"/>
      <c r="ABS15" s="413"/>
      <c r="ABT15" s="413"/>
      <c r="ABU15" s="413"/>
      <c r="ABV15" s="413"/>
      <c r="ABW15" s="413"/>
      <c r="ABX15" s="413"/>
      <c r="ABY15" s="413"/>
      <c r="ABZ15" s="413"/>
      <c r="ACA15" s="413"/>
      <c r="ACB15" s="413"/>
      <c r="ACC15" s="413"/>
      <c r="ACD15" s="413"/>
      <c r="ACE15" s="413"/>
      <c r="ACF15" s="413"/>
      <c r="ACG15" s="413"/>
      <c r="ACH15" s="413"/>
      <c r="ACI15" s="413"/>
      <c r="ACJ15" s="413"/>
      <c r="ACK15" s="413"/>
      <c r="ACL15" s="413"/>
      <c r="ACM15" s="413"/>
      <c r="ACN15" s="413"/>
      <c r="ACO15" s="413"/>
      <c r="ACP15" s="413"/>
      <c r="ACQ15" s="413"/>
      <c r="ACR15" s="413"/>
      <c r="ACS15" s="413"/>
      <c r="ACT15" s="413"/>
      <c r="ACU15" s="413"/>
      <c r="ACV15" s="413"/>
      <c r="ACW15" s="413"/>
      <c r="ACX15" s="413"/>
      <c r="ACY15" s="413"/>
      <c r="ACZ15" s="413"/>
      <c r="ADA15" s="413"/>
      <c r="ADB15" s="413"/>
      <c r="ADC15" s="413"/>
      <c r="ADD15" s="413"/>
      <c r="ADE15" s="413"/>
      <c r="ADF15" s="413"/>
      <c r="ADG15" s="413"/>
      <c r="ADH15" s="413"/>
      <c r="ADI15" s="413"/>
      <c r="ADJ15" s="413"/>
      <c r="ADK15" s="413"/>
      <c r="ADL15" s="413"/>
      <c r="ADM15" s="413"/>
      <c r="ADN15" s="413"/>
      <c r="ADO15" s="413"/>
      <c r="ADP15" s="413"/>
      <c r="ADQ15" s="413"/>
      <c r="ADR15" s="413"/>
      <c r="ADS15" s="413"/>
      <c r="ADT15" s="413"/>
      <c r="ADU15" s="413"/>
      <c r="ADV15" s="413"/>
      <c r="ADW15" s="413"/>
      <c r="ADX15" s="413"/>
      <c r="ADY15" s="413"/>
      <c r="ADZ15" s="413"/>
      <c r="AEA15" s="413"/>
      <c r="AEB15" s="413"/>
      <c r="AEC15" s="413"/>
      <c r="AED15" s="413"/>
      <c r="AEE15" s="413"/>
      <c r="AEF15" s="413"/>
      <c r="AEG15" s="413"/>
      <c r="AEH15" s="413"/>
      <c r="AEI15" s="413"/>
      <c r="AEJ15" s="413"/>
      <c r="AEK15" s="413"/>
      <c r="AEL15" s="413"/>
      <c r="AEM15" s="413"/>
      <c r="AEN15" s="413"/>
      <c r="AEO15" s="413"/>
      <c r="AEP15" s="413"/>
      <c r="AEQ15" s="413"/>
      <c r="AER15" s="413"/>
      <c r="AES15" s="413"/>
      <c r="AET15" s="413"/>
      <c r="AEU15" s="413"/>
      <c r="AEV15" s="413"/>
      <c r="AEW15" s="413"/>
      <c r="AEX15" s="413"/>
      <c r="AEY15" s="413"/>
      <c r="AEZ15" s="413"/>
      <c r="AFA15" s="413"/>
      <c r="AFB15" s="413"/>
      <c r="AFC15" s="413"/>
      <c r="AFD15" s="413"/>
      <c r="AFE15" s="413"/>
      <c r="AFF15" s="413"/>
      <c r="AFG15" s="413"/>
      <c r="AFH15" s="413"/>
      <c r="AFI15" s="413"/>
      <c r="AFJ15" s="413"/>
      <c r="AFK15" s="413"/>
      <c r="AFL15" s="413"/>
      <c r="AFM15" s="413"/>
      <c r="AFN15" s="413"/>
      <c r="AFO15" s="413"/>
      <c r="AFP15" s="413"/>
      <c r="AFQ15" s="413"/>
      <c r="AFR15" s="413"/>
      <c r="AFS15" s="413"/>
      <c r="AFT15" s="413"/>
      <c r="AFU15" s="413"/>
      <c r="AFV15" s="413"/>
      <c r="AFW15" s="413"/>
      <c r="AFX15" s="413"/>
      <c r="AFY15" s="413"/>
      <c r="AFZ15" s="413"/>
      <c r="AGA15" s="413"/>
      <c r="AGB15" s="413"/>
      <c r="AGC15" s="413"/>
      <c r="AGD15" s="413"/>
      <c r="AGE15" s="413"/>
      <c r="AGF15" s="413"/>
      <c r="AGG15" s="413"/>
      <c r="AGH15" s="413"/>
      <c r="AGI15" s="413"/>
      <c r="AGJ15" s="413"/>
      <c r="AGK15" s="413"/>
      <c r="AGL15" s="413"/>
      <c r="AGM15" s="413"/>
      <c r="AGN15" s="413"/>
      <c r="AGO15" s="413"/>
      <c r="AGP15" s="413"/>
      <c r="AGQ15" s="413"/>
      <c r="AGR15" s="413"/>
      <c r="AGS15" s="413"/>
      <c r="AGT15" s="413"/>
      <c r="AGU15" s="413"/>
      <c r="AGV15" s="413"/>
      <c r="AGW15" s="413"/>
      <c r="AGX15" s="413"/>
      <c r="AGY15" s="413"/>
      <c r="AGZ15" s="413"/>
      <c r="AHA15" s="413"/>
      <c r="AHB15" s="413"/>
      <c r="AHC15" s="414"/>
      <c r="AHD15" s="414"/>
      <c r="AHE15" s="414"/>
      <c r="AHF15" s="414"/>
      <c r="AHG15" s="414"/>
      <c r="AHH15" s="415"/>
    </row>
    <row r="16" s="2" customFormat="1" ht="24" customHeight="1" spans="1:891">
      <c r="A16" s="340">
        <v>12</v>
      </c>
      <c r="B16" s="277"/>
      <c r="C16" s="517" t="s">
        <v>124</v>
      </c>
      <c r="D16" s="347" t="s">
        <v>397</v>
      </c>
      <c r="E16" s="349"/>
      <c r="F16" s="81">
        <v>1</v>
      </c>
      <c r="G16" s="344" t="s">
        <v>398</v>
      </c>
      <c r="H16" s="345" t="s">
        <v>399</v>
      </c>
      <c r="I16" s="366" t="s">
        <v>128</v>
      </c>
      <c r="J16" s="366" t="s">
        <v>128</v>
      </c>
      <c r="K16" s="366"/>
      <c r="L16" s="366" t="s">
        <v>128</v>
      </c>
      <c r="M16" s="366" t="s">
        <v>128</v>
      </c>
      <c r="N16" s="369" t="s">
        <v>400</v>
      </c>
      <c r="O16" s="372"/>
      <c r="P16" s="373" t="str">
        <f>CONCATENATE(RemovePunctuation(H16),"_CA","_","i4K","_",C16,"_",AE16,"_",PROPER(R16),IF(S16="",PROPER(R16),PROPER(S16)),PROPER(T16),PROPER(U16),PROPER(V16),IF(V16&lt;&gt;"","SUB",""),PROPER(W16),IF(W16&lt;&gt;"","SUB",""),"_","Ed","_","M1",".mpg")</f>
        <v>HantangCulture_CA_i4K_0325_43_ZhoZhoEngSUBZhoSUB_Ed_M1.mpg</v>
      </c>
      <c r="Q16" s="373" t="str">
        <f>CONCATENATE(RemovePunctuation(H16),"_CA","_","i5K","_",C16,"_",AD16,"_",PROPER(R16),IF(S16="",PROPER(R16),PROPER(S16)),PROPER(T16),PROPER(U16),PROPER(V16),IF(V16&lt;&gt;"","SUB",""),PROPER(W16),IF(W16&lt;&gt;"","SUB",""),"_","Ed","_","M4",".mpg")</f>
        <v>HantangCulture_CA_i5K_0325_169_ZhoZhoEngSUBZhoSUB_Ed_M4.mpg</v>
      </c>
      <c r="R16" s="388" t="s">
        <v>136</v>
      </c>
      <c r="S16" s="388"/>
      <c r="T16" s="390"/>
      <c r="U16" s="390"/>
      <c r="V16" s="388" t="s">
        <v>137</v>
      </c>
      <c r="W16" s="388" t="s">
        <v>136</v>
      </c>
      <c r="X16" s="340" t="s">
        <v>135</v>
      </c>
      <c r="Y16" s="340" t="s">
        <v>135</v>
      </c>
      <c r="Z16" s="120">
        <f t="shared" si="0"/>
        <v>29</v>
      </c>
      <c r="AA16" s="303" t="str">
        <f t="shared" si="1"/>
        <v>00:29:00</v>
      </c>
      <c r="AB16" s="120">
        <f t="shared" si="2"/>
        <v>1740</v>
      </c>
      <c r="AC16" s="406">
        <v>0.0202662037037037</v>
      </c>
      <c r="AD16" s="407">
        <v>169</v>
      </c>
      <c r="AE16" s="407">
        <v>43</v>
      </c>
      <c r="AF16" s="340"/>
      <c r="AG16" s="3"/>
      <c r="AH16" s="74"/>
      <c r="AI16" s="76"/>
      <c r="AJ16" s="74"/>
      <c r="AK16" s="74"/>
      <c r="AL16" s="3"/>
      <c r="AM16" s="5"/>
      <c r="AN16" s="5"/>
      <c r="AO16" s="5"/>
      <c r="AP16" s="1"/>
      <c r="AQ16" s="1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  <c r="AAA16" s="3"/>
      <c r="AAB16" s="3"/>
      <c r="AAC16" s="3"/>
      <c r="AAD16" s="3"/>
      <c r="AAE16" s="3"/>
      <c r="AAF16" s="3"/>
      <c r="AAG16" s="3"/>
      <c r="AAH16" s="3"/>
      <c r="AAI16" s="3"/>
      <c r="AAJ16" s="3"/>
      <c r="AAK16" s="3"/>
      <c r="AAL16" s="3"/>
      <c r="AAM16" s="3"/>
      <c r="AAN16" s="3"/>
      <c r="AAO16" s="3"/>
      <c r="AAP16" s="3"/>
      <c r="AAQ16" s="3"/>
      <c r="AAR16" s="3"/>
      <c r="AAS16" s="3"/>
      <c r="AAT16" s="3"/>
      <c r="AAU16" s="3"/>
      <c r="AAV16" s="3"/>
      <c r="AAW16" s="3"/>
      <c r="AAX16" s="3"/>
      <c r="AAY16" s="3"/>
      <c r="AAZ16" s="3"/>
      <c r="ABA16" s="3"/>
      <c r="ABB16" s="3"/>
      <c r="ABC16" s="3"/>
      <c r="ABD16" s="3"/>
      <c r="ABE16" s="3"/>
      <c r="ABF16" s="3"/>
      <c r="ABG16" s="3"/>
      <c r="ABH16" s="3"/>
      <c r="ABI16" s="3"/>
      <c r="ABJ16" s="3"/>
      <c r="ABK16" s="3"/>
      <c r="ABL16" s="3"/>
      <c r="ABM16" s="3"/>
      <c r="ABN16" s="3"/>
      <c r="ABO16" s="3"/>
      <c r="ABP16" s="3"/>
      <c r="ABQ16" s="3"/>
      <c r="ABR16" s="3"/>
      <c r="ABS16" s="3"/>
      <c r="ABT16" s="3"/>
      <c r="ABU16" s="3"/>
      <c r="ABV16" s="3"/>
      <c r="ABW16" s="3"/>
      <c r="ABX16" s="3"/>
      <c r="ABY16" s="3"/>
      <c r="ABZ16" s="3"/>
      <c r="ACA16" s="3"/>
      <c r="ACB16" s="3"/>
      <c r="ACC16" s="3"/>
      <c r="ACD16" s="3"/>
      <c r="ACE16" s="3"/>
      <c r="ACF16" s="3"/>
      <c r="ACG16" s="3"/>
      <c r="ACH16" s="3"/>
      <c r="ACI16" s="3"/>
      <c r="ACJ16" s="3"/>
      <c r="ACK16" s="3"/>
      <c r="ACL16" s="3"/>
      <c r="ACM16" s="3"/>
      <c r="ACN16" s="3"/>
      <c r="ACO16" s="3"/>
      <c r="ACP16" s="3"/>
      <c r="ACQ16" s="3"/>
      <c r="ACR16" s="3"/>
      <c r="ACS16" s="3"/>
      <c r="ACT16" s="3"/>
      <c r="ACU16" s="3"/>
      <c r="ACV16" s="3"/>
      <c r="ACW16" s="3"/>
      <c r="ACX16" s="3"/>
      <c r="ACY16" s="3"/>
      <c r="ACZ16" s="3"/>
      <c r="ADA16" s="3"/>
      <c r="ADB16" s="3"/>
      <c r="ADC16" s="3"/>
      <c r="ADD16" s="3"/>
      <c r="ADE16" s="3"/>
      <c r="ADF16" s="3"/>
      <c r="ADG16" s="3"/>
      <c r="ADH16" s="3"/>
      <c r="ADI16" s="3"/>
      <c r="ADJ16" s="3"/>
      <c r="ADK16" s="3"/>
      <c r="ADL16" s="3"/>
      <c r="ADM16" s="3"/>
      <c r="ADN16" s="3"/>
      <c r="ADO16" s="3"/>
      <c r="ADP16" s="3"/>
      <c r="ADQ16" s="3"/>
      <c r="ADR16" s="3"/>
      <c r="ADS16" s="3"/>
      <c r="ADT16" s="3"/>
      <c r="ADU16" s="3"/>
      <c r="ADV16" s="3"/>
      <c r="ADW16" s="3"/>
      <c r="ADX16" s="3"/>
      <c r="ADY16" s="3"/>
      <c r="ADZ16" s="3"/>
      <c r="AEA16" s="3"/>
      <c r="AEB16" s="3"/>
      <c r="AEC16" s="3"/>
      <c r="AED16" s="3"/>
      <c r="AEE16" s="3"/>
      <c r="AEF16" s="3"/>
      <c r="AEG16" s="3"/>
      <c r="AEH16" s="3"/>
      <c r="AEI16" s="3"/>
      <c r="AEJ16" s="3"/>
      <c r="AEK16" s="3"/>
      <c r="AEL16" s="3"/>
      <c r="AEM16" s="3"/>
      <c r="AEN16" s="3"/>
      <c r="AEO16" s="3"/>
      <c r="AEP16" s="3"/>
      <c r="AEQ16" s="3"/>
      <c r="AER16" s="3"/>
      <c r="AES16" s="3"/>
      <c r="AET16" s="3"/>
      <c r="AEU16" s="3"/>
      <c r="AEV16" s="3"/>
      <c r="AEW16" s="3"/>
      <c r="AEX16" s="3"/>
      <c r="AEY16" s="3"/>
      <c r="AEZ16" s="3"/>
      <c r="AFA16" s="3"/>
      <c r="AFB16" s="3"/>
      <c r="AFC16" s="3"/>
      <c r="AFD16" s="3"/>
      <c r="AFE16" s="3"/>
      <c r="AFF16" s="3"/>
      <c r="AFG16" s="3"/>
      <c r="AFH16" s="3"/>
      <c r="AFI16" s="3"/>
      <c r="AFJ16" s="3"/>
      <c r="AFK16" s="3"/>
      <c r="AFL16" s="3"/>
      <c r="AFM16" s="3"/>
      <c r="AFN16" s="3"/>
      <c r="AFO16" s="3"/>
      <c r="AFP16" s="3"/>
      <c r="AFQ16" s="3"/>
      <c r="AFR16" s="3"/>
      <c r="AFS16" s="3"/>
      <c r="AFT16" s="3"/>
      <c r="AFU16" s="3"/>
      <c r="AFV16" s="3"/>
      <c r="AFW16" s="3"/>
      <c r="AFX16" s="3"/>
      <c r="AFY16" s="3"/>
      <c r="AFZ16" s="3"/>
      <c r="AGA16" s="3"/>
      <c r="AGB16" s="3"/>
      <c r="AGC16" s="3"/>
      <c r="AGD16" s="3"/>
      <c r="AGE16" s="3"/>
      <c r="AGF16" s="3"/>
      <c r="AGG16" s="3"/>
      <c r="AGH16" s="3"/>
      <c r="AGI16" s="3"/>
      <c r="AGJ16" s="3"/>
      <c r="AGK16" s="3"/>
      <c r="AGL16" s="3"/>
      <c r="AGM16" s="3"/>
      <c r="AGN16" s="3"/>
      <c r="AGO16" s="3"/>
      <c r="AGP16" s="3"/>
      <c r="AGQ16" s="3"/>
      <c r="AGR16" s="3"/>
      <c r="AGS16" s="3"/>
      <c r="AGT16" s="3"/>
      <c r="AGU16" s="3"/>
      <c r="AGV16" s="3"/>
      <c r="AGW16" s="3"/>
      <c r="AGX16" s="3"/>
      <c r="AGY16" s="3"/>
      <c r="AGZ16" s="3"/>
      <c r="AHA16" s="3"/>
      <c r="AHB16" s="3"/>
      <c r="AHC16" s="1"/>
      <c r="AHD16" s="1"/>
      <c r="AHE16" s="1"/>
      <c r="AHF16" s="1"/>
      <c r="AHG16" s="1"/>
    </row>
    <row r="17" s="2" customFormat="1" ht="24" customHeight="1" spans="1:891">
      <c r="A17" s="340">
        <v>13</v>
      </c>
      <c r="B17" s="277"/>
      <c r="C17" s="517" t="s">
        <v>124</v>
      </c>
      <c r="D17" s="350"/>
      <c r="E17" s="351"/>
      <c r="F17" s="81">
        <v>2</v>
      </c>
      <c r="G17" s="352" t="s">
        <v>401</v>
      </c>
      <c r="H17" s="353" t="s">
        <v>402</v>
      </c>
      <c r="I17" s="366" t="s">
        <v>128</v>
      </c>
      <c r="J17" s="366" t="s">
        <v>128</v>
      </c>
      <c r="K17" s="366" t="s">
        <v>128</v>
      </c>
      <c r="L17" s="366" t="s">
        <v>128</v>
      </c>
      <c r="M17" s="366" t="s">
        <v>128</v>
      </c>
      <c r="N17" s="369" t="s">
        <v>403</v>
      </c>
      <c r="O17" s="374" t="s">
        <v>404</v>
      </c>
      <c r="P17" s="373" t="str">
        <f>CONCATENATE(RemovePunctuation(H17),"_CA","_","i4K","_",C17,"_",AE17,"_",PROPER(R17),IF(S17="",PROPER(R17),PROPER(S17)),PROPER(T17),PROPER(U17),PROPER(V17),IF(V17&lt;&gt;"","SUB",""),PROPER(W17),IF(W17&lt;&gt;"","SUB",""),"_","Ed","_","M1",".mpg")</f>
        <v>ChinaS01E05_CA_i4K_0325_43_ZhoZhoZhoSUB_Ed_M1.mpg</v>
      </c>
      <c r="Q17" s="373" t="str">
        <f>CONCATENATE(RemovePunctuation(H17),"_CA","_","i5K","_",C17,"_",AD17,"_",PROPER(R17),IF(S17="",PROPER(R17),PROPER(S17)),PROPER(T17),PROPER(U17),PROPER(V17),IF(V17&lt;&gt;"","SUB",""),PROPER(W17),IF(W17&lt;&gt;"","SUB",""),"_","Ed","_","M4",".mpg")</f>
        <v>ChinaS01E05_CA_i5K_0325_169_ZhoZhoZhoSUB_Ed_M4.mpg</v>
      </c>
      <c r="R17" s="388" t="s">
        <v>136</v>
      </c>
      <c r="S17" s="388"/>
      <c r="T17" s="390"/>
      <c r="U17" s="390"/>
      <c r="V17" s="388" t="s">
        <v>136</v>
      </c>
      <c r="W17" s="388"/>
      <c r="X17" s="340" t="s">
        <v>135</v>
      </c>
      <c r="Y17" s="340" t="s">
        <v>135</v>
      </c>
      <c r="Z17" s="120">
        <f t="shared" si="0"/>
        <v>50</v>
      </c>
      <c r="AA17" s="303" t="str">
        <f t="shared" si="1"/>
        <v>00:50:00</v>
      </c>
      <c r="AB17" s="120">
        <f t="shared" si="2"/>
        <v>3000</v>
      </c>
      <c r="AC17" s="406">
        <v>0.0347337962962963</v>
      </c>
      <c r="AD17" s="407">
        <v>169</v>
      </c>
      <c r="AE17" s="407">
        <v>43</v>
      </c>
      <c r="AF17" s="340" t="s">
        <v>138</v>
      </c>
      <c r="AG17" s="3"/>
      <c r="AH17" s="74"/>
      <c r="AI17" s="76"/>
      <c r="AJ17" s="74"/>
      <c r="AK17" s="74"/>
      <c r="AL17" s="3"/>
      <c r="AM17" s="5"/>
      <c r="AN17" s="5"/>
      <c r="AO17" s="5"/>
      <c r="AP17" s="1"/>
      <c r="AQ17" s="1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  <c r="AAA17" s="3"/>
      <c r="AAB17" s="3"/>
      <c r="AAC17" s="3"/>
      <c r="AAD17" s="3"/>
      <c r="AAE17" s="3"/>
      <c r="AAF17" s="3"/>
      <c r="AAG17" s="3"/>
      <c r="AAH17" s="3"/>
      <c r="AAI17" s="3"/>
      <c r="AAJ17" s="3"/>
      <c r="AAK17" s="3"/>
      <c r="AAL17" s="3"/>
      <c r="AAM17" s="3"/>
      <c r="AAN17" s="3"/>
      <c r="AAO17" s="3"/>
      <c r="AAP17" s="3"/>
      <c r="AAQ17" s="3"/>
      <c r="AAR17" s="3"/>
      <c r="AAS17" s="3"/>
      <c r="AAT17" s="3"/>
      <c r="AAU17" s="3"/>
      <c r="AAV17" s="3"/>
      <c r="AAW17" s="3"/>
      <c r="AAX17" s="3"/>
      <c r="AAY17" s="3"/>
      <c r="AAZ17" s="3"/>
      <c r="ABA17" s="3"/>
      <c r="ABB17" s="3"/>
      <c r="ABC17" s="3"/>
      <c r="ABD17" s="3"/>
      <c r="ABE17" s="3"/>
      <c r="ABF17" s="3"/>
      <c r="ABG17" s="3"/>
      <c r="ABH17" s="3"/>
      <c r="ABI17" s="3"/>
      <c r="ABJ17" s="3"/>
      <c r="ABK17" s="3"/>
      <c r="ABL17" s="3"/>
      <c r="ABM17" s="3"/>
      <c r="ABN17" s="3"/>
      <c r="ABO17" s="3"/>
      <c r="ABP17" s="3"/>
      <c r="ABQ17" s="3"/>
      <c r="ABR17" s="3"/>
      <c r="ABS17" s="3"/>
      <c r="ABT17" s="3"/>
      <c r="ABU17" s="3"/>
      <c r="ABV17" s="3"/>
      <c r="ABW17" s="3"/>
      <c r="ABX17" s="3"/>
      <c r="ABY17" s="3"/>
      <c r="ABZ17" s="3"/>
      <c r="ACA17" s="3"/>
      <c r="ACB17" s="3"/>
      <c r="ACC17" s="3"/>
      <c r="ACD17" s="3"/>
      <c r="ACE17" s="3"/>
      <c r="ACF17" s="3"/>
      <c r="ACG17" s="3"/>
      <c r="ACH17" s="3"/>
      <c r="ACI17" s="3"/>
      <c r="ACJ17" s="3"/>
      <c r="ACK17" s="3"/>
      <c r="ACL17" s="3"/>
      <c r="ACM17" s="3"/>
      <c r="ACN17" s="3"/>
      <c r="ACO17" s="3"/>
      <c r="ACP17" s="3"/>
      <c r="ACQ17" s="3"/>
      <c r="ACR17" s="3"/>
      <c r="ACS17" s="3"/>
      <c r="ACT17" s="3"/>
      <c r="ACU17" s="3"/>
      <c r="ACV17" s="3"/>
      <c r="ACW17" s="3"/>
      <c r="ACX17" s="3"/>
      <c r="ACY17" s="3"/>
      <c r="ACZ17" s="3"/>
      <c r="ADA17" s="3"/>
      <c r="ADB17" s="3"/>
      <c r="ADC17" s="3"/>
      <c r="ADD17" s="3"/>
      <c r="ADE17" s="3"/>
      <c r="ADF17" s="3"/>
      <c r="ADG17" s="3"/>
      <c r="ADH17" s="3"/>
      <c r="ADI17" s="3"/>
      <c r="ADJ17" s="3"/>
      <c r="ADK17" s="3"/>
      <c r="ADL17" s="3"/>
      <c r="ADM17" s="3"/>
      <c r="ADN17" s="3"/>
      <c r="ADO17" s="3"/>
      <c r="ADP17" s="3"/>
      <c r="ADQ17" s="3"/>
      <c r="ADR17" s="3"/>
      <c r="ADS17" s="3"/>
      <c r="ADT17" s="3"/>
      <c r="ADU17" s="3"/>
      <c r="ADV17" s="3"/>
      <c r="ADW17" s="3"/>
      <c r="ADX17" s="3"/>
      <c r="ADY17" s="3"/>
      <c r="ADZ17" s="3"/>
      <c r="AEA17" s="3"/>
      <c r="AEB17" s="3"/>
      <c r="AEC17" s="3"/>
      <c r="AED17" s="3"/>
      <c r="AEE17" s="3"/>
      <c r="AEF17" s="3"/>
      <c r="AEG17" s="3"/>
      <c r="AEH17" s="3"/>
      <c r="AEI17" s="3"/>
      <c r="AEJ17" s="3"/>
      <c r="AEK17" s="3"/>
      <c r="AEL17" s="3"/>
      <c r="AEM17" s="3"/>
      <c r="AEN17" s="3"/>
      <c r="AEO17" s="3"/>
      <c r="AEP17" s="3"/>
      <c r="AEQ17" s="3"/>
      <c r="AER17" s="3"/>
      <c r="AES17" s="3"/>
      <c r="AET17" s="3"/>
      <c r="AEU17" s="3"/>
      <c r="AEV17" s="3"/>
      <c r="AEW17" s="3"/>
      <c r="AEX17" s="3"/>
      <c r="AEY17" s="3"/>
      <c r="AEZ17" s="3"/>
      <c r="AFA17" s="3"/>
      <c r="AFB17" s="3"/>
      <c r="AFC17" s="3"/>
      <c r="AFD17" s="3"/>
      <c r="AFE17" s="3"/>
      <c r="AFF17" s="3"/>
      <c r="AFG17" s="3"/>
      <c r="AFH17" s="3"/>
      <c r="AFI17" s="3"/>
      <c r="AFJ17" s="3"/>
      <c r="AFK17" s="3"/>
      <c r="AFL17" s="3"/>
      <c r="AFM17" s="3"/>
      <c r="AFN17" s="3"/>
      <c r="AFO17" s="3"/>
      <c r="AFP17" s="3"/>
      <c r="AFQ17" s="3"/>
      <c r="AFR17" s="3"/>
      <c r="AFS17" s="3"/>
      <c r="AFT17" s="3"/>
      <c r="AFU17" s="3"/>
      <c r="AFV17" s="3"/>
      <c r="AFW17" s="3"/>
      <c r="AFX17" s="3"/>
      <c r="AFY17" s="3"/>
      <c r="AFZ17" s="3"/>
      <c r="AGA17" s="3"/>
      <c r="AGB17" s="3"/>
      <c r="AGC17" s="3"/>
      <c r="AGD17" s="3"/>
      <c r="AGE17" s="3"/>
      <c r="AGF17" s="3"/>
      <c r="AGG17" s="3"/>
      <c r="AGH17" s="3"/>
      <c r="AGI17" s="3"/>
      <c r="AGJ17" s="3"/>
      <c r="AGK17" s="3"/>
      <c r="AGL17" s="3"/>
      <c r="AGM17" s="3"/>
      <c r="AGN17" s="3"/>
      <c r="AGO17" s="3"/>
      <c r="AGP17" s="3"/>
      <c r="AGQ17" s="3"/>
      <c r="AGR17" s="3"/>
      <c r="AGS17" s="3"/>
      <c r="AGT17" s="3"/>
      <c r="AGU17" s="3"/>
      <c r="AGV17" s="3"/>
      <c r="AGW17" s="3"/>
      <c r="AGX17" s="3"/>
      <c r="AGY17" s="3"/>
      <c r="AGZ17" s="3"/>
      <c r="AHA17" s="3"/>
      <c r="AHB17" s="3"/>
      <c r="AHC17" s="1"/>
      <c r="AHD17" s="1"/>
      <c r="AHE17" s="1"/>
      <c r="AHF17" s="1"/>
      <c r="AHG17" s="1"/>
    </row>
    <row r="18" s="2" customFormat="1" ht="24" customHeight="1" spans="1:891">
      <c r="A18" s="340">
        <v>14</v>
      </c>
      <c r="B18" s="277"/>
      <c r="C18" s="517" t="s">
        <v>124</v>
      </c>
      <c r="D18" s="350"/>
      <c r="E18" s="351"/>
      <c r="F18" s="81">
        <v>3</v>
      </c>
      <c r="G18" s="354" t="s">
        <v>405</v>
      </c>
      <c r="H18" s="355" t="s">
        <v>406</v>
      </c>
      <c r="I18" s="366" t="s">
        <v>128</v>
      </c>
      <c r="J18" s="366" t="s">
        <v>128</v>
      </c>
      <c r="K18" s="366" t="s">
        <v>128</v>
      </c>
      <c r="L18" s="366" t="s">
        <v>128</v>
      </c>
      <c r="M18" s="366" t="s">
        <v>128</v>
      </c>
      <c r="N18" s="369" t="s">
        <v>407</v>
      </c>
      <c r="O18" s="374" t="s">
        <v>408</v>
      </c>
      <c r="P18" s="373" t="str">
        <f>CONCATENATE(RemovePunctuation(H18),"_CA","_","i4K","_",C18,"_",AE18,"_",PROPER(R18),IF(S18="",PROPER(R18),PROPER(S18)),PROPER(T18),PROPER(U18),PROPER(V18),IF(V18&lt;&gt;"","SUB",""),PROPER(W18),IF(W18&lt;&gt;"","SUB",""),"_","Ed","_","M1",".mpg")</f>
        <v>ChinaS01E04_CA_i4K_0325_43_ZhoZhoZhoSUB_Ed_M1.mpg</v>
      </c>
      <c r="Q18" s="373" t="str">
        <f>CONCATENATE(RemovePunctuation(H18),"_CA","_","i5K","_",C18,"_",AD18,"_",PROPER(R18),IF(S18="",PROPER(R18),PROPER(S18)),PROPER(T18),PROPER(U18),PROPER(V18),IF(V18&lt;&gt;"","SUB",""),PROPER(W18),IF(W18&lt;&gt;"","SUB",""),"_","Ed","_","M4",".mpg")</f>
        <v>ChinaS01E04_CA_i5K_0325_169_ZhoZhoZhoSUB_Ed_M4.mpg</v>
      </c>
      <c r="R18" s="388" t="s">
        <v>136</v>
      </c>
      <c r="S18" s="388"/>
      <c r="T18" s="390"/>
      <c r="U18" s="390"/>
      <c r="V18" s="388" t="s">
        <v>136</v>
      </c>
      <c r="W18" s="388"/>
      <c r="X18" s="340" t="s">
        <v>135</v>
      </c>
      <c r="Y18" s="340" t="s">
        <v>135</v>
      </c>
      <c r="Z18" s="120">
        <f t="shared" si="0"/>
        <v>50</v>
      </c>
      <c r="AA18" s="303" t="str">
        <f t="shared" si="1"/>
        <v>00:50:00</v>
      </c>
      <c r="AB18" s="120">
        <f t="shared" si="2"/>
        <v>3000</v>
      </c>
      <c r="AC18" s="406">
        <v>0.034849537037037</v>
      </c>
      <c r="AD18" s="407">
        <v>169</v>
      </c>
      <c r="AE18" s="407">
        <v>43</v>
      </c>
      <c r="AF18" s="340" t="s">
        <v>138</v>
      </c>
      <c r="AG18" s="3"/>
      <c r="AH18" s="74"/>
      <c r="AI18" s="76"/>
      <c r="AJ18" s="74"/>
      <c r="AK18" s="74"/>
      <c r="AL18" s="3"/>
      <c r="AM18" s="5"/>
      <c r="AN18" s="5"/>
      <c r="AO18" s="5"/>
      <c r="AP18" s="1"/>
      <c r="AQ18" s="1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  <c r="AAN18" s="3"/>
      <c r="AAO18" s="3"/>
      <c r="AAP18" s="3"/>
      <c r="AAQ18" s="3"/>
      <c r="AAR18" s="3"/>
      <c r="AAS18" s="3"/>
      <c r="AAT18" s="3"/>
      <c r="AAU18" s="3"/>
      <c r="AAV18" s="3"/>
      <c r="AAW18" s="3"/>
      <c r="AAX18" s="3"/>
      <c r="AAY18" s="3"/>
      <c r="AAZ18" s="3"/>
      <c r="ABA18" s="3"/>
      <c r="ABB18" s="3"/>
      <c r="ABC18" s="3"/>
      <c r="ABD18" s="3"/>
      <c r="ABE18" s="3"/>
      <c r="ABF18" s="3"/>
      <c r="ABG18" s="3"/>
      <c r="ABH18" s="3"/>
      <c r="ABI18" s="3"/>
      <c r="ABJ18" s="3"/>
      <c r="ABK18" s="3"/>
      <c r="ABL18" s="3"/>
      <c r="ABM18" s="3"/>
      <c r="ABN18" s="3"/>
      <c r="ABO18" s="3"/>
      <c r="ABP18" s="3"/>
      <c r="ABQ18" s="3"/>
      <c r="ABR18" s="3"/>
      <c r="ABS18" s="3"/>
      <c r="ABT18" s="3"/>
      <c r="ABU18" s="3"/>
      <c r="ABV18" s="3"/>
      <c r="ABW18" s="3"/>
      <c r="ABX18" s="3"/>
      <c r="ABY18" s="3"/>
      <c r="ABZ18" s="3"/>
      <c r="ACA18" s="3"/>
      <c r="ACB18" s="3"/>
      <c r="ACC18" s="3"/>
      <c r="ACD18" s="3"/>
      <c r="ACE18" s="3"/>
      <c r="ACF18" s="3"/>
      <c r="ACG18" s="3"/>
      <c r="ACH18" s="3"/>
      <c r="ACI18" s="3"/>
      <c r="ACJ18" s="3"/>
      <c r="ACK18" s="3"/>
      <c r="ACL18" s="3"/>
      <c r="ACM18" s="3"/>
      <c r="ACN18" s="3"/>
      <c r="ACO18" s="3"/>
      <c r="ACP18" s="3"/>
      <c r="ACQ18" s="3"/>
      <c r="ACR18" s="3"/>
      <c r="ACS18" s="3"/>
      <c r="ACT18" s="3"/>
      <c r="ACU18" s="3"/>
      <c r="ACV18" s="3"/>
      <c r="ACW18" s="3"/>
      <c r="ACX18" s="3"/>
      <c r="ACY18" s="3"/>
      <c r="ACZ18" s="3"/>
      <c r="ADA18" s="3"/>
      <c r="ADB18" s="3"/>
      <c r="ADC18" s="3"/>
      <c r="ADD18" s="3"/>
      <c r="ADE18" s="3"/>
      <c r="ADF18" s="3"/>
      <c r="ADG18" s="3"/>
      <c r="ADH18" s="3"/>
      <c r="ADI18" s="3"/>
      <c r="ADJ18" s="3"/>
      <c r="ADK18" s="3"/>
      <c r="ADL18" s="3"/>
      <c r="ADM18" s="3"/>
      <c r="ADN18" s="3"/>
      <c r="ADO18" s="3"/>
      <c r="ADP18" s="3"/>
      <c r="ADQ18" s="3"/>
      <c r="ADR18" s="3"/>
      <c r="ADS18" s="3"/>
      <c r="ADT18" s="3"/>
      <c r="ADU18" s="3"/>
      <c r="ADV18" s="3"/>
      <c r="ADW18" s="3"/>
      <c r="ADX18" s="3"/>
      <c r="ADY18" s="3"/>
      <c r="ADZ18" s="3"/>
      <c r="AEA18" s="3"/>
      <c r="AEB18" s="3"/>
      <c r="AEC18" s="3"/>
      <c r="AED18" s="3"/>
      <c r="AEE18" s="3"/>
      <c r="AEF18" s="3"/>
      <c r="AEG18" s="3"/>
      <c r="AEH18" s="3"/>
      <c r="AEI18" s="3"/>
      <c r="AEJ18" s="3"/>
      <c r="AEK18" s="3"/>
      <c r="AEL18" s="3"/>
      <c r="AEM18" s="3"/>
      <c r="AEN18" s="3"/>
      <c r="AEO18" s="3"/>
      <c r="AEP18" s="3"/>
      <c r="AEQ18" s="3"/>
      <c r="AER18" s="3"/>
      <c r="AES18" s="3"/>
      <c r="AET18" s="3"/>
      <c r="AEU18" s="3"/>
      <c r="AEV18" s="3"/>
      <c r="AEW18" s="3"/>
      <c r="AEX18" s="3"/>
      <c r="AEY18" s="3"/>
      <c r="AEZ18" s="3"/>
      <c r="AFA18" s="3"/>
      <c r="AFB18" s="3"/>
      <c r="AFC18" s="3"/>
      <c r="AFD18" s="3"/>
      <c r="AFE18" s="3"/>
      <c r="AFF18" s="3"/>
      <c r="AFG18" s="3"/>
      <c r="AFH18" s="3"/>
      <c r="AFI18" s="3"/>
      <c r="AFJ18" s="3"/>
      <c r="AFK18" s="3"/>
      <c r="AFL18" s="3"/>
      <c r="AFM18" s="3"/>
      <c r="AFN18" s="3"/>
      <c r="AFO18" s="3"/>
      <c r="AFP18" s="3"/>
      <c r="AFQ18" s="3"/>
      <c r="AFR18" s="3"/>
      <c r="AFS18" s="3"/>
      <c r="AFT18" s="3"/>
      <c r="AFU18" s="3"/>
      <c r="AFV18" s="3"/>
      <c r="AFW18" s="3"/>
      <c r="AFX18" s="3"/>
      <c r="AFY18" s="3"/>
      <c r="AFZ18" s="3"/>
      <c r="AGA18" s="3"/>
      <c r="AGB18" s="3"/>
      <c r="AGC18" s="3"/>
      <c r="AGD18" s="3"/>
      <c r="AGE18" s="3"/>
      <c r="AGF18" s="3"/>
      <c r="AGG18" s="3"/>
      <c r="AGH18" s="3"/>
      <c r="AGI18" s="3"/>
      <c r="AGJ18" s="3"/>
      <c r="AGK18" s="3"/>
      <c r="AGL18" s="3"/>
      <c r="AGM18" s="3"/>
      <c r="AGN18" s="3"/>
      <c r="AGO18" s="3"/>
      <c r="AGP18" s="3"/>
      <c r="AGQ18" s="3"/>
      <c r="AGR18" s="3"/>
      <c r="AGS18" s="3"/>
      <c r="AGT18" s="3"/>
      <c r="AGU18" s="3"/>
      <c r="AGV18" s="3"/>
      <c r="AGW18" s="3"/>
      <c r="AGX18" s="3"/>
      <c r="AGY18" s="3"/>
      <c r="AGZ18" s="3"/>
      <c r="AHA18" s="3"/>
      <c r="AHB18" s="3"/>
      <c r="AHC18" s="1"/>
      <c r="AHD18" s="1"/>
      <c r="AHE18" s="1"/>
      <c r="AHF18" s="1"/>
      <c r="AHG18" s="1"/>
    </row>
    <row r="19" ht="24" customHeight="1" spans="1:886">
      <c r="A19" s="340">
        <v>15</v>
      </c>
      <c r="B19" s="277"/>
      <c r="C19" s="517" t="s">
        <v>124</v>
      </c>
      <c r="D19" s="350"/>
      <c r="E19" s="351"/>
      <c r="F19" s="81">
        <v>4</v>
      </c>
      <c r="G19" s="356" t="s">
        <v>409</v>
      </c>
      <c r="H19" s="357" t="s">
        <v>410</v>
      </c>
      <c r="I19" s="366" t="s">
        <v>128</v>
      </c>
      <c r="J19" s="366" t="s">
        <v>128</v>
      </c>
      <c r="K19" s="366" t="s">
        <v>128</v>
      </c>
      <c r="L19" s="366" t="s">
        <v>128</v>
      </c>
      <c r="M19" s="366" t="s">
        <v>128</v>
      </c>
      <c r="N19" s="369" t="s">
        <v>411</v>
      </c>
      <c r="O19" s="374" t="s">
        <v>412</v>
      </c>
      <c r="P19" s="373" t="str">
        <f>CONCATENATE(RemovePunctuation(H19),"_CA","_","i4K","_",C19,"_",AE19,"_",PROPER(R19),IF(S19="",PROPER(R19),PROPER(S19)),PROPER(T19),PROPER(U19),PROPER(V19),IF(V19&lt;&gt;"","SUB",""),PROPER(W19),IF(W19&lt;&gt;"","SUB",""),"_","Ed","_","M1",".mpg")</f>
        <v>ChinabeyondTastesYunnanPart2_CA_i4K_0325_43_ZhoZhoZhoSUB_Ed_M1.mpg</v>
      </c>
      <c r="Q19" s="373" t="str">
        <f>CONCATENATE(RemovePunctuation(H19),"_CA","_","i5K","_",C19,"_",AD19,"_",PROPER(R19),IF(S19="",PROPER(R19),PROPER(S19)),PROPER(T19),PROPER(U19),PROPER(V19),IF(V19&lt;&gt;"","SUB",""),PROPER(W19),IF(W19&lt;&gt;"","SUB",""),"_","Ed","_","M4",".mpg")</f>
        <v>ChinabeyondTastesYunnanPart2_CA_i5K_0325_169_ZhoZhoZhoSUB_Ed_M4.mpg</v>
      </c>
      <c r="R19" s="388" t="s">
        <v>136</v>
      </c>
      <c r="S19" s="388"/>
      <c r="T19" s="390"/>
      <c r="U19" s="390"/>
      <c r="V19" s="388" t="s">
        <v>136</v>
      </c>
      <c r="W19" s="388"/>
      <c r="X19" s="340" t="s">
        <v>135</v>
      </c>
      <c r="Y19" s="340" t="s">
        <v>135</v>
      </c>
      <c r="Z19" s="120">
        <f t="shared" si="0"/>
        <v>23</v>
      </c>
      <c r="AA19" s="303" t="str">
        <f t="shared" si="1"/>
        <v>00:23:00</v>
      </c>
      <c r="AB19" s="120">
        <f t="shared" si="2"/>
        <v>1380</v>
      </c>
      <c r="AC19" s="406">
        <v>0.0158796296296296</v>
      </c>
      <c r="AD19" s="407">
        <v>169</v>
      </c>
      <c r="AE19" s="407">
        <v>43</v>
      </c>
      <c r="AF19" s="340" t="s">
        <v>138</v>
      </c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</row>
    <row r="20" ht="24" customHeight="1" spans="1:886">
      <c r="A20" s="340">
        <v>16</v>
      </c>
      <c r="B20" s="277"/>
      <c r="C20" s="517" t="s">
        <v>124</v>
      </c>
      <c r="D20" s="350"/>
      <c r="E20" s="351"/>
      <c r="F20" s="81">
        <v>5</v>
      </c>
      <c r="G20" s="356" t="s">
        <v>413</v>
      </c>
      <c r="H20" s="357" t="s">
        <v>414</v>
      </c>
      <c r="I20" s="366" t="s">
        <v>128</v>
      </c>
      <c r="J20" s="366" t="s">
        <v>128</v>
      </c>
      <c r="K20" s="366"/>
      <c r="L20" s="366" t="s">
        <v>128</v>
      </c>
      <c r="M20" s="366" t="s">
        <v>128</v>
      </c>
      <c r="N20" s="369" t="s">
        <v>415</v>
      </c>
      <c r="O20" s="374"/>
      <c r="P20" s="373" t="str">
        <f>CONCATENATE(RemovePunctuation(H20),"_CA","_","i4K","_",C20,"_",AE20,"_",PROPER(R20),IF(S20="",PROPER(R20),PROPER(S20)),PROPER(T20),PROPER(U20),PROPER(V20),IF(V20&lt;&gt;"","SUB",""),PROPER(W20),IF(W20&lt;&gt;"","SUB",""),"_","Ed","_","M1",".mpg")</f>
        <v>ChinabeyondTastesYunnanPart1_CA_i4K_0325_43_ZhoZhoZhoSUB_Ed_M1.mpg</v>
      </c>
      <c r="Q20" s="373" t="str">
        <f>CONCATENATE(RemovePunctuation(H20),"_CA","_","i5K","_",C20,"_",AD20,"_",PROPER(R20),IF(S20="",PROPER(R20),PROPER(S20)),PROPER(T20),PROPER(U20),PROPER(V20),IF(V20&lt;&gt;"","SUB",""),PROPER(W20),IF(W20&lt;&gt;"","SUB",""),"_","Ed","_","M4",".mpg")</f>
        <v>ChinabeyondTastesYunnanPart1_CA_i5K_0325_169_ZhoZhoZhoSUB_Ed_M4.mpg</v>
      </c>
      <c r="R20" s="388" t="s">
        <v>136</v>
      </c>
      <c r="S20" s="388"/>
      <c r="T20" s="390"/>
      <c r="U20" s="390"/>
      <c r="V20" s="388" t="s">
        <v>136</v>
      </c>
      <c r="W20" s="388"/>
      <c r="X20" s="340" t="s">
        <v>135</v>
      </c>
      <c r="Y20" s="340" t="s">
        <v>135</v>
      </c>
      <c r="Z20" s="120">
        <f t="shared" ref="Z20:Z29" si="3">ROUNDUP(HOUR(AA20)*60+MINUTE(AA20)+SECOND(AA20)/60,0)</f>
        <v>26</v>
      </c>
      <c r="AA20" s="303" t="str">
        <f t="shared" ref="AA20:AA38" si="4">TEXT((HOUR(AC20)*60+MINUTE(AC20)+IF(SECOND(AC20)&lt;=29,0,1))*60/86400,"hh:mm:ss")</f>
        <v>00:26:00</v>
      </c>
      <c r="AB20" s="120">
        <f t="shared" ref="AB20:AB44" si="5">Z20*60</f>
        <v>1560</v>
      </c>
      <c r="AC20" s="406">
        <v>0.0180092592592593</v>
      </c>
      <c r="AD20" s="407">
        <v>169</v>
      </c>
      <c r="AE20" s="407">
        <v>43</v>
      </c>
      <c r="AF20" s="340" t="s">
        <v>138</v>
      </c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</row>
    <row r="21" ht="24" customHeight="1" spans="1:886">
      <c r="A21" s="340">
        <v>17</v>
      </c>
      <c r="B21" s="277"/>
      <c r="C21" s="517" t="s">
        <v>124</v>
      </c>
      <c r="D21" s="350"/>
      <c r="E21" s="351"/>
      <c r="F21" s="81">
        <v>6</v>
      </c>
      <c r="G21" s="358" t="s">
        <v>416</v>
      </c>
      <c r="H21" s="359" t="s">
        <v>417</v>
      </c>
      <c r="I21" s="366" t="s">
        <v>128</v>
      </c>
      <c r="J21" s="366" t="s">
        <v>128</v>
      </c>
      <c r="K21" s="366"/>
      <c r="L21" s="366" t="s">
        <v>128</v>
      </c>
      <c r="M21" s="366" t="s">
        <v>128</v>
      </c>
      <c r="N21" s="369" t="s">
        <v>418</v>
      </c>
      <c r="O21" s="374"/>
      <c r="P21" s="373" t="str">
        <f>CONCATENATE(RemovePunctuation(H21),"_CA","_","i4K","_",C21,"_",AE21,"_",PROPER(R21),IF(S21="",PROPER(R21),PROPER(S21)),PROPER(T21),PROPER(U21),PROPER(V21),IF(V21&lt;&gt;"","SUB",""),PROPER(W21),IF(W21&lt;&gt;"","SUB",""),"_","Ed","_","M1",".mpg")</f>
        <v>NewThreeGorges7Dream_CA_i4K_0325_43_ZhoZhoZhoSUB_Ed_M1.mpg</v>
      </c>
      <c r="Q21" s="373" t="str">
        <f>CONCATENATE(RemovePunctuation(H21),"_CA","_","i5K","_",C21,"_",AD21,"_",PROPER(R21),IF(S21="",PROPER(R21),PROPER(S21)),PROPER(T21),PROPER(U21),PROPER(V21),IF(V21&lt;&gt;"","SUB",""),PROPER(W21),IF(W21&lt;&gt;"","SUB",""),"_","Ed","_","M4",".mpg")</f>
        <v>NewThreeGorges7Dream_CA_i5K_0325_169_ZhoZhoZhoSUB_Ed_M4.mpg</v>
      </c>
      <c r="R21" s="388" t="s">
        <v>136</v>
      </c>
      <c r="S21" s="388"/>
      <c r="T21" s="390"/>
      <c r="U21" s="390"/>
      <c r="V21" s="388" t="s">
        <v>136</v>
      </c>
      <c r="W21" s="388"/>
      <c r="X21" s="340" t="s">
        <v>135</v>
      </c>
      <c r="Y21" s="340" t="s">
        <v>135</v>
      </c>
      <c r="Z21" s="120">
        <f t="shared" si="3"/>
        <v>30</v>
      </c>
      <c r="AA21" s="303" t="str">
        <f t="shared" si="4"/>
        <v>00:30:00</v>
      </c>
      <c r="AB21" s="120">
        <f t="shared" si="5"/>
        <v>1800</v>
      </c>
      <c r="AC21" s="406">
        <v>0.0208333333333333</v>
      </c>
      <c r="AD21" s="407">
        <v>169</v>
      </c>
      <c r="AE21" s="407">
        <v>43</v>
      </c>
      <c r="AF21" s="340" t="s">
        <v>138</v>
      </c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</row>
    <row r="22" ht="24" customHeight="1" spans="1:886">
      <c r="A22" s="340">
        <v>18</v>
      </c>
      <c r="B22" s="277"/>
      <c r="C22" s="517" t="s">
        <v>124</v>
      </c>
      <c r="D22" s="350"/>
      <c r="E22" s="351"/>
      <c r="F22" s="81">
        <v>7</v>
      </c>
      <c r="G22" s="358" t="s">
        <v>419</v>
      </c>
      <c r="H22" s="359" t="s">
        <v>420</v>
      </c>
      <c r="I22" s="366" t="s">
        <v>128</v>
      </c>
      <c r="J22" s="366"/>
      <c r="K22" s="366"/>
      <c r="L22" s="366" t="s">
        <v>128</v>
      </c>
      <c r="M22" s="366" t="s">
        <v>128</v>
      </c>
      <c r="N22" s="369" t="s">
        <v>421</v>
      </c>
      <c r="O22" s="374"/>
      <c r="P22" s="373" t="str">
        <f>CONCATENATE(RemovePunctuation(H22),"_CA","_","i4K","_",C22,"_",AE22,"_",PROPER(R22),IF(S22="",PROPER(R22),PROPER(S22)),PROPER(T22),PROPER(U22),PROPER(V22),IF(V22&lt;&gt;"","SUB",""),PROPER(W22),IF(W22&lt;&gt;"","SUB",""),"_","Ed","_","M1",".mpg")</f>
        <v>NewThreeGorges6City_CA_i4K_0325_43_ZhoZhoZhoSUB_Ed_M1.mpg</v>
      </c>
      <c r="Q22" s="373" t="str">
        <f>CONCATENATE(RemovePunctuation(H22),"_CA","_","i5K","_",C22,"_",AD22,"_",PROPER(R22),IF(S22="",PROPER(R22),PROPER(S22)),PROPER(T22),PROPER(U22),PROPER(V22),IF(V22&lt;&gt;"","SUB",""),PROPER(W22),IF(W22&lt;&gt;"","SUB",""),"_","Ed","_","M4",".mpg")</f>
        <v>NewThreeGorges6City_CA_i5K_0325_169_ZhoZhoZhoSUB_Ed_M4.mpg</v>
      </c>
      <c r="R22" s="388" t="s">
        <v>136</v>
      </c>
      <c r="S22" s="391"/>
      <c r="T22" s="390"/>
      <c r="U22" s="390"/>
      <c r="V22" s="388" t="s">
        <v>136</v>
      </c>
      <c r="W22" s="388"/>
      <c r="X22" s="340" t="s">
        <v>135</v>
      </c>
      <c r="Y22" s="340" t="s">
        <v>135</v>
      </c>
      <c r="Z22" s="120">
        <f t="shared" si="3"/>
        <v>30</v>
      </c>
      <c r="AA22" s="303" t="str">
        <f t="shared" si="4"/>
        <v>00:30:00</v>
      </c>
      <c r="AB22" s="120">
        <f t="shared" si="5"/>
        <v>1800</v>
      </c>
      <c r="AC22" s="406">
        <v>0.0208333333333333</v>
      </c>
      <c r="AD22" s="407">
        <v>169</v>
      </c>
      <c r="AE22" s="407">
        <v>43</v>
      </c>
      <c r="AF22" s="340" t="s">
        <v>138</v>
      </c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</row>
    <row r="23" ht="24" customHeight="1" spans="1:886">
      <c r="A23" s="340">
        <v>19</v>
      </c>
      <c r="B23" s="277"/>
      <c r="C23" s="517" t="s">
        <v>124</v>
      </c>
      <c r="D23" s="350"/>
      <c r="E23" s="351"/>
      <c r="F23" s="81">
        <v>8</v>
      </c>
      <c r="G23" s="358" t="s">
        <v>422</v>
      </c>
      <c r="H23" s="359" t="s">
        <v>423</v>
      </c>
      <c r="I23" s="366" t="s">
        <v>128</v>
      </c>
      <c r="J23" s="366" t="s">
        <v>128</v>
      </c>
      <c r="K23" s="366"/>
      <c r="L23" s="366" t="s">
        <v>128</v>
      </c>
      <c r="M23" s="366" t="s">
        <v>128</v>
      </c>
      <c r="N23" s="369" t="s">
        <v>424</v>
      </c>
      <c r="O23" s="374"/>
      <c r="P23" s="373" t="str">
        <f>CONCATENATE(RemovePunctuation(H23),"_CA","_","i4K","_",C23,"_",AE23,"_",PROPER(R23),IF(S23="",PROPER(R23),PROPER(S23)),PROPER(T23),PROPER(U23),PROPER(V23),IF(V23&lt;&gt;"","SUB",""),PROPER(W23),IF(W23&lt;&gt;"","SUB",""),"_","Ed","_","M1",".mpg")</f>
        <v>Wedding4WeddingontheClouds_CA_i4K_0325_43_ZhoZhoZhoSUB_Ed_M1.mpg</v>
      </c>
      <c r="Q23" s="373" t="str">
        <f>CONCATENATE(RemovePunctuation(H23),"_CA","_","i5K","_",C23,"_",AD23,"_",PROPER(R23),IF(S23="",PROPER(R23),PROPER(S23)),PROPER(T23),PROPER(U23),PROPER(V23),IF(V23&lt;&gt;"","SUB",""),PROPER(W23),IF(W23&lt;&gt;"","SUB",""),"_","Ed","_","M4",".mpg")</f>
        <v>Wedding4WeddingontheClouds_CA_i5K_0325_169_ZhoZhoZhoSUB_Ed_M4.mpg</v>
      </c>
      <c r="R23" s="388" t="s">
        <v>136</v>
      </c>
      <c r="S23" s="391"/>
      <c r="T23" s="390"/>
      <c r="U23" s="390"/>
      <c r="V23" s="388" t="s">
        <v>136</v>
      </c>
      <c r="W23" s="388"/>
      <c r="X23" s="340" t="s">
        <v>135</v>
      </c>
      <c r="Y23" s="340" t="s">
        <v>135</v>
      </c>
      <c r="Z23" s="120">
        <f t="shared" si="3"/>
        <v>25</v>
      </c>
      <c r="AA23" s="303" t="str">
        <f t="shared" si="4"/>
        <v>00:25:00</v>
      </c>
      <c r="AB23" s="120">
        <f t="shared" si="5"/>
        <v>1500</v>
      </c>
      <c r="AC23" s="406">
        <v>0.0173611111111111</v>
      </c>
      <c r="AD23" s="407">
        <v>169</v>
      </c>
      <c r="AE23" s="407">
        <v>43</v>
      </c>
      <c r="AF23" s="340" t="s">
        <v>138</v>
      </c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</row>
    <row r="24" ht="24" customHeight="1" spans="1:886">
      <c r="A24" s="340">
        <v>20</v>
      </c>
      <c r="B24" s="277"/>
      <c r="C24" s="517" t="s">
        <v>124</v>
      </c>
      <c r="D24" s="350"/>
      <c r="E24" s="351"/>
      <c r="F24" s="81">
        <v>9</v>
      </c>
      <c r="G24" s="358" t="s">
        <v>425</v>
      </c>
      <c r="H24" s="359" t="s">
        <v>426</v>
      </c>
      <c r="I24" s="366" t="s">
        <v>128</v>
      </c>
      <c r="J24" s="366"/>
      <c r="K24" s="366"/>
      <c r="L24" s="366" t="s">
        <v>128</v>
      </c>
      <c r="M24" s="366" t="s">
        <v>128</v>
      </c>
      <c r="N24" s="369" t="s">
        <v>427</v>
      </c>
      <c r="O24" s="374"/>
      <c r="P24" s="373" t="str">
        <f>CONCATENATE(RemovePunctuation(H24),"_CA","_","i4K","_",C24,"_",AE24,"_",PROPER(R24),IF(S24="",PROPER(R24),PROPER(S24)),PROPER(T24),PROPER(U24),PROPER(V24),IF(V24&lt;&gt;"","SUB",""),PROPER(W24),IF(W24&lt;&gt;"","SUB",""),"_","Ed","_","M1",".mpg")</f>
        <v>Wedding3LoveinWusuli_CA_i4K_0325_43_ZhoZhoZhoSUB_Ed_M1.mpg</v>
      </c>
      <c r="Q24" s="373" t="str">
        <f>CONCATENATE(RemovePunctuation(H24),"_CA","_","i5K","_",C24,"_",AD24,"_",PROPER(R24),IF(S24="",PROPER(R24),PROPER(S24)),PROPER(T24),PROPER(U24),PROPER(V24),IF(V24&lt;&gt;"","SUB",""),PROPER(W24),IF(W24&lt;&gt;"","SUB",""),"_","Ed","_","M4",".mpg")</f>
        <v>Wedding3LoveinWusuli_CA_i5K_0325_169_ZhoZhoZhoSUB_Ed_M4.mpg</v>
      </c>
      <c r="R24" s="388" t="s">
        <v>136</v>
      </c>
      <c r="S24" s="391"/>
      <c r="T24" s="390"/>
      <c r="U24" s="390"/>
      <c r="V24" s="388" t="s">
        <v>136</v>
      </c>
      <c r="W24" s="388"/>
      <c r="X24" s="340" t="s">
        <v>135</v>
      </c>
      <c r="Y24" s="340" t="s">
        <v>135</v>
      </c>
      <c r="Z24" s="120">
        <f t="shared" si="3"/>
        <v>25</v>
      </c>
      <c r="AA24" s="303" t="str">
        <f t="shared" si="4"/>
        <v>00:25:00</v>
      </c>
      <c r="AB24" s="120">
        <f t="shared" si="5"/>
        <v>1500</v>
      </c>
      <c r="AC24" s="406">
        <v>0.0173611111111111</v>
      </c>
      <c r="AD24" s="407">
        <v>169</v>
      </c>
      <c r="AE24" s="407">
        <v>43</v>
      </c>
      <c r="AF24" s="340" t="s">
        <v>138</v>
      </c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</row>
    <row r="25" ht="24" customHeight="1" spans="1:886">
      <c r="A25" s="340">
        <v>21</v>
      </c>
      <c r="B25" s="277"/>
      <c r="C25" s="517" t="s">
        <v>124</v>
      </c>
      <c r="D25" s="350"/>
      <c r="E25" s="351"/>
      <c r="F25" s="81">
        <v>10</v>
      </c>
      <c r="G25" s="358" t="s">
        <v>428</v>
      </c>
      <c r="H25" s="359" t="s">
        <v>429</v>
      </c>
      <c r="I25" s="366" t="s">
        <v>128</v>
      </c>
      <c r="J25" s="366"/>
      <c r="K25" s="366"/>
      <c r="L25" s="366" t="s">
        <v>128</v>
      </c>
      <c r="M25" s="366"/>
      <c r="N25" s="369" t="s">
        <v>430</v>
      </c>
      <c r="O25" s="374"/>
      <c r="P25" s="375"/>
      <c r="Q25" s="373" t="str">
        <f>CONCATENATE(RemovePunctuation(H25),"_CA","_","i5K","_",C25,"_",AD25,"_",PROPER(R25),IF(S25="",PROPER(R25),PROPER(S25)),PROPER(T25),PROPER(U25),PROPER(V25),IF(V25&lt;&gt;"","SUB",""),PROPER(W25),IF(W25&lt;&gt;"","SUB",""),"_","Ed","_","M4",".mpg")</f>
        <v>BaJin2TorrentFlame_CA_i5K_0325_169_ZhoZhoZhoSUB_Ed_M4.mpg</v>
      </c>
      <c r="R25" s="388" t="s">
        <v>136</v>
      </c>
      <c r="S25" s="391"/>
      <c r="T25" s="390"/>
      <c r="U25" s="390"/>
      <c r="V25" s="388" t="s">
        <v>136</v>
      </c>
      <c r="W25" s="388"/>
      <c r="X25" s="340" t="s">
        <v>135</v>
      </c>
      <c r="Y25" s="340" t="s">
        <v>135</v>
      </c>
      <c r="Z25" s="120">
        <f t="shared" si="3"/>
        <v>23</v>
      </c>
      <c r="AA25" s="303" t="str">
        <f t="shared" si="4"/>
        <v>00:23:00</v>
      </c>
      <c r="AB25" s="120">
        <f t="shared" si="5"/>
        <v>1380</v>
      </c>
      <c r="AC25" s="406">
        <v>0.0162962962962963</v>
      </c>
      <c r="AD25" s="407">
        <v>169</v>
      </c>
      <c r="AE25" s="407">
        <v>43</v>
      </c>
      <c r="AF25" s="340" t="s">
        <v>138</v>
      </c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</row>
    <row r="26" ht="24" customHeight="1" spans="1:886">
      <c r="A26" s="340">
        <v>22</v>
      </c>
      <c r="B26" s="277"/>
      <c r="C26" s="517" t="s">
        <v>124</v>
      </c>
      <c r="D26" s="350"/>
      <c r="E26" s="351"/>
      <c r="F26" s="81">
        <v>11</v>
      </c>
      <c r="G26" s="358" t="s">
        <v>431</v>
      </c>
      <c r="H26" s="359" t="s">
        <v>432</v>
      </c>
      <c r="I26" s="366" t="s">
        <v>128</v>
      </c>
      <c r="J26" s="366" t="s">
        <v>128</v>
      </c>
      <c r="K26" s="366"/>
      <c r="L26" s="366" t="s">
        <v>128</v>
      </c>
      <c r="M26" s="366" t="s">
        <v>128</v>
      </c>
      <c r="N26" s="369" t="s">
        <v>433</v>
      </c>
      <c r="O26" s="374"/>
      <c r="P26" s="373" t="str">
        <f>CONCATENATE(RemovePunctuation(H26),"_CA","_","i4K","_",C26,"_",AE26,"_",PROPER(R26),IF(S26="",PROPER(R26),PROPER(S26)),PROPER(T26),PROPER(U26),PROPER(V26),IF(V26&lt;&gt;"","SUB",""),PROPER(W26),IF(W26&lt;&gt;"","SUB",""),"_","Ed","_","M1",".mpg")</f>
        <v>BaJin1LongSongoftheCentury_CA_i4K_0325_43_ZhoZhoZhoSUB_Ed_M1.mpg</v>
      </c>
      <c r="Q26" s="373" t="str">
        <f>CONCATENATE(RemovePunctuation(H26),"_CA","_","i5K","_",C26,"_",AD26,"_",PROPER(R26),IF(S26="",PROPER(R26),PROPER(S26)),PROPER(T26),PROPER(U26),PROPER(V26),IF(V26&lt;&gt;"","SUB",""),PROPER(W26),IF(W26&lt;&gt;"","SUB",""),"_","Ed","_","M4",".mpg")</f>
        <v>BaJin1LongSongoftheCentury_CA_i5K_0325_169_ZhoZhoZhoSUB_Ed_M4.mpg</v>
      </c>
      <c r="R26" s="388" t="s">
        <v>136</v>
      </c>
      <c r="S26" s="391"/>
      <c r="T26" s="390"/>
      <c r="U26" s="390"/>
      <c r="V26" s="388" t="s">
        <v>136</v>
      </c>
      <c r="W26" s="388"/>
      <c r="X26" s="340" t="s">
        <v>135</v>
      </c>
      <c r="Y26" s="340" t="s">
        <v>135</v>
      </c>
      <c r="Z26" s="120">
        <f t="shared" si="3"/>
        <v>24</v>
      </c>
      <c r="AA26" s="303" t="str">
        <f t="shared" si="4"/>
        <v>00:24:00</v>
      </c>
      <c r="AB26" s="120">
        <f t="shared" si="5"/>
        <v>1440</v>
      </c>
      <c r="AC26" s="406">
        <v>0.0163541666666667</v>
      </c>
      <c r="AD26" s="407">
        <v>169</v>
      </c>
      <c r="AE26" s="407">
        <v>43</v>
      </c>
      <c r="AF26" s="340" t="s">
        <v>138</v>
      </c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</row>
    <row r="27" ht="24" customHeight="1" spans="1:886">
      <c r="A27" s="340">
        <v>23</v>
      </c>
      <c r="B27" s="277"/>
      <c r="C27" s="517" t="s">
        <v>124</v>
      </c>
      <c r="D27" s="350"/>
      <c r="E27" s="351"/>
      <c r="F27" s="81">
        <v>12</v>
      </c>
      <c r="G27" s="358" t="s">
        <v>434</v>
      </c>
      <c r="H27" s="359" t="s">
        <v>435</v>
      </c>
      <c r="I27" s="366" t="s">
        <v>128</v>
      </c>
      <c r="J27" s="366"/>
      <c r="K27" s="366"/>
      <c r="L27" s="366" t="s">
        <v>128</v>
      </c>
      <c r="M27" s="366" t="s">
        <v>128</v>
      </c>
      <c r="N27" s="369" t="s">
        <v>436</v>
      </c>
      <c r="O27" s="374"/>
      <c r="P27" s="373" t="str">
        <f>CONCATENATE(RemovePunctuation(H27),"_CA","_","i4K","_",C27,"_",AE27,"_",PROPER(R27),IF(S27="",PROPER(R27),PROPER(S27)),PROPER(T27),PROPER(U27),PROPER(V27),IF(V27&lt;&gt;"","SUB",""),PROPER(W27),IF(W27&lt;&gt;"","SUB",""),"_","Ed","_","M1",".mpg")</f>
        <v>DunhuangMeetsShaoxing2CalligraphyDoubleSages_CA_i4K_0325_43_ZhoZhoZhoSUB_Ed_M1.mpg</v>
      </c>
      <c r="Q27" s="373" t="str">
        <f>CONCATENATE(RemovePunctuation(H27),"_CA","_","i5K","_",C27,"_",AD27,"_",PROPER(R27),IF(S27="",PROPER(R27),PROPER(S27)),PROPER(T27),PROPER(U27),PROPER(V27),IF(V27&lt;&gt;"","SUB",""),PROPER(W27),IF(W27&lt;&gt;"","SUB",""),"_","Ed","_","M4",".mpg")</f>
        <v>DunhuangMeetsShaoxing2CalligraphyDoubleSages_CA_i5K_0325_169_ZhoZhoZhoSUB_Ed_M4.mpg</v>
      </c>
      <c r="R27" s="388" t="s">
        <v>136</v>
      </c>
      <c r="S27" s="391"/>
      <c r="T27" s="390"/>
      <c r="U27" s="390"/>
      <c r="V27" s="388" t="s">
        <v>136</v>
      </c>
      <c r="W27" s="392"/>
      <c r="X27" s="340" t="s">
        <v>135</v>
      </c>
      <c r="Y27" s="340" t="s">
        <v>135</v>
      </c>
      <c r="Z27" s="120">
        <f t="shared" si="3"/>
        <v>24</v>
      </c>
      <c r="AA27" s="303" t="str">
        <f t="shared" si="4"/>
        <v>00:24:00</v>
      </c>
      <c r="AB27" s="120">
        <f t="shared" si="5"/>
        <v>1440</v>
      </c>
      <c r="AC27" s="406">
        <v>0.016875</v>
      </c>
      <c r="AD27" s="407">
        <v>169</v>
      </c>
      <c r="AE27" s="407">
        <v>43</v>
      </c>
      <c r="AF27" s="340" t="s">
        <v>138</v>
      </c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  <c r="AAN27" s="3"/>
      <c r="AAO27" s="3"/>
      <c r="AAP27" s="3"/>
      <c r="AAQ27" s="3"/>
      <c r="AAR27" s="3"/>
      <c r="AAS27" s="3"/>
      <c r="AAT27" s="3"/>
      <c r="AAU27" s="3"/>
      <c r="AAV27" s="3"/>
      <c r="AAW27" s="3"/>
      <c r="AAX27" s="3"/>
      <c r="AAY27" s="3"/>
      <c r="AAZ27" s="3"/>
      <c r="ABA27" s="3"/>
      <c r="ABB27" s="3"/>
      <c r="ABC27" s="3"/>
      <c r="ABD27" s="3"/>
      <c r="ABE27" s="3"/>
      <c r="ABF27" s="3"/>
      <c r="ABG27" s="3"/>
      <c r="ABH27" s="3"/>
      <c r="ABI27" s="3"/>
      <c r="ABJ27" s="3"/>
      <c r="ABK27" s="3"/>
      <c r="ABL27" s="3"/>
      <c r="ABM27" s="3"/>
      <c r="ABN27" s="3"/>
      <c r="ABO27" s="3"/>
      <c r="ABP27" s="3"/>
      <c r="ABQ27" s="3"/>
      <c r="ABR27" s="3"/>
      <c r="ABS27" s="3"/>
      <c r="ABT27" s="3"/>
      <c r="ABU27" s="3"/>
      <c r="ABV27" s="3"/>
      <c r="ABW27" s="3"/>
      <c r="ABX27" s="3"/>
      <c r="ABY27" s="3"/>
      <c r="ABZ27" s="3"/>
      <c r="ACA27" s="3"/>
      <c r="ACB27" s="3"/>
      <c r="ACC27" s="3"/>
      <c r="ACD27" s="3"/>
      <c r="ACE27" s="3"/>
      <c r="ACF27" s="3"/>
      <c r="ACG27" s="3"/>
      <c r="ACH27" s="3"/>
      <c r="ACI27" s="3"/>
      <c r="ACJ27" s="3"/>
      <c r="ACK27" s="3"/>
      <c r="ACL27" s="3"/>
      <c r="ACM27" s="3"/>
      <c r="ACN27" s="3"/>
      <c r="ACO27" s="3"/>
      <c r="ACP27" s="3"/>
      <c r="ACQ27" s="3"/>
      <c r="ACR27" s="3"/>
      <c r="ACS27" s="3"/>
      <c r="ACT27" s="3"/>
      <c r="ACU27" s="3"/>
      <c r="ACV27" s="3"/>
      <c r="ACW27" s="3"/>
      <c r="ACX27" s="3"/>
      <c r="ACY27" s="3"/>
      <c r="ACZ27" s="3"/>
      <c r="ADA27" s="3"/>
      <c r="ADB27" s="3"/>
      <c r="ADC27" s="3"/>
      <c r="ADD27" s="3"/>
      <c r="ADE27" s="3"/>
      <c r="ADF27" s="3"/>
      <c r="ADG27" s="3"/>
      <c r="ADH27" s="3"/>
      <c r="ADI27" s="3"/>
      <c r="ADJ27" s="3"/>
      <c r="ADK27" s="3"/>
      <c r="ADL27" s="3"/>
      <c r="ADM27" s="3"/>
      <c r="ADN27" s="3"/>
      <c r="ADO27" s="3"/>
      <c r="ADP27" s="3"/>
      <c r="ADQ27" s="3"/>
      <c r="ADR27" s="3"/>
      <c r="ADS27" s="3"/>
      <c r="ADT27" s="3"/>
      <c r="ADU27" s="3"/>
      <c r="ADV27" s="3"/>
      <c r="ADW27" s="3"/>
      <c r="ADX27" s="3"/>
      <c r="ADY27" s="3"/>
      <c r="ADZ27" s="3"/>
      <c r="AEA27" s="3"/>
      <c r="AEB27" s="3"/>
      <c r="AEC27" s="3"/>
      <c r="AED27" s="3"/>
      <c r="AEE27" s="3"/>
      <c r="AEF27" s="3"/>
      <c r="AEG27" s="3"/>
      <c r="AEH27" s="3"/>
      <c r="AEI27" s="3"/>
      <c r="AEJ27" s="3"/>
      <c r="AEK27" s="3"/>
      <c r="AEL27" s="3"/>
      <c r="AEM27" s="3"/>
      <c r="AEN27" s="3"/>
      <c r="AEO27" s="3"/>
      <c r="AEP27" s="3"/>
      <c r="AEQ27" s="3"/>
      <c r="AER27" s="3"/>
      <c r="AES27" s="3"/>
      <c r="AET27" s="3"/>
      <c r="AEU27" s="3"/>
      <c r="AEV27" s="3"/>
      <c r="AEW27" s="3"/>
      <c r="AEX27" s="3"/>
      <c r="AEY27" s="3"/>
      <c r="AEZ27" s="3"/>
      <c r="AFA27" s="3"/>
      <c r="AFB27" s="3"/>
      <c r="AFC27" s="3"/>
      <c r="AFD27" s="3"/>
      <c r="AFE27" s="3"/>
      <c r="AFF27" s="3"/>
      <c r="AFG27" s="3"/>
      <c r="AFH27" s="3"/>
      <c r="AFI27" s="3"/>
      <c r="AFJ27" s="3"/>
      <c r="AFK27" s="3"/>
      <c r="AFL27" s="3"/>
      <c r="AFM27" s="3"/>
      <c r="AFN27" s="3"/>
      <c r="AFO27" s="3"/>
      <c r="AFP27" s="3"/>
      <c r="AFQ27" s="3"/>
      <c r="AFR27" s="3"/>
      <c r="AFS27" s="3"/>
      <c r="AFT27" s="3"/>
      <c r="AFU27" s="3"/>
      <c r="AFV27" s="3"/>
      <c r="AFW27" s="3"/>
      <c r="AFX27" s="3"/>
      <c r="AFY27" s="3"/>
      <c r="AFZ27" s="3"/>
      <c r="AGA27" s="3"/>
      <c r="AGB27" s="3"/>
      <c r="AGC27" s="3"/>
      <c r="AGD27" s="3"/>
      <c r="AGE27" s="3"/>
      <c r="AGF27" s="3"/>
      <c r="AGG27" s="3"/>
      <c r="AGH27" s="3"/>
      <c r="AGI27" s="3"/>
      <c r="AGJ27" s="3"/>
      <c r="AGK27" s="3"/>
      <c r="AGL27" s="3"/>
      <c r="AGM27" s="3"/>
      <c r="AGN27" s="3"/>
      <c r="AGO27" s="3"/>
      <c r="AGP27" s="3"/>
      <c r="AGQ27" s="3"/>
      <c r="AGR27" s="3"/>
      <c r="AGS27" s="3"/>
      <c r="AGT27" s="3"/>
      <c r="AGU27" s="3"/>
      <c r="AGV27" s="3"/>
      <c r="AGW27" s="3"/>
      <c r="AGX27" s="3"/>
      <c r="AGY27" s="3"/>
      <c r="AGZ27" s="3"/>
      <c r="AHA27" s="3"/>
      <c r="AHB27" s="3"/>
    </row>
    <row r="28" ht="24" customHeight="1" spans="1:886">
      <c r="A28" s="340">
        <v>24</v>
      </c>
      <c r="B28" s="277"/>
      <c r="C28" s="517" t="s">
        <v>124</v>
      </c>
      <c r="D28" s="350"/>
      <c r="E28" s="351"/>
      <c r="F28" s="81">
        <v>13</v>
      </c>
      <c r="G28" s="354" t="s">
        <v>437</v>
      </c>
      <c r="H28" s="355" t="s">
        <v>438</v>
      </c>
      <c r="I28" s="366" t="s">
        <v>128</v>
      </c>
      <c r="J28" s="366"/>
      <c r="K28" s="366" t="s">
        <v>128</v>
      </c>
      <c r="L28" s="366" t="s">
        <v>128</v>
      </c>
      <c r="M28" s="366" t="s">
        <v>128</v>
      </c>
      <c r="N28" s="369" t="s">
        <v>439</v>
      </c>
      <c r="O28" s="374" t="s">
        <v>440</v>
      </c>
      <c r="P28" s="373" t="str">
        <f>CONCATENATE(RemovePunctuation(H28),"_CA","_","i4K","_",C28,"_",AE28,"_",PROPER(R28),IF(S28="",PROPER(R28),PROPER(S28)),PROPER(T28),PROPER(U28),PROPER(V28),IF(V28&lt;&gt;"","SUB",""),PROPER(W28),IF(W28&lt;&gt;"","SUB",""),"_","Ed","_","M1",".mpg")</f>
        <v>MountTai3TheCountryIsProsperousAndthePeopleAreSafe_CA_i4K_0325_43_ZhoZhoZhoSUB_Ed_M1.mpg</v>
      </c>
      <c r="Q28" s="373" t="str">
        <f>CONCATENATE(RemovePunctuation(H28),"_CA","_","i5K","_",C28,"_",AD28,"_",PROPER(R28),IF(S28="",PROPER(R28),PROPER(S28)),PROPER(T28),PROPER(U28),PROPER(V28),IF(V28&lt;&gt;"","SUB",""),PROPER(W28),IF(W28&lt;&gt;"","SUB",""),"_","Ed","_","M4",".mpg")</f>
        <v>MountTai3TheCountryIsProsperousAndthePeopleAreSafe_CA_i5K_0325_169_ZhoZhoZhoSUB_Ed_M4.mpg</v>
      </c>
      <c r="R28" s="388" t="s">
        <v>136</v>
      </c>
      <c r="S28" s="391"/>
      <c r="T28" s="390"/>
      <c r="U28" s="390"/>
      <c r="V28" s="388" t="s">
        <v>136</v>
      </c>
      <c r="W28" s="390"/>
      <c r="X28" s="340" t="s">
        <v>135</v>
      </c>
      <c r="Y28" s="340" t="s">
        <v>135</v>
      </c>
      <c r="Z28" s="120">
        <f t="shared" si="3"/>
        <v>33</v>
      </c>
      <c r="AA28" s="303" t="str">
        <f t="shared" si="4"/>
        <v>00:33:00</v>
      </c>
      <c r="AB28" s="120">
        <f t="shared" si="5"/>
        <v>1980</v>
      </c>
      <c r="AC28" s="406">
        <v>0.0229398148148148</v>
      </c>
      <c r="AD28" s="407">
        <v>169</v>
      </c>
      <c r="AE28" s="407">
        <v>43</v>
      </c>
      <c r="AF28" s="340" t="s">
        <v>138</v>
      </c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  <c r="AAN28" s="3"/>
      <c r="AAO28" s="3"/>
      <c r="AAP28" s="3"/>
      <c r="AAQ28" s="3"/>
      <c r="AAR28" s="3"/>
      <c r="AAS28" s="3"/>
      <c r="AAT28" s="3"/>
      <c r="AAU28" s="3"/>
      <c r="AAV28" s="3"/>
      <c r="AAW28" s="3"/>
      <c r="AAX28" s="3"/>
      <c r="AAY28" s="3"/>
      <c r="AAZ28" s="3"/>
      <c r="ABA28" s="3"/>
      <c r="ABB28" s="3"/>
      <c r="ABC28" s="3"/>
      <c r="ABD28" s="3"/>
      <c r="ABE28" s="3"/>
      <c r="ABF28" s="3"/>
      <c r="ABG28" s="3"/>
      <c r="ABH28" s="3"/>
      <c r="ABI28" s="3"/>
      <c r="ABJ28" s="3"/>
      <c r="ABK28" s="3"/>
      <c r="ABL28" s="3"/>
      <c r="ABM28" s="3"/>
      <c r="ABN28" s="3"/>
      <c r="ABO28" s="3"/>
      <c r="ABP28" s="3"/>
      <c r="ABQ28" s="3"/>
      <c r="ABR28" s="3"/>
      <c r="ABS28" s="3"/>
      <c r="ABT28" s="3"/>
      <c r="ABU28" s="3"/>
      <c r="ABV28" s="3"/>
      <c r="ABW28" s="3"/>
      <c r="ABX28" s="3"/>
      <c r="ABY28" s="3"/>
      <c r="ABZ28" s="3"/>
      <c r="ACA28" s="3"/>
      <c r="ACB28" s="3"/>
      <c r="ACC28" s="3"/>
      <c r="ACD28" s="3"/>
      <c r="ACE28" s="3"/>
      <c r="ACF28" s="3"/>
      <c r="ACG28" s="3"/>
      <c r="ACH28" s="3"/>
      <c r="ACI28" s="3"/>
      <c r="ACJ28" s="3"/>
      <c r="ACK28" s="3"/>
      <c r="ACL28" s="3"/>
      <c r="ACM28" s="3"/>
      <c r="ACN28" s="3"/>
      <c r="ACO28" s="3"/>
      <c r="ACP28" s="3"/>
      <c r="ACQ28" s="3"/>
      <c r="ACR28" s="3"/>
      <c r="ACS28" s="3"/>
      <c r="ACT28" s="3"/>
      <c r="ACU28" s="3"/>
      <c r="ACV28" s="3"/>
      <c r="ACW28" s="3"/>
      <c r="ACX28" s="3"/>
      <c r="ACY28" s="3"/>
      <c r="ACZ28" s="3"/>
      <c r="ADA28" s="3"/>
      <c r="ADB28" s="3"/>
      <c r="ADC28" s="3"/>
      <c r="ADD28" s="3"/>
      <c r="ADE28" s="3"/>
      <c r="ADF28" s="3"/>
      <c r="ADG28" s="3"/>
      <c r="ADH28" s="3"/>
      <c r="ADI28" s="3"/>
      <c r="ADJ28" s="3"/>
      <c r="ADK28" s="3"/>
      <c r="ADL28" s="3"/>
      <c r="ADM28" s="3"/>
      <c r="ADN28" s="3"/>
      <c r="ADO28" s="3"/>
      <c r="ADP28" s="3"/>
      <c r="ADQ28" s="3"/>
      <c r="ADR28" s="3"/>
      <c r="ADS28" s="3"/>
      <c r="ADT28" s="3"/>
      <c r="ADU28" s="3"/>
      <c r="ADV28" s="3"/>
      <c r="ADW28" s="3"/>
      <c r="ADX28" s="3"/>
      <c r="ADY28" s="3"/>
      <c r="ADZ28" s="3"/>
      <c r="AEA28" s="3"/>
      <c r="AEB28" s="3"/>
      <c r="AEC28" s="3"/>
      <c r="AED28" s="3"/>
      <c r="AEE28" s="3"/>
      <c r="AEF28" s="3"/>
      <c r="AEG28" s="3"/>
      <c r="AEH28" s="3"/>
      <c r="AEI28" s="3"/>
      <c r="AEJ28" s="3"/>
      <c r="AEK28" s="3"/>
      <c r="AEL28" s="3"/>
      <c r="AEM28" s="3"/>
      <c r="AEN28" s="3"/>
      <c r="AEO28" s="3"/>
      <c r="AEP28" s="3"/>
      <c r="AEQ28" s="3"/>
      <c r="AER28" s="3"/>
      <c r="AES28" s="3"/>
      <c r="AET28" s="3"/>
      <c r="AEU28" s="3"/>
      <c r="AEV28" s="3"/>
      <c r="AEW28" s="3"/>
      <c r="AEX28" s="3"/>
      <c r="AEY28" s="3"/>
      <c r="AEZ28" s="3"/>
      <c r="AFA28" s="3"/>
      <c r="AFB28" s="3"/>
      <c r="AFC28" s="3"/>
      <c r="AFD28" s="3"/>
      <c r="AFE28" s="3"/>
      <c r="AFF28" s="3"/>
      <c r="AFG28" s="3"/>
      <c r="AFH28" s="3"/>
      <c r="AFI28" s="3"/>
      <c r="AFJ28" s="3"/>
      <c r="AFK28" s="3"/>
      <c r="AFL28" s="3"/>
      <c r="AFM28" s="3"/>
      <c r="AFN28" s="3"/>
      <c r="AFO28" s="3"/>
      <c r="AFP28" s="3"/>
      <c r="AFQ28" s="3"/>
      <c r="AFR28" s="3"/>
      <c r="AFS28" s="3"/>
      <c r="AFT28" s="3"/>
      <c r="AFU28" s="3"/>
      <c r="AFV28" s="3"/>
      <c r="AFW28" s="3"/>
      <c r="AFX28" s="3"/>
      <c r="AFY28" s="3"/>
      <c r="AFZ28" s="3"/>
      <c r="AGA28" s="3"/>
      <c r="AGB28" s="3"/>
      <c r="AGC28" s="3"/>
      <c r="AGD28" s="3"/>
      <c r="AGE28" s="3"/>
      <c r="AGF28" s="3"/>
      <c r="AGG28" s="3"/>
      <c r="AGH28" s="3"/>
      <c r="AGI28" s="3"/>
      <c r="AGJ28" s="3"/>
      <c r="AGK28" s="3"/>
      <c r="AGL28" s="3"/>
      <c r="AGM28" s="3"/>
      <c r="AGN28" s="3"/>
      <c r="AGO28" s="3"/>
      <c r="AGP28" s="3"/>
      <c r="AGQ28" s="3"/>
      <c r="AGR28" s="3"/>
      <c r="AGS28" s="3"/>
      <c r="AGT28" s="3"/>
      <c r="AGU28" s="3"/>
      <c r="AGV28" s="3"/>
      <c r="AGW28" s="3"/>
      <c r="AGX28" s="3"/>
      <c r="AGY28" s="3"/>
      <c r="AGZ28" s="3"/>
      <c r="AHA28" s="3"/>
      <c r="AHB28" s="3"/>
    </row>
    <row r="29" ht="24" customHeight="1" spans="1:886">
      <c r="A29" s="340">
        <v>25</v>
      </c>
      <c r="B29" s="277"/>
      <c r="C29" s="517" t="s">
        <v>124</v>
      </c>
      <c r="D29" s="350"/>
      <c r="E29" s="351"/>
      <c r="F29" s="81">
        <v>14</v>
      </c>
      <c r="G29" s="354" t="s">
        <v>441</v>
      </c>
      <c r="H29" s="355" t="s">
        <v>442</v>
      </c>
      <c r="I29" s="366" t="s">
        <v>128</v>
      </c>
      <c r="J29" s="366"/>
      <c r="K29" s="366" t="s">
        <v>128</v>
      </c>
      <c r="L29" s="366" t="s">
        <v>128</v>
      </c>
      <c r="M29" s="366"/>
      <c r="N29" s="369" t="s">
        <v>443</v>
      </c>
      <c r="O29" s="374" t="s">
        <v>444</v>
      </c>
      <c r="P29" s="375"/>
      <c r="Q29" s="373" t="str">
        <f>CONCATENATE(RemovePunctuation(H29),"_CA","_","i5K","_",C29,"_",AD29,"_",PROPER(R29),IF(S29="",PROPER(R29),PROPER(S29)),PROPER(T29),PROPER(U29),PROPER(V29),IF(V29&lt;&gt;"","SUB",""),PROPER(W29),IF(W29&lt;&gt;"","SUB",""),"_","Ed","_","M4",".mpg")</f>
        <v>ChineseJuncao3IntotheSpring_CA_i5K_0325_169_ZhoZhoZhoSUB_Ed_M4.mpg</v>
      </c>
      <c r="R29" s="388" t="s">
        <v>136</v>
      </c>
      <c r="S29" s="391"/>
      <c r="T29" s="390"/>
      <c r="U29" s="390"/>
      <c r="V29" s="388" t="s">
        <v>136</v>
      </c>
      <c r="W29" s="393"/>
      <c r="X29" s="340" t="s">
        <v>135</v>
      </c>
      <c r="Y29" s="340" t="s">
        <v>135</v>
      </c>
      <c r="Z29" s="120">
        <f t="shared" si="3"/>
        <v>28</v>
      </c>
      <c r="AA29" s="303" t="str">
        <f t="shared" si="4"/>
        <v>00:28:00</v>
      </c>
      <c r="AB29" s="120">
        <f t="shared" si="5"/>
        <v>1680</v>
      </c>
      <c r="AC29" s="406">
        <v>0.0196643518518519</v>
      </c>
      <c r="AD29" s="407">
        <v>169</v>
      </c>
      <c r="AE29" s="407">
        <v>43</v>
      </c>
      <c r="AF29" s="340" t="s">
        <v>138</v>
      </c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  <c r="AAN29" s="3"/>
      <c r="AAO29" s="3"/>
      <c r="AAP29" s="3"/>
      <c r="AAQ29" s="3"/>
      <c r="AAR29" s="3"/>
      <c r="AAS29" s="3"/>
      <c r="AAT29" s="3"/>
      <c r="AAU29" s="3"/>
      <c r="AAV29" s="3"/>
      <c r="AAW29" s="3"/>
      <c r="AAX29" s="3"/>
      <c r="AAY29" s="3"/>
      <c r="AAZ29" s="3"/>
      <c r="ABA29" s="3"/>
      <c r="ABB29" s="3"/>
      <c r="ABC29" s="3"/>
      <c r="ABD29" s="3"/>
      <c r="ABE29" s="3"/>
      <c r="ABF29" s="3"/>
      <c r="ABG29" s="3"/>
      <c r="ABH29" s="3"/>
      <c r="ABI29" s="3"/>
      <c r="ABJ29" s="3"/>
      <c r="ABK29" s="3"/>
      <c r="ABL29" s="3"/>
      <c r="ABM29" s="3"/>
      <c r="ABN29" s="3"/>
      <c r="ABO29" s="3"/>
      <c r="ABP29" s="3"/>
      <c r="ABQ29" s="3"/>
      <c r="ABR29" s="3"/>
      <c r="ABS29" s="3"/>
      <c r="ABT29" s="3"/>
      <c r="ABU29" s="3"/>
      <c r="ABV29" s="3"/>
      <c r="ABW29" s="3"/>
      <c r="ABX29" s="3"/>
      <c r="ABY29" s="3"/>
      <c r="ABZ29" s="3"/>
      <c r="ACA29" s="3"/>
      <c r="ACB29" s="3"/>
      <c r="ACC29" s="3"/>
      <c r="ACD29" s="3"/>
      <c r="ACE29" s="3"/>
      <c r="ACF29" s="3"/>
      <c r="ACG29" s="3"/>
      <c r="ACH29" s="3"/>
      <c r="ACI29" s="3"/>
      <c r="ACJ29" s="3"/>
      <c r="ACK29" s="3"/>
      <c r="ACL29" s="3"/>
      <c r="ACM29" s="3"/>
      <c r="ACN29" s="3"/>
      <c r="ACO29" s="3"/>
      <c r="ACP29" s="3"/>
      <c r="ACQ29" s="3"/>
      <c r="ACR29" s="3"/>
      <c r="ACS29" s="3"/>
      <c r="ACT29" s="3"/>
      <c r="ACU29" s="3"/>
      <c r="ACV29" s="3"/>
      <c r="ACW29" s="3"/>
      <c r="ACX29" s="3"/>
      <c r="ACY29" s="3"/>
      <c r="ACZ29" s="3"/>
      <c r="ADA29" s="3"/>
      <c r="ADB29" s="3"/>
      <c r="ADC29" s="3"/>
      <c r="ADD29" s="3"/>
      <c r="ADE29" s="3"/>
      <c r="ADF29" s="3"/>
      <c r="ADG29" s="3"/>
      <c r="ADH29" s="3"/>
      <c r="ADI29" s="3"/>
      <c r="ADJ29" s="3"/>
      <c r="ADK29" s="3"/>
      <c r="ADL29" s="3"/>
      <c r="ADM29" s="3"/>
      <c r="ADN29" s="3"/>
      <c r="ADO29" s="3"/>
      <c r="ADP29" s="3"/>
      <c r="ADQ29" s="3"/>
      <c r="ADR29" s="3"/>
      <c r="ADS29" s="3"/>
      <c r="ADT29" s="3"/>
      <c r="ADU29" s="3"/>
      <c r="ADV29" s="3"/>
      <c r="ADW29" s="3"/>
      <c r="ADX29" s="3"/>
      <c r="ADY29" s="3"/>
      <c r="ADZ29" s="3"/>
      <c r="AEA29" s="3"/>
      <c r="AEB29" s="3"/>
      <c r="AEC29" s="3"/>
      <c r="AED29" s="3"/>
      <c r="AEE29" s="3"/>
      <c r="AEF29" s="3"/>
      <c r="AEG29" s="3"/>
      <c r="AEH29" s="3"/>
      <c r="AEI29" s="3"/>
      <c r="AEJ29" s="3"/>
      <c r="AEK29" s="3"/>
      <c r="AEL29" s="3"/>
      <c r="AEM29" s="3"/>
      <c r="AEN29" s="3"/>
      <c r="AEO29" s="3"/>
      <c r="AEP29" s="3"/>
      <c r="AEQ29" s="3"/>
      <c r="AER29" s="3"/>
      <c r="AES29" s="3"/>
      <c r="AET29" s="3"/>
      <c r="AEU29" s="3"/>
      <c r="AEV29" s="3"/>
      <c r="AEW29" s="3"/>
      <c r="AEX29" s="3"/>
      <c r="AEY29" s="3"/>
      <c r="AEZ29" s="3"/>
      <c r="AFA29" s="3"/>
      <c r="AFB29" s="3"/>
      <c r="AFC29" s="3"/>
      <c r="AFD29" s="3"/>
      <c r="AFE29" s="3"/>
      <c r="AFF29" s="3"/>
      <c r="AFG29" s="3"/>
      <c r="AFH29" s="3"/>
      <c r="AFI29" s="3"/>
      <c r="AFJ29" s="3"/>
      <c r="AFK29" s="3"/>
      <c r="AFL29" s="3"/>
      <c r="AFM29" s="3"/>
      <c r="AFN29" s="3"/>
      <c r="AFO29" s="3"/>
      <c r="AFP29" s="3"/>
      <c r="AFQ29" s="3"/>
      <c r="AFR29" s="3"/>
      <c r="AFS29" s="3"/>
      <c r="AFT29" s="3"/>
      <c r="AFU29" s="3"/>
      <c r="AFV29" s="3"/>
      <c r="AFW29" s="3"/>
      <c r="AFX29" s="3"/>
      <c r="AFY29" s="3"/>
      <c r="AFZ29" s="3"/>
      <c r="AGA29" s="3"/>
      <c r="AGB29" s="3"/>
      <c r="AGC29" s="3"/>
      <c r="AGD29" s="3"/>
      <c r="AGE29" s="3"/>
      <c r="AGF29" s="3"/>
      <c r="AGG29" s="3"/>
      <c r="AGH29" s="3"/>
      <c r="AGI29" s="3"/>
      <c r="AGJ29" s="3"/>
      <c r="AGK29" s="3"/>
      <c r="AGL29" s="3"/>
      <c r="AGM29" s="3"/>
      <c r="AGN29" s="3"/>
      <c r="AGO29" s="3"/>
      <c r="AGP29" s="3"/>
      <c r="AGQ29" s="3"/>
      <c r="AGR29" s="3"/>
      <c r="AGS29" s="3"/>
      <c r="AGT29" s="3"/>
      <c r="AGU29" s="3"/>
      <c r="AGV29" s="3"/>
      <c r="AGW29" s="3"/>
      <c r="AGX29" s="3"/>
      <c r="AGY29" s="3"/>
      <c r="AGZ29" s="3"/>
      <c r="AHA29" s="3"/>
      <c r="AHB29" s="3"/>
    </row>
    <row r="30" ht="24" customHeight="1" spans="1:886">
      <c r="A30" s="340">
        <v>26</v>
      </c>
      <c r="B30" s="277"/>
      <c r="C30" s="517" t="s">
        <v>124</v>
      </c>
      <c r="D30" s="350"/>
      <c r="E30" s="351"/>
      <c r="F30" s="81">
        <v>15</v>
      </c>
      <c r="G30" s="354" t="s">
        <v>445</v>
      </c>
      <c r="H30" s="355" t="s">
        <v>446</v>
      </c>
      <c r="I30" s="366" t="s">
        <v>128</v>
      </c>
      <c r="J30" s="366"/>
      <c r="K30" s="366" t="s">
        <v>128</v>
      </c>
      <c r="L30" s="366" t="s">
        <v>128</v>
      </c>
      <c r="M30" s="366" t="s">
        <v>128</v>
      </c>
      <c r="N30" s="369" t="s">
        <v>447</v>
      </c>
      <c r="O30" s="374" t="s">
        <v>448</v>
      </c>
      <c r="P30" s="373" t="str">
        <f>CONCATENATE(RemovePunctuation(H30),"_CA","_","i4K","_",C30,"_",AE30,"_",PROPER(R30),IF(S30="",PROPER(R30),PROPER(S30)),PROPER(T30),PROPER(U30),PROPER(V30),IF(V30&lt;&gt;"","SUB",""),PROPER(W30),IF(W30&lt;&gt;"","SUB",""),"_","Ed","_","M1",".mpg")</f>
        <v>FoodMarketsEp12_CA_i4K_0325_43_EngEngEngSUBZhoSUB_Ed_M1.mpg</v>
      </c>
      <c r="Q30" s="373" t="str">
        <f>CONCATENATE(RemovePunctuation(H30),"_CA","_","i5K","_",C30,"_",AD30,"_",PROPER(R30),IF(S30="",PROPER(R30),PROPER(S30)),PROPER(T30),PROPER(U30),PROPER(V30),IF(V30&lt;&gt;"","SUB",""),PROPER(W30),IF(W30&lt;&gt;"","SUB",""),"_","Ed","_","M4",".mpg")</f>
        <v>FoodMarketsEp12_CA_i5K_0325_169_EngEngEngSUBZhoSUB_Ed_M4.mpg</v>
      </c>
      <c r="R30" s="393" t="s">
        <v>137</v>
      </c>
      <c r="S30" s="393"/>
      <c r="T30" s="390"/>
      <c r="U30" s="390"/>
      <c r="V30" s="393" t="s">
        <v>137</v>
      </c>
      <c r="W30" s="388" t="s">
        <v>136</v>
      </c>
      <c r="X30" s="340" t="s">
        <v>135</v>
      </c>
      <c r="Y30" s="340" t="s">
        <v>135</v>
      </c>
      <c r="Z30" s="120">
        <f t="shared" ref="Z28:Z39" si="6">ROUNDUP(HOUR(AA30)*60+MINUTE(AA30)+SECOND(AA30)/60,0)</f>
        <v>52</v>
      </c>
      <c r="AA30" s="303" t="str">
        <f t="shared" si="4"/>
        <v>00:52:00</v>
      </c>
      <c r="AB30" s="120">
        <f t="shared" si="5"/>
        <v>3120</v>
      </c>
      <c r="AC30" s="406">
        <v>0.0358333333333333</v>
      </c>
      <c r="AD30" s="407">
        <v>169</v>
      </c>
      <c r="AE30" s="407">
        <v>43</v>
      </c>
      <c r="AF30" s="340" t="s">
        <v>138</v>
      </c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  <c r="AAN30" s="3"/>
      <c r="AAO30" s="3"/>
      <c r="AAP30" s="3"/>
      <c r="AAQ30" s="3"/>
      <c r="AAR30" s="3"/>
      <c r="AAS30" s="3"/>
      <c r="AAT30" s="3"/>
      <c r="AAU30" s="3"/>
      <c r="AAV30" s="3"/>
      <c r="AAW30" s="3"/>
      <c r="AAX30" s="3"/>
      <c r="AAY30" s="3"/>
      <c r="AAZ30" s="3"/>
      <c r="ABA30" s="3"/>
      <c r="ABB30" s="3"/>
      <c r="ABC30" s="3"/>
      <c r="ABD30" s="3"/>
      <c r="ABE30" s="3"/>
      <c r="ABF30" s="3"/>
      <c r="ABG30" s="3"/>
      <c r="ABH30" s="3"/>
      <c r="ABI30" s="3"/>
      <c r="ABJ30" s="3"/>
      <c r="ABK30" s="3"/>
      <c r="ABL30" s="3"/>
      <c r="ABM30" s="3"/>
      <c r="ABN30" s="3"/>
      <c r="ABO30" s="3"/>
      <c r="ABP30" s="3"/>
      <c r="ABQ30" s="3"/>
      <c r="ABR30" s="3"/>
      <c r="ABS30" s="3"/>
      <c r="ABT30" s="3"/>
      <c r="ABU30" s="3"/>
      <c r="ABV30" s="3"/>
      <c r="ABW30" s="3"/>
      <c r="ABX30" s="3"/>
      <c r="ABY30" s="3"/>
      <c r="ABZ30" s="3"/>
      <c r="ACA30" s="3"/>
      <c r="ACB30" s="3"/>
      <c r="ACC30" s="3"/>
      <c r="ACD30" s="3"/>
      <c r="ACE30" s="3"/>
      <c r="ACF30" s="3"/>
      <c r="ACG30" s="3"/>
      <c r="ACH30" s="3"/>
      <c r="ACI30" s="3"/>
      <c r="ACJ30" s="3"/>
      <c r="ACK30" s="3"/>
      <c r="ACL30" s="3"/>
      <c r="ACM30" s="3"/>
      <c r="ACN30" s="3"/>
      <c r="ACO30" s="3"/>
      <c r="ACP30" s="3"/>
      <c r="ACQ30" s="3"/>
      <c r="ACR30" s="3"/>
      <c r="ACS30" s="3"/>
      <c r="ACT30" s="3"/>
      <c r="ACU30" s="3"/>
      <c r="ACV30" s="3"/>
      <c r="ACW30" s="3"/>
      <c r="ACX30" s="3"/>
      <c r="ACY30" s="3"/>
      <c r="ACZ30" s="3"/>
      <c r="ADA30" s="3"/>
      <c r="ADB30" s="3"/>
      <c r="ADC30" s="3"/>
      <c r="ADD30" s="3"/>
      <c r="ADE30" s="3"/>
      <c r="ADF30" s="3"/>
      <c r="ADG30" s="3"/>
      <c r="ADH30" s="3"/>
      <c r="ADI30" s="3"/>
      <c r="ADJ30" s="3"/>
      <c r="ADK30" s="3"/>
      <c r="ADL30" s="3"/>
      <c r="ADM30" s="3"/>
      <c r="ADN30" s="3"/>
      <c r="ADO30" s="3"/>
      <c r="ADP30" s="3"/>
      <c r="ADQ30" s="3"/>
      <c r="ADR30" s="3"/>
      <c r="ADS30" s="3"/>
      <c r="ADT30" s="3"/>
      <c r="ADU30" s="3"/>
      <c r="ADV30" s="3"/>
      <c r="ADW30" s="3"/>
      <c r="ADX30" s="3"/>
      <c r="ADY30" s="3"/>
      <c r="ADZ30" s="3"/>
      <c r="AEA30" s="3"/>
      <c r="AEB30" s="3"/>
      <c r="AEC30" s="3"/>
      <c r="AED30" s="3"/>
      <c r="AEE30" s="3"/>
      <c r="AEF30" s="3"/>
      <c r="AEG30" s="3"/>
      <c r="AEH30" s="3"/>
      <c r="AEI30" s="3"/>
      <c r="AEJ30" s="3"/>
      <c r="AEK30" s="3"/>
      <c r="AEL30" s="3"/>
      <c r="AEM30" s="3"/>
      <c r="AEN30" s="3"/>
      <c r="AEO30" s="3"/>
      <c r="AEP30" s="3"/>
      <c r="AEQ30" s="3"/>
      <c r="AER30" s="3"/>
      <c r="AES30" s="3"/>
      <c r="AET30" s="3"/>
      <c r="AEU30" s="3"/>
      <c r="AEV30" s="3"/>
      <c r="AEW30" s="3"/>
      <c r="AEX30" s="3"/>
      <c r="AEY30" s="3"/>
      <c r="AEZ30" s="3"/>
      <c r="AFA30" s="3"/>
      <c r="AFB30" s="3"/>
      <c r="AFC30" s="3"/>
      <c r="AFD30" s="3"/>
      <c r="AFE30" s="3"/>
      <c r="AFF30" s="3"/>
      <c r="AFG30" s="3"/>
      <c r="AFH30" s="3"/>
      <c r="AFI30" s="3"/>
      <c r="AFJ30" s="3"/>
      <c r="AFK30" s="3"/>
      <c r="AFL30" s="3"/>
      <c r="AFM30" s="3"/>
      <c r="AFN30" s="3"/>
      <c r="AFO30" s="3"/>
      <c r="AFP30" s="3"/>
      <c r="AFQ30" s="3"/>
      <c r="AFR30" s="3"/>
      <c r="AFS30" s="3"/>
      <c r="AFT30" s="3"/>
      <c r="AFU30" s="3"/>
      <c r="AFV30" s="3"/>
      <c r="AFW30" s="3"/>
      <c r="AFX30" s="3"/>
      <c r="AFY30" s="3"/>
      <c r="AFZ30" s="3"/>
      <c r="AGA30" s="3"/>
      <c r="AGB30" s="3"/>
      <c r="AGC30" s="3"/>
      <c r="AGD30" s="3"/>
      <c r="AGE30" s="3"/>
      <c r="AGF30" s="3"/>
      <c r="AGG30" s="3"/>
      <c r="AGH30" s="3"/>
      <c r="AGI30" s="3"/>
      <c r="AGJ30" s="3"/>
      <c r="AGK30" s="3"/>
      <c r="AGL30" s="3"/>
      <c r="AGM30" s="3"/>
      <c r="AGN30" s="3"/>
      <c r="AGO30" s="3"/>
      <c r="AGP30" s="3"/>
      <c r="AGQ30" s="3"/>
      <c r="AGR30" s="3"/>
      <c r="AGS30" s="3"/>
      <c r="AGT30" s="3"/>
      <c r="AGU30" s="3"/>
      <c r="AGV30" s="3"/>
      <c r="AGW30" s="3"/>
      <c r="AGX30" s="3"/>
      <c r="AGY30" s="3"/>
      <c r="AGZ30" s="3"/>
      <c r="AHA30" s="3"/>
      <c r="AHB30" s="3"/>
    </row>
    <row r="31" ht="24" customHeight="1" spans="1:886">
      <c r="A31" s="340">
        <v>27</v>
      </c>
      <c r="B31" s="277"/>
      <c r="C31" s="517" t="s">
        <v>124</v>
      </c>
      <c r="D31" s="350"/>
      <c r="E31" s="351"/>
      <c r="F31" s="81">
        <v>16</v>
      </c>
      <c r="G31" s="354" t="s">
        <v>449</v>
      </c>
      <c r="H31" s="355" t="s">
        <v>450</v>
      </c>
      <c r="I31" s="366" t="s">
        <v>128</v>
      </c>
      <c r="J31" s="366" t="s">
        <v>128</v>
      </c>
      <c r="K31" s="366" t="s">
        <v>128</v>
      </c>
      <c r="L31" s="366" t="s">
        <v>128</v>
      </c>
      <c r="M31" s="366" t="s">
        <v>128</v>
      </c>
      <c r="N31" s="369" t="s">
        <v>451</v>
      </c>
      <c r="O31" s="374" t="s">
        <v>452</v>
      </c>
      <c r="P31" s="373" t="str">
        <f>CONCATENATE(RemovePunctuation(H31),"_CA","_","i4K","_",C31,"_",AE31,"_",PROPER(R31),IF(S31="",PROPER(R31),PROPER(S31)),PROPER(T31),PROPER(U31),PROPER(V31),IF(V31&lt;&gt;"","SUB",""),PROPER(W31),IF(W31&lt;&gt;"","SUB",""),"_","Ed","_","M1",".mpg")</f>
        <v>FoodMarketsEp11_CA_i4K_0325_43_EngEngEngSUBZhoSUB_Ed_M1.mpg</v>
      </c>
      <c r="Q31" s="373" t="str">
        <f>CONCATENATE(RemovePunctuation(H31),"_CA","_","i5K","_",C31,"_",AD31,"_",PROPER(R31),IF(S31="",PROPER(R31),PROPER(S31)),PROPER(T31),PROPER(U31),PROPER(V31),IF(V31&lt;&gt;"","SUB",""),PROPER(W31),IF(W31&lt;&gt;"","SUB",""),"_","Ed","_","M4",".mpg")</f>
        <v>FoodMarketsEp11_CA_i5K_0325_169_EngEngEngSUBZhoSUB_Ed_M4.mpg</v>
      </c>
      <c r="R31" s="393" t="s">
        <v>137</v>
      </c>
      <c r="S31" s="391"/>
      <c r="T31" s="390"/>
      <c r="U31" s="390"/>
      <c r="V31" s="393" t="s">
        <v>137</v>
      </c>
      <c r="W31" s="388" t="s">
        <v>136</v>
      </c>
      <c r="X31" s="340" t="s">
        <v>135</v>
      </c>
      <c r="Y31" s="340" t="s">
        <v>135</v>
      </c>
      <c r="Z31" s="120">
        <f t="shared" si="6"/>
        <v>51</v>
      </c>
      <c r="AA31" s="303" t="str">
        <f t="shared" si="4"/>
        <v>00:51:00</v>
      </c>
      <c r="AB31" s="120">
        <f t="shared" si="5"/>
        <v>3060</v>
      </c>
      <c r="AC31" s="406">
        <v>0.0357291666666667</v>
      </c>
      <c r="AD31" s="407">
        <v>169</v>
      </c>
      <c r="AE31" s="407">
        <v>43</v>
      </c>
      <c r="AF31" s="340" t="s">
        <v>138</v>
      </c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  <c r="AAN31" s="3"/>
      <c r="AAO31" s="3"/>
      <c r="AAP31" s="3"/>
      <c r="AAQ31" s="3"/>
      <c r="AAR31" s="3"/>
      <c r="AAS31" s="3"/>
      <c r="AAT31" s="3"/>
      <c r="AAU31" s="3"/>
      <c r="AAV31" s="3"/>
      <c r="AAW31" s="3"/>
      <c r="AAX31" s="3"/>
      <c r="AAY31" s="3"/>
      <c r="AAZ31" s="3"/>
      <c r="ABA31" s="3"/>
      <c r="ABB31" s="3"/>
      <c r="ABC31" s="3"/>
      <c r="ABD31" s="3"/>
      <c r="ABE31" s="3"/>
      <c r="ABF31" s="3"/>
      <c r="ABG31" s="3"/>
      <c r="ABH31" s="3"/>
      <c r="ABI31" s="3"/>
      <c r="ABJ31" s="3"/>
      <c r="ABK31" s="3"/>
      <c r="ABL31" s="3"/>
      <c r="ABM31" s="3"/>
      <c r="ABN31" s="3"/>
      <c r="ABO31" s="3"/>
      <c r="ABP31" s="3"/>
      <c r="ABQ31" s="3"/>
      <c r="ABR31" s="3"/>
      <c r="ABS31" s="3"/>
      <c r="ABT31" s="3"/>
      <c r="ABU31" s="3"/>
      <c r="ABV31" s="3"/>
      <c r="ABW31" s="3"/>
      <c r="ABX31" s="3"/>
      <c r="ABY31" s="3"/>
      <c r="ABZ31" s="3"/>
      <c r="ACA31" s="3"/>
      <c r="ACB31" s="3"/>
      <c r="ACC31" s="3"/>
      <c r="ACD31" s="3"/>
      <c r="ACE31" s="3"/>
      <c r="ACF31" s="3"/>
      <c r="ACG31" s="3"/>
      <c r="ACH31" s="3"/>
      <c r="ACI31" s="3"/>
      <c r="ACJ31" s="3"/>
      <c r="ACK31" s="3"/>
      <c r="ACL31" s="3"/>
      <c r="ACM31" s="3"/>
      <c r="ACN31" s="3"/>
      <c r="ACO31" s="3"/>
      <c r="ACP31" s="3"/>
      <c r="ACQ31" s="3"/>
      <c r="ACR31" s="3"/>
      <c r="ACS31" s="3"/>
      <c r="ACT31" s="3"/>
      <c r="ACU31" s="3"/>
      <c r="ACV31" s="3"/>
      <c r="ACW31" s="3"/>
      <c r="ACX31" s="3"/>
      <c r="ACY31" s="3"/>
      <c r="ACZ31" s="3"/>
      <c r="ADA31" s="3"/>
      <c r="ADB31" s="3"/>
      <c r="ADC31" s="3"/>
      <c r="ADD31" s="3"/>
      <c r="ADE31" s="3"/>
      <c r="ADF31" s="3"/>
      <c r="ADG31" s="3"/>
      <c r="ADH31" s="3"/>
      <c r="ADI31" s="3"/>
      <c r="ADJ31" s="3"/>
      <c r="ADK31" s="3"/>
      <c r="ADL31" s="3"/>
      <c r="ADM31" s="3"/>
      <c r="ADN31" s="3"/>
      <c r="ADO31" s="3"/>
      <c r="ADP31" s="3"/>
      <c r="ADQ31" s="3"/>
      <c r="ADR31" s="3"/>
      <c r="ADS31" s="3"/>
      <c r="ADT31" s="3"/>
      <c r="ADU31" s="3"/>
      <c r="ADV31" s="3"/>
      <c r="ADW31" s="3"/>
      <c r="ADX31" s="3"/>
      <c r="ADY31" s="3"/>
      <c r="ADZ31" s="3"/>
      <c r="AEA31" s="3"/>
      <c r="AEB31" s="3"/>
      <c r="AEC31" s="3"/>
      <c r="AED31" s="3"/>
      <c r="AEE31" s="3"/>
      <c r="AEF31" s="3"/>
      <c r="AEG31" s="3"/>
      <c r="AEH31" s="3"/>
      <c r="AEI31" s="3"/>
      <c r="AEJ31" s="3"/>
      <c r="AEK31" s="3"/>
      <c r="AEL31" s="3"/>
      <c r="AEM31" s="3"/>
      <c r="AEN31" s="3"/>
      <c r="AEO31" s="3"/>
      <c r="AEP31" s="3"/>
      <c r="AEQ31" s="3"/>
      <c r="AER31" s="3"/>
      <c r="AES31" s="3"/>
      <c r="AET31" s="3"/>
      <c r="AEU31" s="3"/>
      <c r="AEV31" s="3"/>
      <c r="AEW31" s="3"/>
      <c r="AEX31" s="3"/>
      <c r="AEY31" s="3"/>
      <c r="AEZ31" s="3"/>
      <c r="AFA31" s="3"/>
      <c r="AFB31" s="3"/>
      <c r="AFC31" s="3"/>
      <c r="AFD31" s="3"/>
      <c r="AFE31" s="3"/>
      <c r="AFF31" s="3"/>
      <c r="AFG31" s="3"/>
      <c r="AFH31" s="3"/>
      <c r="AFI31" s="3"/>
      <c r="AFJ31" s="3"/>
      <c r="AFK31" s="3"/>
      <c r="AFL31" s="3"/>
      <c r="AFM31" s="3"/>
      <c r="AFN31" s="3"/>
      <c r="AFO31" s="3"/>
      <c r="AFP31" s="3"/>
      <c r="AFQ31" s="3"/>
      <c r="AFR31" s="3"/>
      <c r="AFS31" s="3"/>
      <c r="AFT31" s="3"/>
      <c r="AFU31" s="3"/>
      <c r="AFV31" s="3"/>
      <c r="AFW31" s="3"/>
      <c r="AFX31" s="3"/>
      <c r="AFY31" s="3"/>
      <c r="AFZ31" s="3"/>
      <c r="AGA31" s="3"/>
      <c r="AGB31" s="3"/>
      <c r="AGC31" s="3"/>
      <c r="AGD31" s="3"/>
      <c r="AGE31" s="3"/>
      <c r="AGF31" s="3"/>
      <c r="AGG31" s="3"/>
      <c r="AGH31" s="3"/>
      <c r="AGI31" s="3"/>
      <c r="AGJ31" s="3"/>
      <c r="AGK31" s="3"/>
      <c r="AGL31" s="3"/>
      <c r="AGM31" s="3"/>
      <c r="AGN31" s="3"/>
      <c r="AGO31" s="3"/>
      <c r="AGP31" s="3"/>
      <c r="AGQ31" s="3"/>
      <c r="AGR31" s="3"/>
      <c r="AGS31" s="3"/>
      <c r="AGT31" s="3"/>
      <c r="AGU31" s="3"/>
      <c r="AGV31" s="3"/>
      <c r="AGW31" s="3"/>
      <c r="AGX31" s="3"/>
      <c r="AGY31" s="3"/>
      <c r="AGZ31" s="3"/>
      <c r="AHA31" s="3"/>
      <c r="AHB31" s="3"/>
    </row>
    <row r="32" ht="24" customHeight="1" spans="1:886">
      <c r="A32" s="340">
        <v>28</v>
      </c>
      <c r="B32" s="277"/>
      <c r="C32" s="517" t="s">
        <v>124</v>
      </c>
      <c r="D32" s="350" t="s">
        <v>453</v>
      </c>
      <c r="E32" s="350"/>
      <c r="F32" s="81">
        <v>1</v>
      </c>
      <c r="G32" s="354" t="s">
        <v>454</v>
      </c>
      <c r="H32" s="355" t="s">
        <v>455</v>
      </c>
      <c r="I32" s="366" t="s">
        <v>128</v>
      </c>
      <c r="J32" s="366"/>
      <c r="K32" s="366" t="s">
        <v>128</v>
      </c>
      <c r="L32" s="366" t="s">
        <v>128</v>
      </c>
      <c r="M32" s="366" t="s">
        <v>128</v>
      </c>
      <c r="N32" s="376" t="s">
        <v>456</v>
      </c>
      <c r="O32" s="374" t="s">
        <v>457</v>
      </c>
      <c r="P32" s="373" t="str">
        <f>CONCATENATE(RemovePunctuation(H32),"_CA","_","i4K","_",C32,"_",AE32,"_",PROPER(R32),IF(S32="",PROPER(R32),PROPER(S32)),PROPER(T32),PROPER(U32),PROPER(V32),IF(V32&lt;&gt;"","SUB",""),PROPER(W32),IF(W32&lt;&gt;"","SUB",""),"_","Ed","_","M1",".mpg")</f>
        <v>HongKongNatureStories8TheWaterfrontPart2_CA_i4K_0325_43_ZhoZhoZhoSUB_Ed_M1.mpg</v>
      </c>
      <c r="Q32" s="373" t="str">
        <f>CONCATENATE(RemovePunctuation(H32),"_CA","_","i5K","_",C32,"_",AD32,"_",PROPER(R32),IF(S32="",PROPER(R32),PROPER(S32)),PROPER(T32),PROPER(U32),PROPER(V32),IF(V32&lt;&gt;"","SUB",""),PROPER(W32),IF(W32&lt;&gt;"","SUB",""),"_","Ed","_","M4",".mpg")</f>
        <v>HongKongNatureStories8TheWaterfrontPart2_CA_i5K_0325_169_ZhoZhoZhoSUB_Ed_M4.mpg</v>
      </c>
      <c r="R32" s="388" t="s">
        <v>136</v>
      </c>
      <c r="S32" s="391"/>
      <c r="T32" s="390"/>
      <c r="U32" s="390"/>
      <c r="V32" s="388" t="s">
        <v>136</v>
      </c>
      <c r="W32" s="393"/>
      <c r="X32" s="340" t="s">
        <v>135</v>
      </c>
      <c r="Y32" s="340" t="s">
        <v>135</v>
      </c>
      <c r="Z32" s="120">
        <f t="shared" si="6"/>
        <v>27</v>
      </c>
      <c r="AA32" s="303" t="str">
        <f t="shared" si="4"/>
        <v>00:27:00</v>
      </c>
      <c r="AB32" s="120">
        <f t="shared" si="5"/>
        <v>1620</v>
      </c>
      <c r="AC32" s="406">
        <v>0.0184490740740741</v>
      </c>
      <c r="AD32" s="407">
        <v>169</v>
      </c>
      <c r="AE32" s="407">
        <v>43</v>
      </c>
      <c r="AF32" s="340" t="s">
        <v>138</v>
      </c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  <c r="AAN32" s="3"/>
      <c r="AAO32" s="3"/>
      <c r="AAP32" s="3"/>
      <c r="AAQ32" s="3"/>
      <c r="AAR32" s="3"/>
      <c r="AAS32" s="3"/>
      <c r="AAT32" s="3"/>
      <c r="AAU32" s="3"/>
      <c r="AAV32" s="3"/>
      <c r="AAW32" s="3"/>
      <c r="AAX32" s="3"/>
      <c r="AAY32" s="3"/>
      <c r="AAZ32" s="3"/>
      <c r="ABA32" s="3"/>
      <c r="ABB32" s="3"/>
      <c r="ABC32" s="3"/>
      <c r="ABD32" s="3"/>
      <c r="ABE32" s="3"/>
      <c r="ABF32" s="3"/>
      <c r="ABG32" s="3"/>
      <c r="ABH32" s="3"/>
      <c r="ABI32" s="3"/>
      <c r="ABJ32" s="3"/>
      <c r="ABK32" s="3"/>
      <c r="ABL32" s="3"/>
      <c r="ABM32" s="3"/>
      <c r="ABN32" s="3"/>
      <c r="ABO32" s="3"/>
      <c r="ABP32" s="3"/>
      <c r="ABQ32" s="3"/>
      <c r="ABR32" s="3"/>
      <c r="ABS32" s="3"/>
      <c r="ABT32" s="3"/>
      <c r="ABU32" s="3"/>
      <c r="ABV32" s="3"/>
      <c r="ABW32" s="3"/>
      <c r="ABX32" s="3"/>
      <c r="ABY32" s="3"/>
      <c r="ABZ32" s="3"/>
      <c r="ACA32" s="3"/>
      <c r="ACB32" s="3"/>
      <c r="ACC32" s="3"/>
      <c r="ACD32" s="3"/>
      <c r="ACE32" s="3"/>
      <c r="ACF32" s="3"/>
      <c r="ACG32" s="3"/>
      <c r="ACH32" s="3"/>
      <c r="ACI32" s="3"/>
      <c r="ACJ32" s="3"/>
      <c r="ACK32" s="3"/>
      <c r="ACL32" s="3"/>
      <c r="ACM32" s="3"/>
      <c r="ACN32" s="3"/>
      <c r="ACO32" s="3"/>
      <c r="ACP32" s="3"/>
      <c r="ACQ32" s="3"/>
      <c r="ACR32" s="3"/>
      <c r="ACS32" s="3"/>
      <c r="ACT32" s="3"/>
      <c r="ACU32" s="3"/>
      <c r="ACV32" s="3"/>
      <c r="ACW32" s="3"/>
      <c r="ACX32" s="3"/>
      <c r="ACY32" s="3"/>
      <c r="ACZ32" s="3"/>
      <c r="ADA32" s="3"/>
      <c r="ADB32" s="3"/>
      <c r="ADC32" s="3"/>
      <c r="ADD32" s="3"/>
      <c r="ADE32" s="3"/>
      <c r="ADF32" s="3"/>
      <c r="ADG32" s="3"/>
      <c r="ADH32" s="3"/>
      <c r="ADI32" s="3"/>
      <c r="ADJ32" s="3"/>
      <c r="ADK32" s="3"/>
      <c r="ADL32" s="3"/>
      <c r="ADM32" s="3"/>
      <c r="ADN32" s="3"/>
      <c r="ADO32" s="3"/>
      <c r="ADP32" s="3"/>
      <c r="ADQ32" s="3"/>
      <c r="ADR32" s="3"/>
      <c r="ADS32" s="3"/>
      <c r="ADT32" s="3"/>
      <c r="ADU32" s="3"/>
      <c r="ADV32" s="3"/>
      <c r="ADW32" s="3"/>
      <c r="ADX32" s="3"/>
      <c r="ADY32" s="3"/>
      <c r="ADZ32" s="3"/>
      <c r="AEA32" s="3"/>
      <c r="AEB32" s="3"/>
      <c r="AEC32" s="3"/>
      <c r="AED32" s="3"/>
      <c r="AEE32" s="3"/>
      <c r="AEF32" s="3"/>
      <c r="AEG32" s="3"/>
      <c r="AEH32" s="3"/>
      <c r="AEI32" s="3"/>
      <c r="AEJ32" s="3"/>
      <c r="AEK32" s="3"/>
      <c r="AEL32" s="3"/>
      <c r="AEM32" s="3"/>
      <c r="AEN32" s="3"/>
      <c r="AEO32" s="3"/>
      <c r="AEP32" s="3"/>
      <c r="AEQ32" s="3"/>
      <c r="AER32" s="3"/>
      <c r="AES32" s="3"/>
      <c r="AET32" s="3"/>
      <c r="AEU32" s="3"/>
      <c r="AEV32" s="3"/>
      <c r="AEW32" s="3"/>
      <c r="AEX32" s="3"/>
      <c r="AEY32" s="3"/>
      <c r="AEZ32" s="3"/>
      <c r="AFA32" s="3"/>
      <c r="AFB32" s="3"/>
      <c r="AFC32" s="3"/>
      <c r="AFD32" s="3"/>
      <c r="AFE32" s="3"/>
      <c r="AFF32" s="3"/>
      <c r="AFG32" s="3"/>
      <c r="AFH32" s="3"/>
      <c r="AFI32" s="3"/>
      <c r="AFJ32" s="3"/>
      <c r="AFK32" s="3"/>
      <c r="AFL32" s="3"/>
      <c r="AFM32" s="3"/>
      <c r="AFN32" s="3"/>
      <c r="AFO32" s="3"/>
      <c r="AFP32" s="3"/>
      <c r="AFQ32" s="3"/>
      <c r="AFR32" s="3"/>
      <c r="AFS32" s="3"/>
      <c r="AFT32" s="3"/>
      <c r="AFU32" s="3"/>
      <c r="AFV32" s="3"/>
      <c r="AFW32" s="3"/>
      <c r="AFX32" s="3"/>
      <c r="AFY32" s="3"/>
      <c r="AFZ32" s="3"/>
      <c r="AGA32" s="3"/>
      <c r="AGB32" s="3"/>
      <c r="AGC32" s="3"/>
      <c r="AGD32" s="3"/>
      <c r="AGE32" s="3"/>
      <c r="AGF32" s="3"/>
      <c r="AGG32" s="3"/>
      <c r="AGH32" s="3"/>
      <c r="AGI32" s="3"/>
      <c r="AGJ32" s="3"/>
      <c r="AGK32" s="3"/>
      <c r="AGL32" s="3"/>
      <c r="AGM32" s="3"/>
      <c r="AGN32" s="3"/>
      <c r="AGO32" s="3"/>
      <c r="AGP32" s="3"/>
      <c r="AGQ32" s="3"/>
      <c r="AGR32" s="3"/>
      <c r="AGS32" s="3"/>
      <c r="AGT32" s="3"/>
      <c r="AGU32" s="3"/>
      <c r="AGV32" s="3"/>
      <c r="AGW32" s="3"/>
      <c r="AGX32" s="3"/>
      <c r="AGY32" s="3"/>
      <c r="AGZ32" s="3"/>
      <c r="AHA32" s="3"/>
      <c r="AHB32" s="3"/>
    </row>
    <row r="33" ht="24" customHeight="1" spans="1:886">
      <c r="A33" s="340">
        <v>29</v>
      </c>
      <c r="B33" s="277"/>
      <c r="C33" s="517" t="s">
        <v>124</v>
      </c>
      <c r="D33" s="350"/>
      <c r="E33" s="350"/>
      <c r="F33" s="81">
        <v>2</v>
      </c>
      <c r="G33" s="354" t="s">
        <v>458</v>
      </c>
      <c r="H33" s="355" t="s">
        <v>459</v>
      </c>
      <c r="I33" s="366" t="s">
        <v>128</v>
      </c>
      <c r="J33" s="366" t="s">
        <v>128</v>
      </c>
      <c r="K33" s="366" t="s">
        <v>128</v>
      </c>
      <c r="L33" s="366" t="s">
        <v>128</v>
      </c>
      <c r="M33" s="366" t="s">
        <v>128</v>
      </c>
      <c r="N33" s="376" t="s">
        <v>460</v>
      </c>
      <c r="O33" s="374" t="s">
        <v>461</v>
      </c>
      <c r="P33" s="373" t="str">
        <f>CONCATENATE(RemovePunctuation(H33),"_CA","_","i4K","_",C33,"_",AE33,"_",PROPER(R33),IF(S33="",PROPER(R33),PROPER(S33)),PROPER(T33),PROPER(U33),PROPER(V33),IF(V33&lt;&gt;"","SUB",""),PROPER(W33),IF(W33&lt;&gt;"","SUB",""),"_","Ed","_","M1",".mpg")</f>
        <v>HongKongNatureStories7TheWaterfrontPart1_CA_i4K_0325_43_ZhoZhoZhoSUB_Ed_M1.mpg</v>
      </c>
      <c r="Q33" s="373" t="str">
        <f>CONCATENATE(RemovePunctuation(H33),"_CA","_","i5K","_",C33,"_",AD33,"_",PROPER(R33),IF(S33="",PROPER(R33),PROPER(S33)),PROPER(T33),PROPER(U33),PROPER(V33),IF(V33&lt;&gt;"","SUB",""),PROPER(W33),IF(W33&lt;&gt;"","SUB",""),"_","Ed","_","M4",".mpg")</f>
        <v>HongKongNatureStories7TheWaterfrontPart1_CA_i5K_0325_169_ZhoZhoZhoSUB_Ed_M4.mpg</v>
      </c>
      <c r="R33" s="388" t="s">
        <v>136</v>
      </c>
      <c r="S33" s="391"/>
      <c r="T33" s="390"/>
      <c r="U33" s="390"/>
      <c r="V33" s="388" t="s">
        <v>136</v>
      </c>
      <c r="W33" s="390"/>
      <c r="X33" s="340" t="s">
        <v>135</v>
      </c>
      <c r="Y33" s="340" t="s">
        <v>135</v>
      </c>
      <c r="Z33" s="120">
        <f t="shared" si="6"/>
        <v>27</v>
      </c>
      <c r="AA33" s="303" t="str">
        <f t="shared" si="4"/>
        <v>00:27:00</v>
      </c>
      <c r="AB33" s="120">
        <f t="shared" si="5"/>
        <v>1620</v>
      </c>
      <c r="AC33" s="406">
        <v>0.0184490740740741</v>
      </c>
      <c r="AD33" s="407">
        <v>169</v>
      </c>
      <c r="AE33" s="407">
        <v>43</v>
      </c>
      <c r="AF33" s="340" t="s">
        <v>138</v>
      </c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  <c r="AAN33" s="3"/>
      <c r="AAO33" s="3"/>
      <c r="AAP33" s="3"/>
      <c r="AAQ33" s="3"/>
      <c r="AAR33" s="3"/>
      <c r="AAS33" s="3"/>
      <c r="AAT33" s="3"/>
      <c r="AAU33" s="3"/>
      <c r="AAV33" s="3"/>
      <c r="AAW33" s="3"/>
      <c r="AAX33" s="3"/>
      <c r="AAY33" s="3"/>
      <c r="AAZ33" s="3"/>
      <c r="ABA33" s="3"/>
      <c r="ABB33" s="3"/>
      <c r="ABC33" s="3"/>
      <c r="ABD33" s="3"/>
      <c r="ABE33" s="3"/>
      <c r="ABF33" s="3"/>
      <c r="ABG33" s="3"/>
      <c r="ABH33" s="3"/>
      <c r="ABI33" s="3"/>
      <c r="ABJ33" s="3"/>
      <c r="ABK33" s="3"/>
      <c r="ABL33" s="3"/>
      <c r="ABM33" s="3"/>
      <c r="ABN33" s="3"/>
      <c r="ABO33" s="3"/>
      <c r="ABP33" s="3"/>
      <c r="ABQ33" s="3"/>
      <c r="ABR33" s="3"/>
      <c r="ABS33" s="3"/>
      <c r="ABT33" s="3"/>
      <c r="ABU33" s="3"/>
      <c r="ABV33" s="3"/>
      <c r="ABW33" s="3"/>
      <c r="ABX33" s="3"/>
      <c r="ABY33" s="3"/>
      <c r="ABZ33" s="3"/>
      <c r="ACA33" s="3"/>
      <c r="ACB33" s="3"/>
      <c r="ACC33" s="3"/>
      <c r="ACD33" s="3"/>
      <c r="ACE33" s="3"/>
      <c r="ACF33" s="3"/>
      <c r="ACG33" s="3"/>
      <c r="ACH33" s="3"/>
      <c r="ACI33" s="3"/>
      <c r="ACJ33" s="3"/>
      <c r="ACK33" s="3"/>
      <c r="ACL33" s="3"/>
      <c r="ACM33" s="3"/>
      <c r="ACN33" s="3"/>
      <c r="ACO33" s="3"/>
      <c r="ACP33" s="3"/>
      <c r="ACQ33" s="3"/>
      <c r="ACR33" s="3"/>
      <c r="ACS33" s="3"/>
      <c r="ACT33" s="3"/>
      <c r="ACU33" s="3"/>
      <c r="ACV33" s="3"/>
      <c r="ACW33" s="3"/>
      <c r="ACX33" s="3"/>
      <c r="ACY33" s="3"/>
      <c r="ACZ33" s="3"/>
      <c r="ADA33" s="3"/>
      <c r="ADB33" s="3"/>
      <c r="ADC33" s="3"/>
      <c r="ADD33" s="3"/>
      <c r="ADE33" s="3"/>
      <c r="ADF33" s="3"/>
      <c r="ADG33" s="3"/>
      <c r="ADH33" s="3"/>
      <c r="ADI33" s="3"/>
      <c r="ADJ33" s="3"/>
      <c r="ADK33" s="3"/>
      <c r="ADL33" s="3"/>
      <c r="ADM33" s="3"/>
      <c r="ADN33" s="3"/>
      <c r="ADO33" s="3"/>
      <c r="ADP33" s="3"/>
      <c r="ADQ33" s="3"/>
      <c r="ADR33" s="3"/>
      <c r="ADS33" s="3"/>
      <c r="ADT33" s="3"/>
      <c r="ADU33" s="3"/>
      <c r="ADV33" s="3"/>
      <c r="ADW33" s="3"/>
      <c r="ADX33" s="3"/>
      <c r="ADY33" s="3"/>
      <c r="ADZ33" s="3"/>
      <c r="AEA33" s="3"/>
      <c r="AEB33" s="3"/>
      <c r="AEC33" s="3"/>
      <c r="AED33" s="3"/>
      <c r="AEE33" s="3"/>
      <c r="AEF33" s="3"/>
      <c r="AEG33" s="3"/>
      <c r="AEH33" s="3"/>
      <c r="AEI33" s="3"/>
      <c r="AEJ33" s="3"/>
      <c r="AEK33" s="3"/>
      <c r="AEL33" s="3"/>
      <c r="AEM33" s="3"/>
      <c r="AEN33" s="3"/>
      <c r="AEO33" s="3"/>
      <c r="AEP33" s="3"/>
      <c r="AEQ33" s="3"/>
      <c r="AER33" s="3"/>
      <c r="AES33" s="3"/>
      <c r="AET33" s="3"/>
      <c r="AEU33" s="3"/>
      <c r="AEV33" s="3"/>
      <c r="AEW33" s="3"/>
      <c r="AEX33" s="3"/>
      <c r="AEY33" s="3"/>
      <c r="AEZ33" s="3"/>
      <c r="AFA33" s="3"/>
      <c r="AFB33" s="3"/>
      <c r="AFC33" s="3"/>
      <c r="AFD33" s="3"/>
      <c r="AFE33" s="3"/>
      <c r="AFF33" s="3"/>
      <c r="AFG33" s="3"/>
      <c r="AFH33" s="3"/>
      <c r="AFI33" s="3"/>
      <c r="AFJ33" s="3"/>
      <c r="AFK33" s="3"/>
      <c r="AFL33" s="3"/>
      <c r="AFM33" s="3"/>
      <c r="AFN33" s="3"/>
      <c r="AFO33" s="3"/>
      <c r="AFP33" s="3"/>
      <c r="AFQ33" s="3"/>
      <c r="AFR33" s="3"/>
      <c r="AFS33" s="3"/>
      <c r="AFT33" s="3"/>
      <c r="AFU33" s="3"/>
      <c r="AFV33" s="3"/>
      <c r="AFW33" s="3"/>
      <c r="AFX33" s="3"/>
      <c r="AFY33" s="3"/>
      <c r="AFZ33" s="3"/>
      <c r="AGA33" s="3"/>
      <c r="AGB33" s="3"/>
      <c r="AGC33" s="3"/>
      <c r="AGD33" s="3"/>
      <c r="AGE33" s="3"/>
      <c r="AGF33" s="3"/>
      <c r="AGG33" s="3"/>
      <c r="AGH33" s="3"/>
      <c r="AGI33" s="3"/>
      <c r="AGJ33" s="3"/>
      <c r="AGK33" s="3"/>
      <c r="AGL33" s="3"/>
      <c r="AGM33" s="3"/>
      <c r="AGN33" s="3"/>
      <c r="AGO33" s="3"/>
      <c r="AGP33" s="3"/>
      <c r="AGQ33" s="3"/>
      <c r="AGR33" s="3"/>
      <c r="AGS33" s="3"/>
      <c r="AGT33" s="3"/>
      <c r="AGU33" s="3"/>
      <c r="AGV33" s="3"/>
      <c r="AGW33" s="3"/>
      <c r="AGX33" s="3"/>
      <c r="AGY33" s="3"/>
      <c r="AGZ33" s="3"/>
      <c r="AHA33" s="3"/>
      <c r="AHB33" s="3"/>
    </row>
    <row r="34" ht="24" customHeight="1" spans="1:886">
      <c r="A34" s="340">
        <v>30</v>
      </c>
      <c r="B34" s="277"/>
      <c r="C34" s="517" t="s">
        <v>124</v>
      </c>
      <c r="D34" s="350"/>
      <c r="E34" s="350"/>
      <c r="F34" s="81">
        <v>3</v>
      </c>
      <c r="G34" s="354" t="s">
        <v>462</v>
      </c>
      <c r="H34" s="355" t="s">
        <v>463</v>
      </c>
      <c r="I34" s="366" t="s">
        <v>128</v>
      </c>
      <c r="J34" s="366" t="s">
        <v>128</v>
      </c>
      <c r="K34" s="366" t="s">
        <v>128</v>
      </c>
      <c r="L34" s="366" t="s">
        <v>128</v>
      </c>
      <c r="M34" s="366" t="s">
        <v>128</v>
      </c>
      <c r="N34" s="376" t="s">
        <v>464</v>
      </c>
      <c r="O34" s="374" t="s">
        <v>465</v>
      </c>
      <c r="P34" s="373" t="str">
        <f>CONCATENATE(RemovePunctuation(H34),"_CA","_","i4K","_",C34,"_",AE34,"_",PROPER(R34),IF(S34="",PROPER(R34),PROPER(S34)),PROPER(T34),PROPER(U34),PROPER(V34),IF(V34&lt;&gt;"","SUB",""),PROPER(W34),IF(W34&lt;&gt;"","SUB",""),"_","Ed","_","M1",".mpg")</f>
        <v>QinghaiOurNationalParkS02E01BetweenHeavenandEarth_CA_i4K_0325_43_ZhoZhoZhoSUB_Ed_M1.mpg</v>
      </c>
      <c r="Q34" s="373" t="str">
        <f>CONCATENATE(RemovePunctuation(H34),"_CA","_","i5K","_",C34,"_",AD34,"_",PROPER(R34),IF(S34="",PROPER(R34),PROPER(S34)),PROPER(T34),PROPER(U34),PROPER(V34),IF(V34&lt;&gt;"","SUB",""),PROPER(W34),IF(W34&lt;&gt;"","SUB",""),"_","Ed","_","M4",".mpg")</f>
        <v>QinghaiOurNationalParkS02E01BetweenHeavenandEarth_CA_i5K_0325_169_ZhoZhoZhoSUB_Ed_M4.mpg</v>
      </c>
      <c r="R34" s="388" t="s">
        <v>136</v>
      </c>
      <c r="S34" s="391"/>
      <c r="T34" s="390"/>
      <c r="U34" s="390"/>
      <c r="V34" s="388" t="s">
        <v>136</v>
      </c>
      <c r="W34" s="392"/>
      <c r="X34" s="340" t="s">
        <v>135</v>
      </c>
      <c r="Y34" s="340" t="s">
        <v>135</v>
      </c>
      <c r="Z34" s="120">
        <f t="shared" si="6"/>
        <v>24</v>
      </c>
      <c r="AA34" s="303" t="str">
        <f t="shared" si="4"/>
        <v>00:24:00</v>
      </c>
      <c r="AB34" s="120">
        <f t="shared" si="5"/>
        <v>1440</v>
      </c>
      <c r="AC34" s="406">
        <v>0.0163541666666667</v>
      </c>
      <c r="AD34" s="407">
        <v>169</v>
      </c>
      <c r="AE34" s="407">
        <v>43</v>
      </c>
      <c r="AF34" s="340" t="s">
        <v>138</v>
      </c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  <c r="AAN34" s="3"/>
      <c r="AAO34" s="3"/>
      <c r="AAP34" s="3"/>
      <c r="AAQ34" s="3"/>
      <c r="AAR34" s="3"/>
      <c r="AAS34" s="3"/>
      <c r="AAT34" s="3"/>
      <c r="AAU34" s="3"/>
      <c r="AAV34" s="3"/>
      <c r="AAW34" s="3"/>
      <c r="AAX34" s="3"/>
      <c r="AAY34" s="3"/>
      <c r="AAZ34" s="3"/>
      <c r="ABA34" s="3"/>
      <c r="ABB34" s="3"/>
      <c r="ABC34" s="3"/>
      <c r="ABD34" s="3"/>
      <c r="ABE34" s="3"/>
      <c r="ABF34" s="3"/>
      <c r="ABG34" s="3"/>
      <c r="ABH34" s="3"/>
      <c r="ABI34" s="3"/>
      <c r="ABJ34" s="3"/>
      <c r="ABK34" s="3"/>
      <c r="ABL34" s="3"/>
      <c r="ABM34" s="3"/>
      <c r="ABN34" s="3"/>
      <c r="ABO34" s="3"/>
      <c r="ABP34" s="3"/>
      <c r="ABQ34" s="3"/>
      <c r="ABR34" s="3"/>
      <c r="ABS34" s="3"/>
      <c r="ABT34" s="3"/>
      <c r="ABU34" s="3"/>
      <c r="ABV34" s="3"/>
      <c r="ABW34" s="3"/>
      <c r="ABX34" s="3"/>
      <c r="ABY34" s="3"/>
      <c r="ABZ34" s="3"/>
      <c r="ACA34" s="3"/>
      <c r="ACB34" s="3"/>
      <c r="ACC34" s="3"/>
      <c r="ACD34" s="3"/>
      <c r="ACE34" s="3"/>
      <c r="ACF34" s="3"/>
      <c r="ACG34" s="3"/>
      <c r="ACH34" s="3"/>
      <c r="ACI34" s="3"/>
      <c r="ACJ34" s="3"/>
      <c r="ACK34" s="3"/>
      <c r="ACL34" s="3"/>
      <c r="ACM34" s="3"/>
      <c r="ACN34" s="3"/>
      <c r="ACO34" s="3"/>
      <c r="ACP34" s="3"/>
      <c r="ACQ34" s="3"/>
      <c r="ACR34" s="3"/>
      <c r="ACS34" s="3"/>
      <c r="ACT34" s="3"/>
      <c r="ACU34" s="3"/>
      <c r="ACV34" s="3"/>
      <c r="ACW34" s="3"/>
      <c r="ACX34" s="3"/>
      <c r="ACY34" s="3"/>
      <c r="ACZ34" s="3"/>
      <c r="ADA34" s="3"/>
      <c r="ADB34" s="3"/>
      <c r="ADC34" s="3"/>
      <c r="ADD34" s="3"/>
      <c r="ADE34" s="3"/>
      <c r="ADF34" s="3"/>
      <c r="ADG34" s="3"/>
      <c r="ADH34" s="3"/>
      <c r="ADI34" s="3"/>
      <c r="ADJ34" s="3"/>
      <c r="ADK34" s="3"/>
      <c r="ADL34" s="3"/>
      <c r="ADM34" s="3"/>
      <c r="ADN34" s="3"/>
      <c r="ADO34" s="3"/>
      <c r="ADP34" s="3"/>
      <c r="ADQ34" s="3"/>
      <c r="ADR34" s="3"/>
      <c r="ADS34" s="3"/>
      <c r="ADT34" s="3"/>
      <c r="ADU34" s="3"/>
      <c r="ADV34" s="3"/>
      <c r="ADW34" s="3"/>
      <c r="ADX34" s="3"/>
      <c r="ADY34" s="3"/>
      <c r="ADZ34" s="3"/>
      <c r="AEA34" s="3"/>
      <c r="AEB34" s="3"/>
      <c r="AEC34" s="3"/>
      <c r="AED34" s="3"/>
      <c r="AEE34" s="3"/>
      <c r="AEF34" s="3"/>
      <c r="AEG34" s="3"/>
      <c r="AEH34" s="3"/>
      <c r="AEI34" s="3"/>
      <c r="AEJ34" s="3"/>
      <c r="AEK34" s="3"/>
      <c r="AEL34" s="3"/>
      <c r="AEM34" s="3"/>
      <c r="AEN34" s="3"/>
      <c r="AEO34" s="3"/>
      <c r="AEP34" s="3"/>
      <c r="AEQ34" s="3"/>
      <c r="AER34" s="3"/>
      <c r="AES34" s="3"/>
      <c r="AET34" s="3"/>
      <c r="AEU34" s="3"/>
      <c r="AEV34" s="3"/>
      <c r="AEW34" s="3"/>
      <c r="AEX34" s="3"/>
      <c r="AEY34" s="3"/>
      <c r="AEZ34" s="3"/>
      <c r="AFA34" s="3"/>
      <c r="AFB34" s="3"/>
      <c r="AFC34" s="3"/>
      <c r="AFD34" s="3"/>
      <c r="AFE34" s="3"/>
      <c r="AFF34" s="3"/>
      <c r="AFG34" s="3"/>
      <c r="AFH34" s="3"/>
      <c r="AFI34" s="3"/>
      <c r="AFJ34" s="3"/>
      <c r="AFK34" s="3"/>
      <c r="AFL34" s="3"/>
      <c r="AFM34" s="3"/>
      <c r="AFN34" s="3"/>
      <c r="AFO34" s="3"/>
      <c r="AFP34" s="3"/>
      <c r="AFQ34" s="3"/>
      <c r="AFR34" s="3"/>
      <c r="AFS34" s="3"/>
      <c r="AFT34" s="3"/>
      <c r="AFU34" s="3"/>
      <c r="AFV34" s="3"/>
      <c r="AFW34" s="3"/>
      <c r="AFX34" s="3"/>
      <c r="AFY34" s="3"/>
      <c r="AFZ34" s="3"/>
      <c r="AGA34" s="3"/>
      <c r="AGB34" s="3"/>
      <c r="AGC34" s="3"/>
      <c r="AGD34" s="3"/>
      <c r="AGE34" s="3"/>
      <c r="AGF34" s="3"/>
      <c r="AGG34" s="3"/>
      <c r="AGH34" s="3"/>
      <c r="AGI34" s="3"/>
      <c r="AGJ34" s="3"/>
      <c r="AGK34" s="3"/>
      <c r="AGL34" s="3"/>
      <c r="AGM34" s="3"/>
      <c r="AGN34" s="3"/>
      <c r="AGO34" s="3"/>
      <c r="AGP34" s="3"/>
      <c r="AGQ34" s="3"/>
      <c r="AGR34" s="3"/>
      <c r="AGS34" s="3"/>
      <c r="AGT34" s="3"/>
      <c r="AGU34" s="3"/>
      <c r="AGV34" s="3"/>
      <c r="AGW34" s="3"/>
      <c r="AGX34" s="3"/>
      <c r="AGY34" s="3"/>
      <c r="AGZ34" s="3"/>
      <c r="AHA34" s="3"/>
      <c r="AHB34" s="3"/>
    </row>
    <row r="35" ht="24" customHeight="1" spans="1:886">
      <c r="A35" s="340">
        <v>31</v>
      </c>
      <c r="B35" s="277"/>
      <c r="C35" s="517" t="s">
        <v>124</v>
      </c>
      <c r="D35" s="350"/>
      <c r="E35" s="350"/>
      <c r="F35" s="81">
        <v>4</v>
      </c>
      <c r="G35" s="354" t="s">
        <v>466</v>
      </c>
      <c r="H35" s="355" t="s">
        <v>467</v>
      </c>
      <c r="I35" s="366" t="s">
        <v>128</v>
      </c>
      <c r="J35" s="366"/>
      <c r="K35" s="366" t="s">
        <v>128</v>
      </c>
      <c r="L35" s="366" t="s">
        <v>128</v>
      </c>
      <c r="M35" s="366" t="s">
        <v>128</v>
      </c>
      <c r="N35" s="376" t="s">
        <v>468</v>
      </c>
      <c r="O35" s="374" t="s">
        <v>469</v>
      </c>
      <c r="P35" s="373" t="str">
        <f>CONCATENATE(RemovePunctuation(H35),"_CA","_","i4K","_",C35,"_",AE35,"_",PROPER(R35),IF(S35="",PROPER(R35),PROPER(S35)),PROPER(T35),PROPER(U35),PROPER(V35),IF(V35&lt;&gt;"","SUB",""),PROPER(W35),IF(W35&lt;&gt;"","SUB",""),"_","Ed","_","M1",".mpg")</f>
        <v>NaturalLegendWiseElephant_CA_i4K_0325_43_ZhoZhoZhoSUB_Ed_M1.mpg</v>
      </c>
      <c r="Q35" s="373" t="str">
        <f>CONCATENATE(RemovePunctuation(H35),"_CA","_","i5K","_",C35,"_",AD35,"_",PROPER(R35),IF(S35="",PROPER(R35),PROPER(S35)),PROPER(T35),PROPER(U35),PROPER(V35),IF(V35&lt;&gt;"","SUB",""),PROPER(W35),IF(W35&lt;&gt;"","SUB",""),"_","Ed","_","M4",".mpg")</f>
        <v>NaturalLegendWiseElephant_CA_i5K_0325_169_ZhoZhoZhoSUB_Ed_M4.mpg</v>
      </c>
      <c r="R35" s="388" t="s">
        <v>136</v>
      </c>
      <c r="S35" s="391"/>
      <c r="T35" s="390"/>
      <c r="U35" s="390"/>
      <c r="V35" s="388" t="s">
        <v>136</v>
      </c>
      <c r="W35" s="393"/>
      <c r="X35" s="340" t="s">
        <v>135</v>
      </c>
      <c r="Y35" s="340" t="s">
        <v>135</v>
      </c>
      <c r="Z35" s="120">
        <f t="shared" si="6"/>
        <v>47</v>
      </c>
      <c r="AA35" s="303" t="str">
        <f t="shared" si="4"/>
        <v>00:47:00</v>
      </c>
      <c r="AB35" s="120">
        <f t="shared" si="5"/>
        <v>2820</v>
      </c>
      <c r="AC35" s="406">
        <v>0.0325925925925926</v>
      </c>
      <c r="AD35" s="407">
        <v>169</v>
      </c>
      <c r="AE35" s="407">
        <v>43</v>
      </c>
      <c r="AF35" s="340" t="s">
        <v>138</v>
      </c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  <c r="AAN35" s="3"/>
      <c r="AAO35" s="3"/>
      <c r="AAP35" s="3"/>
      <c r="AAQ35" s="3"/>
      <c r="AAR35" s="3"/>
      <c r="AAS35" s="3"/>
      <c r="AAT35" s="3"/>
      <c r="AAU35" s="3"/>
      <c r="AAV35" s="3"/>
      <c r="AAW35" s="3"/>
      <c r="AAX35" s="3"/>
      <c r="AAY35" s="3"/>
      <c r="AAZ35" s="3"/>
      <c r="ABA35" s="3"/>
      <c r="ABB35" s="3"/>
      <c r="ABC35" s="3"/>
      <c r="ABD35" s="3"/>
      <c r="ABE35" s="3"/>
      <c r="ABF35" s="3"/>
      <c r="ABG35" s="3"/>
      <c r="ABH35" s="3"/>
      <c r="ABI35" s="3"/>
      <c r="ABJ35" s="3"/>
      <c r="ABK35" s="3"/>
      <c r="ABL35" s="3"/>
      <c r="ABM35" s="3"/>
      <c r="ABN35" s="3"/>
      <c r="ABO35" s="3"/>
      <c r="ABP35" s="3"/>
      <c r="ABQ35" s="3"/>
      <c r="ABR35" s="3"/>
      <c r="ABS35" s="3"/>
      <c r="ABT35" s="3"/>
      <c r="ABU35" s="3"/>
      <c r="ABV35" s="3"/>
      <c r="ABW35" s="3"/>
      <c r="ABX35" s="3"/>
      <c r="ABY35" s="3"/>
      <c r="ABZ35" s="3"/>
      <c r="ACA35" s="3"/>
      <c r="ACB35" s="3"/>
      <c r="ACC35" s="3"/>
      <c r="ACD35" s="3"/>
      <c r="ACE35" s="3"/>
      <c r="ACF35" s="3"/>
      <c r="ACG35" s="3"/>
      <c r="ACH35" s="3"/>
      <c r="ACI35" s="3"/>
      <c r="ACJ35" s="3"/>
      <c r="ACK35" s="3"/>
      <c r="ACL35" s="3"/>
      <c r="ACM35" s="3"/>
      <c r="ACN35" s="3"/>
      <c r="ACO35" s="3"/>
      <c r="ACP35" s="3"/>
      <c r="ACQ35" s="3"/>
      <c r="ACR35" s="3"/>
      <c r="ACS35" s="3"/>
      <c r="ACT35" s="3"/>
      <c r="ACU35" s="3"/>
      <c r="ACV35" s="3"/>
      <c r="ACW35" s="3"/>
      <c r="ACX35" s="3"/>
      <c r="ACY35" s="3"/>
      <c r="ACZ35" s="3"/>
      <c r="ADA35" s="3"/>
      <c r="ADB35" s="3"/>
      <c r="ADC35" s="3"/>
      <c r="ADD35" s="3"/>
      <c r="ADE35" s="3"/>
      <c r="ADF35" s="3"/>
      <c r="ADG35" s="3"/>
      <c r="ADH35" s="3"/>
      <c r="ADI35" s="3"/>
      <c r="ADJ35" s="3"/>
      <c r="ADK35" s="3"/>
      <c r="ADL35" s="3"/>
      <c r="ADM35" s="3"/>
      <c r="ADN35" s="3"/>
      <c r="ADO35" s="3"/>
      <c r="ADP35" s="3"/>
      <c r="ADQ35" s="3"/>
      <c r="ADR35" s="3"/>
      <c r="ADS35" s="3"/>
      <c r="ADT35" s="3"/>
      <c r="ADU35" s="3"/>
      <c r="ADV35" s="3"/>
      <c r="ADW35" s="3"/>
      <c r="ADX35" s="3"/>
      <c r="ADY35" s="3"/>
      <c r="ADZ35" s="3"/>
      <c r="AEA35" s="3"/>
      <c r="AEB35" s="3"/>
      <c r="AEC35" s="3"/>
      <c r="AED35" s="3"/>
      <c r="AEE35" s="3"/>
      <c r="AEF35" s="3"/>
      <c r="AEG35" s="3"/>
      <c r="AEH35" s="3"/>
      <c r="AEI35" s="3"/>
      <c r="AEJ35" s="3"/>
      <c r="AEK35" s="3"/>
      <c r="AEL35" s="3"/>
      <c r="AEM35" s="3"/>
      <c r="AEN35" s="3"/>
      <c r="AEO35" s="3"/>
      <c r="AEP35" s="3"/>
      <c r="AEQ35" s="3"/>
      <c r="AER35" s="3"/>
      <c r="AES35" s="3"/>
      <c r="AET35" s="3"/>
      <c r="AEU35" s="3"/>
      <c r="AEV35" s="3"/>
      <c r="AEW35" s="3"/>
      <c r="AEX35" s="3"/>
      <c r="AEY35" s="3"/>
      <c r="AEZ35" s="3"/>
      <c r="AFA35" s="3"/>
      <c r="AFB35" s="3"/>
      <c r="AFC35" s="3"/>
      <c r="AFD35" s="3"/>
      <c r="AFE35" s="3"/>
      <c r="AFF35" s="3"/>
      <c r="AFG35" s="3"/>
      <c r="AFH35" s="3"/>
      <c r="AFI35" s="3"/>
      <c r="AFJ35" s="3"/>
      <c r="AFK35" s="3"/>
      <c r="AFL35" s="3"/>
      <c r="AFM35" s="3"/>
      <c r="AFN35" s="3"/>
      <c r="AFO35" s="3"/>
      <c r="AFP35" s="3"/>
      <c r="AFQ35" s="3"/>
      <c r="AFR35" s="3"/>
      <c r="AFS35" s="3"/>
      <c r="AFT35" s="3"/>
      <c r="AFU35" s="3"/>
      <c r="AFV35" s="3"/>
      <c r="AFW35" s="3"/>
      <c r="AFX35" s="3"/>
      <c r="AFY35" s="3"/>
      <c r="AFZ35" s="3"/>
      <c r="AGA35" s="3"/>
      <c r="AGB35" s="3"/>
      <c r="AGC35" s="3"/>
      <c r="AGD35" s="3"/>
      <c r="AGE35" s="3"/>
      <c r="AGF35" s="3"/>
      <c r="AGG35" s="3"/>
      <c r="AGH35" s="3"/>
      <c r="AGI35" s="3"/>
      <c r="AGJ35" s="3"/>
      <c r="AGK35" s="3"/>
      <c r="AGL35" s="3"/>
      <c r="AGM35" s="3"/>
      <c r="AGN35" s="3"/>
      <c r="AGO35" s="3"/>
      <c r="AGP35" s="3"/>
      <c r="AGQ35" s="3"/>
      <c r="AGR35" s="3"/>
      <c r="AGS35" s="3"/>
      <c r="AGT35" s="3"/>
      <c r="AGU35" s="3"/>
      <c r="AGV35" s="3"/>
      <c r="AGW35" s="3"/>
      <c r="AGX35" s="3"/>
      <c r="AGY35" s="3"/>
      <c r="AGZ35" s="3"/>
      <c r="AHA35" s="3"/>
      <c r="AHB35" s="3"/>
    </row>
    <row r="36" ht="24" customHeight="1" spans="1:886">
      <c r="A36" s="340">
        <v>32</v>
      </c>
      <c r="B36" s="277"/>
      <c r="C36" s="517" t="s">
        <v>124</v>
      </c>
      <c r="D36" s="350"/>
      <c r="E36" s="350"/>
      <c r="F36" s="81">
        <v>5</v>
      </c>
      <c r="G36" s="354" t="s">
        <v>470</v>
      </c>
      <c r="H36" s="355" t="s">
        <v>471</v>
      </c>
      <c r="I36" s="366" t="s">
        <v>128</v>
      </c>
      <c r="J36" s="366"/>
      <c r="K36" s="366"/>
      <c r="L36" s="366" t="s">
        <v>128</v>
      </c>
      <c r="M36" s="366"/>
      <c r="N36" s="376" t="s">
        <v>472</v>
      </c>
      <c r="O36" s="374"/>
      <c r="P36" s="375"/>
      <c r="Q36" s="373" t="str">
        <f>CONCATENATE(RemovePunctuation(H36),"_CA","_","i5K","_",C36,"_",AD36,"_",PROPER(R36),IF(S36="",PROPER(R36),PROPER(S36)),PROPER(T36),PROPER(U36),PROPER(V36),IF(V36&lt;&gt;"","SUB",""),PROPER(W36),IF(W36&lt;&gt;"","SUB",""),"_","Ed","_","M4",".mpg")</f>
        <v>NaturalLegendJungleSpiritLemur_CA_i5K_0325_169_ZhoZhoZhoSUB_Ed_M4.mpg</v>
      </c>
      <c r="R36" s="388" t="s">
        <v>136</v>
      </c>
      <c r="S36" s="391"/>
      <c r="T36" s="390"/>
      <c r="U36" s="390"/>
      <c r="V36" s="388" t="s">
        <v>136</v>
      </c>
      <c r="W36" s="393"/>
      <c r="X36" s="340" t="s">
        <v>135</v>
      </c>
      <c r="Y36" s="340" t="s">
        <v>135</v>
      </c>
      <c r="Z36" s="120">
        <f t="shared" si="6"/>
        <v>31</v>
      </c>
      <c r="AA36" s="303" t="str">
        <f t="shared" si="4"/>
        <v>00:31:00</v>
      </c>
      <c r="AB36" s="120">
        <f t="shared" si="5"/>
        <v>1860</v>
      </c>
      <c r="AC36" s="406">
        <v>0.0216666666666667</v>
      </c>
      <c r="AD36" s="407">
        <v>169</v>
      </c>
      <c r="AE36" s="407">
        <v>43</v>
      </c>
      <c r="AF36" s="340" t="s">
        <v>138</v>
      </c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  <c r="AAN36" s="3"/>
      <c r="AAO36" s="3"/>
      <c r="AAP36" s="3"/>
      <c r="AAQ36" s="3"/>
      <c r="AAR36" s="3"/>
      <c r="AAS36" s="3"/>
      <c r="AAT36" s="3"/>
      <c r="AAU36" s="3"/>
      <c r="AAV36" s="3"/>
      <c r="AAW36" s="3"/>
      <c r="AAX36" s="3"/>
      <c r="AAY36" s="3"/>
      <c r="AAZ36" s="3"/>
      <c r="ABA36" s="3"/>
      <c r="ABB36" s="3"/>
      <c r="ABC36" s="3"/>
      <c r="ABD36" s="3"/>
      <c r="ABE36" s="3"/>
      <c r="ABF36" s="3"/>
      <c r="ABG36" s="3"/>
      <c r="ABH36" s="3"/>
      <c r="ABI36" s="3"/>
      <c r="ABJ36" s="3"/>
      <c r="ABK36" s="3"/>
      <c r="ABL36" s="3"/>
      <c r="ABM36" s="3"/>
      <c r="ABN36" s="3"/>
      <c r="ABO36" s="3"/>
      <c r="ABP36" s="3"/>
      <c r="ABQ36" s="3"/>
      <c r="ABR36" s="3"/>
      <c r="ABS36" s="3"/>
      <c r="ABT36" s="3"/>
      <c r="ABU36" s="3"/>
      <c r="ABV36" s="3"/>
      <c r="ABW36" s="3"/>
      <c r="ABX36" s="3"/>
      <c r="ABY36" s="3"/>
      <c r="ABZ36" s="3"/>
      <c r="ACA36" s="3"/>
      <c r="ACB36" s="3"/>
      <c r="ACC36" s="3"/>
      <c r="ACD36" s="3"/>
      <c r="ACE36" s="3"/>
      <c r="ACF36" s="3"/>
      <c r="ACG36" s="3"/>
      <c r="ACH36" s="3"/>
      <c r="ACI36" s="3"/>
      <c r="ACJ36" s="3"/>
      <c r="ACK36" s="3"/>
      <c r="ACL36" s="3"/>
      <c r="ACM36" s="3"/>
      <c r="ACN36" s="3"/>
      <c r="ACO36" s="3"/>
      <c r="ACP36" s="3"/>
      <c r="ACQ36" s="3"/>
      <c r="ACR36" s="3"/>
      <c r="ACS36" s="3"/>
      <c r="ACT36" s="3"/>
      <c r="ACU36" s="3"/>
      <c r="ACV36" s="3"/>
      <c r="ACW36" s="3"/>
      <c r="ACX36" s="3"/>
      <c r="ACY36" s="3"/>
      <c r="ACZ36" s="3"/>
      <c r="ADA36" s="3"/>
      <c r="ADB36" s="3"/>
      <c r="ADC36" s="3"/>
      <c r="ADD36" s="3"/>
      <c r="ADE36" s="3"/>
      <c r="ADF36" s="3"/>
      <c r="ADG36" s="3"/>
      <c r="ADH36" s="3"/>
      <c r="ADI36" s="3"/>
      <c r="ADJ36" s="3"/>
      <c r="ADK36" s="3"/>
      <c r="ADL36" s="3"/>
      <c r="ADM36" s="3"/>
      <c r="ADN36" s="3"/>
      <c r="ADO36" s="3"/>
      <c r="ADP36" s="3"/>
      <c r="ADQ36" s="3"/>
      <c r="ADR36" s="3"/>
      <c r="ADS36" s="3"/>
      <c r="ADT36" s="3"/>
      <c r="ADU36" s="3"/>
      <c r="ADV36" s="3"/>
      <c r="ADW36" s="3"/>
      <c r="ADX36" s="3"/>
      <c r="ADY36" s="3"/>
      <c r="ADZ36" s="3"/>
      <c r="AEA36" s="3"/>
      <c r="AEB36" s="3"/>
      <c r="AEC36" s="3"/>
      <c r="AED36" s="3"/>
      <c r="AEE36" s="3"/>
      <c r="AEF36" s="3"/>
      <c r="AEG36" s="3"/>
      <c r="AEH36" s="3"/>
      <c r="AEI36" s="3"/>
      <c r="AEJ36" s="3"/>
      <c r="AEK36" s="3"/>
      <c r="AEL36" s="3"/>
      <c r="AEM36" s="3"/>
      <c r="AEN36" s="3"/>
      <c r="AEO36" s="3"/>
      <c r="AEP36" s="3"/>
      <c r="AEQ36" s="3"/>
      <c r="AER36" s="3"/>
      <c r="AES36" s="3"/>
      <c r="AET36" s="3"/>
      <c r="AEU36" s="3"/>
      <c r="AEV36" s="3"/>
      <c r="AEW36" s="3"/>
      <c r="AEX36" s="3"/>
      <c r="AEY36" s="3"/>
      <c r="AEZ36" s="3"/>
      <c r="AFA36" s="3"/>
      <c r="AFB36" s="3"/>
      <c r="AFC36" s="3"/>
      <c r="AFD36" s="3"/>
      <c r="AFE36" s="3"/>
      <c r="AFF36" s="3"/>
      <c r="AFG36" s="3"/>
      <c r="AFH36" s="3"/>
      <c r="AFI36" s="3"/>
      <c r="AFJ36" s="3"/>
      <c r="AFK36" s="3"/>
      <c r="AFL36" s="3"/>
      <c r="AFM36" s="3"/>
      <c r="AFN36" s="3"/>
      <c r="AFO36" s="3"/>
      <c r="AFP36" s="3"/>
      <c r="AFQ36" s="3"/>
      <c r="AFR36" s="3"/>
      <c r="AFS36" s="3"/>
      <c r="AFT36" s="3"/>
      <c r="AFU36" s="3"/>
      <c r="AFV36" s="3"/>
      <c r="AFW36" s="3"/>
      <c r="AFX36" s="3"/>
      <c r="AFY36" s="3"/>
      <c r="AFZ36" s="3"/>
      <c r="AGA36" s="3"/>
      <c r="AGB36" s="3"/>
      <c r="AGC36" s="3"/>
      <c r="AGD36" s="3"/>
      <c r="AGE36" s="3"/>
      <c r="AGF36" s="3"/>
      <c r="AGG36" s="3"/>
      <c r="AGH36" s="3"/>
      <c r="AGI36" s="3"/>
      <c r="AGJ36" s="3"/>
      <c r="AGK36" s="3"/>
      <c r="AGL36" s="3"/>
      <c r="AGM36" s="3"/>
      <c r="AGN36" s="3"/>
      <c r="AGO36" s="3"/>
      <c r="AGP36" s="3"/>
      <c r="AGQ36" s="3"/>
      <c r="AGR36" s="3"/>
      <c r="AGS36" s="3"/>
      <c r="AGT36" s="3"/>
      <c r="AGU36" s="3"/>
      <c r="AGV36" s="3"/>
      <c r="AGW36" s="3"/>
      <c r="AGX36" s="3"/>
      <c r="AGY36" s="3"/>
      <c r="AGZ36" s="3"/>
      <c r="AHA36" s="3"/>
      <c r="AHB36" s="3"/>
    </row>
    <row r="37" ht="24" customHeight="1" spans="1:886">
      <c r="A37" s="340">
        <v>33</v>
      </c>
      <c r="B37" s="277"/>
      <c r="C37" s="517" t="s">
        <v>124</v>
      </c>
      <c r="D37" s="350"/>
      <c r="E37" s="350"/>
      <c r="F37" s="81">
        <v>6</v>
      </c>
      <c r="G37" s="354" t="s">
        <v>473</v>
      </c>
      <c r="H37" s="355" t="s">
        <v>474</v>
      </c>
      <c r="I37" s="366" t="s">
        <v>128</v>
      </c>
      <c r="J37" s="366" t="s">
        <v>128</v>
      </c>
      <c r="K37" s="366"/>
      <c r="L37" s="366" t="s">
        <v>128</v>
      </c>
      <c r="M37" s="366" t="s">
        <v>128</v>
      </c>
      <c r="N37" s="376" t="s">
        <v>475</v>
      </c>
      <c r="O37" s="374"/>
      <c r="P37" s="373" t="str">
        <f>CONCATENATE(RemovePunctuation(H37),"_CA","_","i4K","_",C37,"_",AE37,"_",PROPER(R37),IF(S37="",PROPER(R37),PROPER(S37)),PROPER(T37),PROPER(U37),PROPER(V37),IF(V37&lt;&gt;"","SUB",""),PROPER(W37),IF(W37&lt;&gt;"","SUB",""),"_","Ed","_","M1",".mpg")</f>
        <v>PredatorCountdownEp01_CA_i4K_0325_43_EngEngEngSUBZhoSUB_Ed_M1.mpg</v>
      </c>
      <c r="Q37" s="373" t="str">
        <f>CONCATENATE(RemovePunctuation(H37),"_CA","_","i5K","_",C37,"_",AD37,"_",PROPER(R37),IF(S37="",PROPER(R37),PROPER(S37)),PROPER(T37),PROPER(U37),PROPER(V37),IF(V37&lt;&gt;"","SUB",""),PROPER(W37),IF(W37&lt;&gt;"","SUB",""),"_","Ed","_","M4",".mpg")</f>
        <v>PredatorCountdownEp01_CA_i5K_0325_169_EngEngEngSUBZhoSUB_Ed_M4.mpg</v>
      </c>
      <c r="R37" s="393" t="s">
        <v>137</v>
      </c>
      <c r="S37" s="391"/>
      <c r="T37" s="390"/>
      <c r="U37" s="390"/>
      <c r="V37" s="393" t="s">
        <v>137</v>
      </c>
      <c r="W37" s="388" t="s">
        <v>136</v>
      </c>
      <c r="X37" s="340" t="s">
        <v>135</v>
      </c>
      <c r="Y37" s="340" t="s">
        <v>135</v>
      </c>
      <c r="Z37" s="120">
        <f t="shared" si="6"/>
        <v>50</v>
      </c>
      <c r="AA37" s="303" t="str">
        <f t="shared" si="4"/>
        <v>00:50:00</v>
      </c>
      <c r="AB37" s="120">
        <f t="shared" si="5"/>
        <v>3000</v>
      </c>
      <c r="AC37" s="406">
        <v>0.0346064814814815</v>
      </c>
      <c r="AD37" s="407">
        <v>169</v>
      </c>
      <c r="AE37" s="407">
        <v>43</v>
      </c>
      <c r="AF37" s="340" t="s">
        <v>138</v>
      </c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  <c r="AAN37" s="3"/>
      <c r="AAO37" s="3"/>
      <c r="AAP37" s="3"/>
      <c r="AAQ37" s="3"/>
      <c r="AAR37" s="3"/>
      <c r="AAS37" s="3"/>
      <c r="AAT37" s="3"/>
      <c r="AAU37" s="3"/>
      <c r="AAV37" s="3"/>
      <c r="AAW37" s="3"/>
      <c r="AAX37" s="3"/>
      <c r="AAY37" s="3"/>
      <c r="AAZ37" s="3"/>
      <c r="ABA37" s="3"/>
      <c r="ABB37" s="3"/>
      <c r="ABC37" s="3"/>
      <c r="ABD37" s="3"/>
      <c r="ABE37" s="3"/>
      <c r="ABF37" s="3"/>
      <c r="ABG37" s="3"/>
      <c r="ABH37" s="3"/>
      <c r="ABI37" s="3"/>
      <c r="ABJ37" s="3"/>
      <c r="ABK37" s="3"/>
      <c r="ABL37" s="3"/>
      <c r="ABM37" s="3"/>
      <c r="ABN37" s="3"/>
      <c r="ABO37" s="3"/>
      <c r="ABP37" s="3"/>
      <c r="ABQ37" s="3"/>
      <c r="ABR37" s="3"/>
      <c r="ABS37" s="3"/>
      <c r="ABT37" s="3"/>
      <c r="ABU37" s="3"/>
      <c r="ABV37" s="3"/>
      <c r="ABW37" s="3"/>
      <c r="ABX37" s="3"/>
      <c r="ABY37" s="3"/>
      <c r="ABZ37" s="3"/>
      <c r="ACA37" s="3"/>
      <c r="ACB37" s="3"/>
      <c r="ACC37" s="3"/>
      <c r="ACD37" s="3"/>
      <c r="ACE37" s="3"/>
      <c r="ACF37" s="3"/>
      <c r="ACG37" s="3"/>
      <c r="ACH37" s="3"/>
      <c r="ACI37" s="3"/>
      <c r="ACJ37" s="3"/>
      <c r="ACK37" s="3"/>
      <c r="ACL37" s="3"/>
      <c r="ACM37" s="3"/>
      <c r="ACN37" s="3"/>
      <c r="ACO37" s="3"/>
      <c r="ACP37" s="3"/>
      <c r="ACQ37" s="3"/>
      <c r="ACR37" s="3"/>
      <c r="ACS37" s="3"/>
      <c r="ACT37" s="3"/>
      <c r="ACU37" s="3"/>
      <c r="ACV37" s="3"/>
      <c r="ACW37" s="3"/>
      <c r="ACX37" s="3"/>
      <c r="ACY37" s="3"/>
      <c r="ACZ37" s="3"/>
      <c r="ADA37" s="3"/>
      <c r="ADB37" s="3"/>
      <c r="ADC37" s="3"/>
      <c r="ADD37" s="3"/>
      <c r="ADE37" s="3"/>
      <c r="ADF37" s="3"/>
      <c r="ADG37" s="3"/>
      <c r="ADH37" s="3"/>
      <c r="ADI37" s="3"/>
      <c r="ADJ37" s="3"/>
      <c r="ADK37" s="3"/>
      <c r="ADL37" s="3"/>
      <c r="ADM37" s="3"/>
      <c r="ADN37" s="3"/>
      <c r="ADO37" s="3"/>
      <c r="ADP37" s="3"/>
      <c r="ADQ37" s="3"/>
      <c r="ADR37" s="3"/>
      <c r="ADS37" s="3"/>
      <c r="ADT37" s="3"/>
      <c r="ADU37" s="3"/>
      <c r="ADV37" s="3"/>
      <c r="ADW37" s="3"/>
      <c r="ADX37" s="3"/>
      <c r="ADY37" s="3"/>
      <c r="ADZ37" s="3"/>
      <c r="AEA37" s="3"/>
      <c r="AEB37" s="3"/>
      <c r="AEC37" s="3"/>
      <c r="AED37" s="3"/>
      <c r="AEE37" s="3"/>
      <c r="AEF37" s="3"/>
      <c r="AEG37" s="3"/>
      <c r="AEH37" s="3"/>
      <c r="AEI37" s="3"/>
      <c r="AEJ37" s="3"/>
      <c r="AEK37" s="3"/>
      <c r="AEL37" s="3"/>
      <c r="AEM37" s="3"/>
      <c r="AEN37" s="3"/>
      <c r="AEO37" s="3"/>
      <c r="AEP37" s="3"/>
      <c r="AEQ37" s="3"/>
      <c r="AER37" s="3"/>
      <c r="AES37" s="3"/>
      <c r="AET37" s="3"/>
      <c r="AEU37" s="3"/>
      <c r="AEV37" s="3"/>
      <c r="AEW37" s="3"/>
      <c r="AEX37" s="3"/>
      <c r="AEY37" s="3"/>
      <c r="AEZ37" s="3"/>
      <c r="AFA37" s="3"/>
      <c r="AFB37" s="3"/>
      <c r="AFC37" s="3"/>
      <c r="AFD37" s="3"/>
      <c r="AFE37" s="3"/>
      <c r="AFF37" s="3"/>
      <c r="AFG37" s="3"/>
      <c r="AFH37" s="3"/>
      <c r="AFI37" s="3"/>
      <c r="AFJ37" s="3"/>
      <c r="AFK37" s="3"/>
      <c r="AFL37" s="3"/>
      <c r="AFM37" s="3"/>
      <c r="AFN37" s="3"/>
      <c r="AFO37" s="3"/>
      <c r="AFP37" s="3"/>
      <c r="AFQ37" s="3"/>
      <c r="AFR37" s="3"/>
      <c r="AFS37" s="3"/>
      <c r="AFT37" s="3"/>
      <c r="AFU37" s="3"/>
      <c r="AFV37" s="3"/>
      <c r="AFW37" s="3"/>
      <c r="AFX37" s="3"/>
      <c r="AFY37" s="3"/>
      <c r="AFZ37" s="3"/>
      <c r="AGA37" s="3"/>
      <c r="AGB37" s="3"/>
      <c r="AGC37" s="3"/>
      <c r="AGD37" s="3"/>
      <c r="AGE37" s="3"/>
      <c r="AGF37" s="3"/>
      <c r="AGG37" s="3"/>
      <c r="AGH37" s="3"/>
      <c r="AGI37" s="3"/>
      <c r="AGJ37" s="3"/>
      <c r="AGK37" s="3"/>
      <c r="AGL37" s="3"/>
      <c r="AGM37" s="3"/>
      <c r="AGN37" s="3"/>
      <c r="AGO37" s="3"/>
      <c r="AGP37" s="3"/>
      <c r="AGQ37" s="3"/>
      <c r="AGR37" s="3"/>
      <c r="AGS37" s="3"/>
      <c r="AGT37" s="3"/>
      <c r="AGU37" s="3"/>
      <c r="AGV37" s="3"/>
      <c r="AGW37" s="3"/>
      <c r="AGX37" s="3"/>
      <c r="AGY37" s="3"/>
      <c r="AGZ37" s="3"/>
      <c r="AHA37" s="3"/>
      <c r="AHB37" s="3"/>
    </row>
    <row r="38" ht="24" customHeight="1" spans="1:886">
      <c r="A38" s="340">
        <v>34</v>
      </c>
      <c r="B38" s="277"/>
      <c r="C38" s="517" t="s">
        <v>124</v>
      </c>
      <c r="D38" s="350"/>
      <c r="E38" s="350"/>
      <c r="F38" s="81">
        <v>7</v>
      </c>
      <c r="G38" s="354" t="s">
        <v>476</v>
      </c>
      <c r="H38" s="355" t="s">
        <v>477</v>
      </c>
      <c r="I38" s="366" t="s">
        <v>128</v>
      </c>
      <c r="J38" s="366" t="s">
        <v>128</v>
      </c>
      <c r="K38" s="366"/>
      <c r="L38" s="366" t="s">
        <v>128</v>
      </c>
      <c r="M38" s="366" t="s">
        <v>128</v>
      </c>
      <c r="N38" s="376" t="s">
        <v>478</v>
      </c>
      <c r="O38" s="374"/>
      <c r="P38" s="373" t="str">
        <f>CONCATENATE(RemovePunctuation(H38),"_CA","_","i4K","_",C38,"_",AE38,"_",PROPER(R38),IF(S38="",PROPER(R38),PROPER(S38)),PROPER(T38),PROPER(U38),PROPER(V38),IF(V38&lt;&gt;"","SUB",""),PROPER(W38),IF(W38&lt;&gt;"","SUB",""),"_","Ed","_","M1",".mpg")</f>
        <v>MigratingBirdsEp02_CA_i4K_0325_43_EngEngEngSUBZhoSUB_Ed_M1.mpg</v>
      </c>
      <c r="Q38" s="373" t="str">
        <f>CONCATENATE(RemovePunctuation(H38),"_CA","_","i5K","_",C38,"_",AD38,"_",PROPER(R38),IF(S38="",PROPER(R38),PROPER(S38)),PROPER(T38),PROPER(U38),PROPER(V38),IF(V38&lt;&gt;"","SUB",""),PROPER(W38),IF(W38&lt;&gt;"","SUB",""),"_","Ed","_","M4",".mpg")</f>
        <v>MigratingBirdsEp02_CA_i5K_0325_169_EngEngEngSUBZhoSUB_Ed_M4.mpg</v>
      </c>
      <c r="R38" s="393" t="s">
        <v>137</v>
      </c>
      <c r="S38" s="391"/>
      <c r="T38" s="390"/>
      <c r="U38" s="390"/>
      <c r="V38" s="393" t="s">
        <v>137</v>
      </c>
      <c r="W38" s="388" t="s">
        <v>136</v>
      </c>
      <c r="X38" s="340" t="s">
        <v>135</v>
      </c>
      <c r="Y38" s="340" t="s">
        <v>135</v>
      </c>
      <c r="Z38" s="120">
        <f t="shared" si="6"/>
        <v>49</v>
      </c>
      <c r="AA38" s="303" t="str">
        <f t="shared" si="4"/>
        <v>00:49:00</v>
      </c>
      <c r="AB38" s="120">
        <f t="shared" si="5"/>
        <v>2940</v>
      </c>
      <c r="AC38" s="406">
        <v>0.0342476851851852</v>
      </c>
      <c r="AD38" s="407">
        <v>169</v>
      </c>
      <c r="AE38" s="407">
        <v>43</v>
      </c>
      <c r="AF38" s="340" t="s">
        <v>138</v>
      </c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  <c r="AAN38" s="3"/>
      <c r="AAO38" s="3"/>
      <c r="AAP38" s="3"/>
      <c r="AAQ38" s="3"/>
      <c r="AAR38" s="3"/>
      <c r="AAS38" s="3"/>
      <c r="AAT38" s="3"/>
      <c r="AAU38" s="3"/>
      <c r="AAV38" s="3"/>
      <c r="AAW38" s="3"/>
      <c r="AAX38" s="3"/>
      <c r="AAY38" s="3"/>
      <c r="AAZ38" s="3"/>
      <c r="ABA38" s="3"/>
      <c r="ABB38" s="3"/>
      <c r="ABC38" s="3"/>
      <c r="ABD38" s="3"/>
      <c r="ABE38" s="3"/>
      <c r="ABF38" s="3"/>
      <c r="ABG38" s="3"/>
      <c r="ABH38" s="3"/>
      <c r="ABI38" s="3"/>
      <c r="ABJ38" s="3"/>
      <c r="ABK38" s="3"/>
      <c r="ABL38" s="3"/>
      <c r="ABM38" s="3"/>
      <c r="ABN38" s="3"/>
      <c r="ABO38" s="3"/>
      <c r="ABP38" s="3"/>
      <c r="ABQ38" s="3"/>
      <c r="ABR38" s="3"/>
      <c r="ABS38" s="3"/>
      <c r="ABT38" s="3"/>
      <c r="ABU38" s="3"/>
      <c r="ABV38" s="3"/>
      <c r="ABW38" s="3"/>
      <c r="ABX38" s="3"/>
      <c r="ABY38" s="3"/>
      <c r="ABZ38" s="3"/>
      <c r="ACA38" s="3"/>
      <c r="ACB38" s="3"/>
      <c r="ACC38" s="3"/>
      <c r="ACD38" s="3"/>
      <c r="ACE38" s="3"/>
      <c r="ACF38" s="3"/>
      <c r="ACG38" s="3"/>
      <c r="ACH38" s="3"/>
      <c r="ACI38" s="3"/>
      <c r="ACJ38" s="3"/>
      <c r="ACK38" s="3"/>
      <c r="ACL38" s="3"/>
      <c r="ACM38" s="3"/>
      <c r="ACN38" s="3"/>
      <c r="ACO38" s="3"/>
      <c r="ACP38" s="3"/>
      <c r="ACQ38" s="3"/>
      <c r="ACR38" s="3"/>
      <c r="ACS38" s="3"/>
      <c r="ACT38" s="3"/>
      <c r="ACU38" s="3"/>
      <c r="ACV38" s="3"/>
      <c r="ACW38" s="3"/>
      <c r="ACX38" s="3"/>
      <c r="ACY38" s="3"/>
      <c r="ACZ38" s="3"/>
      <c r="ADA38" s="3"/>
      <c r="ADB38" s="3"/>
      <c r="ADC38" s="3"/>
      <c r="ADD38" s="3"/>
      <c r="ADE38" s="3"/>
      <c r="ADF38" s="3"/>
      <c r="ADG38" s="3"/>
      <c r="ADH38" s="3"/>
      <c r="ADI38" s="3"/>
      <c r="ADJ38" s="3"/>
      <c r="ADK38" s="3"/>
      <c r="ADL38" s="3"/>
      <c r="ADM38" s="3"/>
      <c r="ADN38" s="3"/>
      <c r="ADO38" s="3"/>
      <c r="ADP38" s="3"/>
      <c r="ADQ38" s="3"/>
      <c r="ADR38" s="3"/>
      <c r="ADS38" s="3"/>
      <c r="ADT38" s="3"/>
      <c r="ADU38" s="3"/>
      <c r="ADV38" s="3"/>
      <c r="ADW38" s="3"/>
      <c r="ADX38" s="3"/>
      <c r="ADY38" s="3"/>
      <c r="ADZ38" s="3"/>
      <c r="AEA38" s="3"/>
      <c r="AEB38" s="3"/>
      <c r="AEC38" s="3"/>
      <c r="AED38" s="3"/>
      <c r="AEE38" s="3"/>
      <c r="AEF38" s="3"/>
      <c r="AEG38" s="3"/>
      <c r="AEH38" s="3"/>
      <c r="AEI38" s="3"/>
      <c r="AEJ38" s="3"/>
      <c r="AEK38" s="3"/>
      <c r="AEL38" s="3"/>
      <c r="AEM38" s="3"/>
      <c r="AEN38" s="3"/>
      <c r="AEO38" s="3"/>
      <c r="AEP38" s="3"/>
      <c r="AEQ38" s="3"/>
      <c r="AER38" s="3"/>
      <c r="AES38" s="3"/>
      <c r="AET38" s="3"/>
      <c r="AEU38" s="3"/>
      <c r="AEV38" s="3"/>
      <c r="AEW38" s="3"/>
      <c r="AEX38" s="3"/>
      <c r="AEY38" s="3"/>
      <c r="AEZ38" s="3"/>
      <c r="AFA38" s="3"/>
      <c r="AFB38" s="3"/>
      <c r="AFC38" s="3"/>
      <c r="AFD38" s="3"/>
      <c r="AFE38" s="3"/>
      <c r="AFF38" s="3"/>
      <c r="AFG38" s="3"/>
      <c r="AFH38" s="3"/>
      <c r="AFI38" s="3"/>
      <c r="AFJ38" s="3"/>
      <c r="AFK38" s="3"/>
      <c r="AFL38" s="3"/>
      <c r="AFM38" s="3"/>
      <c r="AFN38" s="3"/>
      <c r="AFO38" s="3"/>
      <c r="AFP38" s="3"/>
      <c r="AFQ38" s="3"/>
      <c r="AFR38" s="3"/>
      <c r="AFS38" s="3"/>
      <c r="AFT38" s="3"/>
      <c r="AFU38" s="3"/>
      <c r="AFV38" s="3"/>
      <c r="AFW38" s="3"/>
      <c r="AFX38" s="3"/>
      <c r="AFY38" s="3"/>
      <c r="AFZ38" s="3"/>
      <c r="AGA38" s="3"/>
      <c r="AGB38" s="3"/>
      <c r="AGC38" s="3"/>
      <c r="AGD38" s="3"/>
      <c r="AGE38" s="3"/>
      <c r="AGF38" s="3"/>
      <c r="AGG38" s="3"/>
      <c r="AGH38" s="3"/>
      <c r="AGI38" s="3"/>
      <c r="AGJ38" s="3"/>
      <c r="AGK38" s="3"/>
      <c r="AGL38" s="3"/>
      <c r="AGM38" s="3"/>
      <c r="AGN38" s="3"/>
      <c r="AGO38" s="3"/>
      <c r="AGP38" s="3"/>
      <c r="AGQ38" s="3"/>
      <c r="AGR38" s="3"/>
      <c r="AGS38" s="3"/>
      <c r="AGT38" s="3"/>
      <c r="AGU38" s="3"/>
      <c r="AGV38" s="3"/>
      <c r="AGW38" s="3"/>
      <c r="AGX38" s="3"/>
      <c r="AGY38" s="3"/>
      <c r="AGZ38" s="3"/>
      <c r="AHA38" s="3"/>
      <c r="AHB38" s="3"/>
    </row>
    <row r="39" ht="24" customHeight="1" spans="1:886">
      <c r="A39" s="340">
        <v>35</v>
      </c>
      <c r="B39" s="277"/>
      <c r="C39" s="517" t="s">
        <v>124</v>
      </c>
      <c r="D39" s="350"/>
      <c r="E39" s="350"/>
      <c r="F39" s="81">
        <v>8</v>
      </c>
      <c r="G39" s="354" t="s">
        <v>479</v>
      </c>
      <c r="H39" s="355" t="s">
        <v>480</v>
      </c>
      <c r="I39" s="366" t="s">
        <v>128</v>
      </c>
      <c r="J39" s="366" t="s">
        <v>128</v>
      </c>
      <c r="K39" s="366" t="s">
        <v>128</v>
      </c>
      <c r="L39" s="366" t="s">
        <v>128</v>
      </c>
      <c r="M39" s="366" t="s">
        <v>128</v>
      </c>
      <c r="N39" s="376" t="s">
        <v>481</v>
      </c>
      <c r="O39" s="374" t="s">
        <v>482</v>
      </c>
      <c r="P39" s="373" t="str">
        <f>CONCATENATE(RemovePunctuation(H39),"_CA","_","i4K","_",C39,"_",AE39,"_",PROPER(R39),IF(S39="",PROPER(R39),PROPER(S39)),PROPER(T39),PROPER(U39),PROPER(V39),IF(V39&lt;&gt;"","SUB",""),PROPER(W39),IF(W39&lt;&gt;"","SUB",""),"_","Ed","_","M1",".mpg")</f>
        <v>WhalewithSteveBackshallEp02_CA_i4K_0325_43_EngEngEngSUBZhoSUB_Ed_M1.mpg</v>
      </c>
      <c r="Q39" s="373" t="str">
        <f>CONCATENATE(RemovePunctuation(H39),"_CA","_","i5K","_",C39,"_",AD39,"_",PROPER(R39),IF(S39="",PROPER(R39),PROPER(S39)),PROPER(T39),PROPER(U39),PROPER(V39),IF(V39&lt;&gt;"","SUB",""),PROPER(W39),IF(W39&lt;&gt;"","SUB",""),"_","Ed","_","M4",".mpg")</f>
        <v>WhalewithSteveBackshallEp02_CA_i5K_0325_169_EngEngEngSUBZhoSUB_Ed_M4.mpg</v>
      </c>
      <c r="R39" s="393" t="s">
        <v>137</v>
      </c>
      <c r="S39" s="391"/>
      <c r="T39" s="390"/>
      <c r="U39" s="390"/>
      <c r="V39" s="393" t="s">
        <v>137</v>
      </c>
      <c r="W39" s="388" t="s">
        <v>136</v>
      </c>
      <c r="X39" s="340" t="s">
        <v>135</v>
      </c>
      <c r="Y39" s="340" t="s">
        <v>135</v>
      </c>
      <c r="Z39" s="120">
        <f t="shared" ref="Z39:Z75" si="7">ROUNDUP(HOUR(AA39)*60+MINUTE(AA39)+SECOND(AA39)/60,0)</f>
        <v>42</v>
      </c>
      <c r="AA39" s="303" t="str">
        <f t="shared" ref="AA39:AA75" si="8">TEXT((HOUR(AC39)*60+MINUTE(AC39)+IF(SECOND(AC39)&lt;=29,0,1))*60/86400,"hh:mm:ss")</f>
        <v>00:42:00</v>
      </c>
      <c r="AB39" s="120">
        <f t="shared" si="5"/>
        <v>2520</v>
      </c>
      <c r="AC39" s="406">
        <v>0.0294675925925926</v>
      </c>
      <c r="AD39" s="407">
        <v>169</v>
      </c>
      <c r="AE39" s="407">
        <v>43</v>
      </c>
      <c r="AF39" s="340" t="s">
        <v>138</v>
      </c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  <c r="AAN39" s="3"/>
      <c r="AAO39" s="3"/>
      <c r="AAP39" s="3"/>
      <c r="AAQ39" s="3"/>
      <c r="AAR39" s="3"/>
      <c r="AAS39" s="3"/>
      <c r="AAT39" s="3"/>
      <c r="AAU39" s="3"/>
      <c r="AAV39" s="3"/>
      <c r="AAW39" s="3"/>
      <c r="AAX39" s="3"/>
      <c r="AAY39" s="3"/>
      <c r="AAZ39" s="3"/>
      <c r="ABA39" s="3"/>
      <c r="ABB39" s="3"/>
      <c r="ABC39" s="3"/>
      <c r="ABD39" s="3"/>
      <c r="ABE39" s="3"/>
      <c r="ABF39" s="3"/>
      <c r="ABG39" s="3"/>
      <c r="ABH39" s="3"/>
      <c r="ABI39" s="3"/>
      <c r="ABJ39" s="3"/>
      <c r="ABK39" s="3"/>
      <c r="ABL39" s="3"/>
      <c r="ABM39" s="3"/>
      <c r="ABN39" s="3"/>
      <c r="ABO39" s="3"/>
      <c r="ABP39" s="3"/>
      <c r="ABQ39" s="3"/>
      <c r="ABR39" s="3"/>
      <c r="ABS39" s="3"/>
      <c r="ABT39" s="3"/>
      <c r="ABU39" s="3"/>
      <c r="ABV39" s="3"/>
      <c r="ABW39" s="3"/>
      <c r="ABX39" s="3"/>
      <c r="ABY39" s="3"/>
      <c r="ABZ39" s="3"/>
      <c r="ACA39" s="3"/>
      <c r="ACB39" s="3"/>
      <c r="ACC39" s="3"/>
      <c r="ACD39" s="3"/>
      <c r="ACE39" s="3"/>
      <c r="ACF39" s="3"/>
      <c r="ACG39" s="3"/>
      <c r="ACH39" s="3"/>
      <c r="ACI39" s="3"/>
      <c r="ACJ39" s="3"/>
      <c r="ACK39" s="3"/>
      <c r="ACL39" s="3"/>
      <c r="ACM39" s="3"/>
      <c r="ACN39" s="3"/>
      <c r="ACO39" s="3"/>
      <c r="ACP39" s="3"/>
      <c r="ACQ39" s="3"/>
      <c r="ACR39" s="3"/>
      <c r="ACS39" s="3"/>
      <c r="ACT39" s="3"/>
      <c r="ACU39" s="3"/>
      <c r="ACV39" s="3"/>
      <c r="ACW39" s="3"/>
      <c r="ACX39" s="3"/>
      <c r="ACY39" s="3"/>
      <c r="ACZ39" s="3"/>
      <c r="ADA39" s="3"/>
      <c r="ADB39" s="3"/>
      <c r="ADC39" s="3"/>
      <c r="ADD39" s="3"/>
      <c r="ADE39" s="3"/>
      <c r="ADF39" s="3"/>
      <c r="ADG39" s="3"/>
      <c r="ADH39" s="3"/>
      <c r="ADI39" s="3"/>
      <c r="ADJ39" s="3"/>
      <c r="ADK39" s="3"/>
      <c r="ADL39" s="3"/>
      <c r="ADM39" s="3"/>
      <c r="ADN39" s="3"/>
      <c r="ADO39" s="3"/>
      <c r="ADP39" s="3"/>
      <c r="ADQ39" s="3"/>
      <c r="ADR39" s="3"/>
      <c r="ADS39" s="3"/>
      <c r="ADT39" s="3"/>
      <c r="ADU39" s="3"/>
      <c r="ADV39" s="3"/>
      <c r="ADW39" s="3"/>
      <c r="ADX39" s="3"/>
      <c r="ADY39" s="3"/>
      <c r="ADZ39" s="3"/>
      <c r="AEA39" s="3"/>
      <c r="AEB39" s="3"/>
      <c r="AEC39" s="3"/>
      <c r="AED39" s="3"/>
      <c r="AEE39" s="3"/>
      <c r="AEF39" s="3"/>
      <c r="AEG39" s="3"/>
      <c r="AEH39" s="3"/>
      <c r="AEI39" s="3"/>
      <c r="AEJ39" s="3"/>
      <c r="AEK39" s="3"/>
      <c r="AEL39" s="3"/>
      <c r="AEM39" s="3"/>
      <c r="AEN39" s="3"/>
      <c r="AEO39" s="3"/>
      <c r="AEP39" s="3"/>
      <c r="AEQ39" s="3"/>
      <c r="AER39" s="3"/>
      <c r="AES39" s="3"/>
      <c r="AET39" s="3"/>
      <c r="AEU39" s="3"/>
      <c r="AEV39" s="3"/>
      <c r="AEW39" s="3"/>
      <c r="AEX39" s="3"/>
      <c r="AEY39" s="3"/>
      <c r="AEZ39" s="3"/>
      <c r="AFA39" s="3"/>
      <c r="AFB39" s="3"/>
      <c r="AFC39" s="3"/>
      <c r="AFD39" s="3"/>
      <c r="AFE39" s="3"/>
      <c r="AFF39" s="3"/>
      <c r="AFG39" s="3"/>
      <c r="AFH39" s="3"/>
      <c r="AFI39" s="3"/>
      <c r="AFJ39" s="3"/>
      <c r="AFK39" s="3"/>
      <c r="AFL39" s="3"/>
      <c r="AFM39" s="3"/>
      <c r="AFN39" s="3"/>
      <c r="AFO39" s="3"/>
      <c r="AFP39" s="3"/>
      <c r="AFQ39" s="3"/>
      <c r="AFR39" s="3"/>
      <c r="AFS39" s="3"/>
      <c r="AFT39" s="3"/>
      <c r="AFU39" s="3"/>
      <c r="AFV39" s="3"/>
      <c r="AFW39" s="3"/>
      <c r="AFX39" s="3"/>
      <c r="AFY39" s="3"/>
      <c r="AFZ39" s="3"/>
      <c r="AGA39" s="3"/>
      <c r="AGB39" s="3"/>
      <c r="AGC39" s="3"/>
      <c r="AGD39" s="3"/>
      <c r="AGE39" s="3"/>
      <c r="AGF39" s="3"/>
      <c r="AGG39" s="3"/>
      <c r="AGH39" s="3"/>
      <c r="AGI39" s="3"/>
      <c r="AGJ39" s="3"/>
      <c r="AGK39" s="3"/>
      <c r="AGL39" s="3"/>
      <c r="AGM39" s="3"/>
      <c r="AGN39" s="3"/>
      <c r="AGO39" s="3"/>
      <c r="AGP39" s="3"/>
      <c r="AGQ39" s="3"/>
      <c r="AGR39" s="3"/>
      <c r="AGS39" s="3"/>
      <c r="AGT39" s="3"/>
      <c r="AGU39" s="3"/>
      <c r="AGV39" s="3"/>
      <c r="AGW39" s="3"/>
      <c r="AGX39" s="3"/>
      <c r="AGY39" s="3"/>
      <c r="AGZ39" s="3"/>
      <c r="AHA39" s="3"/>
      <c r="AHB39" s="3"/>
    </row>
    <row r="40" ht="24" customHeight="1" spans="1:886">
      <c r="A40" s="340">
        <v>36</v>
      </c>
      <c r="B40" s="277"/>
      <c r="C40" s="517" t="s">
        <v>124</v>
      </c>
      <c r="D40" s="346" t="s">
        <v>483</v>
      </c>
      <c r="E40" s="346"/>
      <c r="F40" s="81">
        <v>1</v>
      </c>
      <c r="G40" s="354" t="s">
        <v>484</v>
      </c>
      <c r="H40" s="360" t="s">
        <v>485</v>
      </c>
      <c r="I40" s="366" t="s">
        <v>128</v>
      </c>
      <c r="J40" s="366"/>
      <c r="K40" s="366" t="s">
        <v>128</v>
      </c>
      <c r="L40" s="366" t="s">
        <v>128</v>
      </c>
      <c r="M40" s="366"/>
      <c r="N40" s="376" t="s">
        <v>486</v>
      </c>
      <c r="O40" s="377" t="s">
        <v>487</v>
      </c>
      <c r="P40" s="375"/>
      <c r="Q40" s="373" t="str">
        <f>CONCATENATE(RemovePunctuation(H40),"_CA","_","i5K","_",C40,"_",AD40,"_",PROPER(R40),IF(S40="",PROPER(R40),PROPER(S40)),PROPER(T40),PROPER(U40),PROPER(V40),IF(V40&lt;&gt;"","SUB",""),PROPER(W40),IF(W40&lt;&gt;"","SUB",""),"_","Ed","_","M4",".mpg")</f>
        <v>RemembranceOfThingsPastEp12_CA_i5K_0325_169_ZhoZhoZhoSUB_Ed_M4.mpg</v>
      </c>
      <c r="R40" s="388" t="s">
        <v>136</v>
      </c>
      <c r="S40" s="391"/>
      <c r="T40" s="390"/>
      <c r="U40" s="390"/>
      <c r="V40" s="388" t="s">
        <v>136</v>
      </c>
      <c r="W40" s="393"/>
      <c r="X40" s="340" t="s">
        <v>135</v>
      </c>
      <c r="Y40" s="340" t="s">
        <v>135</v>
      </c>
      <c r="Z40" s="120">
        <f t="shared" si="7"/>
        <v>75</v>
      </c>
      <c r="AA40" s="303" t="str">
        <f t="shared" si="8"/>
        <v>01:15:00</v>
      </c>
      <c r="AB40" s="120">
        <f t="shared" si="5"/>
        <v>4500</v>
      </c>
      <c r="AC40" s="406">
        <v>0.0522106481481481</v>
      </c>
      <c r="AD40" s="407">
        <v>169</v>
      </c>
      <c r="AE40" s="407">
        <v>43</v>
      </c>
      <c r="AF40" s="340" t="s">
        <v>228</v>
      </c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  <c r="AAN40" s="3"/>
      <c r="AAO40" s="3"/>
      <c r="AAP40" s="3"/>
      <c r="AAQ40" s="3"/>
      <c r="AAR40" s="3"/>
      <c r="AAS40" s="3"/>
      <c r="AAT40" s="3"/>
      <c r="AAU40" s="3"/>
      <c r="AAV40" s="3"/>
      <c r="AAW40" s="3"/>
      <c r="AAX40" s="3"/>
      <c r="AAY40" s="3"/>
      <c r="AAZ40" s="3"/>
      <c r="ABA40" s="3"/>
      <c r="ABB40" s="3"/>
      <c r="ABC40" s="3"/>
      <c r="ABD40" s="3"/>
      <c r="ABE40" s="3"/>
      <c r="ABF40" s="3"/>
      <c r="ABG40" s="3"/>
      <c r="ABH40" s="3"/>
      <c r="ABI40" s="3"/>
      <c r="ABJ40" s="3"/>
      <c r="ABK40" s="3"/>
      <c r="ABL40" s="3"/>
      <c r="ABM40" s="3"/>
      <c r="ABN40" s="3"/>
      <c r="ABO40" s="3"/>
      <c r="ABP40" s="3"/>
      <c r="ABQ40" s="3"/>
      <c r="ABR40" s="3"/>
      <c r="ABS40" s="3"/>
      <c r="ABT40" s="3"/>
      <c r="ABU40" s="3"/>
      <c r="ABV40" s="3"/>
      <c r="ABW40" s="3"/>
      <c r="ABX40" s="3"/>
      <c r="ABY40" s="3"/>
      <c r="ABZ40" s="3"/>
      <c r="ACA40" s="3"/>
      <c r="ACB40" s="3"/>
      <c r="ACC40" s="3"/>
      <c r="ACD40" s="3"/>
      <c r="ACE40" s="3"/>
      <c r="ACF40" s="3"/>
      <c r="ACG40" s="3"/>
      <c r="ACH40" s="3"/>
      <c r="ACI40" s="3"/>
      <c r="ACJ40" s="3"/>
      <c r="ACK40" s="3"/>
      <c r="ACL40" s="3"/>
      <c r="ACM40" s="3"/>
      <c r="ACN40" s="3"/>
      <c r="ACO40" s="3"/>
      <c r="ACP40" s="3"/>
      <c r="ACQ40" s="3"/>
      <c r="ACR40" s="3"/>
      <c r="ACS40" s="3"/>
      <c r="ACT40" s="3"/>
      <c r="ACU40" s="3"/>
      <c r="ACV40" s="3"/>
      <c r="ACW40" s="3"/>
      <c r="ACX40" s="3"/>
      <c r="ACY40" s="3"/>
      <c r="ACZ40" s="3"/>
      <c r="ADA40" s="3"/>
      <c r="ADB40" s="3"/>
      <c r="ADC40" s="3"/>
      <c r="ADD40" s="3"/>
      <c r="ADE40" s="3"/>
      <c r="ADF40" s="3"/>
      <c r="ADG40" s="3"/>
      <c r="ADH40" s="3"/>
      <c r="ADI40" s="3"/>
      <c r="ADJ40" s="3"/>
      <c r="ADK40" s="3"/>
      <c r="ADL40" s="3"/>
      <c r="ADM40" s="3"/>
      <c r="ADN40" s="3"/>
      <c r="ADO40" s="3"/>
      <c r="ADP40" s="3"/>
      <c r="ADQ40" s="3"/>
      <c r="ADR40" s="3"/>
      <c r="ADS40" s="3"/>
      <c r="ADT40" s="3"/>
      <c r="ADU40" s="3"/>
      <c r="ADV40" s="3"/>
      <c r="ADW40" s="3"/>
      <c r="ADX40" s="3"/>
      <c r="ADY40" s="3"/>
      <c r="ADZ40" s="3"/>
      <c r="AEA40" s="3"/>
      <c r="AEB40" s="3"/>
      <c r="AEC40" s="3"/>
      <c r="AED40" s="3"/>
      <c r="AEE40" s="3"/>
      <c r="AEF40" s="3"/>
      <c r="AEG40" s="3"/>
      <c r="AEH40" s="3"/>
      <c r="AEI40" s="3"/>
      <c r="AEJ40" s="3"/>
      <c r="AEK40" s="3"/>
      <c r="AEL40" s="3"/>
      <c r="AEM40" s="3"/>
      <c r="AEN40" s="3"/>
      <c r="AEO40" s="3"/>
      <c r="AEP40" s="3"/>
      <c r="AEQ40" s="3"/>
      <c r="AER40" s="3"/>
      <c r="AES40" s="3"/>
      <c r="AET40" s="3"/>
      <c r="AEU40" s="3"/>
      <c r="AEV40" s="3"/>
      <c r="AEW40" s="3"/>
      <c r="AEX40" s="3"/>
      <c r="AEY40" s="3"/>
      <c r="AEZ40" s="3"/>
      <c r="AFA40" s="3"/>
      <c r="AFB40" s="3"/>
      <c r="AFC40" s="3"/>
      <c r="AFD40" s="3"/>
      <c r="AFE40" s="3"/>
      <c r="AFF40" s="3"/>
      <c r="AFG40" s="3"/>
      <c r="AFH40" s="3"/>
      <c r="AFI40" s="3"/>
      <c r="AFJ40" s="3"/>
      <c r="AFK40" s="3"/>
      <c r="AFL40" s="3"/>
      <c r="AFM40" s="3"/>
      <c r="AFN40" s="3"/>
      <c r="AFO40" s="3"/>
      <c r="AFP40" s="3"/>
      <c r="AFQ40" s="3"/>
      <c r="AFR40" s="3"/>
      <c r="AFS40" s="3"/>
      <c r="AFT40" s="3"/>
      <c r="AFU40" s="3"/>
      <c r="AFV40" s="3"/>
      <c r="AFW40" s="3"/>
      <c r="AFX40" s="3"/>
      <c r="AFY40" s="3"/>
      <c r="AFZ40" s="3"/>
      <c r="AGA40" s="3"/>
      <c r="AGB40" s="3"/>
      <c r="AGC40" s="3"/>
      <c r="AGD40" s="3"/>
      <c r="AGE40" s="3"/>
      <c r="AGF40" s="3"/>
      <c r="AGG40" s="3"/>
      <c r="AGH40" s="3"/>
      <c r="AGI40" s="3"/>
      <c r="AGJ40" s="3"/>
      <c r="AGK40" s="3"/>
      <c r="AGL40" s="3"/>
      <c r="AGM40" s="3"/>
      <c r="AGN40" s="3"/>
      <c r="AGO40" s="3"/>
      <c r="AGP40" s="3"/>
      <c r="AGQ40" s="3"/>
      <c r="AGR40" s="3"/>
      <c r="AGS40" s="3"/>
      <c r="AGT40" s="3"/>
      <c r="AGU40" s="3"/>
      <c r="AGV40" s="3"/>
      <c r="AGW40" s="3"/>
      <c r="AGX40" s="3"/>
      <c r="AGY40" s="3"/>
      <c r="AGZ40" s="3"/>
      <c r="AHA40" s="3"/>
      <c r="AHB40" s="3"/>
    </row>
    <row r="41" ht="24" customHeight="1" spans="1:886">
      <c r="A41" s="340">
        <v>37</v>
      </c>
      <c r="B41" s="277"/>
      <c r="C41" s="517" t="s">
        <v>124</v>
      </c>
      <c r="D41" s="346"/>
      <c r="E41" s="346"/>
      <c r="F41" s="81">
        <v>2</v>
      </c>
      <c r="G41" s="354" t="s">
        <v>488</v>
      </c>
      <c r="H41" s="360" t="s">
        <v>489</v>
      </c>
      <c r="I41" s="366" t="s">
        <v>128</v>
      </c>
      <c r="J41" s="366"/>
      <c r="K41" s="366" t="s">
        <v>128</v>
      </c>
      <c r="L41" s="366" t="s">
        <v>128</v>
      </c>
      <c r="M41" s="366"/>
      <c r="N41" s="376" t="s">
        <v>490</v>
      </c>
      <c r="O41" s="377" t="s">
        <v>491</v>
      </c>
      <c r="P41" s="375"/>
      <c r="Q41" s="373" t="str">
        <f>CONCATENATE(RemovePunctuation(H41),"_CA","_","i5K","_",C41,"_",AD41,"_",PROPER(R41),IF(S41="",PROPER(R41),PROPER(S41)),PROPER(T41),PROPER(U41),PROPER(V41),IF(V41&lt;&gt;"","SUB",""),PROPER(W41),IF(W41&lt;&gt;"","SUB",""),"_","Ed","_","M4",".mpg")</f>
        <v>RemembranceOfThingsPastEp11_CA_i5K_0325_169_ZhoZhoZhoSUB_Ed_M4.mpg</v>
      </c>
      <c r="R41" s="388" t="s">
        <v>136</v>
      </c>
      <c r="S41" s="391"/>
      <c r="T41" s="390"/>
      <c r="U41" s="390"/>
      <c r="V41" s="388" t="s">
        <v>136</v>
      </c>
      <c r="W41" s="393"/>
      <c r="X41" s="340" t="s">
        <v>135</v>
      </c>
      <c r="Y41" s="340" t="s">
        <v>135</v>
      </c>
      <c r="Z41" s="120">
        <f t="shared" si="7"/>
        <v>73</v>
      </c>
      <c r="AA41" s="303" t="str">
        <f t="shared" si="8"/>
        <v>01:13:00</v>
      </c>
      <c r="AB41" s="120">
        <f t="shared" si="5"/>
        <v>4380</v>
      </c>
      <c r="AC41" s="406">
        <v>0.0507523148148148</v>
      </c>
      <c r="AD41" s="407">
        <v>169</v>
      </c>
      <c r="AE41" s="407">
        <v>43</v>
      </c>
      <c r="AF41" s="340" t="s">
        <v>228</v>
      </c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  <c r="AAN41" s="3"/>
      <c r="AAO41" s="3"/>
      <c r="AAP41" s="3"/>
      <c r="AAQ41" s="3"/>
      <c r="AAR41" s="3"/>
      <c r="AAS41" s="3"/>
      <c r="AAT41" s="3"/>
      <c r="AAU41" s="3"/>
      <c r="AAV41" s="3"/>
      <c r="AAW41" s="3"/>
      <c r="AAX41" s="3"/>
      <c r="AAY41" s="3"/>
      <c r="AAZ41" s="3"/>
      <c r="ABA41" s="3"/>
      <c r="ABB41" s="3"/>
      <c r="ABC41" s="3"/>
      <c r="ABD41" s="3"/>
      <c r="ABE41" s="3"/>
      <c r="ABF41" s="3"/>
      <c r="ABG41" s="3"/>
      <c r="ABH41" s="3"/>
      <c r="ABI41" s="3"/>
      <c r="ABJ41" s="3"/>
      <c r="ABK41" s="3"/>
      <c r="ABL41" s="3"/>
      <c r="ABM41" s="3"/>
      <c r="ABN41" s="3"/>
      <c r="ABO41" s="3"/>
      <c r="ABP41" s="3"/>
      <c r="ABQ41" s="3"/>
      <c r="ABR41" s="3"/>
      <c r="ABS41" s="3"/>
      <c r="ABT41" s="3"/>
      <c r="ABU41" s="3"/>
      <c r="ABV41" s="3"/>
      <c r="ABW41" s="3"/>
      <c r="ABX41" s="3"/>
      <c r="ABY41" s="3"/>
      <c r="ABZ41" s="3"/>
      <c r="ACA41" s="3"/>
      <c r="ACB41" s="3"/>
      <c r="ACC41" s="3"/>
      <c r="ACD41" s="3"/>
      <c r="ACE41" s="3"/>
      <c r="ACF41" s="3"/>
      <c r="ACG41" s="3"/>
      <c r="ACH41" s="3"/>
      <c r="ACI41" s="3"/>
      <c r="ACJ41" s="3"/>
      <c r="ACK41" s="3"/>
      <c r="ACL41" s="3"/>
      <c r="ACM41" s="3"/>
      <c r="ACN41" s="3"/>
      <c r="ACO41" s="3"/>
      <c r="ACP41" s="3"/>
      <c r="ACQ41" s="3"/>
      <c r="ACR41" s="3"/>
      <c r="ACS41" s="3"/>
      <c r="ACT41" s="3"/>
      <c r="ACU41" s="3"/>
      <c r="ACV41" s="3"/>
      <c r="ACW41" s="3"/>
      <c r="ACX41" s="3"/>
      <c r="ACY41" s="3"/>
      <c r="ACZ41" s="3"/>
      <c r="ADA41" s="3"/>
      <c r="ADB41" s="3"/>
      <c r="ADC41" s="3"/>
      <c r="ADD41" s="3"/>
      <c r="ADE41" s="3"/>
      <c r="ADF41" s="3"/>
      <c r="ADG41" s="3"/>
      <c r="ADH41" s="3"/>
      <c r="ADI41" s="3"/>
      <c r="ADJ41" s="3"/>
      <c r="ADK41" s="3"/>
      <c r="ADL41" s="3"/>
      <c r="ADM41" s="3"/>
      <c r="ADN41" s="3"/>
      <c r="ADO41" s="3"/>
      <c r="ADP41" s="3"/>
      <c r="ADQ41" s="3"/>
      <c r="ADR41" s="3"/>
      <c r="ADS41" s="3"/>
      <c r="ADT41" s="3"/>
      <c r="ADU41" s="3"/>
      <c r="ADV41" s="3"/>
      <c r="ADW41" s="3"/>
      <c r="ADX41" s="3"/>
      <c r="ADY41" s="3"/>
      <c r="ADZ41" s="3"/>
      <c r="AEA41" s="3"/>
      <c r="AEB41" s="3"/>
      <c r="AEC41" s="3"/>
      <c r="AED41" s="3"/>
      <c r="AEE41" s="3"/>
      <c r="AEF41" s="3"/>
      <c r="AEG41" s="3"/>
      <c r="AEH41" s="3"/>
      <c r="AEI41" s="3"/>
      <c r="AEJ41" s="3"/>
      <c r="AEK41" s="3"/>
      <c r="AEL41" s="3"/>
      <c r="AEM41" s="3"/>
      <c r="AEN41" s="3"/>
      <c r="AEO41" s="3"/>
      <c r="AEP41" s="3"/>
      <c r="AEQ41" s="3"/>
      <c r="AER41" s="3"/>
      <c r="AES41" s="3"/>
      <c r="AET41" s="3"/>
      <c r="AEU41" s="3"/>
      <c r="AEV41" s="3"/>
      <c r="AEW41" s="3"/>
      <c r="AEX41" s="3"/>
      <c r="AEY41" s="3"/>
      <c r="AEZ41" s="3"/>
      <c r="AFA41" s="3"/>
      <c r="AFB41" s="3"/>
      <c r="AFC41" s="3"/>
      <c r="AFD41" s="3"/>
      <c r="AFE41" s="3"/>
      <c r="AFF41" s="3"/>
      <c r="AFG41" s="3"/>
      <c r="AFH41" s="3"/>
      <c r="AFI41" s="3"/>
      <c r="AFJ41" s="3"/>
      <c r="AFK41" s="3"/>
      <c r="AFL41" s="3"/>
      <c r="AFM41" s="3"/>
      <c r="AFN41" s="3"/>
      <c r="AFO41" s="3"/>
      <c r="AFP41" s="3"/>
      <c r="AFQ41" s="3"/>
      <c r="AFR41" s="3"/>
      <c r="AFS41" s="3"/>
      <c r="AFT41" s="3"/>
      <c r="AFU41" s="3"/>
      <c r="AFV41" s="3"/>
      <c r="AFW41" s="3"/>
      <c r="AFX41" s="3"/>
      <c r="AFY41" s="3"/>
      <c r="AFZ41" s="3"/>
      <c r="AGA41" s="3"/>
      <c r="AGB41" s="3"/>
      <c r="AGC41" s="3"/>
      <c r="AGD41" s="3"/>
      <c r="AGE41" s="3"/>
      <c r="AGF41" s="3"/>
      <c r="AGG41" s="3"/>
      <c r="AGH41" s="3"/>
      <c r="AGI41" s="3"/>
      <c r="AGJ41" s="3"/>
      <c r="AGK41" s="3"/>
      <c r="AGL41" s="3"/>
      <c r="AGM41" s="3"/>
      <c r="AGN41" s="3"/>
      <c r="AGO41" s="3"/>
      <c r="AGP41" s="3"/>
      <c r="AGQ41" s="3"/>
      <c r="AGR41" s="3"/>
      <c r="AGS41" s="3"/>
      <c r="AGT41" s="3"/>
      <c r="AGU41" s="3"/>
      <c r="AGV41" s="3"/>
      <c r="AGW41" s="3"/>
      <c r="AGX41" s="3"/>
      <c r="AGY41" s="3"/>
      <c r="AGZ41" s="3"/>
      <c r="AHA41" s="3"/>
      <c r="AHB41" s="3"/>
    </row>
    <row r="42" ht="24" customHeight="1" spans="1:886">
      <c r="A42" s="340">
        <v>38</v>
      </c>
      <c r="B42" s="277"/>
      <c r="C42" s="517" t="s">
        <v>124</v>
      </c>
      <c r="D42" s="346"/>
      <c r="E42" s="346"/>
      <c r="F42" s="81">
        <v>3</v>
      </c>
      <c r="G42" s="354" t="s">
        <v>492</v>
      </c>
      <c r="H42" s="360" t="s">
        <v>493</v>
      </c>
      <c r="I42" s="366" t="s">
        <v>128</v>
      </c>
      <c r="J42" s="366"/>
      <c r="K42" s="366" t="s">
        <v>128</v>
      </c>
      <c r="L42" s="366" t="s">
        <v>128</v>
      </c>
      <c r="M42" s="366"/>
      <c r="N42" s="376" t="s">
        <v>494</v>
      </c>
      <c r="O42" s="377" t="s">
        <v>495</v>
      </c>
      <c r="P42" s="375"/>
      <c r="Q42" s="373" t="str">
        <f>CONCATENATE(RemovePunctuation(H42),"_CA","_","i5K","_",C42,"_",AD42,"_",PROPER(R42),IF(S42="",PROPER(R42),PROPER(S42)),PROPER(T42),PROPER(U42),PROPER(V42),IF(V42&lt;&gt;"","SUB",""),PROPER(W42),IF(W42&lt;&gt;"","SUB",""),"_","Ed","_","M4",".mpg")</f>
        <v>RemembranceOfThingsPastEp10_CA_i5K_0325_169_ZhoZhoZhoSUB_Ed_M4.mpg</v>
      </c>
      <c r="R42" s="388" t="s">
        <v>136</v>
      </c>
      <c r="S42" s="391"/>
      <c r="T42" s="390"/>
      <c r="U42" s="390"/>
      <c r="V42" s="388" t="s">
        <v>136</v>
      </c>
      <c r="W42" s="393"/>
      <c r="X42" s="340" t="s">
        <v>135</v>
      </c>
      <c r="Y42" s="340" t="s">
        <v>135</v>
      </c>
      <c r="Z42" s="120">
        <f t="shared" si="7"/>
        <v>75</v>
      </c>
      <c r="AA42" s="303" t="str">
        <f t="shared" si="8"/>
        <v>01:15:00</v>
      </c>
      <c r="AB42" s="120">
        <f t="shared" si="5"/>
        <v>4500</v>
      </c>
      <c r="AC42" s="406">
        <v>0.0519212962962963</v>
      </c>
      <c r="AD42" s="407">
        <v>169</v>
      </c>
      <c r="AE42" s="407">
        <v>43</v>
      </c>
      <c r="AF42" s="340" t="s">
        <v>228</v>
      </c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  <c r="AAN42" s="3"/>
      <c r="AAO42" s="3"/>
      <c r="AAP42" s="3"/>
      <c r="AAQ42" s="3"/>
      <c r="AAR42" s="3"/>
      <c r="AAS42" s="3"/>
      <c r="AAT42" s="3"/>
      <c r="AAU42" s="3"/>
      <c r="AAV42" s="3"/>
      <c r="AAW42" s="3"/>
      <c r="AAX42" s="3"/>
      <c r="AAY42" s="3"/>
      <c r="AAZ42" s="3"/>
      <c r="ABA42" s="3"/>
      <c r="ABB42" s="3"/>
      <c r="ABC42" s="3"/>
      <c r="ABD42" s="3"/>
      <c r="ABE42" s="3"/>
      <c r="ABF42" s="3"/>
      <c r="ABG42" s="3"/>
      <c r="ABH42" s="3"/>
      <c r="ABI42" s="3"/>
      <c r="ABJ42" s="3"/>
      <c r="ABK42" s="3"/>
      <c r="ABL42" s="3"/>
      <c r="ABM42" s="3"/>
      <c r="ABN42" s="3"/>
      <c r="ABO42" s="3"/>
      <c r="ABP42" s="3"/>
      <c r="ABQ42" s="3"/>
      <c r="ABR42" s="3"/>
      <c r="ABS42" s="3"/>
      <c r="ABT42" s="3"/>
      <c r="ABU42" s="3"/>
      <c r="ABV42" s="3"/>
      <c r="ABW42" s="3"/>
      <c r="ABX42" s="3"/>
      <c r="ABY42" s="3"/>
      <c r="ABZ42" s="3"/>
      <c r="ACA42" s="3"/>
      <c r="ACB42" s="3"/>
      <c r="ACC42" s="3"/>
      <c r="ACD42" s="3"/>
      <c r="ACE42" s="3"/>
      <c r="ACF42" s="3"/>
      <c r="ACG42" s="3"/>
      <c r="ACH42" s="3"/>
      <c r="ACI42" s="3"/>
      <c r="ACJ42" s="3"/>
      <c r="ACK42" s="3"/>
      <c r="ACL42" s="3"/>
      <c r="ACM42" s="3"/>
      <c r="ACN42" s="3"/>
      <c r="ACO42" s="3"/>
      <c r="ACP42" s="3"/>
      <c r="ACQ42" s="3"/>
      <c r="ACR42" s="3"/>
      <c r="ACS42" s="3"/>
      <c r="ACT42" s="3"/>
      <c r="ACU42" s="3"/>
      <c r="ACV42" s="3"/>
      <c r="ACW42" s="3"/>
      <c r="ACX42" s="3"/>
      <c r="ACY42" s="3"/>
      <c r="ACZ42" s="3"/>
      <c r="ADA42" s="3"/>
      <c r="ADB42" s="3"/>
      <c r="ADC42" s="3"/>
      <c r="ADD42" s="3"/>
      <c r="ADE42" s="3"/>
      <c r="ADF42" s="3"/>
      <c r="ADG42" s="3"/>
      <c r="ADH42" s="3"/>
      <c r="ADI42" s="3"/>
      <c r="ADJ42" s="3"/>
      <c r="ADK42" s="3"/>
      <c r="ADL42" s="3"/>
      <c r="ADM42" s="3"/>
      <c r="ADN42" s="3"/>
      <c r="ADO42" s="3"/>
      <c r="ADP42" s="3"/>
      <c r="ADQ42" s="3"/>
      <c r="ADR42" s="3"/>
      <c r="ADS42" s="3"/>
      <c r="ADT42" s="3"/>
      <c r="ADU42" s="3"/>
      <c r="ADV42" s="3"/>
      <c r="ADW42" s="3"/>
      <c r="ADX42" s="3"/>
      <c r="ADY42" s="3"/>
      <c r="ADZ42" s="3"/>
      <c r="AEA42" s="3"/>
      <c r="AEB42" s="3"/>
      <c r="AEC42" s="3"/>
      <c r="AED42" s="3"/>
      <c r="AEE42" s="3"/>
      <c r="AEF42" s="3"/>
      <c r="AEG42" s="3"/>
      <c r="AEH42" s="3"/>
      <c r="AEI42" s="3"/>
      <c r="AEJ42" s="3"/>
      <c r="AEK42" s="3"/>
      <c r="AEL42" s="3"/>
      <c r="AEM42" s="3"/>
      <c r="AEN42" s="3"/>
      <c r="AEO42" s="3"/>
      <c r="AEP42" s="3"/>
      <c r="AEQ42" s="3"/>
      <c r="AER42" s="3"/>
      <c r="AES42" s="3"/>
      <c r="AET42" s="3"/>
      <c r="AEU42" s="3"/>
      <c r="AEV42" s="3"/>
      <c r="AEW42" s="3"/>
      <c r="AEX42" s="3"/>
      <c r="AEY42" s="3"/>
      <c r="AEZ42" s="3"/>
      <c r="AFA42" s="3"/>
      <c r="AFB42" s="3"/>
      <c r="AFC42" s="3"/>
      <c r="AFD42" s="3"/>
      <c r="AFE42" s="3"/>
      <c r="AFF42" s="3"/>
      <c r="AFG42" s="3"/>
      <c r="AFH42" s="3"/>
      <c r="AFI42" s="3"/>
      <c r="AFJ42" s="3"/>
      <c r="AFK42" s="3"/>
      <c r="AFL42" s="3"/>
      <c r="AFM42" s="3"/>
      <c r="AFN42" s="3"/>
      <c r="AFO42" s="3"/>
      <c r="AFP42" s="3"/>
      <c r="AFQ42" s="3"/>
      <c r="AFR42" s="3"/>
      <c r="AFS42" s="3"/>
      <c r="AFT42" s="3"/>
      <c r="AFU42" s="3"/>
      <c r="AFV42" s="3"/>
      <c r="AFW42" s="3"/>
      <c r="AFX42" s="3"/>
      <c r="AFY42" s="3"/>
      <c r="AFZ42" s="3"/>
      <c r="AGA42" s="3"/>
      <c r="AGB42" s="3"/>
      <c r="AGC42" s="3"/>
      <c r="AGD42" s="3"/>
      <c r="AGE42" s="3"/>
      <c r="AGF42" s="3"/>
      <c r="AGG42" s="3"/>
      <c r="AGH42" s="3"/>
      <c r="AGI42" s="3"/>
      <c r="AGJ42" s="3"/>
      <c r="AGK42" s="3"/>
      <c r="AGL42" s="3"/>
      <c r="AGM42" s="3"/>
      <c r="AGN42" s="3"/>
      <c r="AGO42" s="3"/>
      <c r="AGP42" s="3"/>
      <c r="AGQ42" s="3"/>
      <c r="AGR42" s="3"/>
      <c r="AGS42" s="3"/>
      <c r="AGT42" s="3"/>
      <c r="AGU42" s="3"/>
      <c r="AGV42" s="3"/>
      <c r="AGW42" s="3"/>
      <c r="AGX42" s="3"/>
      <c r="AGY42" s="3"/>
      <c r="AGZ42" s="3"/>
      <c r="AHA42" s="3"/>
      <c r="AHB42" s="3"/>
    </row>
    <row r="43" ht="24" customHeight="1" spans="1:886">
      <c r="A43" s="340">
        <v>39</v>
      </c>
      <c r="B43" s="277"/>
      <c r="C43" s="517" t="s">
        <v>124</v>
      </c>
      <c r="D43" s="346"/>
      <c r="E43" s="346"/>
      <c r="F43" s="81">
        <v>4</v>
      </c>
      <c r="G43" s="354" t="s">
        <v>496</v>
      </c>
      <c r="H43" s="361" t="s">
        <v>497</v>
      </c>
      <c r="I43" s="366" t="s">
        <v>128</v>
      </c>
      <c r="J43" s="366"/>
      <c r="K43" s="366" t="s">
        <v>128</v>
      </c>
      <c r="L43" s="366" t="s">
        <v>128</v>
      </c>
      <c r="M43" s="366"/>
      <c r="N43" s="376" t="s">
        <v>498</v>
      </c>
      <c r="O43" s="377" t="s">
        <v>499</v>
      </c>
      <c r="P43" s="375"/>
      <c r="Q43" s="373" t="str">
        <f>CONCATENATE(RemovePunctuation(H43),"_CA","_","i5K","_",C43,"_",AD43,"_",PROPER(R43),IF(S43="",PROPER(R43),PROPER(S43)),PROPER(T43),PROPER(U43),PROPER(V43),IF(V43&lt;&gt;"","SUB",""),PROPER(W43),IF(W43&lt;&gt;"","SUB",""),"_","Ed","_","M4",".mpg")</f>
        <v>RemembranceOfThingsPastEp09_CA_i5K_0325_169_ZhoZhoZhoSUB_Ed_M4.mpg</v>
      </c>
      <c r="R43" s="388" t="s">
        <v>136</v>
      </c>
      <c r="S43" s="391"/>
      <c r="T43" s="390"/>
      <c r="U43" s="390"/>
      <c r="V43" s="388" t="s">
        <v>136</v>
      </c>
      <c r="W43" s="393"/>
      <c r="X43" s="340" t="s">
        <v>135</v>
      </c>
      <c r="Y43" s="340" t="s">
        <v>135</v>
      </c>
      <c r="Z43" s="120">
        <f t="shared" si="7"/>
        <v>75</v>
      </c>
      <c r="AA43" s="303" t="str">
        <f t="shared" si="8"/>
        <v>01:15:00</v>
      </c>
      <c r="AB43" s="120">
        <f t="shared" si="5"/>
        <v>4500</v>
      </c>
      <c r="AC43" s="406">
        <v>0.0522453703703704</v>
      </c>
      <c r="AD43" s="407">
        <v>169</v>
      </c>
      <c r="AE43" s="407">
        <v>43</v>
      </c>
      <c r="AF43" s="340" t="s">
        <v>228</v>
      </c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  <c r="AAN43" s="3"/>
      <c r="AAO43" s="3"/>
      <c r="AAP43" s="3"/>
      <c r="AAQ43" s="3"/>
      <c r="AAR43" s="3"/>
      <c r="AAS43" s="3"/>
      <c r="AAT43" s="3"/>
      <c r="AAU43" s="3"/>
      <c r="AAV43" s="3"/>
      <c r="AAW43" s="3"/>
      <c r="AAX43" s="3"/>
      <c r="AAY43" s="3"/>
      <c r="AAZ43" s="3"/>
      <c r="ABA43" s="3"/>
      <c r="ABB43" s="3"/>
      <c r="ABC43" s="3"/>
      <c r="ABD43" s="3"/>
      <c r="ABE43" s="3"/>
      <c r="ABF43" s="3"/>
      <c r="ABG43" s="3"/>
      <c r="ABH43" s="3"/>
      <c r="ABI43" s="3"/>
      <c r="ABJ43" s="3"/>
      <c r="ABK43" s="3"/>
      <c r="ABL43" s="3"/>
      <c r="ABM43" s="3"/>
      <c r="ABN43" s="3"/>
      <c r="ABO43" s="3"/>
      <c r="ABP43" s="3"/>
      <c r="ABQ43" s="3"/>
      <c r="ABR43" s="3"/>
      <c r="ABS43" s="3"/>
      <c r="ABT43" s="3"/>
      <c r="ABU43" s="3"/>
      <c r="ABV43" s="3"/>
      <c r="ABW43" s="3"/>
      <c r="ABX43" s="3"/>
      <c r="ABY43" s="3"/>
      <c r="ABZ43" s="3"/>
      <c r="ACA43" s="3"/>
      <c r="ACB43" s="3"/>
      <c r="ACC43" s="3"/>
      <c r="ACD43" s="3"/>
      <c r="ACE43" s="3"/>
      <c r="ACF43" s="3"/>
      <c r="ACG43" s="3"/>
      <c r="ACH43" s="3"/>
      <c r="ACI43" s="3"/>
      <c r="ACJ43" s="3"/>
      <c r="ACK43" s="3"/>
      <c r="ACL43" s="3"/>
      <c r="ACM43" s="3"/>
      <c r="ACN43" s="3"/>
      <c r="ACO43" s="3"/>
      <c r="ACP43" s="3"/>
      <c r="ACQ43" s="3"/>
      <c r="ACR43" s="3"/>
      <c r="ACS43" s="3"/>
      <c r="ACT43" s="3"/>
      <c r="ACU43" s="3"/>
      <c r="ACV43" s="3"/>
      <c r="ACW43" s="3"/>
      <c r="ACX43" s="3"/>
      <c r="ACY43" s="3"/>
      <c r="ACZ43" s="3"/>
      <c r="ADA43" s="3"/>
      <c r="ADB43" s="3"/>
      <c r="ADC43" s="3"/>
      <c r="ADD43" s="3"/>
      <c r="ADE43" s="3"/>
      <c r="ADF43" s="3"/>
      <c r="ADG43" s="3"/>
      <c r="ADH43" s="3"/>
      <c r="ADI43" s="3"/>
      <c r="ADJ43" s="3"/>
      <c r="ADK43" s="3"/>
      <c r="ADL43" s="3"/>
      <c r="ADM43" s="3"/>
      <c r="ADN43" s="3"/>
      <c r="ADO43" s="3"/>
      <c r="ADP43" s="3"/>
      <c r="ADQ43" s="3"/>
      <c r="ADR43" s="3"/>
      <c r="ADS43" s="3"/>
      <c r="ADT43" s="3"/>
      <c r="ADU43" s="3"/>
      <c r="ADV43" s="3"/>
      <c r="ADW43" s="3"/>
      <c r="ADX43" s="3"/>
      <c r="ADY43" s="3"/>
      <c r="ADZ43" s="3"/>
      <c r="AEA43" s="3"/>
      <c r="AEB43" s="3"/>
      <c r="AEC43" s="3"/>
      <c r="AED43" s="3"/>
      <c r="AEE43" s="3"/>
      <c r="AEF43" s="3"/>
      <c r="AEG43" s="3"/>
      <c r="AEH43" s="3"/>
      <c r="AEI43" s="3"/>
      <c r="AEJ43" s="3"/>
      <c r="AEK43" s="3"/>
      <c r="AEL43" s="3"/>
      <c r="AEM43" s="3"/>
      <c r="AEN43" s="3"/>
      <c r="AEO43" s="3"/>
      <c r="AEP43" s="3"/>
      <c r="AEQ43" s="3"/>
      <c r="AER43" s="3"/>
      <c r="AES43" s="3"/>
      <c r="AET43" s="3"/>
      <c r="AEU43" s="3"/>
      <c r="AEV43" s="3"/>
      <c r="AEW43" s="3"/>
      <c r="AEX43" s="3"/>
      <c r="AEY43" s="3"/>
      <c r="AEZ43" s="3"/>
      <c r="AFA43" s="3"/>
      <c r="AFB43" s="3"/>
      <c r="AFC43" s="3"/>
      <c r="AFD43" s="3"/>
      <c r="AFE43" s="3"/>
      <c r="AFF43" s="3"/>
      <c r="AFG43" s="3"/>
      <c r="AFH43" s="3"/>
      <c r="AFI43" s="3"/>
      <c r="AFJ43" s="3"/>
      <c r="AFK43" s="3"/>
      <c r="AFL43" s="3"/>
      <c r="AFM43" s="3"/>
      <c r="AFN43" s="3"/>
      <c r="AFO43" s="3"/>
      <c r="AFP43" s="3"/>
      <c r="AFQ43" s="3"/>
      <c r="AFR43" s="3"/>
      <c r="AFS43" s="3"/>
      <c r="AFT43" s="3"/>
      <c r="AFU43" s="3"/>
      <c r="AFV43" s="3"/>
      <c r="AFW43" s="3"/>
      <c r="AFX43" s="3"/>
      <c r="AFY43" s="3"/>
      <c r="AFZ43" s="3"/>
      <c r="AGA43" s="3"/>
      <c r="AGB43" s="3"/>
      <c r="AGC43" s="3"/>
      <c r="AGD43" s="3"/>
      <c r="AGE43" s="3"/>
      <c r="AGF43" s="3"/>
      <c r="AGG43" s="3"/>
      <c r="AGH43" s="3"/>
      <c r="AGI43" s="3"/>
      <c r="AGJ43" s="3"/>
      <c r="AGK43" s="3"/>
      <c r="AGL43" s="3"/>
      <c r="AGM43" s="3"/>
      <c r="AGN43" s="3"/>
      <c r="AGO43" s="3"/>
      <c r="AGP43" s="3"/>
      <c r="AGQ43" s="3"/>
      <c r="AGR43" s="3"/>
      <c r="AGS43" s="3"/>
      <c r="AGT43" s="3"/>
      <c r="AGU43" s="3"/>
      <c r="AGV43" s="3"/>
      <c r="AGW43" s="3"/>
      <c r="AGX43" s="3"/>
      <c r="AGY43" s="3"/>
      <c r="AGZ43" s="3"/>
      <c r="AHA43" s="3"/>
      <c r="AHB43" s="3"/>
    </row>
    <row r="44" ht="24" customHeight="1" spans="1:886">
      <c r="A44" s="340">
        <v>40</v>
      </c>
      <c r="B44" s="277"/>
      <c r="C44" s="517" t="s">
        <v>124</v>
      </c>
      <c r="D44" s="346"/>
      <c r="E44" s="346"/>
      <c r="F44" s="81">
        <v>5</v>
      </c>
      <c r="G44" s="354" t="s">
        <v>500</v>
      </c>
      <c r="H44" s="361" t="s">
        <v>501</v>
      </c>
      <c r="I44" s="366" t="s">
        <v>128</v>
      </c>
      <c r="J44" s="366"/>
      <c r="K44" s="366" t="s">
        <v>128</v>
      </c>
      <c r="L44" s="366" t="s">
        <v>128</v>
      </c>
      <c r="M44" s="366"/>
      <c r="N44" s="376" t="s">
        <v>502</v>
      </c>
      <c r="O44" s="377" t="s">
        <v>503</v>
      </c>
      <c r="P44" s="375"/>
      <c r="Q44" s="373" t="str">
        <f>CONCATENATE(RemovePunctuation(H44),"_CA","_","i5K","_",C44,"_",AD44,"_",PROPER(R44),IF(S44="",PROPER(R44),PROPER(S44)),PROPER(T44),PROPER(U44),PROPER(V44),IF(V44&lt;&gt;"","SUB",""),PROPER(W44),IF(W44&lt;&gt;"","SUB",""),"_","Ed","_","M4",".mpg")</f>
        <v>RemembranceOfThingsPastEp08_CA_i5K_0325_169_ZhoZhoZhoSUB_Ed_M4.mpg</v>
      </c>
      <c r="R44" s="388" t="s">
        <v>136</v>
      </c>
      <c r="S44" s="391"/>
      <c r="T44" s="390"/>
      <c r="U44" s="390"/>
      <c r="V44" s="388" t="s">
        <v>136</v>
      </c>
      <c r="W44" s="393"/>
      <c r="X44" s="340" t="s">
        <v>135</v>
      </c>
      <c r="Y44" s="340" t="s">
        <v>135</v>
      </c>
      <c r="Z44" s="120">
        <f t="shared" si="7"/>
        <v>75</v>
      </c>
      <c r="AA44" s="303" t="str">
        <f t="shared" si="8"/>
        <v>01:15:00</v>
      </c>
      <c r="AB44" s="120">
        <f t="shared" si="5"/>
        <v>4500</v>
      </c>
      <c r="AC44" s="406">
        <v>0.0524189814814815</v>
      </c>
      <c r="AD44" s="407">
        <v>169</v>
      </c>
      <c r="AE44" s="407">
        <v>43</v>
      </c>
      <c r="AF44" s="340" t="s">
        <v>228</v>
      </c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  <c r="AAN44" s="3"/>
      <c r="AAO44" s="3"/>
      <c r="AAP44" s="3"/>
      <c r="AAQ44" s="3"/>
      <c r="AAR44" s="3"/>
      <c r="AAS44" s="3"/>
      <c r="AAT44" s="3"/>
      <c r="AAU44" s="3"/>
      <c r="AAV44" s="3"/>
      <c r="AAW44" s="3"/>
      <c r="AAX44" s="3"/>
      <c r="AAY44" s="3"/>
      <c r="AAZ44" s="3"/>
      <c r="ABA44" s="3"/>
      <c r="ABB44" s="3"/>
      <c r="ABC44" s="3"/>
      <c r="ABD44" s="3"/>
      <c r="ABE44" s="3"/>
      <c r="ABF44" s="3"/>
      <c r="ABG44" s="3"/>
      <c r="ABH44" s="3"/>
      <c r="ABI44" s="3"/>
      <c r="ABJ44" s="3"/>
      <c r="ABK44" s="3"/>
      <c r="ABL44" s="3"/>
      <c r="ABM44" s="3"/>
      <c r="ABN44" s="3"/>
      <c r="ABO44" s="3"/>
      <c r="ABP44" s="3"/>
      <c r="ABQ44" s="3"/>
      <c r="ABR44" s="3"/>
      <c r="ABS44" s="3"/>
      <c r="ABT44" s="3"/>
      <c r="ABU44" s="3"/>
      <c r="ABV44" s="3"/>
      <c r="ABW44" s="3"/>
      <c r="ABX44" s="3"/>
      <c r="ABY44" s="3"/>
      <c r="ABZ44" s="3"/>
      <c r="ACA44" s="3"/>
      <c r="ACB44" s="3"/>
      <c r="ACC44" s="3"/>
      <c r="ACD44" s="3"/>
      <c r="ACE44" s="3"/>
      <c r="ACF44" s="3"/>
      <c r="ACG44" s="3"/>
      <c r="ACH44" s="3"/>
      <c r="ACI44" s="3"/>
      <c r="ACJ44" s="3"/>
      <c r="ACK44" s="3"/>
      <c r="ACL44" s="3"/>
      <c r="ACM44" s="3"/>
      <c r="ACN44" s="3"/>
      <c r="ACO44" s="3"/>
      <c r="ACP44" s="3"/>
      <c r="ACQ44" s="3"/>
      <c r="ACR44" s="3"/>
      <c r="ACS44" s="3"/>
      <c r="ACT44" s="3"/>
      <c r="ACU44" s="3"/>
      <c r="ACV44" s="3"/>
      <c r="ACW44" s="3"/>
      <c r="ACX44" s="3"/>
      <c r="ACY44" s="3"/>
      <c r="ACZ44" s="3"/>
      <c r="ADA44" s="3"/>
      <c r="ADB44" s="3"/>
      <c r="ADC44" s="3"/>
      <c r="ADD44" s="3"/>
      <c r="ADE44" s="3"/>
      <c r="ADF44" s="3"/>
      <c r="ADG44" s="3"/>
      <c r="ADH44" s="3"/>
      <c r="ADI44" s="3"/>
      <c r="ADJ44" s="3"/>
      <c r="ADK44" s="3"/>
      <c r="ADL44" s="3"/>
      <c r="ADM44" s="3"/>
      <c r="ADN44" s="3"/>
      <c r="ADO44" s="3"/>
      <c r="ADP44" s="3"/>
      <c r="ADQ44" s="3"/>
      <c r="ADR44" s="3"/>
      <c r="ADS44" s="3"/>
      <c r="ADT44" s="3"/>
      <c r="ADU44" s="3"/>
      <c r="ADV44" s="3"/>
      <c r="ADW44" s="3"/>
      <c r="ADX44" s="3"/>
      <c r="ADY44" s="3"/>
      <c r="ADZ44" s="3"/>
      <c r="AEA44" s="3"/>
      <c r="AEB44" s="3"/>
      <c r="AEC44" s="3"/>
      <c r="AED44" s="3"/>
      <c r="AEE44" s="3"/>
      <c r="AEF44" s="3"/>
      <c r="AEG44" s="3"/>
      <c r="AEH44" s="3"/>
      <c r="AEI44" s="3"/>
      <c r="AEJ44" s="3"/>
      <c r="AEK44" s="3"/>
      <c r="AEL44" s="3"/>
      <c r="AEM44" s="3"/>
      <c r="AEN44" s="3"/>
      <c r="AEO44" s="3"/>
      <c r="AEP44" s="3"/>
      <c r="AEQ44" s="3"/>
      <c r="AER44" s="3"/>
      <c r="AES44" s="3"/>
      <c r="AET44" s="3"/>
      <c r="AEU44" s="3"/>
      <c r="AEV44" s="3"/>
      <c r="AEW44" s="3"/>
      <c r="AEX44" s="3"/>
      <c r="AEY44" s="3"/>
      <c r="AEZ44" s="3"/>
      <c r="AFA44" s="3"/>
      <c r="AFB44" s="3"/>
      <c r="AFC44" s="3"/>
      <c r="AFD44" s="3"/>
      <c r="AFE44" s="3"/>
      <c r="AFF44" s="3"/>
      <c r="AFG44" s="3"/>
      <c r="AFH44" s="3"/>
      <c r="AFI44" s="3"/>
      <c r="AFJ44" s="3"/>
      <c r="AFK44" s="3"/>
      <c r="AFL44" s="3"/>
      <c r="AFM44" s="3"/>
      <c r="AFN44" s="3"/>
      <c r="AFO44" s="3"/>
      <c r="AFP44" s="3"/>
      <c r="AFQ44" s="3"/>
      <c r="AFR44" s="3"/>
      <c r="AFS44" s="3"/>
      <c r="AFT44" s="3"/>
      <c r="AFU44" s="3"/>
      <c r="AFV44" s="3"/>
      <c r="AFW44" s="3"/>
      <c r="AFX44" s="3"/>
      <c r="AFY44" s="3"/>
      <c r="AFZ44" s="3"/>
      <c r="AGA44" s="3"/>
      <c r="AGB44" s="3"/>
      <c r="AGC44" s="3"/>
      <c r="AGD44" s="3"/>
      <c r="AGE44" s="3"/>
      <c r="AGF44" s="3"/>
      <c r="AGG44" s="3"/>
      <c r="AGH44" s="3"/>
      <c r="AGI44" s="3"/>
      <c r="AGJ44" s="3"/>
      <c r="AGK44" s="3"/>
      <c r="AGL44" s="3"/>
      <c r="AGM44" s="3"/>
      <c r="AGN44" s="3"/>
      <c r="AGO44" s="3"/>
      <c r="AGP44" s="3"/>
      <c r="AGQ44" s="3"/>
      <c r="AGR44" s="3"/>
      <c r="AGS44" s="3"/>
      <c r="AGT44" s="3"/>
      <c r="AGU44" s="3"/>
      <c r="AGV44" s="3"/>
      <c r="AGW44" s="3"/>
      <c r="AGX44" s="3"/>
      <c r="AGY44" s="3"/>
      <c r="AGZ44" s="3"/>
      <c r="AHA44" s="3"/>
      <c r="AHB44" s="3"/>
    </row>
    <row r="45" ht="24" customHeight="1" spans="1:886">
      <c r="A45" s="340">
        <v>41</v>
      </c>
      <c r="B45" s="277"/>
      <c r="C45" s="517" t="s">
        <v>124</v>
      </c>
      <c r="D45" s="346"/>
      <c r="E45" s="346"/>
      <c r="F45" s="81">
        <v>6</v>
      </c>
      <c r="G45" s="354" t="s">
        <v>504</v>
      </c>
      <c r="H45" s="361" t="s">
        <v>505</v>
      </c>
      <c r="I45" s="366" t="s">
        <v>128</v>
      </c>
      <c r="J45" s="366"/>
      <c r="K45" s="366"/>
      <c r="L45" s="366" t="s">
        <v>128</v>
      </c>
      <c r="M45" s="366"/>
      <c r="N45" s="376" t="s">
        <v>506</v>
      </c>
      <c r="O45" s="377"/>
      <c r="P45" s="375"/>
      <c r="Q45" s="373" t="str">
        <f>CONCATENATE(RemovePunctuation(H45),"_CA","_","i5K","_",C45,"_",AD45,"_",PROPER(R45),IF(S45="",PROPER(R45),PROPER(S45)),PROPER(T45),PROPER(U45),PROPER(V45),IF(V45&lt;&gt;"","SUB",""),PROPER(W45),IF(W45&lt;&gt;"","SUB",""),"_","Ed","_","M4",".mpg")</f>
        <v>RemembranceOfThingsPastEp07_CA_i5K_0325_169_ZhoZhoZhoSUB_Ed_M4.mpg</v>
      </c>
      <c r="R45" s="388" t="s">
        <v>136</v>
      </c>
      <c r="S45" s="391"/>
      <c r="T45" s="390"/>
      <c r="U45" s="390"/>
      <c r="V45" s="388" t="s">
        <v>136</v>
      </c>
      <c r="W45" s="393"/>
      <c r="X45" s="340" t="s">
        <v>135</v>
      </c>
      <c r="Y45" s="340" t="s">
        <v>135</v>
      </c>
      <c r="Z45" s="120">
        <f t="shared" si="7"/>
        <v>75</v>
      </c>
      <c r="AA45" s="303" t="str">
        <f t="shared" si="8"/>
        <v>01:15:00</v>
      </c>
      <c r="AB45" s="120">
        <f t="shared" ref="AB45:AB75" si="9">Z45*60</f>
        <v>4500</v>
      </c>
      <c r="AC45" s="406">
        <v>0.0522453703703704</v>
      </c>
      <c r="AD45" s="407">
        <v>169</v>
      </c>
      <c r="AE45" s="407">
        <v>43</v>
      </c>
      <c r="AF45" s="340" t="s">
        <v>228</v>
      </c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  <c r="AAN45" s="3"/>
      <c r="AAO45" s="3"/>
      <c r="AAP45" s="3"/>
      <c r="AAQ45" s="3"/>
      <c r="AAR45" s="3"/>
      <c r="AAS45" s="3"/>
      <c r="AAT45" s="3"/>
      <c r="AAU45" s="3"/>
      <c r="AAV45" s="3"/>
      <c r="AAW45" s="3"/>
      <c r="AAX45" s="3"/>
      <c r="AAY45" s="3"/>
      <c r="AAZ45" s="3"/>
      <c r="ABA45" s="3"/>
      <c r="ABB45" s="3"/>
      <c r="ABC45" s="3"/>
      <c r="ABD45" s="3"/>
      <c r="ABE45" s="3"/>
      <c r="ABF45" s="3"/>
      <c r="ABG45" s="3"/>
      <c r="ABH45" s="3"/>
      <c r="ABI45" s="3"/>
      <c r="ABJ45" s="3"/>
      <c r="ABK45" s="3"/>
      <c r="ABL45" s="3"/>
      <c r="ABM45" s="3"/>
      <c r="ABN45" s="3"/>
      <c r="ABO45" s="3"/>
      <c r="ABP45" s="3"/>
      <c r="ABQ45" s="3"/>
      <c r="ABR45" s="3"/>
      <c r="ABS45" s="3"/>
      <c r="ABT45" s="3"/>
      <c r="ABU45" s="3"/>
      <c r="ABV45" s="3"/>
      <c r="ABW45" s="3"/>
      <c r="ABX45" s="3"/>
      <c r="ABY45" s="3"/>
      <c r="ABZ45" s="3"/>
      <c r="ACA45" s="3"/>
      <c r="ACB45" s="3"/>
      <c r="ACC45" s="3"/>
      <c r="ACD45" s="3"/>
      <c r="ACE45" s="3"/>
      <c r="ACF45" s="3"/>
      <c r="ACG45" s="3"/>
      <c r="ACH45" s="3"/>
      <c r="ACI45" s="3"/>
      <c r="ACJ45" s="3"/>
      <c r="ACK45" s="3"/>
      <c r="ACL45" s="3"/>
      <c r="ACM45" s="3"/>
      <c r="ACN45" s="3"/>
      <c r="ACO45" s="3"/>
      <c r="ACP45" s="3"/>
      <c r="ACQ45" s="3"/>
      <c r="ACR45" s="3"/>
      <c r="ACS45" s="3"/>
      <c r="ACT45" s="3"/>
      <c r="ACU45" s="3"/>
      <c r="ACV45" s="3"/>
      <c r="ACW45" s="3"/>
      <c r="ACX45" s="3"/>
      <c r="ACY45" s="3"/>
      <c r="ACZ45" s="3"/>
      <c r="ADA45" s="3"/>
      <c r="ADB45" s="3"/>
      <c r="ADC45" s="3"/>
      <c r="ADD45" s="3"/>
      <c r="ADE45" s="3"/>
      <c r="ADF45" s="3"/>
      <c r="ADG45" s="3"/>
      <c r="ADH45" s="3"/>
      <c r="ADI45" s="3"/>
      <c r="ADJ45" s="3"/>
      <c r="ADK45" s="3"/>
      <c r="ADL45" s="3"/>
      <c r="ADM45" s="3"/>
      <c r="ADN45" s="3"/>
      <c r="ADO45" s="3"/>
      <c r="ADP45" s="3"/>
      <c r="ADQ45" s="3"/>
      <c r="ADR45" s="3"/>
      <c r="ADS45" s="3"/>
      <c r="ADT45" s="3"/>
      <c r="ADU45" s="3"/>
      <c r="ADV45" s="3"/>
      <c r="ADW45" s="3"/>
      <c r="ADX45" s="3"/>
      <c r="ADY45" s="3"/>
      <c r="ADZ45" s="3"/>
      <c r="AEA45" s="3"/>
      <c r="AEB45" s="3"/>
      <c r="AEC45" s="3"/>
      <c r="AED45" s="3"/>
      <c r="AEE45" s="3"/>
      <c r="AEF45" s="3"/>
      <c r="AEG45" s="3"/>
      <c r="AEH45" s="3"/>
      <c r="AEI45" s="3"/>
      <c r="AEJ45" s="3"/>
      <c r="AEK45" s="3"/>
      <c r="AEL45" s="3"/>
      <c r="AEM45" s="3"/>
      <c r="AEN45" s="3"/>
      <c r="AEO45" s="3"/>
      <c r="AEP45" s="3"/>
      <c r="AEQ45" s="3"/>
      <c r="AER45" s="3"/>
      <c r="AES45" s="3"/>
      <c r="AET45" s="3"/>
      <c r="AEU45" s="3"/>
      <c r="AEV45" s="3"/>
      <c r="AEW45" s="3"/>
      <c r="AEX45" s="3"/>
      <c r="AEY45" s="3"/>
      <c r="AEZ45" s="3"/>
      <c r="AFA45" s="3"/>
      <c r="AFB45" s="3"/>
      <c r="AFC45" s="3"/>
      <c r="AFD45" s="3"/>
      <c r="AFE45" s="3"/>
      <c r="AFF45" s="3"/>
      <c r="AFG45" s="3"/>
      <c r="AFH45" s="3"/>
      <c r="AFI45" s="3"/>
      <c r="AFJ45" s="3"/>
      <c r="AFK45" s="3"/>
      <c r="AFL45" s="3"/>
      <c r="AFM45" s="3"/>
      <c r="AFN45" s="3"/>
      <c r="AFO45" s="3"/>
      <c r="AFP45" s="3"/>
      <c r="AFQ45" s="3"/>
      <c r="AFR45" s="3"/>
      <c r="AFS45" s="3"/>
      <c r="AFT45" s="3"/>
      <c r="AFU45" s="3"/>
      <c r="AFV45" s="3"/>
      <c r="AFW45" s="3"/>
      <c r="AFX45" s="3"/>
      <c r="AFY45" s="3"/>
      <c r="AFZ45" s="3"/>
      <c r="AGA45" s="3"/>
      <c r="AGB45" s="3"/>
      <c r="AGC45" s="3"/>
      <c r="AGD45" s="3"/>
      <c r="AGE45" s="3"/>
      <c r="AGF45" s="3"/>
      <c r="AGG45" s="3"/>
      <c r="AGH45" s="3"/>
      <c r="AGI45" s="3"/>
      <c r="AGJ45" s="3"/>
      <c r="AGK45" s="3"/>
      <c r="AGL45" s="3"/>
      <c r="AGM45" s="3"/>
      <c r="AGN45" s="3"/>
      <c r="AGO45" s="3"/>
      <c r="AGP45" s="3"/>
      <c r="AGQ45" s="3"/>
      <c r="AGR45" s="3"/>
      <c r="AGS45" s="3"/>
      <c r="AGT45" s="3"/>
      <c r="AGU45" s="3"/>
      <c r="AGV45" s="3"/>
      <c r="AGW45" s="3"/>
      <c r="AGX45" s="3"/>
      <c r="AGY45" s="3"/>
      <c r="AGZ45" s="3"/>
      <c r="AHA45" s="3"/>
      <c r="AHB45" s="3"/>
    </row>
    <row r="46" ht="24" customHeight="1" spans="1:886">
      <c r="A46" s="340">
        <v>42</v>
      </c>
      <c r="B46" s="277"/>
      <c r="C46" s="517" t="s">
        <v>124</v>
      </c>
      <c r="D46" s="346"/>
      <c r="E46" s="346"/>
      <c r="F46" s="81">
        <v>7</v>
      </c>
      <c r="G46" s="354" t="s">
        <v>507</v>
      </c>
      <c r="H46" s="361" t="s">
        <v>508</v>
      </c>
      <c r="I46" s="366" t="s">
        <v>128</v>
      </c>
      <c r="J46" s="366"/>
      <c r="K46" s="366"/>
      <c r="L46" s="366" t="s">
        <v>128</v>
      </c>
      <c r="M46" s="366"/>
      <c r="N46" s="376" t="s">
        <v>509</v>
      </c>
      <c r="O46" s="377"/>
      <c r="P46" s="375"/>
      <c r="Q46" s="373" t="str">
        <f>CONCATENATE(RemovePunctuation(H46),"_CA","_","i5K","_",C46,"_",AD46,"_",PROPER(R46),IF(S46="",PROPER(R46),PROPER(S46)),PROPER(T46),PROPER(U46),PROPER(V46),IF(V46&lt;&gt;"","SUB",""),PROPER(W46),IF(W46&lt;&gt;"","SUB",""),"_","Ed","_","M4",".mpg")</f>
        <v>RemembranceOfThingsPastEp06_CA_i5K_0325_169_ZhoZhoZhoSUB_Ed_M4.mpg</v>
      </c>
      <c r="R46" s="388" t="s">
        <v>136</v>
      </c>
      <c r="S46" s="391"/>
      <c r="T46" s="390"/>
      <c r="U46" s="390"/>
      <c r="V46" s="388" t="s">
        <v>136</v>
      </c>
      <c r="W46" s="393"/>
      <c r="X46" s="340" t="s">
        <v>135</v>
      </c>
      <c r="Y46" s="340" t="s">
        <v>135</v>
      </c>
      <c r="Z46" s="120">
        <f t="shared" si="7"/>
        <v>75</v>
      </c>
      <c r="AA46" s="303" t="str">
        <f t="shared" si="8"/>
        <v>01:15:00</v>
      </c>
      <c r="AB46" s="120">
        <f t="shared" si="9"/>
        <v>4500</v>
      </c>
      <c r="AC46" s="406">
        <v>0.0522685185185185</v>
      </c>
      <c r="AD46" s="407">
        <v>169</v>
      </c>
      <c r="AE46" s="407">
        <v>43</v>
      </c>
      <c r="AF46" s="340" t="s">
        <v>228</v>
      </c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  <c r="AAN46" s="3"/>
      <c r="AAO46" s="3"/>
      <c r="AAP46" s="3"/>
      <c r="AAQ46" s="3"/>
      <c r="AAR46" s="3"/>
      <c r="AAS46" s="3"/>
      <c r="AAT46" s="3"/>
      <c r="AAU46" s="3"/>
      <c r="AAV46" s="3"/>
      <c r="AAW46" s="3"/>
      <c r="AAX46" s="3"/>
      <c r="AAY46" s="3"/>
      <c r="AAZ46" s="3"/>
      <c r="ABA46" s="3"/>
      <c r="ABB46" s="3"/>
      <c r="ABC46" s="3"/>
      <c r="ABD46" s="3"/>
      <c r="ABE46" s="3"/>
      <c r="ABF46" s="3"/>
      <c r="ABG46" s="3"/>
      <c r="ABH46" s="3"/>
      <c r="ABI46" s="3"/>
      <c r="ABJ46" s="3"/>
      <c r="ABK46" s="3"/>
      <c r="ABL46" s="3"/>
      <c r="ABM46" s="3"/>
      <c r="ABN46" s="3"/>
      <c r="ABO46" s="3"/>
      <c r="ABP46" s="3"/>
      <c r="ABQ46" s="3"/>
      <c r="ABR46" s="3"/>
      <c r="ABS46" s="3"/>
      <c r="ABT46" s="3"/>
      <c r="ABU46" s="3"/>
      <c r="ABV46" s="3"/>
      <c r="ABW46" s="3"/>
      <c r="ABX46" s="3"/>
      <c r="ABY46" s="3"/>
      <c r="ABZ46" s="3"/>
      <c r="ACA46" s="3"/>
      <c r="ACB46" s="3"/>
      <c r="ACC46" s="3"/>
      <c r="ACD46" s="3"/>
      <c r="ACE46" s="3"/>
      <c r="ACF46" s="3"/>
      <c r="ACG46" s="3"/>
      <c r="ACH46" s="3"/>
      <c r="ACI46" s="3"/>
      <c r="ACJ46" s="3"/>
      <c r="ACK46" s="3"/>
      <c r="ACL46" s="3"/>
      <c r="ACM46" s="3"/>
      <c r="ACN46" s="3"/>
      <c r="ACO46" s="3"/>
      <c r="ACP46" s="3"/>
      <c r="ACQ46" s="3"/>
      <c r="ACR46" s="3"/>
      <c r="ACS46" s="3"/>
      <c r="ACT46" s="3"/>
      <c r="ACU46" s="3"/>
      <c r="ACV46" s="3"/>
      <c r="ACW46" s="3"/>
      <c r="ACX46" s="3"/>
      <c r="ACY46" s="3"/>
      <c r="ACZ46" s="3"/>
      <c r="ADA46" s="3"/>
      <c r="ADB46" s="3"/>
      <c r="ADC46" s="3"/>
      <c r="ADD46" s="3"/>
      <c r="ADE46" s="3"/>
      <c r="ADF46" s="3"/>
      <c r="ADG46" s="3"/>
      <c r="ADH46" s="3"/>
      <c r="ADI46" s="3"/>
      <c r="ADJ46" s="3"/>
      <c r="ADK46" s="3"/>
      <c r="ADL46" s="3"/>
      <c r="ADM46" s="3"/>
      <c r="ADN46" s="3"/>
      <c r="ADO46" s="3"/>
      <c r="ADP46" s="3"/>
      <c r="ADQ46" s="3"/>
      <c r="ADR46" s="3"/>
      <c r="ADS46" s="3"/>
      <c r="ADT46" s="3"/>
      <c r="ADU46" s="3"/>
      <c r="ADV46" s="3"/>
      <c r="ADW46" s="3"/>
      <c r="ADX46" s="3"/>
      <c r="ADY46" s="3"/>
      <c r="ADZ46" s="3"/>
      <c r="AEA46" s="3"/>
      <c r="AEB46" s="3"/>
      <c r="AEC46" s="3"/>
      <c r="AED46" s="3"/>
      <c r="AEE46" s="3"/>
      <c r="AEF46" s="3"/>
      <c r="AEG46" s="3"/>
      <c r="AEH46" s="3"/>
      <c r="AEI46" s="3"/>
      <c r="AEJ46" s="3"/>
      <c r="AEK46" s="3"/>
      <c r="AEL46" s="3"/>
      <c r="AEM46" s="3"/>
      <c r="AEN46" s="3"/>
      <c r="AEO46" s="3"/>
      <c r="AEP46" s="3"/>
      <c r="AEQ46" s="3"/>
      <c r="AER46" s="3"/>
      <c r="AES46" s="3"/>
      <c r="AET46" s="3"/>
      <c r="AEU46" s="3"/>
      <c r="AEV46" s="3"/>
      <c r="AEW46" s="3"/>
      <c r="AEX46" s="3"/>
      <c r="AEY46" s="3"/>
      <c r="AEZ46" s="3"/>
      <c r="AFA46" s="3"/>
      <c r="AFB46" s="3"/>
      <c r="AFC46" s="3"/>
      <c r="AFD46" s="3"/>
      <c r="AFE46" s="3"/>
      <c r="AFF46" s="3"/>
      <c r="AFG46" s="3"/>
      <c r="AFH46" s="3"/>
      <c r="AFI46" s="3"/>
      <c r="AFJ46" s="3"/>
      <c r="AFK46" s="3"/>
      <c r="AFL46" s="3"/>
      <c r="AFM46" s="3"/>
      <c r="AFN46" s="3"/>
      <c r="AFO46" s="3"/>
      <c r="AFP46" s="3"/>
      <c r="AFQ46" s="3"/>
      <c r="AFR46" s="3"/>
      <c r="AFS46" s="3"/>
      <c r="AFT46" s="3"/>
      <c r="AFU46" s="3"/>
      <c r="AFV46" s="3"/>
      <c r="AFW46" s="3"/>
      <c r="AFX46" s="3"/>
      <c r="AFY46" s="3"/>
      <c r="AFZ46" s="3"/>
      <c r="AGA46" s="3"/>
      <c r="AGB46" s="3"/>
      <c r="AGC46" s="3"/>
      <c r="AGD46" s="3"/>
      <c r="AGE46" s="3"/>
      <c r="AGF46" s="3"/>
      <c r="AGG46" s="3"/>
      <c r="AGH46" s="3"/>
      <c r="AGI46" s="3"/>
      <c r="AGJ46" s="3"/>
      <c r="AGK46" s="3"/>
      <c r="AGL46" s="3"/>
      <c r="AGM46" s="3"/>
      <c r="AGN46" s="3"/>
      <c r="AGO46" s="3"/>
      <c r="AGP46" s="3"/>
      <c r="AGQ46" s="3"/>
      <c r="AGR46" s="3"/>
      <c r="AGS46" s="3"/>
      <c r="AGT46" s="3"/>
      <c r="AGU46" s="3"/>
      <c r="AGV46" s="3"/>
      <c r="AGW46" s="3"/>
      <c r="AGX46" s="3"/>
      <c r="AGY46" s="3"/>
      <c r="AGZ46" s="3"/>
      <c r="AHA46" s="3"/>
      <c r="AHB46" s="3"/>
    </row>
    <row r="47" ht="24" customHeight="1" spans="1:886">
      <c r="A47" s="340">
        <v>43</v>
      </c>
      <c r="B47" s="277"/>
      <c r="C47" s="517" t="s">
        <v>124</v>
      </c>
      <c r="D47" s="346"/>
      <c r="E47" s="346"/>
      <c r="F47" s="81">
        <v>8</v>
      </c>
      <c r="G47" s="354" t="s">
        <v>510</v>
      </c>
      <c r="H47" s="361" t="s">
        <v>511</v>
      </c>
      <c r="I47" s="366" t="s">
        <v>128</v>
      </c>
      <c r="J47" s="366" t="s">
        <v>128</v>
      </c>
      <c r="K47" s="366"/>
      <c r="L47" s="366" t="s">
        <v>128</v>
      </c>
      <c r="M47" s="366" t="s">
        <v>128</v>
      </c>
      <c r="N47" s="376" t="s">
        <v>512</v>
      </c>
      <c r="O47" s="377"/>
      <c r="P47" s="373" t="str">
        <f>CONCATENATE(RemovePunctuation(H47),"_CA","_","i4K","_",C47,"_",AE47,"_",PROPER(R47),IF(S47="",PROPER(R47),PROPER(S47)),PROPER(T47),PROPER(U47),PROPER(V47),IF(V47&lt;&gt;"","SUB",""),PROPER(W47),IF(W47&lt;&gt;"","SUB",""),"_","Ed","_","M1",".mpg")</f>
        <v>RemembranceOfThingsPastEp05_CA_i4K_0325_43_ZhoZhoZhoSUB_Ed_M1.mpg</v>
      </c>
      <c r="Q47" s="373" t="str">
        <f>CONCATENATE(RemovePunctuation(H47),"_CA","_","i5K","_",C47,"_",AD47,"_",PROPER(R47),IF(S47="",PROPER(R47),PROPER(S47)),PROPER(T47),PROPER(U47),PROPER(V47),IF(V47&lt;&gt;"","SUB",""),PROPER(W47),IF(W47&lt;&gt;"","SUB",""),"_","Ed","_","M4",".mpg")</f>
        <v>RemembranceOfThingsPastEp05_CA_i5K_0325_169_ZhoZhoZhoSUB_Ed_M4.mpg</v>
      </c>
      <c r="R47" s="388" t="s">
        <v>136</v>
      </c>
      <c r="S47" s="391"/>
      <c r="T47" s="390"/>
      <c r="U47" s="390"/>
      <c r="V47" s="388" t="s">
        <v>136</v>
      </c>
      <c r="W47" s="393"/>
      <c r="X47" s="340" t="s">
        <v>135</v>
      </c>
      <c r="Y47" s="340" t="s">
        <v>135</v>
      </c>
      <c r="Z47" s="120">
        <f t="shared" si="7"/>
        <v>74</v>
      </c>
      <c r="AA47" s="303" t="str">
        <f t="shared" si="8"/>
        <v>01:14:00</v>
      </c>
      <c r="AB47" s="120">
        <f t="shared" si="9"/>
        <v>4440</v>
      </c>
      <c r="AC47" s="406">
        <v>0.0516550925925926</v>
      </c>
      <c r="AD47" s="407">
        <v>169</v>
      </c>
      <c r="AE47" s="407">
        <v>43</v>
      </c>
      <c r="AF47" s="340" t="s">
        <v>228</v>
      </c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  <c r="AAN47" s="3"/>
      <c r="AAO47" s="3"/>
      <c r="AAP47" s="3"/>
      <c r="AAQ47" s="3"/>
      <c r="AAR47" s="3"/>
      <c r="AAS47" s="3"/>
      <c r="AAT47" s="3"/>
      <c r="AAU47" s="3"/>
      <c r="AAV47" s="3"/>
      <c r="AAW47" s="3"/>
      <c r="AAX47" s="3"/>
      <c r="AAY47" s="3"/>
      <c r="AAZ47" s="3"/>
      <c r="ABA47" s="3"/>
      <c r="ABB47" s="3"/>
      <c r="ABC47" s="3"/>
      <c r="ABD47" s="3"/>
      <c r="ABE47" s="3"/>
      <c r="ABF47" s="3"/>
      <c r="ABG47" s="3"/>
      <c r="ABH47" s="3"/>
      <c r="ABI47" s="3"/>
      <c r="ABJ47" s="3"/>
      <c r="ABK47" s="3"/>
      <c r="ABL47" s="3"/>
      <c r="ABM47" s="3"/>
      <c r="ABN47" s="3"/>
      <c r="ABO47" s="3"/>
      <c r="ABP47" s="3"/>
      <c r="ABQ47" s="3"/>
      <c r="ABR47" s="3"/>
      <c r="ABS47" s="3"/>
      <c r="ABT47" s="3"/>
      <c r="ABU47" s="3"/>
      <c r="ABV47" s="3"/>
      <c r="ABW47" s="3"/>
      <c r="ABX47" s="3"/>
      <c r="ABY47" s="3"/>
      <c r="ABZ47" s="3"/>
      <c r="ACA47" s="3"/>
      <c r="ACB47" s="3"/>
      <c r="ACC47" s="3"/>
      <c r="ACD47" s="3"/>
      <c r="ACE47" s="3"/>
      <c r="ACF47" s="3"/>
      <c r="ACG47" s="3"/>
      <c r="ACH47" s="3"/>
      <c r="ACI47" s="3"/>
      <c r="ACJ47" s="3"/>
      <c r="ACK47" s="3"/>
      <c r="ACL47" s="3"/>
      <c r="ACM47" s="3"/>
      <c r="ACN47" s="3"/>
      <c r="ACO47" s="3"/>
      <c r="ACP47" s="3"/>
      <c r="ACQ47" s="3"/>
      <c r="ACR47" s="3"/>
      <c r="ACS47" s="3"/>
      <c r="ACT47" s="3"/>
      <c r="ACU47" s="3"/>
      <c r="ACV47" s="3"/>
      <c r="ACW47" s="3"/>
      <c r="ACX47" s="3"/>
      <c r="ACY47" s="3"/>
      <c r="ACZ47" s="3"/>
      <c r="ADA47" s="3"/>
      <c r="ADB47" s="3"/>
      <c r="ADC47" s="3"/>
      <c r="ADD47" s="3"/>
      <c r="ADE47" s="3"/>
      <c r="ADF47" s="3"/>
      <c r="ADG47" s="3"/>
      <c r="ADH47" s="3"/>
      <c r="ADI47" s="3"/>
      <c r="ADJ47" s="3"/>
      <c r="ADK47" s="3"/>
      <c r="ADL47" s="3"/>
      <c r="ADM47" s="3"/>
      <c r="ADN47" s="3"/>
      <c r="ADO47" s="3"/>
      <c r="ADP47" s="3"/>
      <c r="ADQ47" s="3"/>
      <c r="ADR47" s="3"/>
      <c r="ADS47" s="3"/>
      <c r="ADT47" s="3"/>
      <c r="ADU47" s="3"/>
      <c r="ADV47" s="3"/>
      <c r="ADW47" s="3"/>
      <c r="ADX47" s="3"/>
      <c r="ADY47" s="3"/>
      <c r="ADZ47" s="3"/>
      <c r="AEA47" s="3"/>
      <c r="AEB47" s="3"/>
      <c r="AEC47" s="3"/>
      <c r="AED47" s="3"/>
      <c r="AEE47" s="3"/>
      <c r="AEF47" s="3"/>
      <c r="AEG47" s="3"/>
      <c r="AEH47" s="3"/>
      <c r="AEI47" s="3"/>
      <c r="AEJ47" s="3"/>
      <c r="AEK47" s="3"/>
      <c r="AEL47" s="3"/>
      <c r="AEM47" s="3"/>
      <c r="AEN47" s="3"/>
      <c r="AEO47" s="3"/>
      <c r="AEP47" s="3"/>
      <c r="AEQ47" s="3"/>
      <c r="AER47" s="3"/>
      <c r="AES47" s="3"/>
      <c r="AET47" s="3"/>
      <c r="AEU47" s="3"/>
      <c r="AEV47" s="3"/>
      <c r="AEW47" s="3"/>
      <c r="AEX47" s="3"/>
      <c r="AEY47" s="3"/>
      <c r="AEZ47" s="3"/>
      <c r="AFA47" s="3"/>
      <c r="AFB47" s="3"/>
      <c r="AFC47" s="3"/>
      <c r="AFD47" s="3"/>
      <c r="AFE47" s="3"/>
      <c r="AFF47" s="3"/>
      <c r="AFG47" s="3"/>
      <c r="AFH47" s="3"/>
      <c r="AFI47" s="3"/>
      <c r="AFJ47" s="3"/>
      <c r="AFK47" s="3"/>
      <c r="AFL47" s="3"/>
      <c r="AFM47" s="3"/>
      <c r="AFN47" s="3"/>
      <c r="AFO47" s="3"/>
      <c r="AFP47" s="3"/>
      <c r="AFQ47" s="3"/>
      <c r="AFR47" s="3"/>
      <c r="AFS47" s="3"/>
      <c r="AFT47" s="3"/>
      <c r="AFU47" s="3"/>
      <c r="AFV47" s="3"/>
      <c r="AFW47" s="3"/>
      <c r="AFX47" s="3"/>
      <c r="AFY47" s="3"/>
      <c r="AFZ47" s="3"/>
      <c r="AGA47" s="3"/>
      <c r="AGB47" s="3"/>
      <c r="AGC47" s="3"/>
      <c r="AGD47" s="3"/>
      <c r="AGE47" s="3"/>
      <c r="AGF47" s="3"/>
      <c r="AGG47" s="3"/>
      <c r="AGH47" s="3"/>
      <c r="AGI47" s="3"/>
      <c r="AGJ47" s="3"/>
      <c r="AGK47" s="3"/>
      <c r="AGL47" s="3"/>
      <c r="AGM47" s="3"/>
      <c r="AGN47" s="3"/>
      <c r="AGO47" s="3"/>
      <c r="AGP47" s="3"/>
      <c r="AGQ47" s="3"/>
      <c r="AGR47" s="3"/>
      <c r="AGS47" s="3"/>
      <c r="AGT47" s="3"/>
      <c r="AGU47" s="3"/>
      <c r="AGV47" s="3"/>
      <c r="AGW47" s="3"/>
      <c r="AGX47" s="3"/>
      <c r="AGY47" s="3"/>
      <c r="AGZ47" s="3"/>
      <c r="AHA47" s="3"/>
      <c r="AHB47" s="3"/>
    </row>
    <row r="48" ht="24" customHeight="1" spans="1:886">
      <c r="A48" s="340">
        <v>44</v>
      </c>
      <c r="B48" s="277"/>
      <c r="C48" s="517" t="s">
        <v>124</v>
      </c>
      <c r="D48" s="346"/>
      <c r="E48" s="346"/>
      <c r="F48" s="81">
        <v>9</v>
      </c>
      <c r="G48" s="354" t="s">
        <v>513</v>
      </c>
      <c r="H48" s="361" t="s">
        <v>514</v>
      </c>
      <c r="I48" s="366" t="s">
        <v>128</v>
      </c>
      <c r="J48" s="366" t="s">
        <v>128</v>
      </c>
      <c r="K48" s="366"/>
      <c r="L48" s="366" t="s">
        <v>128</v>
      </c>
      <c r="M48" s="366" t="s">
        <v>128</v>
      </c>
      <c r="N48" s="376" t="s">
        <v>515</v>
      </c>
      <c r="O48" s="377"/>
      <c r="P48" s="373" t="str">
        <f>CONCATENATE(RemovePunctuation(H48),"_CA","_","i4K","_",C48,"_",AE48,"_",PROPER(R48),IF(S48="",PROPER(R48),PROPER(S48)),PROPER(T48),PROPER(U48),PROPER(V48),IF(V48&lt;&gt;"","SUB",""),PROPER(W48),IF(W48&lt;&gt;"","SUB",""),"_","Ed","_","M1",".mpg")</f>
        <v>RemembranceOfThingsPastEp04_CA_i4K_0325_43_ZhoZhoZhoSUB_Ed_M1.mpg</v>
      </c>
      <c r="Q48" s="373" t="str">
        <f>CONCATENATE(RemovePunctuation(H48),"_CA","_","i5K","_",C48,"_",AD48,"_",PROPER(R48),IF(S48="",PROPER(R48),PROPER(S48)),PROPER(T48),PROPER(U48),PROPER(V48),IF(V48&lt;&gt;"","SUB",""),PROPER(W48),IF(W48&lt;&gt;"","SUB",""),"_","Ed","_","M4",".mpg")</f>
        <v>RemembranceOfThingsPastEp04_CA_i5K_0325_169_ZhoZhoZhoSUB_Ed_M4.mpg</v>
      </c>
      <c r="R48" s="388" t="s">
        <v>136</v>
      </c>
      <c r="S48" s="391"/>
      <c r="T48" s="390"/>
      <c r="U48" s="390"/>
      <c r="V48" s="388" t="s">
        <v>136</v>
      </c>
      <c r="W48" s="393"/>
      <c r="X48" s="340" t="s">
        <v>135</v>
      </c>
      <c r="Y48" s="340" t="s">
        <v>135</v>
      </c>
      <c r="Z48" s="120">
        <f t="shared" si="7"/>
        <v>75</v>
      </c>
      <c r="AA48" s="303" t="str">
        <f t="shared" si="8"/>
        <v>01:15:00</v>
      </c>
      <c r="AB48" s="120">
        <f t="shared" si="9"/>
        <v>4500</v>
      </c>
      <c r="AC48" s="406">
        <v>0.0520601851851852</v>
      </c>
      <c r="AD48" s="407">
        <v>169</v>
      </c>
      <c r="AE48" s="407">
        <v>43</v>
      </c>
      <c r="AF48" s="340" t="s">
        <v>228</v>
      </c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  <c r="AAN48" s="3"/>
      <c r="AAO48" s="3"/>
      <c r="AAP48" s="3"/>
      <c r="AAQ48" s="3"/>
      <c r="AAR48" s="3"/>
      <c r="AAS48" s="3"/>
      <c r="AAT48" s="3"/>
      <c r="AAU48" s="3"/>
      <c r="AAV48" s="3"/>
      <c r="AAW48" s="3"/>
      <c r="AAX48" s="3"/>
      <c r="AAY48" s="3"/>
      <c r="AAZ48" s="3"/>
      <c r="ABA48" s="3"/>
      <c r="ABB48" s="3"/>
      <c r="ABC48" s="3"/>
      <c r="ABD48" s="3"/>
      <c r="ABE48" s="3"/>
      <c r="ABF48" s="3"/>
      <c r="ABG48" s="3"/>
      <c r="ABH48" s="3"/>
      <c r="ABI48" s="3"/>
      <c r="ABJ48" s="3"/>
      <c r="ABK48" s="3"/>
      <c r="ABL48" s="3"/>
      <c r="ABM48" s="3"/>
      <c r="ABN48" s="3"/>
      <c r="ABO48" s="3"/>
      <c r="ABP48" s="3"/>
      <c r="ABQ48" s="3"/>
      <c r="ABR48" s="3"/>
      <c r="ABS48" s="3"/>
      <c r="ABT48" s="3"/>
      <c r="ABU48" s="3"/>
      <c r="ABV48" s="3"/>
      <c r="ABW48" s="3"/>
      <c r="ABX48" s="3"/>
      <c r="ABY48" s="3"/>
      <c r="ABZ48" s="3"/>
      <c r="ACA48" s="3"/>
      <c r="ACB48" s="3"/>
      <c r="ACC48" s="3"/>
      <c r="ACD48" s="3"/>
      <c r="ACE48" s="3"/>
      <c r="ACF48" s="3"/>
      <c r="ACG48" s="3"/>
      <c r="ACH48" s="3"/>
      <c r="ACI48" s="3"/>
      <c r="ACJ48" s="3"/>
      <c r="ACK48" s="3"/>
      <c r="ACL48" s="3"/>
      <c r="ACM48" s="3"/>
      <c r="ACN48" s="3"/>
      <c r="ACO48" s="3"/>
      <c r="ACP48" s="3"/>
      <c r="ACQ48" s="3"/>
      <c r="ACR48" s="3"/>
      <c r="ACS48" s="3"/>
      <c r="ACT48" s="3"/>
      <c r="ACU48" s="3"/>
      <c r="ACV48" s="3"/>
      <c r="ACW48" s="3"/>
      <c r="ACX48" s="3"/>
      <c r="ACY48" s="3"/>
      <c r="ACZ48" s="3"/>
      <c r="ADA48" s="3"/>
      <c r="ADB48" s="3"/>
      <c r="ADC48" s="3"/>
      <c r="ADD48" s="3"/>
      <c r="ADE48" s="3"/>
      <c r="ADF48" s="3"/>
      <c r="ADG48" s="3"/>
      <c r="ADH48" s="3"/>
      <c r="ADI48" s="3"/>
      <c r="ADJ48" s="3"/>
      <c r="ADK48" s="3"/>
      <c r="ADL48" s="3"/>
      <c r="ADM48" s="3"/>
      <c r="ADN48" s="3"/>
      <c r="ADO48" s="3"/>
      <c r="ADP48" s="3"/>
      <c r="ADQ48" s="3"/>
      <c r="ADR48" s="3"/>
      <c r="ADS48" s="3"/>
      <c r="ADT48" s="3"/>
      <c r="ADU48" s="3"/>
      <c r="ADV48" s="3"/>
      <c r="ADW48" s="3"/>
      <c r="ADX48" s="3"/>
      <c r="ADY48" s="3"/>
      <c r="ADZ48" s="3"/>
      <c r="AEA48" s="3"/>
      <c r="AEB48" s="3"/>
      <c r="AEC48" s="3"/>
      <c r="AED48" s="3"/>
      <c r="AEE48" s="3"/>
      <c r="AEF48" s="3"/>
      <c r="AEG48" s="3"/>
      <c r="AEH48" s="3"/>
      <c r="AEI48" s="3"/>
      <c r="AEJ48" s="3"/>
      <c r="AEK48" s="3"/>
      <c r="AEL48" s="3"/>
      <c r="AEM48" s="3"/>
      <c r="AEN48" s="3"/>
      <c r="AEO48" s="3"/>
      <c r="AEP48" s="3"/>
      <c r="AEQ48" s="3"/>
      <c r="AER48" s="3"/>
      <c r="AES48" s="3"/>
      <c r="AET48" s="3"/>
      <c r="AEU48" s="3"/>
      <c r="AEV48" s="3"/>
      <c r="AEW48" s="3"/>
      <c r="AEX48" s="3"/>
      <c r="AEY48" s="3"/>
      <c r="AEZ48" s="3"/>
      <c r="AFA48" s="3"/>
      <c r="AFB48" s="3"/>
      <c r="AFC48" s="3"/>
      <c r="AFD48" s="3"/>
      <c r="AFE48" s="3"/>
      <c r="AFF48" s="3"/>
      <c r="AFG48" s="3"/>
      <c r="AFH48" s="3"/>
      <c r="AFI48" s="3"/>
      <c r="AFJ48" s="3"/>
      <c r="AFK48" s="3"/>
      <c r="AFL48" s="3"/>
      <c r="AFM48" s="3"/>
      <c r="AFN48" s="3"/>
      <c r="AFO48" s="3"/>
      <c r="AFP48" s="3"/>
      <c r="AFQ48" s="3"/>
      <c r="AFR48" s="3"/>
      <c r="AFS48" s="3"/>
      <c r="AFT48" s="3"/>
      <c r="AFU48" s="3"/>
      <c r="AFV48" s="3"/>
      <c r="AFW48" s="3"/>
      <c r="AFX48" s="3"/>
      <c r="AFY48" s="3"/>
      <c r="AFZ48" s="3"/>
      <c r="AGA48" s="3"/>
      <c r="AGB48" s="3"/>
      <c r="AGC48" s="3"/>
      <c r="AGD48" s="3"/>
      <c r="AGE48" s="3"/>
      <c r="AGF48" s="3"/>
      <c r="AGG48" s="3"/>
      <c r="AGH48" s="3"/>
      <c r="AGI48" s="3"/>
      <c r="AGJ48" s="3"/>
      <c r="AGK48" s="3"/>
      <c r="AGL48" s="3"/>
      <c r="AGM48" s="3"/>
      <c r="AGN48" s="3"/>
      <c r="AGO48" s="3"/>
      <c r="AGP48" s="3"/>
      <c r="AGQ48" s="3"/>
      <c r="AGR48" s="3"/>
      <c r="AGS48" s="3"/>
      <c r="AGT48" s="3"/>
      <c r="AGU48" s="3"/>
      <c r="AGV48" s="3"/>
      <c r="AGW48" s="3"/>
      <c r="AGX48" s="3"/>
      <c r="AGY48" s="3"/>
      <c r="AGZ48" s="3"/>
      <c r="AHA48" s="3"/>
      <c r="AHB48" s="3"/>
    </row>
    <row r="49" ht="24" customHeight="1" spans="1:886">
      <c r="A49" s="340">
        <v>45</v>
      </c>
      <c r="B49" s="277"/>
      <c r="C49" s="517" t="s">
        <v>124</v>
      </c>
      <c r="D49" s="346"/>
      <c r="E49" s="346"/>
      <c r="F49" s="81">
        <v>10</v>
      </c>
      <c r="G49" s="354" t="s">
        <v>516</v>
      </c>
      <c r="H49" s="361" t="s">
        <v>517</v>
      </c>
      <c r="I49" s="366" t="s">
        <v>128</v>
      </c>
      <c r="J49" s="366" t="s">
        <v>128</v>
      </c>
      <c r="K49" s="366"/>
      <c r="L49" s="366" t="s">
        <v>128</v>
      </c>
      <c r="M49" s="366" t="s">
        <v>128</v>
      </c>
      <c r="N49" s="376" t="s">
        <v>518</v>
      </c>
      <c r="O49" s="377"/>
      <c r="P49" s="373" t="str">
        <f>CONCATENATE(RemovePunctuation(H49),"_CA","_","i4K","_",C49,"_",AE49,"_",PROPER(R49),IF(S49="",PROPER(R49),PROPER(S49)),PROPER(T49),PROPER(U49),PROPER(V49),IF(V49&lt;&gt;"","SUB",""),PROPER(W49),IF(W49&lt;&gt;"","SUB",""),"_","Ed","_","M1",".mpg")</f>
        <v>RemembranceOfThingsPastEp03_CA_i4K_0325_43_ZhoZhoZhoSUB_Ed_M1.mpg</v>
      </c>
      <c r="Q49" s="373" t="str">
        <f>CONCATENATE(RemovePunctuation(H49),"_CA","_","i5K","_",C49,"_",AD49,"_",PROPER(R49),IF(S49="",PROPER(R49),PROPER(S49)),PROPER(T49),PROPER(U49),PROPER(V49),IF(V49&lt;&gt;"","SUB",""),PROPER(W49),IF(W49&lt;&gt;"","SUB",""),"_","Ed","_","M4",".mpg")</f>
        <v>RemembranceOfThingsPastEp03_CA_i5K_0325_169_ZhoZhoZhoSUB_Ed_M4.mpg</v>
      </c>
      <c r="R49" s="388" t="s">
        <v>136</v>
      </c>
      <c r="S49" s="391"/>
      <c r="T49" s="390"/>
      <c r="U49" s="390"/>
      <c r="V49" s="388" t="s">
        <v>136</v>
      </c>
      <c r="W49" s="393"/>
      <c r="X49" s="340" t="s">
        <v>135</v>
      </c>
      <c r="Y49" s="340" t="s">
        <v>135</v>
      </c>
      <c r="Z49" s="120">
        <f t="shared" si="7"/>
        <v>74</v>
      </c>
      <c r="AA49" s="303" t="str">
        <f t="shared" si="8"/>
        <v>01:14:00</v>
      </c>
      <c r="AB49" s="120">
        <f t="shared" si="9"/>
        <v>4440</v>
      </c>
      <c r="AC49" s="406">
        <v>0.0511458333333333</v>
      </c>
      <c r="AD49" s="407">
        <v>169</v>
      </c>
      <c r="AE49" s="407">
        <v>43</v>
      </c>
      <c r="AF49" s="340" t="s">
        <v>228</v>
      </c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  <c r="AAN49" s="3"/>
      <c r="AAO49" s="3"/>
      <c r="AAP49" s="3"/>
      <c r="AAQ49" s="3"/>
      <c r="AAR49" s="3"/>
      <c r="AAS49" s="3"/>
      <c r="AAT49" s="3"/>
      <c r="AAU49" s="3"/>
      <c r="AAV49" s="3"/>
      <c r="AAW49" s="3"/>
      <c r="AAX49" s="3"/>
      <c r="AAY49" s="3"/>
      <c r="AAZ49" s="3"/>
      <c r="ABA49" s="3"/>
      <c r="ABB49" s="3"/>
      <c r="ABC49" s="3"/>
      <c r="ABD49" s="3"/>
      <c r="ABE49" s="3"/>
      <c r="ABF49" s="3"/>
      <c r="ABG49" s="3"/>
      <c r="ABH49" s="3"/>
      <c r="ABI49" s="3"/>
      <c r="ABJ49" s="3"/>
      <c r="ABK49" s="3"/>
      <c r="ABL49" s="3"/>
      <c r="ABM49" s="3"/>
      <c r="ABN49" s="3"/>
      <c r="ABO49" s="3"/>
      <c r="ABP49" s="3"/>
      <c r="ABQ49" s="3"/>
      <c r="ABR49" s="3"/>
      <c r="ABS49" s="3"/>
      <c r="ABT49" s="3"/>
      <c r="ABU49" s="3"/>
      <c r="ABV49" s="3"/>
      <c r="ABW49" s="3"/>
      <c r="ABX49" s="3"/>
      <c r="ABY49" s="3"/>
      <c r="ABZ49" s="3"/>
      <c r="ACA49" s="3"/>
      <c r="ACB49" s="3"/>
      <c r="ACC49" s="3"/>
      <c r="ACD49" s="3"/>
      <c r="ACE49" s="3"/>
      <c r="ACF49" s="3"/>
      <c r="ACG49" s="3"/>
      <c r="ACH49" s="3"/>
      <c r="ACI49" s="3"/>
      <c r="ACJ49" s="3"/>
      <c r="ACK49" s="3"/>
      <c r="ACL49" s="3"/>
      <c r="ACM49" s="3"/>
      <c r="ACN49" s="3"/>
      <c r="ACO49" s="3"/>
      <c r="ACP49" s="3"/>
      <c r="ACQ49" s="3"/>
      <c r="ACR49" s="3"/>
      <c r="ACS49" s="3"/>
      <c r="ACT49" s="3"/>
      <c r="ACU49" s="3"/>
      <c r="ACV49" s="3"/>
      <c r="ACW49" s="3"/>
      <c r="ACX49" s="3"/>
      <c r="ACY49" s="3"/>
      <c r="ACZ49" s="3"/>
      <c r="ADA49" s="3"/>
      <c r="ADB49" s="3"/>
      <c r="ADC49" s="3"/>
      <c r="ADD49" s="3"/>
      <c r="ADE49" s="3"/>
      <c r="ADF49" s="3"/>
      <c r="ADG49" s="3"/>
      <c r="ADH49" s="3"/>
      <c r="ADI49" s="3"/>
      <c r="ADJ49" s="3"/>
      <c r="ADK49" s="3"/>
      <c r="ADL49" s="3"/>
      <c r="ADM49" s="3"/>
      <c r="ADN49" s="3"/>
      <c r="ADO49" s="3"/>
      <c r="ADP49" s="3"/>
      <c r="ADQ49" s="3"/>
      <c r="ADR49" s="3"/>
      <c r="ADS49" s="3"/>
      <c r="ADT49" s="3"/>
      <c r="ADU49" s="3"/>
      <c r="ADV49" s="3"/>
      <c r="ADW49" s="3"/>
      <c r="ADX49" s="3"/>
      <c r="ADY49" s="3"/>
      <c r="ADZ49" s="3"/>
      <c r="AEA49" s="3"/>
      <c r="AEB49" s="3"/>
      <c r="AEC49" s="3"/>
      <c r="AED49" s="3"/>
      <c r="AEE49" s="3"/>
      <c r="AEF49" s="3"/>
      <c r="AEG49" s="3"/>
      <c r="AEH49" s="3"/>
      <c r="AEI49" s="3"/>
      <c r="AEJ49" s="3"/>
      <c r="AEK49" s="3"/>
      <c r="AEL49" s="3"/>
      <c r="AEM49" s="3"/>
      <c r="AEN49" s="3"/>
      <c r="AEO49" s="3"/>
      <c r="AEP49" s="3"/>
      <c r="AEQ49" s="3"/>
      <c r="AER49" s="3"/>
      <c r="AES49" s="3"/>
      <c r="AET49" s="3"/>
      <c r="AEU49" s="3"/>
      <c r="AEV49" s="3"/>
      <c r="AEW49" s="3"/>
      <c r="AEX49" s="3"/>
      <c r="AEY49" s="3"/>
      <c r="AEZ49" s="3"/>
      <c r="AFA49" s="3"/>
      <c r="AFB49" s="3"/>
      <c r="AFC49" s="3"/>
      <c r="AFD49" s="3"/>
      <c r="AFE49" s="3"/>
      <c r="AFF49" s="3"/>
      <c r="AFG49" s="3"/>
      <c r="AFH49" s="3"/>
      <c r="AFI49" s="3"/>
      <c r="AFJ49" s="3"/>
      <c r="AFK49" s="3"/>
      <c r="AFL49" s="3"/>
      <c r="AFM49" s="3"/>
      <c r="AFN49" s="3"/>
      <c r="AFO49" s="3"/>
      <c r="AFP49" s="3"/>
      <c r="AFQ49" s="3"/>
      <c r="AFR49" s="3"/>
      <c r="AFS49" s="3"/>
      <c r="AFT49" s="3"/>
      <c r="AFU49" s="3"/>
      <c r="AFV49" s="3"/>
      <c r="AFW49" s="3"/>
      <c r="AFX49" s="3"/>
      <c r="AFY49" s="3"/>
      <c r="AFZ49" s="3"/>
      <c r="AGA49" s="3"/>
      <c r="AGB49" s="3"/>
      <c r="AGC49" s="3"/>
      <c r="AGD49" s="3"/>
      <c r="AGE49" s="3"/>
      <c r="AGF49" s="3"/>
      <c r="AGG49" s="3"/>
      <c r="AGH49" s="3"/>
      <c r="AGI49" s="3"/>
      <c r="AGJ49" s="3"/>
      <c r="AGK49" s="3"/>
      <c r="AGL49" s="3"/>
      <c r="AGM49" s="3"/>
      <c r="AGN49" s="3"/>
      <c r="AGO49" s="3"/>
      <c r="AGP49" s="3"/>
      <c r="AGQ49" s="3"/>
      <c r="AGR49" s="3"/>
      <c r="AGS49" s="3"/>
      <c r="AGT49" s="3"/>
      <c r="AGU49" s="3"/>
      <c r="AGV49" s="3"/>
      <c r="AGW49" s="3"/>
      <c r="AGX49" s="3"/>
      <c r="AGY49" s="3"/>
      <c r="AGZ49" s="3"/>
      <c r="AHA49" s="3"/>
      <c r="AHB49" s="3"/>
    </row>
    <row r="50" ht="24" customHeight="1" spans="1:886">
      <c r="A50" s="340">
        <v>46</v>
      </c>
      <c r="B50" s="277"/>
      <c r="C50" s="517" t="s">
        <v>124</v>
      </c>
      <c r="D50" s="346"/>
      <c r="E50" s="346"/>
      <c r="F50" s="81">
        <v>11</v>
      </c>
      <c r="G50" s="354" t="s">
        <v>519</v>
      </c>
      <c r="H50" s="361" t="s">
        <v>520</v>
      </c>
      <c r="I50" s="366" t="s">
        <v>128</v>
      </c>
      <c r="J50" s="366" t="s">
        <v>128</v>
      </c>
      <c r="K50" s="366"/>
      <c r="L50" s="366" t="s">
        <v>128</v>
      </c>
      <c r="M50" s="366" t="s">
        <v>128</v>
      </c>
      <c r="N50" s="376" t="s">
        <v>521</v>
      </c>
      <c r="O50" s="377"/>
      <c r="P50" s="373" t="str">
        <f>CONCATENATE(RemovePunctuation(H50),"_CA","_","i4K","_",C50,"_",AE50,"_",PROPER(R50),IF(S50="",PROPER(R50),PROPER(S50)),PROPER(T50),PROPER(U50),PROPER(V50),IF(V50&lt;&gt;"","SUB",""),PROPER(W50),IF(W50&lt;&gt;"","SUB",""),"_","Ed","_","M1",".mpg")</f>
        <v>RemembranceOfThingsPastEp02_CA_i4K_0325_43_ZhoZhoZhoSUB_Ed_M1.mpg</v>
      </c>
      <c r="Q50" s="373" t="str">
        <f>CONCATENATE(RemovePunctuation(H50),"_CA","_","i5K","_",C50,"_",AD50,"_",PROPER(R50),IF(S50="",PROPER(R50),PROPER(S50)),PROPER(T50),PROPER(U50),PROPER(V50),IF(V50&lt;&gt;"","SUB",""),PROPER(W50),IF(W50&lt;&gt;"","SUB",""),"_","Ed","_","M4",".mpg")</f>
        <v>RemembranceOfThingsPastEp02_CA_i5K_0325_169_ZhoZhoZhoSUB_Ed_M4.mpg</v>
      </c>
      <c r="R50" s="388" t="s">
        <v>136</v>
      </c>
      <c r="S50" s="391"/>
      <c r="T50" s="390"/>
      <c r="U50" s="390"/>
      <c r="V50" s="388" t="s">
        <v>136</v>
      </c>
      <c r="W50" s="393"/>
      <c r="X50" s="340" t="s">
        <v>135</v>
      </c>
      <c r="Y50" s="340" t="s">
        <v>135</v>
      </c>
      <c r="Z50" s="120">
        <f t="shared" si="7"/>
        <v>74</v>
      </c>
      <c r="AA50" s="303" t="str">
        <f t="shared" si="8"/>
        <v>01:14:00</v>
      </c>
      <c r="AB50" s="120">
        <f t="shared" si="9"/>
        <v>4440</v>
      </c>
      <c r="AC50" s="406">
        <v>0.0515046296296296</v>
      </c>
      <c r="AD50" s="407">
        <v>169</v>
      </c>
      <c r="AE50" s="407">
        <v>43</v>
      </c>
      <c r="AF50" s="340" t="s">
        <v>228</v>
      </c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  <c r="AAN50" s="3"/>
      <c r="AAO50" s="3"/>
      <c r="AAP50" s="3"/>
      <c r="AAQ50" s="3"/>
      <c r="AAR50" s="3"/>
      <c r="AAS50" s="3"/>
      <c r="AAT50" s="3"/>
      <c r="AAU50" s="3"/>
      <c r="AAV50" s="3"/>
      <c r="AAW50" s="3"/>
      <c r="AAX50" s="3"/>
      <c r="AAY50" s="3"/>
      <c r="AAZ50" s="3"/>
      <c r="ABA50" s="3"/>
      <c r="ABB50" s="3"/>
      <c r="ABC50" s="3"/>
      <c r="ABD50" s="3"/>
      <c r="ABE50" s="3"/>
      <c r="ABF50" s="3"/>
      <c r="ABG50" s="3"/>
      <c r="ABH50" s="3"/>
      <c r="ABI50" s="3"/>
      <c r="ABJ50" s="3"/>
      <c r="ABK50" s="3"/>
      <c r="ABL50" s="3"/>
      <c r="ABM50" s="3"/>
      <c r="ABN50" s="3"/>
      <c r="ABO50" s="3"/>
      <c r="ABP50" s="3"/>
      <c r="ABQ50" s="3"/>
      <c r="ABR50" s="3"/>
      <c r="ABS50" s="3"/>
      <c r="ABT50" s="3"/>
      <c r="ABU50" s="3"/>
      <c r="ABV50" s="3"/>
      <c r="ABW50" s="3"/>
      <c r="ABX50" s="3"/>
      <c r="ABY50" s="3"/>
      <c r="ABZ50" s="3"/>
      <c r="ACA50" s="3"/>
      <c r="ACB50" s="3"/>
      <c r="ACC50" s="3"/>
      <c r="ACD50" s="3"/>
      <c r="ACE50" s="3"/>
      <c r="ACF50" s="3"/>
      <c r="ACG50" s="3"/>
      <c r="ACH50" s="3"/>
      <c r="ACI50" s="3"/>
      <c r="ACJ50" s="3"/>
      <c r="ACK50" s="3"/>
      <c r="ACL50" s="3"/>
      <c r="ACM50" s="3"/>
      <c r="ACN50" s="3"/>
      <c r="ACO50" s="3"/>
      <c r="ACP50" s="3"/>
      <c r="ACQ50" s="3"/>
      <c r="ACR50" s="3"/>
      <c r="ACS50" s="3"/>
      <c r="ACT50" s="3"/>
      <c r="ACU50" s="3"/>
      <c r="ACV50" s="3"/>
      <c r="ACW50" s="3"/>
      <c r="ACX50" s="3"/>
      <c r="ACY50" s="3"/>
      <c r="ACZ50" s="3"/>
      <c r="ADA50" s="3"/>
      <c r="ADB50" s="3"/>
      <c r="ADC50" s="3"/>
      <c r="ADD50" s="3"/>
      <c r="ADE50" s="3"/>
      <c r="ADF50" s="3"/>
      <c r="ADG50" s="3"/>
      <c r="ADH50" s="3"/>
      <c r="ADI50" s="3"/>
      <c r="ADJ50" s="3"/>
      <c r="ADK50" s="3"/>
      <c r="ADL50" s="3"/>
      <c r="ADM50" s="3"/>
      <c r="ADN50" s="3"/>
      <c r="ADO50" s="3"/>
      <c r="ADP50" s="3"/>
      <c r="ADQ50" s="3"/>
      <c r="ADR50" s="3"/>
      <c r="ADS50" s="3"/>
      <c r="ADT50" s="3"/>
      <c r="ADU50" s="3"/>
      <c r="ADV50" s="3"/>
      <c r="ADW50" s="3"/>
      <c r="ADX50" s="3"/>
      <c r="ADY50" s="3"/>
      <c r="ADZ50" s="3"/>
      <c r="AEA50" s="3"/>
      <c r="AEB50" s="3"/>
      <c r="AEC50" s="3"/>
      <c r="AED50" s="3"/>
      <c r="AEE50" s="3"/>
      <c r="AEF50" s="3"/>
      <c r="AEG50" s="3"/>
      <c r="AEH50" s="3"/>
      <c r="AEI50" s="3"/>
      <c r="AEJ50" s="3"/>
      <c r="AEK50" s="3"/>
      <c r="AEL50" s="3"/>
      <c r="AEM50" s="3"/>
      <c r="AEN50" s="3"/>
      <c r="AEO50" s="3"/>
      <c r="AEP50" s="3"/>
      <c r="AEQ50" s="3"/>
      <c r="AER50" s="3"/>
      <c r="AES50" s="3"/>
      <c r="AET50" s="3"/>
      <c r="AEU50" s="3"/>
      <c r="AEV50" s="3"/>
      <c r="AEW50" s="3"/>
      <c r="AEX50" s="3"/>
      <c r="AEY50" s="3"/>
      <c r="AEZ50" s="3"/>
      <c r="AFA50" s="3"/>
      <c r="AFB50" s="3"/>
      <c r="AFC50" s="3"/>
      <c r="AFD50" s="3"/>
      <c r="AFE50" s="3"/>
      <c r="AFF50" s="3"/>
      <c r="AFG50" s="3"/>
      <c r="AFH50" s="3"/>
      <c r="AFI50" s="3"/>
      <c r="AFJ50" s="3"/>
      <c r="AFK50" s="3"/>
      <c r="AFL50" s="3"/>
      <c r="AFM50" s="3"/>
      <c r="AFN50" s="3"/>
      <c r="AFO50" s="3"/>
      <c r="AFP50" s="3"/>
      <c r="AFQ50" s="3"/>
      <c r="AFR50" s="3"/>
      <c r="AFS50" s="3"/>
      <c r="AFT50" s="3"/>
      <c r="AFU50" s="3"/>
      <c r="AFV50" s="3"/>
      <c r="AFW50" s="3"/>
      <c r="AFX50" s="3"/>
      <c r="AFY50" s="3"/>
      <c r="AFZ50" s="3"/>
      <c r="AGA50" s="3"/>
      <c r="AGB50" s="3"/>
      <c r="AGC50" s="3"/>
      <c r="AGD50" s="3"/>
      <c r="AGE50" s="3"/>
      <c r="AGF50" s="3"/>
      <c r="AGG50" s="3"/>
      <c r="AGH50" s="3"/>
      <c r="AGI50" s="3"/>
      <c r="AGJ50" s="3"/>
      <c r="AGK50" s="3"/>
      <c r="AGL50" s="3"/>
      <c r="AGM50" s="3"/>
      <c r="AGN50" s="3"/>
      <c r="AGO50" s="3"/>
      <c r="AGP50" s="3"/>
      <c r="AGQ50" s="3"/>
      <c r="AGR50" s="3"/>
      <c r="AGS50" s="3"/>
      <c r="AGT50" s="3"/>
      <c r="AGU50" s="3"/>
      <c r="AGV50" s="3"/>
      <c r="AGW50" s="3"/>
      <c r="AGX50" s="3"/>
      <c r="AGY50" s="3"/>
      <c r="AGZ50" s="3"/>
      <c r="AHA50" s="3"/>
      <c r="AHB50" s="3"/>
    </row>
    <row r="51" ht="24" customHeight="1" spans="1:886">
      <c r="A51" s="340">
        <v>47</v>
      </c>
      <c r="B51" s="277"/>
      <c r="C51" s="517" t="s">
        <v>124</v>
      </c>
      <c r="D51" s="346"/>
      <c r="E51" s="346"/>
      <c r="F51" s="81">
        <v>12</v>
      </c>
      <c r="G51" s="354" t="s">
        <v>522</v>
      </c>
      <c r="H51" s="361" t="s">
        <v>523</v>
      </c>
      <c r="I51" s="366" t="s">
        <v>128</v>
      </c>
      <c r="J51" s="366" t="s">
        <v>128</v>
      </c>
      <c r="K51" s="366"/>
      <c r="L51" s="366" t="s">
        <v>128</v>
      </c>
      <c r="M51" s="366" t="s">
        <v>128</v>
      </c>
      <c r="N51" s="376" t="s">
        <v>524</v>
      </c>
      <c r="O51" s="377"/>
      <c r="P51" s="373" t="str">
        <f>CONCATENATE(RemovePunctuation(H51),"_CA","_","i4K","_",C51,"_",AE51,"_",PROPER(R51),IF(S51="",PROPER(R51),PROPER(S51)),PROPER(T51),PROPER(U51),PROPER(V51),IF(V51&lt;&gt;"","SUB",""),PROPER(W51),IF(W51&lt;&gt;"","SUB",""),"_","Ed","_","M1",".mpg")</f>
        <v>RemembranceOfThingsPastEp01_CA_i4K_0325_43_ZhoZhoZhoSUB_Ed_M1.mpg</v>
      </c>
      <c r="Q51" s="373" t="str">
        <f>CONCATENATE(RemovePunctuation(H51),"_CA","_","i5K","_",C51,"_",AD51,"_",PROPER(R51),IF(S51="",PROPER(R51),PROPER(S51)),PROPER(T51),PROPER(U51),PROPER(V51),IF(V51&lt;&gt;"","SUB",""),PROPER(W51),IF(W51&lt;&gt;"","SUB",""),"_","Ed","_","M4",".mpg")</f>
        <v>RemembranceOfThingsPastEp01_CA_i5K_0325_169_ZhoZhoZhoSUB_Ed_M4.mpg</v>
      </c>
      <c r="R51" s="388" t="s">
        <v>136</v>
      </c>
      <c r="S51" s="391"/>
      <c r="T51" s="390"/>
      <c r="U51" s="390"/>
      <c r="V51" s="388" t="s">
        <v>136</v>
      </c>
      <c r="W51" s="393"/>
      <c r="X51" s="340" t="s">
        <v>135</v>
      </c>
      <c r="Y51" s="340" t="s">
        <v>135</v>
      </c>
      <c r="Z51" s="120">
        <f t="shared" si="7"/>
        <v>71</v>
      </c>
      <c r="AA51" s="303" t="str">
        <f t="shared" si="8"/>
        <v>01:11:00</v>
      </c>
      <c r="AB51" s="120">
        <f t="shared" si="9"/>
        <v>4260</v>
      </c>
      <c r="AC51" s="406">
        <v>0.0491898148148148</v>
      </c>
      <c r="AD51" s="407">
        <v>169</v>
      </c>
      <c r="AE51" s="407">
        <v>43</v>
      </c>
      <c r="AF51" s="340" t="s">
        <v>228</v>
      </c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  <c r="AAN51" s="3"/>
      <c r="AAO51" s="3"/>
      <c r="AAP51" s="3"/>
      <c r="AAQ51" s="3"/>
      <c r="AAR51" s="3"/>
      <c r="AAS51" s="3"/>
      <c r="AAT51" s="3"/>
      <c r="AAU51" s="3"/>
      <c r="AAV51" s="3"/>
      <c r="AAW51" s="3"/>
      <c r="AAX51" s="3"/>
      <c r="AAY51" s="3"/>
      <c r="AAZ51" s="3"/>
      <c r="ABA51" s="3"/>
      <c r="ABB51" s="3"/>
      <c r="ABC51" s="3"/>
      <c r="ABD51" s="3"/>
      <c r="ABE51" s="3"/>
      <c r="ABF51" s="3"/>
      <c r="ABG51" s="3"/>
      <c r="ABH51" s="3"/>
      <c r="ABI51" s="3"/>
      <c r="ABJ51" s="3"/>
      <c r="ABK51" s="3"/>
      <c r="ABL51" s="3"/>
      <c r="ABM51" s="3"/>
      <c r="ABN51" s="3"/>
      <c r="ABO51" s="3"/>
      <c r="ABP51" s="3"/>
      <c r="ABQ51" s="3"/>
      <c r="ABR51" s="3"/>
      <c r="ABS51" s="3"/>
      <c r="ABT51" s="3"/>
      <c r="ABU51" s="3"/>
      <c r="ABV51" s="3"/>
      <c r="ABW51" s="3"/>
      <c r="ABX51" s="3"/>
      <c r="ABY51" s="3"/>
      <c r="ABZ51" s="3"/>
      <c r="ACA51" s="3"/>
      <c r="ACB51" s="3"/>
      <c r="ACC51" s="3"/>
      <c r="ACD51" s="3"/>
      <c r="ACE51" s="3"/>
      <c r="ACF51" s="3"/>
      <c r="ACG51" s="3"/>
      <c r="ACH51" s="3"/>
      <c r="ACI51" s="3"/>
      <c r="ACJ51" s="3"/>
      <c r="ACK51" s="3"/>
      <c r="ACL51" s="3"/>
      <c r="ACM51" s="3"/>
      <c r="ACN51" s="3"/>
      <c r="ACO51" s="3"/>
      <c r="ACP51" s="3"/>
      <c r="ACQ51" s="3"/>
      <c r="ACR51" s="3"/>
      <c r="ACS51" s="3"/>
      <c r="ACT51" s="3"/>
      <c r="ACU51" s="3"/>
      <c r="ACV51" s="3"/>
      <c r="ACW51" s="3"/>
      <c r="ACX51" s="3"/>
      <c r="ACY51" s="3"/>
      <c r="ACZ51" s="3"/>
      <c r="ADA51" s="3"/>
      <c r="ADB51" s="3"/>
      <c r="ADC51" s="3"/>
      <c r="ADD51" s="3"/>
      <c r="ADE51" s="3"/>
      <c r="ADF51" s="3"/>
      <c r="ADG51" s="3"/>
      <c r="ADH51" s="3"/>
      <c r="ADI51" s="3"/>
      <c r="ADJ51" s="3"/>
      <c r="ADK51" s="3"/>
      <c r="ADL51" s="3"/>
      <c r="ADM51" s="3"/>
      <c r="ADN51" s="3"/>
      <c r="ADO51" s="3"/>
      <c r="ADP51" s="3"/>
      <c r="ADQ51" s="3"/>
      <c r="ADR51" s="3"/>
      <c r="ADS51" s="3"/>
      <c r="ADT51" s="3"/>
      <c r="ADU51" s="3"/>
      <c r="ADV51" s="3"/>
      <c r="ADW51" s="3"/>
      <c r="ADX51" s="3"/>
      <c r="ADY51" s="3"/>
      <c r="ADZ51" s="3"/>
      <c r="AEA51" s="3"/>
      <c r="AEB51" s="3"/>
      <c r="AEC51" s="3"/>
      <c r="AED51" s="3"/>
      <c r="AEE51" s="3"/>
      <c r="AEF51" s="3"/>
      <c r="AEG51" s="3"/>
      <c r="AEH51" s="3"/>
      <c r="AEI51" s="3"/>
      <c r="AEJ51" s="3"/>
      <c r="AEK51" s="3"/>
      <c r="AEL51" s="3"/>
      <c r="AEM51" s="3"/>
      <c r="AEN51" s="3"/>
      <c r="AEO51" s="3"/>
      <c r="AEP51" s="3"/>
      <c r="AEQ51" s="3"/>
      <c r="AER51" s="3"/>
      <c r="AES51" s="3"/>
      <c r="AET51" s="3"/>
      <c r="AEU51" s="3"/>
      <c r="AEV51" s="3"/>
      <c r="AEW51" s="3"/>
      <c r="AEX51" s="3"/>
      <c r="AEY51" s="3"/>
      <c r="AEZ51" s="3"/>
      <c r="AFA51" s="3"/>
      <c r="AFB51" s="3"/>
      <c r="AFC51" s="3"/>
      <c r="AFD51" s="3"/>
      <c r="AFE51" s="3"/>
      <c r="AFF51" s="3"/>
      <c r="AFG51" s="3"/>
      <c r="AFH51" s="3"/>
      <c r="AFI51" s="3"/>
      <c r="AFJ51" s="3"/>
      <c r="AFK51" s="3"/>
      <c r="AFL51" s="3"/>
      <c r="AFM51" s="3"/>
      <c r="AFN51" s="3"/>
      <c r="AFO51" s="3"/>
      <c r="AFP51" s="3"/>
      <c r="AFQ51" s="3"/>
      <c r="AFR51" s="3"/>
      <c r="AFS51" s="3"/>
      <c r="AFT51" s="3"/>
      <c r="AFU51" s="3"/>
      <c r="AFV51" s="3"/>
      <c r="AFW51" s="3"/>
      <c r="AFX51" s="3"/>
      <c r="AFY51" s="3"/>
      <c r="AFZ51" s="3"/>
      <c r="AGA51" s="3"/>
      <c r="AGB51" s="3"/>
      <c r="AGC51" s="3"/>
      <c r="AGD51" s="3"/>
      <c r="AGE51" s="3"/>
      <c r="AGF51" s="3"/>
      <c r="AGG51" s="3"/>
      <c r="AGH51" s="3"/>
      <c r="AGI51" s="3"/>
      <c r="AGJ51" s="3"/>
      <c r="AGK51" s="3"/>
      <c r="AGL51" s="3"/>
      <c r="AGM51" s="3"/>
      <c r="AGN51" s="3"/>
      <c r="AGO51" s="3"/>
      <c r="AGP51" s="3"/>
      <c r="AGQ51" s="3"/>
      <c r="AGR51" s="3"/>
      <c r="AGS51" s="3"/>
      <c r="AGT51" s="3"/>
      <c r="AGU51" s="3"/>
      <c r="AGV51" s="3"/>
      <c r="AGW51" s="3"/>
      <c r="AGX51" s="3"/>
      <c r="AGY51" s="3"/>
      <c r="AGZ51" s="3"/>
      <c r="AHA51" s="3"/>
      <c r="AHB51" s="3"/>
    </row>
    <row r="52" ht="24" customHeight="1" spans="1:886">
      <c r="A52" s="340">
        <v>48</v>
      </c>
      <c r="B52" s="277"/>
      <c r="C52" s="517" t="s">
        <v>124</v>
      </c>
      <c r="D52" s="346"/>
      <c r="E52" s="346"/>
      <c r="F52" s="81">
        <v>13</v>
      </c>
      <c r="G52" s="354" t="s">
        <v>525</v>
      </c>
      <c r="H52" s="355" t="s">
        <v>526</v>
      </c>
      <c r="I52" s="366" t="s">
        <v>128</v>
      </c>
      <c r="J52" s="366" t="s">
        <v>128</v>
      </c>
      <c r="K52" s="366"/>
      <c r="L52" s="366" t="s">
        <v>128</v>
      </c>
      <c r="M52" s="366" t="s">
        <v>128</v>
      </c>
      <c r="N52" s="376" t="s">
        <v>527</v>
      </c>
      <c r="O52" s="377"/>
      <c r="P52" s="373" t="str">
        <f>CONCATENATE(RemovePunctuation(H52),"_CA","_","i4K","_",C52,"_",AE52,"_",PROPER(R52),IF(S52="",PROPER(R52),PROPER(S52)),PROPER(T52),PROPER(U52),PROPER(V52),IF(V52&lt;&gt;"","SUB",""),PROPER(W52),IF(W52&lt;&gt;"","SUB",""),"_","Ed","_","M1",".mpg")</f>
        <v>TotalControlS03E06_CA_i4K_0325_43_EngEngZhoSUB_Ed_M1.mpg</v>
      </c>
      <c r="Q52" s="373" t="str">
        <f>CONCATENATE(RemovePunctuation(H52),"_CA","_","i5K","_",C52,"_",AD52,"_",PROPER(R52),IF(S52="",PROPER(R52),PROPER(S52)),PROPER(T52),PROPER(U52),PROPER(V52),IF(V52&lt;&gt;"","SUB",""),PROPER(W52),IF(W52&lt;&gt;"","SUB",""),"_","Ed","_","M4",".mpg")</f>
        <v>TotalControlS03E06_CA_i5K_0325_169_EngEngZhoSUB_Ed_M4.mpg</v>
      </c>
      <c r="R52" s="393" t="s">
        <v>137</v>
      </c>
      <c r="S52" s="391"/>
      <c r="T52" s="390"/>
      <c r="U52" s="390"/>
      <c r="V52" s="388" t="s">
        <v>136</v>
      </c>
      <c r="W52" s="393"/>
      <c r="X52" s="340" t="s">
        <v>135</v>
      </c>
      <c r="Y52" s="340" t="s">
        <v>135</v>
      </c>
      <c r="Z52" s="120">
        <f t="shared" si="7"/>
        <v>48</v>
      </c>
      <c r="AA52" s="303" t="str">
        <f t="shared" si="8"/>
        <v>00:48:00</v>
      </c>
      <c r="AB52" s="120">
        <f t="shared" si="9"/>
        <v>2880</v>
      </c>
      <c r="AC52" s="406">
        <v>0.0331712962962963</v>
      </c>
      <c r="AD52" s="407">
        <v>169</v>
      </c>
      <c r="AE52" s="407">
        <v>43</v>
      </c>
      <c r="AF52" s="340" t="s">
        <v>138</v>
      </c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  <c r="AAN52" s="3"/>
      <c r="AAO52" s="3"/>
      <c r="AAP52" s="3"/>
      <c r="AAQ52" s="3"/>
      <c r="AAR52" s="3"/>
      <c r="AAS52" s="3"/>
      <c r="AAT52" s="3"/>
      <c r="AAU52" s="3"/>
      <c r="AAV52" s="3"/>
      <c r="AAW52" s="3"/>
      <c r="AAX52" s="3"/>
      <c r="AAY52" s="3"/>
      <c r="AAZ52" s="3"/>
      <c r="ABA52" s="3"/>
      <c r="ABB52" s="3"/>
      <c r="ABC52" s="3"/>
      <c r="ABD52" s="3"/>
      <c r="ABE52" s="3"/>
      <c r="ABF52" s="3"/>
      <c r="ABG52" s="3"/>
      <c r="ABH52" s="3"/>
      <c r="ABI52" s="3"/>
      <c r="ABJ52" s="3"/>
      <c r="ABK52" s="3"/>
      <c r="ABL52" s="3"/>
      <c r="ABM52" s="3"/>
      <c r="ABN52" s="3"/>
      <c r="ABO52" s="3"/>
      <c r="ABP52" s="3"/>
      <c r="ABQ52" s="3"/>
      <c r="ABR52" s="3"/>
      <c r="ABS52" s="3"/>
      <c r="ABT52" s="3"/>
      <c r="ABU52" s="3"/>
      <c r="ABV52" s="3"/>
      <c r="ABW52" s="3"/>
      <c r="ABX52" s="3"/>
      <c r="ABY52" s="3"/>
      <c r="ABZ52" s="3"/>
      <c r="ACA52" s="3"/>
      <c r="ACB52" s="3"/>
      <c r="ACC52" s="3"/>
      <c r="ACD52" s="3"/>
      <c r="ACE52" s="3"/>
      <c r="ACF52" s="3"/>
      <c r="ACG52" s="3"/>
      <c r="ACH52" s="3"/>
      <c r="ACI52" s="3"/>
      <c r="ACJ52" s="3"/>
      <c r="ACK52" s="3"/>
      <c r="ACL52" s="3"/>
      <c r="ACM52" s="3"/>
      <c r="ACN52" s="3"/>
      <c r="ACO52" s="3"/>
      <c r="ACP52" s="3"/>
      <c r="ACQ52" s="3"/>
      <c r="ACR52" s="3"/>
      <c r="ACS52" s="3"/>
      <c r="ACT52" s="3"/>
      <c r="ACU52" s="3"/>
      <c r="ACV52" s="3"/>
      <c r="ACW52" s="3"/>
      <c r="ACX52" s="3"/>
      <c r="ACY52" s="3"/>
      <c r="ACZ52" s="3"/>
      <c r="ADA52" s="3"/>
      <c r="ADB52" s="3"/>
      <c r="ADC52" s="3"/>
      <c r="ADD52" s="3"/>
      <c r="ADE52" s="3"/>
      <c r="ADF52" s="3"/>
      <c r="ADG52" s="3"/>
      <c r="ADH52" s="3"/>
      <c r="ADI52" s="3"/>
      <c r="ADJ52" s="3"/>
      <c r="ADK52" s="3"/>
      <c r="ADL52" s="3"/>
      <c r="ADM52" s="3"/>
      <c r="ADN52" s="3"/>
      <c r="ADO52" s="3"/>
      <c r="ADP52" s="3"/>
      <c r="ADQ52" s="3"/>
      <c r="ADR52" s="3"/>
      <c r="ADS52" s="3"/>
      <c r="ADT52" s="3"/>
      <c r="ADU52" s="3"/>
      <c r="ADV52" s="3"/>
      <c r="ADW52" s="3"/>
      <c r="ADX52" s="3"/>
      <c r="ADY52" s="3"/>
      <c r="ADZ52" s="3"/>
      <c r="AEA52" s="3"/>
      <c r="AEB52" s="3"/>
      <c r="AEC52" s="3"/>
      <c r="AED52" s="3"/>
      <c r="AEE52" s="3"/>
      <c r="AEF52" s="3"/>
      <c r="AEG52" s="3"/>
      <c r="AEH52" s="3"/>
      <c r="AEI52" s="3"/>
      <c r="AEJ52" s="3"/>
      <c r="AEK52" s="3"/>
      <c r="AEL52" s="3"/>
      <c r="AEM52" s="3"/>
      <c r="AEN52" s="3"/>
      <c r="AEO52" s="3"/>
      <c r="AEP52" s="3"/>
      <c r="AEQ52" s="3"/>
      <c r="AER52" s="3"/>
      <c r="AES52" s="3"/>
      <c r="AET52" s="3"/>
      <c r="AEU52" s="3"/>
      <c r="AEV52" s="3"/>
      <c r="AEW52" s="3"/>
      <c r="AEX52" s="3"/>
      <c r="AEY52" s="3"/>
      <c r="AEZ52" s="3"/>
      <c r="AFA52" s="3"/>
      <c r="AFB52" s="3"/>
      <c r="AFC52" s="3"/>
      <c r="AFD52" s="3"/>
      <c r="AFE52" s="3"/>
      <c r="AFF52" s="3"/>
      <c r="AFG52" s="3"/>
      <c r="AFH52" s="3"/>
      <c r="AFI52" s="3"/>
      <c r="AFJ52" s="3"/>
      <c r="AFK52" s="3"/>
      <c r="AFL52" s="3"/>
      <c r="AFM52" s="3"/>
      <c r="AFN52" s="3"/>
      <c r="AFO52" s="3"/>
      <c r="AFP52" s="3"/>
      <c r="AFQ52" s="3"/>
      <c r="AFR52" s="3"/>
      <c r="AFS52" s="3"/>
      <c r="AFT52" s="3"/>
      <c r="AFU52" s="3"/>
      <c r="AFV52" s="3"/>
      <c r="AFW52" s="3"/>
      <c r="AFX52" s="3"/>
      <c r="AFY52" s="3"/>
      <c r="AFZ52" s="3"/>
      <c r="AGA52" s="3"/>
      <c r="AGB52" s="3"/>
      <c r="AGC52" s="3"/>
      <c r="AGD52" s="3"/>
      <c r="AGE52" s="3"/>
      <c r="AGF52" s="3"/>
      <c r="AGG52" s="3"/>
      <c r="AGH52" s="3"/>
      <c r="AGI52" s="3"/>
      <c r="AGJ52" s="3"/>
      <c r="AGK52" s="3"/>
      <c r="AGL52" s="3"/>
      <c r="AGM52" s="3"/>
      <c r="AGN52" s="3"/>
      <c r="AGO52" s="3"/>
      <c r="AGP52" s="3"/>
      <c r="AGQ52" s="3"/>
      <c r="AGR52" s="3"/>
      <c r="AGS52" s="3"/>
      <c r="AGT52" s="3"/>
      <c r="AGU52" s="3"/>
      <c r="AGV52" s="3"/>
      <c r="AGW52" s="3"/>
      <c r="AGX52" s="3"/>
      <c r="AGY52" s="3"/>
      <c r="AGZ52" s="3"/>
      <c r="AHA52" s="3"/>
      <c r="AHB52" s="3"/>
    </row>
    <row r="53" ht="24" customHeight="1" spans="1:886">
      <c r="A53" s="340">
        <v>49</v>
      </c>
      <c r="B53" s="277"/>
      <c r="C53" s="517" t="s">
        <v>124</v>
      </c>
      <c r="D53" s="346"/>
      <c r="E53" s="346"/>
      <c r="F53" s="81">
        <v>14</v>
      </c>
      <c r="G53" s="354" t="s">
        <v>528</v>
      </c>
      <c r="H53" s="355" t="s">
        <v>529</v>
      </c>
      <c r="I53" s="366" t="s">
        <v>128</v>
      </c>
      <c r="J53" s="366" t="s">
        <v>128</v>
      </c>
      <c r="K53" s="366"/>
      <c r="L53" s="366" t="s">
        <v>128</v>
      </c>
      <c r="M53" s="366" t="s">
        <v>128</v>
      </c>
      <c r="N53" s="376" t="s">
        <v>530</v>
      </c>
      <c r="O53" s="377"/>
      <c r="P53" s="373" t="str">
        <f>CONCATENATE(RemovePunctuation(H53),"_CA","_","i4K","_",C53,"_",AE53,"_",PROPER(R53),IF(S53="",PROPER(R53),PROPER(S53)),PROPER(T53),PROPER(U53),PROPER(V53),IF(V53&lt;&gt;"","SUB",""),PROPER(W53),IF(W53&lt;&gt;"","SUB",""),"_","Ed","_","M1",".mpg")</f>
        <v>TotalControlS03E05_CA_i4K_0325_43_EngEngZhoSUB_Ed_M1.mpg</v>
      </c>
      <c r="Q53" s="373" t="str">
        <f>CONCATENATE(RemovePunctuation(H53),"_CA","_","i5K","_",C53,"_",AD53,"_",PROPER(R53),IF(S53="",PROPER(R53),PROPER(S53)),PROPER(T53),PROPER(U53),PROPER(V53),IF(V53&lt;&gt;"","SUB",""),PROPER(W53),IF(W53&lt;&gt;"","SUB",""),"_","Ed","_","M4",".mpg")</f>
        <v>TotalControlS03E05_CA_i5K_0325_169_EngEngZhoSUB_Ed_M4.mpg</v>
      </c>
      <c r="R53" s="393" t="s">
        <v>137</v>
      </c>
      <c r="S53" s="391"/>
      <c r="T53" s="390"/>
      <c r="U53" s="390"/>
      <c r="V53" s="388" t="s">
        <v>136</v>
      </c>
      <c r="W53" s="393"/>
      <c r="X53" s="340" t="s">
        <v>135</v>
      </c>
      <c r="Y53" s="340" t="s">
        <v>135</v>
      </c>
      <c r="Z53" s="120">
        <f t="shared" si="7"/>
        <v>48</v>
      </c>
      <c r="AA53" s="303" t="str">
        <f t="shared" si="8"/>
        <v>00:48:00</v>
      </c>
      <c r="AB53" s="120">
        <f t="shared" si="9"/>
        <v>2880</v>
      </c>
      <c r="AC53" s="406">
        <v>0.0335763888888889</v>
      </c>
      <c r="AD53" s="407">
        <v>169</v>
      </c>
      <c r="AE53" s="407">
        <v>43</v>
      </c>
      <c r="AF53" s="340" t="s">
        <v>138</v>
      </c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  <c r="AAN53" s="3"/>
      <c r="AAO53" s="3"/>
      <c r="AAP53" s="3"/>
      <c r="AAQ53" s="3"/>
      <c r="AAR53" s="3"/>
      <c r="AAS53" s="3"/>
      <c r="AAT53" s="3"/>
      <c r="AAU53" s="3"/>
      <c r="AAV53" s="3"/>
      <c r="AAW53" s="3"/>
      <c r="AAX53" s="3"/>
      <c r="AAY53" s="3"/>
      <c r="AAZ53" s="3"/>
      <c r="ABA53" s="3"/>
      <c r="ABB53" s="3"/>
      <c r="ABC53" s="3"/>
      <c r="ABD53" s="3"/>
      <c r="ABE53" s="3"/>
      <c r="ABF53" s="3"/>
      <c r="ABG53" s="3"/>
      <c r="ABH53" s="3"/>
      <c r="ABI53" s="3"/>
      <c r="ABJ53" s="3"/>
      <c r="ABK53" s="3"/>
      <c r="ABL53" s="3"/>
      <c r="ABM53" s="3"/>
      <c r="ABN53" s="3"/>
      <c r="ABO53" s="3"/>
      <c r="ABP53" s="3"/>
      <c r="ABQ53" s="3"/>
      <c r="ABR53" s="3"/>
      <c r="ABS53" s="3"/>
      <c r="ABT53" s="3"/>
      <c r="ABU53" s="3"/>
      <c r="ABV53" s="3"/>
      <c r="ABW53" s="3"/>
      <c r="ABX53" s="3"/>
      <c r="ABY53" s="3"/>
      <c r="ABZ53" s="3"/>
      <c r="ACA53" s="3"/>
      <c r="ACB53" s="3"/>
      <c r="ACC53" s="3"/>
      <c r="ACD53" s="3"/>
      <c r="ACE53" s="3"/>
      <c r="ACF53" s="3"/>
      <c r="ACG53" s="3"/>
      <c r="ACH53" s="3"/>
      <c r="ACI53" s="3"/>
      <c r="ACJ53" s="3"/>
      <c r="ACK53" s="3"/>
      <c r="ACL53" s="3"/>
      <c r="ACM53" s="3"/>
      <c r="ACN53" s="3"/>
      <c r="ACO53" s="3"/>
      <c r="ACP53" s="3"/>
      <c r="ACQ53" s="3"/>
      <c r="ACR53" s="3"/>
      <c r="ACS53" s="3"/>
      <c r="ACT53" s="3"/>
      <c r="ACU53" s="3"/>
      <c r="ACV53" s="3"/>
      <c r="ACW53" s="3"/>
      <c r="ACX53" s="3"/>
      <c r="ACY53" s="3"/>
      <c r="ACZ53" s="3"/>
      <c r="ADA53" s="3"/>
      <c r="ADB53" s="3"/>
      <c r="ADC53" s="3"/>
      <c r="ADD53" s="3"/>
      <c r="ADE53" s="3"/>
      <c r="ADF53" s="3"/>
      <c r="ADG53" s="3"/>
      <c r="ADH53" s="3"/>
      <c r="ADI53" s="3"/>
      <c r="ADJ53" s="3"/>
      <c r="ADK53" s="3"/>
      <c r="ADL53" s="3"/>
      <c r="ADM53" s="3"/>
      <c r="ADN53" s="3"/>
      <c r="ADO53" s="3"/>
      <c r="ADP53" s="3"/>
      <c r="ADQ53" s="3"/>
      <c r="ADR53" s="3"/>
      <c r="ADS53" s="3"/>
      <c r="ADT53" s="3"/>
      <c r="ADU53" s="3"/>
      <c r="ADV53" s="3"/>
      <c r="ADW53" s="3"/>
      <c r="ADX53" s="3"/>
      <c r="ADY53" s="3"/>
      <c r="ADZ53" s="3"/>
      <c r="AEA53" s="3"/>
      <c r="AEB53" s="3"/>
      <c r="AEC53" s="3"/>
      <c r="AED53" s="3"/>
      <c r="AEE53" s="3"/>
      <c r="AEF53" s="3"/>
      <c r="AEG53" s="3"/>
      <c r="AEH53" s="3"/>
      <c r="AEI53" s="3"/>
      <c r="AEJ53" s="3"/>
      <c r="AEK53" s="3"/>
      <c r="AEL53" s="3"/>
      <c r="AEM53" s="3"/>
      <c r="AEN53" s="3"/>
      <c r="AEO53" s="3"/>
      <c r="AEP53" s="3"/>
      <c r="AEQ53" s="3"/>
      <c r="AER53" s="3"/>
      <c r="AES53" s="3"/>
      <c r="AET53" s="3"/>
      <c r="AEU53" s="3"/>
      <c r="AEV53" s="3"/>
      <c r="AEW53" s="3"/>
      <c r="AEX53" s="3"/>
      <c r="AEY53" s="3"/>
      <c r="AEZ53" s="3"/>
      <c r="AFA53" s="3"/>
      <c r="AFB53" s="3"/>
      <c r="AFC53" s="3"/>
      <c r="AFD53" s="3"/>
      <c r="AFE53" s="3"/>
      <c r="AFF53" s="3"/>
      <c r="AFG53" s="3"/>
      <c r="AFH53" s="3"/>
      <c r="AFI53" s="3"/>
      <c r="AFJ53" s="3"/>
      <c r="AFK53" s="3"/>
      <c r="AFL53" s="3"/>
      <c r="AFM53" s="3"/>
      <c r="AFN53" s="3"/>
      <c r="AFO53" s="3"/>
      <c r="AFP53" s="3"/>
      <c r="AFQ53" s="3"/>
      <c r="AFR53" s="3"/>
      <c r="AFS53" s="3"/>
      <c r="AFT53" s="3"/>
      <c r="AFU53" s="3"/>
      <c r="AFV53" s="3"/>
      <c r="AFW53" s="3"/>
      <c r="AFX53" s="3"/>
      <c r="AFY53" s="3"/>
      <c r="AFZ53" s="3"/>
      <c r="AGA53" s="3"/>
      <c r="AGB53" s="3"/>
      <c r="AGC53" s="3"/>
      <c r="AGD53" s="3"/>
      <c r="AGE53" s="3"/>
      <c r="AGF53" s="3"/>
      <c r="AGG53" s="3"/>
      <c r="AGH53" s="3"/>
      <c r="AGI53" s="3"/>
      <c r="AGJ53" s="3"/>
      <c r="AGK53" s="3"/>
      <c r="AGL53" s="3"/>
      <c r="AGM53" s="3"/>
      <c r="AGN53" s="3"/>
      <c r="AGO53" s="3"/>
      <c r="AGP53" s="3"/>
      <c r="AGQ53" s="3"/>
      <c r="AGR53" s="3"/>
      <c r="AGS53" s="3"/>
      <c r="AGT53" s="3"/>
      <c r="AGU53" s="3"/>
      <c r="AGV53" s="3"/>
      <c r="AGW53" s="3"/>
      <c r="AGX53" s="3"/>
      <c r="AGY53" s="3"/>
      <c r="AGZ53" s="3"/>
      <c r="AHA53" s="3"/>
      <c r="AHB53" s="3"/>
    </row>
    <row r="54" ht="24" customHeight="1" spans="1:886">
      <c r="A54" s="340">
        <v>50</v>
      </c>
      <c r="B54" s="277"/>
      <c r="C54" s="517" t="s">
        <v>124</v>
      </c>
      <c r="D54" s="346"/>
      <c r="E54" s="346"/>
      <c r="F54" s="81">
        <v>15</v>
      </c>
      <c r="G54" s="354" t="s">
        <v>531</v>
      </c>
      <c r="H54" s="355" t="s">
        <v>532</v>
      </c>
      <c r="I54" s="366" t="s">
        <v>128</v>
      </c>
      <c r="J54" s="366" t="s">
        <v>128</v>
      </c>
      <c r="K54" s="366"/>
      <c r="L54" s="366" t="s">
        <v>128</v>
      </c>
      <c r="M54" s="366" t="s">
        <v>128</v>
      </c>
      <c r="N54" s="376" t="s">
        <v>533</v>
      </c>
      <c r="O54" s="377"/>
      <c r="P54" s="373" t="str">
        <f>CONCATENATE(RemovePunctuation(H54),"_CA","_","i4K","_",C54,"_",AE54,"_",PROPER(R54),IF(S54="",PROPER(R54),PROPER(S54)),PROPER(T54),PROPER(U54),PROPER(V54),IF(V54&lt;&gt;"","SUB",""),PROPER(W54),IF(W54&lt;&gt;"","SUB",""),"_","Ed","_","M1",".mpg")</f>
        <v>TotalControlS03E04_CA_i4K_0325_43_EngEngZhoSUB_Ed_M1.mpg</v>
      </c>
      <c r="Q54" s="373" t="str">
        <f>CONCATENATE(RemovePunctuation(H54),"_CA","_","i5K","_",C54,"_",AD54,"_",PROPER(R54),IF(S54="",PROPER(R54),PROPER(S54)),PROPER(T54),PROPER(U54),PROPER(V54),IF(V54&lt;&gt;"","SUB",""),PROPER(W54),IF(W54&lt;&gt;"","SUB",""),"_","Ed","_","M4",".mpg")</f>
        <v>TotalControlS03E04_CA_i5K_0325_169_EngEngZhoSUB_Ed_M4.mpg</v>
      </c>
      <c r="R54" s="393" t="s">
        <v>137</v>
      </c>
      <c r="S54" s="391"/>
      <c r="T54" s="390"/>
      <c r="U54" s="390"/>
      <c r="V54" s="388" t="s">
        <v>136</v>
      </c>
      <c r="W54" s="393"/>
      <c r="X54" s="340" t="s">
        <v>135</v>
      </c>
      <c r="Y54" s="340" t="s">
        <v>135</v>
      </c>
      <c r="Z54" s="120">
        <f t="shared" si="7"/>
        <v>54</v>
      </c>
      <c r="AA54" s="303" t="str">
        <f t="shared" si="8"/>
        <v>00:54:00</v>
      </c>
      <c r="AB54" s="120">
        <f t="shared" si="9"/>
        <v>3240</v>
      </c>
      <c r="AC54" s="406">
        <v>0.037650462962963</v>
      </c>
      <c r="AD54" s="407">
        <v>169</v>
      </c>
      <c r="AE54" s="407">
        <v>43</v>
      </c>
      <c r="AF54" s="340" t="s">
        <v>138</v>
      </c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  <c r="AAN54" s="3"/>
      <c r="AAO54" s="3"/>
      <c r="AAP54" s="3"/>
      <c r="AAQ54" s="3"/>
      <c r="AAR54" s="3"/>
      <c r="AAS54" s="3"/>
      <c r="AAT54" s="3"/>
      <c r="AAU54" s="3"/>
      <c r="AAV54" s="3"/>
      <c r="AAW54" s="3"/>
      <c r="AAX54" s="3"/>
      <c r="AAY54" s="3"/>
      <c r="AAZ54" s="3"/>
      <c r="ABA54" s="3"/>
      <c r="ABB54" s="3"/>
      <c r="ABC54" s="3"/>
      <c r="ABD54" s="3"/>
      <c r="ABE54" s="3"/>
      <c r="ABF54" s="3"/>
      <c r="ABG54" s="3"/>
      <c r="ABH54" s="3"/>
      <c r="ABI54" s="3"/>
      <c r="ABJ54" s="3"/>
      <c r="ABK54" s="3"/>
      <c r="ABL54" s="3"/>
      <c r="ABM54" s="3"/>
      <c r="ABN54" s="3"/>
      <c r="ABO54" s="3"/>
      <c r="ABP54" s="3"/>
      <c r="ABQ54" s="3"/>
      <c r="ABR54" s="3"/>
      <c r="ABS54" s="3"/>
      <c r="ABT54" s="3"/>
      <c r="ABU54" s="3"/>
      <c r="ABV54" s="3"/>
      <c r="ABW54" s="3"/>
      <c r="ABX54" s="3"/>
      <c r="ABY54" s="3"/>
      <c r="ABZ54" s="3"/>
      <c r="ACA54" s="3"/>
      <c r="ACB54" s="3"/>
      <c r="ACC54" s="3"/>
      <c r="ACD54" s="3"/>
      <c r="ACE54" s="3"/>
      <c r="ACF54" s="3"/>
      <c r="ACG54" s="3"/>
      <c r="ACH54" s="3"/>
      <c r="ACI54" s="3"/>
      <c r="ACJ54" s="3"/>
      <c r="ACK54" s="3"/>
      <c r="ACL54" s="3"/>
      <c r="ACM54" s="3"/>
      <c r="ACN54" s="3"/>
      <c r="ACO54" s="3"/>
      <c r="ACP54" s="3"/>
      <c r="ACQ54" s="3"/>
      <c r="ACR54" s="3"/>
      <c r="ACS54" s="3"/>
      <c r="ACT54" s="3"/>
      <c r="ACU54" s="3"/>
      <c r="ACV54" s="3"/>
      <c r="ACW54" s="3"/>
      <c r="ACX54" s="3"/>
      <c r="ACY54" s="3"/>
      <c r="ACZ54" s="3"/>
      <c r="ADA54" s="3"/>
      <c r="ADB54" s="3"/>
      <c r="ADC54" s="3"/>
      <c r="ADD54" s="3"/>
      <c r="ADE54" s="3"/>
      <c r="ADF54" s="3"/>
      <c r="ADG54" s="3"/>
      <c r="ADH54" s="3"/>
      <c r="ADI54" s="3"/>
      <c r="ADJ54" s="3"/>
      <c r="ADK54" s="3"/>
      <c r="ADL54" s="3"/>
      <c r="ADM54" s="3"/>
      <c r="ADN54" s="3"/>
      <c r="ADO54" s="3"/>
      <c r="ADP54" s="3"/>
      <c r="ADQ54" s="3"/>
      <c r="ADR54" s="3"/>
      <c r="ADS54" s="3"/>
      <c r="ADT54" s="3"/>
      <c r="ADU54" s="3"/>
      <c r="ADV54" s="3"/>
      <c r="ADW54" s="3"/>
      <c r="ADX54" s="3"/>
      <c r="ADY54" s="3"/>
      <c r="ADZ54" s="3"/>
      <c r="AEA54" s="3"/>
      <c r="AEB54" s="3"/>
      <c r="AEC54" s="3"/>
      <c r="AED54" s="3"/>
      <c r="AEE54" s="3"/>
      <c r="AEF54" s="3"/>
      <c r="AEG54" s="3"/>
      <c r="AEH54" s="3"/>
      <c r="AEI54" s="3"/>
      <c r="AEJ54" s="3"/>
      <c r="AEK54" s="3"/>
      <c r="AEL54" s="3"/>
      <c r="AEM54" s="3"/>
      <c r="AEN54" s="3"/>
      <c r="AEO54" s="3"/>
      <c r="AEP54" s="3"/>
      <c r="AEQ54" s="3"/>
      <c r="AER54" s="3"/>
      <c r="AES54" s="3"/>
      <c r="AET54" s="3"/>
      <c r="AEU54" s="3"/>
      <c r="AEV54" s="3"/>
      <c r="AEW54" s="3"/>
      <c r="AEX54" s="3"/>
      <c r="AEY54" s="3"/>
      <c r="AEZ54" s="3"/>
      <c r="AFA54" s="3"/>
      <c r="AFB54" s="3"/>
      <c r="AFC54" s="3"/>
      <c r="AFD54" s="3"/>
      <c r="AFE54" s="3"/>
      <c r="AFF54" s="3"/>
      <c r="AFG54" s="3"/>
      <c r="AFH54" s="3"/>
      <c r="AFI54" s="3"/>
      <c r="AFJ54" s="3"/>
      <c r="AFK54" s="3"/>
      <c r="AFL54" s="3"/>
      <c r="AFM54" s="3"/>
      <c r="AFN54" s="3"/>
      <c r="AFO54" s="3"/>
      <c r="AFP54" s="3"/>
      <c r="AFQ54" s="3"/>
      <c r="AFR54" s="3"/>
      <c r="AFS54" s="3"/>
      <c r="AFT54" s="3"/>
      <c r="AFU54" s="3"/>
      <c r="AFV54" s="3"/>
      <c r="AFW54" s="3"/>
      <c r="AFX54" s="3"/>
      <c r="AFY54" s="3"/>
      <c r="AFZ54" s="3"/>
      <c r="AGA54" s="3"/>
      <c r="AGB54" s="3"/>
      <c r="AGC54" s="3"/>
      <c r="AGD54" s="3"/>
      <c r="AGE54" s="3"/>
      <c r="AGF54" s="3"/>
      <c r="AGG54" s="3"/>
      <c r="AGH54" s="3"/>
      <c r="AGI54" s="3"/>
      <c r="AGJ54" s="3"/>
      <c r="AGK54" s="3"/>
      <c r="AGL54" s="3"/>
      <c r="AGM54" s="3"/>
      <c r="AGN54" s="3"/>
      <c r="AGO54" s="3"/>
      <c r="AGP54" s="3"/>
      <c r="AGQ54" s="3"/>
      <c r="AGR54" s="3"/>
      <c r="AGS54" s="3"/>
      <c r="AGT54" s="3"/>
      <c r="AGU54" s="3"/>
      <c r="AGV54" s="3"/>
      <c r="AGW54" s="3"/>
      <c r="AGX54" s="3"/>
      <c r="AGY54" s="3"/>
      <c r="AGZ54" s="3"/>
      <c r="AHA54" s="3"/>
      <c r="AHB54" s="3"/>
    </row>
    <row r="55" ht="24" customHeight="1" spans="1:886">
      <c r="A55" s="340">
        <v>51</v>
      </c>
      <c r="B55" s="277"/>
      <c r="C55" s="517" t="s">
        <v>124</v>
      </c>
      <c r="D55" s="346"/>
      <c r="E55" s="346"/>
      <c r="F55" s="81">
        <v>16</v>
      </c>
      <c r="G55" s="354" t="s">
        <v>534</v>
      </c>
      <c r="H55" s="355" t="s">
        <v>535</v>
      </c>
      <c r="I55" s="366" t="s">
        <v>128</v>
      </c>
      <c r="J55" s="366" t="s">
        <v>128</v>
      </c>
      <c r="K55" s="366"/>
      <c r="L55" s="366" t="s">
        <v>128</v>
      </c>
      <c r="M55" s="366" t="s">
        <v>128</v>
      </c>
      <c r="N55" s="376" t="s">
        <v>536</v>
      </c>
      <c r="O55" s="377"/>
      <c r="P55" s="373" t="str">
        <f>CONCATENATE(RemovePunctuation(H55),"_CA","_","i4K","_",C55,"_",AE55,"_",PROPER(R55),IF(S55="",PROPER(R55),PROPER(S55)),PROPER(T55),PROPER(U55),PROPER(V55),IF(V55&lt;&gt;"","SUB",""),PROPER(W55),IF(W55&lt;&gt;"","SUB",""),"_","Ed","_","M1",".mpg")</f>
        <v>TotalControlS03E03_CA_i4K_0325_43_EngEngZhoSUB_Ed_M1.mpg</v>
      </c>
      <c r="Q55" s="373" t="str">
        <f>CONCATENATE(RemovePunctuation(H55),"_CA","_","i5K","_",C55,"_",AD55,"_",PROPER(R55),IF(S55="",PROPER(R55),PROPER(S55)),PROPER(T55),PROPER(U55),PROPER(V55),IF(V55&lt;&gt;"","SUB",""),PROPER(W55),IF(W55&lt;&gt;"","SUB",""),"_","Ed","_","M4",".mpg")</f>
        <v>TotalControlS03E03_CA_i5K_0325_169_EngEngZhoSUB_Ed_M4.mpg</v>
      </c>
      <c r="R55" s="393" t="s">
        <v>137</v>
      </c>
      <c r="S55" s="391"/>
      <c r="T55" s="390"/>
      <c r="U55" s="390"/>
      <c r="V55" s="388" t="s">
        <v>136</v>
      </c>
      <c r="W55" s="393"/>
      <c r="X55" s="340" t="s">
        <v>135</v>
      </c>
      <c r="Y55" s="340" t="s">
        <v>135</v>
      </c>
      <c r="Z55" s="120">
        <f t="shared" si="7"/>
        <v>50</v>
      </c>
      <c r="AA55" s="303" t="str">
        <f t="shared" si="8"/>
        <v>00:50:00</v>
      </c>
      <c r="AB55" s="120">
        <f t="shared" si="9"/>
        <v>3000</v>
      </c>
      <c r="AC55" s="406">
        <v>0.0346643518518518</v>
      </c>
      <c r="AD55" s="407">
        <v>169</v>
      </c>
      <c r="AE55" s="407">
        <v>43</v>
      </c>
      <c r="AF55" s="340" t="s">
        <v>138</v>
      </c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  <c r="AAN55" s="3"/>
      <c r="AAO55" s="3"/>
      <c r="AAP55" s="3"/>
      <c r="AAQ55" s="3"/>
      <c r="AAR55" s="3"/>
      <c r="AAS55" s="3"/>
      <c r="AAT55" s="3"/>
      <c r="AAU55" s="3"/>
      <c r="AAV55" s="3"/>
      <c r="AAW55" s="3"/>
      <c r="AAX55" s="3"/>
      <c r="AAY55" s="3"/>
      <c r="AAZ55" s="3"/>
      <c r="ABA55" s="3"/>
      <c r="ABB55" s="3"/>
      <c r="ABC55" s="3"/>
      <c r="ABD55" s="3"/>
      <c r="ABE55" s="3"/>
      <c r="ABF55" s="3"/>
      <c r="ABG55" s="3"/>
      <c r="ABH55" s="3"/>
      <c r="ABI55" s="3"/>
      <c r="ABJ55" s="3"/>
      <c r="ABK55" s="3"/>
      <c r="ABL55" s="3"/>
      <c r="ABM55" s="3"/>
      <c r="ABN55" s="3"/>
      <c r="ABO55" s="3"/>
      <c r="ABP55" s="3"/>
      <c r="ABQ55" s="3"/>
      <c r="ABR55" s="3"/>
      <c r="ABS55" s="3"/>
      <c r="ABT55" s="3"/>
      <c r="ABU55" s="3"/>
      <c r="ABV55" s="3"/>
      <c r="ABW55" s="3"/>
      <c r="ABX55" s="3"/>
      <c r="ABY55" s="3"/>
      <c r="ABZ55" s="3"/>
      <c r="ACA55" s="3"/>
      <c r="ACB55" s="3"/>
      <c r="ACC55" s="3"/>
      <c r="ACD55" s="3"/>
      <c r="ACE55" s="3"/>
      <c r="ACF55" s="3"/>
      <c r="ACG55" s="3"/>
      <c r="ACH55" s="3"/>
      <c r="ACI55" s="3"/>
      <c r="ACJ55" s="3"/>
      <c r="ACK55" s="3"/>
      <c r="ACL55" s="3"/>
      <c r="ACM55" s="3"/>
      <c r="ACN55" s="3"/>
      <c r="ACO55" s="3"/>
      <c r="ACP55" s="3"/>
      <c r="ACQ55" s="3"/>
      <c r="ACR55" s="3"/>
      <c r="ACS55" s="3"/>
      <c r="ACT55" s="3"/>
      <c r="ACU55" s="3"/>
      <c r="ACV55" s="3"/>
      <c r="ACW55" s="3"/>
      <c r="ACX55" s="3"/>
      <c r="ACY55" s="3"/>
      <c r="ACZ55" s="3"/>
      <c r="ADA55" s="3"/>
      <c r="ADB55" s="3"/>
      <c r="ADC55" s="3"/>
      <c r="ADD55" s="3"/>
      <c r="ADE55" s="3"/>
      <c r="ADF55" s="3"/>
      <c r="ADG55" s="3"/>
      <c r="ADH55" s="3"/>
      <c r="ADI55" s="3"/>
      <c r="ADJ55" s="3"/>
      <c r="ADK55" s="3"/>
      <c r="ADL55" s="3"/>
      <c r="ADM55" s="3"/>
      <c r="ADN55" s="3"/>
      <c r="ADO55" s="3"/>
      <c r="ADP55" s="3"/>
      <c r="ADQ55" s="3"/>
      <c r="ADR55" s="3"/>
      <c r="ADS55" s="3"/>
      <c r="ADT55" s="3"/>
      <c r="ADU55" s="3"/>
      <c r="ADV55" s="3"/>
      <c r="ADW55" s="3"/>
      <c r="ADX55" s="3"/>
      <c r="ADY55" s="3"/>
      <c r="ADZ55" s="3"/>
      <c r="AEA55" s="3"/>
      <c r="AEB55" s="3"/>
      <c r="AEC55" s="3"/>
      <c r="AED55" s="3"/>
      <c r="AEE55" s="3"/>
      <c r="AEF55" s="3"/>
      <c r="AEG55" s="3"/>
      <c r="AEH55" s="3"/>
      <c r="AEI55" s="3"/>
      <c r="AEJ55" s="3"/>
      <c r="AEK55" s="3"/>
      <c r="AEL55" s="3"/>
      <c r="AEM55" s="3"/>
      <c r="AEN55" s="3"/>
      <c r="AEO55" s="3"/>
      <c r="AEP55" s="3"/>
      <c r="AEQ55" s="3"/>
      <c r="AER55" s="3"/>
      <c r="AES55" s="3"/>
      <c r="AET55" s="3"/>
      <c r="AEU55" s="3"/>
      <c r="AEV55" s="3"/>
      <c r="AEW55" s="3"/>
      <c r="AEX55" s="3"/>
      <c r="AEY55" s="3"/>
      <c r="AEZ55" s="3"/>
      <c r="AFA55" s="3"/>
      <c r="AFB55" s="3"/>
      <c r="AFC55" s="3"/>
      <c r="AFD55" s="3"/>
      <c r="AFE55" s="3"/>
      <c r="AFF55" s="3"/>
      <c r="AFG55" s="3"/>
      <c r="AFH55" s="3"/>
      <c r="AFI55" s="3"/>
      <c r="AFJ55" s="3"/>
      <c r="AFK55" s="3"/>
      <c r="AFL55" s="3"/>
      <c r="AFM55" s="3"/>
      <c r="AFN55" s="3"/>
      <c r="AFO55" s="3"/>
      <c r="AFP55" s="3"/>
      <c r="AFQ55" s="3"/>
      <c r="AFR55" s="3"/>
      <c r="AFS55" s="3"/>
      <c r="AFT55" s="3"/>
      <c r="AFU55" s="3"/>
      <c r="AFV55" s="3"/>
      <c r="AFW55" s="3"/>
      <c r="AFX55" s="3"/>
      <c r="AFY55" s="3"/>
      <c r="AFZ55" s="3"/>
      <c r="AGA55" s="3"/>
      <c r="AGB55" s="3"/>
      <c r="AGC55" s="3"/>
      <c r="AGD55" s="3"/>
      <c r="AGE55" s="3"/>
      <c r="AGF55" s="3"/>
      <c r="AGG55" s="3"/>
      <c r="AGH55" s="3"/>
      <c r="AGI55" s="3"/>
      <c r="AGJ55" s="3"/>
      <c r="AGK55" s="3"/>
      <c r="AGL55" s="3"/>
      <c r="AGM55" s="3"/>
      <c r="AGN55" s="3"/>
      <c r="AGO55" s="3"/>
      <c r="AGP55" s="3"/>
      <c r="AGQ55" s="3"/>
      <c r="AGR55" s="3"/>
      <c r="AGS55" s="3"/>
      <c r="AGT55" s="3"/>
      <c r="AGU55" s="3"/>
      <c r="AGV55" s="3"/>
      <c r="AGW55" s="3"/>
      <c r="AGX55" s="3"/>
      <c r="AGY55" s="3"/>
      <c r="AGZ55" s="3"/>
      <c r="AHA55" s="3"/>
      <c r="AHB55" s="3"/>
    </row>
    <row r="56" ht="24" customHeight="1" spans="1:886">
      <c r="A56" s="340">
        <v>52</v>
      </c>
      <c r="B56" s="277"/>
      <c r="C56" s="517" t="s">
        <v>124</v>
      </c>
      <c r="D56" s="346"/>
      <c r="E56" s="346"/>
      <c r="F56" s="81">
        <v>17</v>
      </c>
      <c r="G56" s="354" t="s">
        <v>537</v>
      </c>
      <c r="H56" s="355" t="s">
        <v>538</v>
      </c>
      <c r="I56" s="366" t="s">
        <v>128</v>
      </c>
      <c r="J56" s="366" t="s">
        <v>128</v>
      </c>
      <c r="K56" s="366"/>
      <c r="L56" s="366" t="s">
        <v>128</v>
      </c>
      <c r="M56" s="366" t="s">
        <v>128</v>
      </c>
      <c r="N56" s="376" t="s">
        <v>539</v>
      </c>
      <c r="O56" s="377"/>
      <c r="P56" s="373" t="str">
        <f>CONCATENATE(RemovePunctuation(H56),"_CA","_","i4K","_",C56,"_",AE56,"_",PROPER(R56),IF(S56="",PROPER(R56),PROPER(S56)),PROPER(T56),PROPER(U56),PROPER(V56),IF(V56&lt;&gt;"","SUB",""),PROPER(W56),IF(W56&lt;&gt;"","SUB",""),"_","Ed","_","M1",".mpg")</f>
        <v>TotalControlS03E02_CA_i4K_0325_43_EngEngZhoSUB_Ed_M1.mpg</v>
      </c>
      <c r="Q56" s="373" t="str">
        <f>CONCATENATE(RemovePunctuation(H56),"_CA","_","i5K","_",C56,"_",AD56,"_",PROPER(R56),IF(S56="",PROPER(R56),PROPER(S56)),PROPER(T56),PROPER(U56),PROPER(V56),IF(V56&lt;&gt;"","SUB",""),PROPER(W56),IF(W56&lt;&gt;"","SUB",""),"_","Ed","_","M4",".mpg")</f>
        <v>TotalControlS03E02_CA_i5K_0325_169_EngEngZhoSUB_Ed_M4.mpg</v>
      </c>
      <c r="R56" s="393" t="s">
        <v>137</v>
      </c>
      <c r="S56" s="391"/>
      <c r="T56" s="390"/>
      <c r="U56" s="390"/>
      <c r="V56" s="388" t="s">
        <v>136</v>
      </c>
      <c r="W56" s="393"/>
      <c r="X56" s="340" t="s">
        <v>135</v>
      </c>
      <c r="Y56" s="340" t="s">
        <v>135</v>
      </c>
      <c r="Z56" s="120">
        <f t="shared" si="7"/>
        <v>49</v>
      </c>
      <c r="AA56" s="303" t="str">
        <f t="shared" si="8"/>
        <v>00:49:00</v>
      </c>
      <c r="AB56" s="120">
        <f t="shared" si="9"/>
        <v>2940</v>
      </c>
      <c r="AC56" s="406">
        <v>0.0340856481481481</v>
      </c>
      <c r="AD56" s="407">
        <v>169</v>
      </c>
      <c r="AE56" s="407">
        <v>43</v>
      </c>
      <c r="AF56" s="340" t="s">
        <v>138</v>
      </c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  <c r="AAN56" s="3"/>
      <c r="AAO56" s="3"/>
      <c r="AAP56" s="3"/>
      <c r="AAQ56" s="3"/>
      <c r="AAR56" s="3"/>
      <c r="AAS56" s="3"/>
      <c r="AAT56" s="3"/>
      <c r="AAU56" s="3"/>
      <c r="AAV56" s="3"/>
      <c r="AAW56" s="3"/>
      <c r="AAX56" s="3"/>
      <c r="AAY56" s="3"/>
      <c r="AAZ56" s="3"/>
      <c r="ABA56" s="3"/>
      <c r="ABB56" s="3"/>
      <c r="ABC56" s="3"/>
      <c r="ABD56" s="3"/>
      <c r="ABE56" s="3"/>
      <c r="ABF56" s="3"/>
      <c r="ABG56" s="3"/>
      <c r="ABH56" s="3"/>
      <c r="ABI56" s="3"/>
      <c r="ABJ56" s="3"/>
      <c r="ABK56" s="3"/>
      <c r="ABL56" s="3"/>
      <c r="ABM56" s="3"/>
      <c r="ABN56" s="3"/>
      <c r="ABO56" s="3"/>
      <c r="ABP56" s="3"/>
      <c r="ABQ56" s="3"/>
      <c r="ABR56" s="3"/>
      <c r="ABS56" s="3"/>
      <c r="ABT56" s="3"/>
      <c r="ABU56" s="3"/>
      <c r="ABV56" s="3"/>
      <c r="ABW56" s="3"/>
      <c r="ABX56" s="3"/>
      <c r="ABY56" s="3"/>
      <c r="ABZ56" s="3"/>
      <c r="ACA56" s="3"/>
      <c r="ACB56" s="3"/>
      <c r="ACC56" s="3"/>
      <c r="ACD56" s="3"/>
      <c r="ACE56" s="3"/>
      <c r="ACF56" s="3"/>
      <c r="ACG56" s="3"/>
      <c r="ACH56" s="3"/>
      <c r="ACI56" s="3"/>
      <c r="ACJ56" s="3"/>
      <c r="ACK56" s="3"/>
      <c r="ACL56" s="3"/>
      <c r="ACM56" s="3"/>
      <c r="ACN56" s="3"/>
      <c r="ACO56" s="3"/>
      <c r="ACP56" s="3"/>
      <c r="ACQ56" s="3"/>
      <c r="ACR56" s="3"/>
      <c r="ACS56" s="3"/>
      <c r="ACT56" s="3"/>
      <c r="ACU56" s="3"/>
      <c r="ACV56" s="3"/>
      <c r="ACW56" s="3"/>
      <c r="ACX56" s="3"/>
      <c r="ACY56" s="3"/>
      <c r="ACZ56" s="3"/>
      <c r="ADA56" s="3"/>
      <c r="ADB56" s="3"/>
      <c r="ADC56" s="3"/>
      <c r="ADD56" s="3"/>
      <c r="ADE56" s="3"/>
      <c r="ADF56" s="3"/>
      <c r="ADG56" s="3"/>
      <c r="ADH56" s="3"/>
      <c r="ADI56" s="3"/>
      <c r="ADJ56" s="3"/>
      <c r="ADK56" s="3"/>
      <c r="ADL56" s="3"/>
      <c r="ADM56" s="3"/>
      <c r="ADN56" s="3"/>
      <c r="ADO56" s="3"/>
      <c r="ADP56" s="3"/>
      <c r="ADQ56" s="3"/>
      <c r="ADR56" s="3"/>
      <c r="ADS56" s="3"/>
      <c r="ADT56" s="3"/>
      <c r="ADU56" s="3"/>
      <c r="ADV56" s="3"/>
      <c r="ADW56" s="3"/>
      <c r="ADX56" s="3"/>
      <c r="ADY56" s="3"/>
      <c r="ADZ56" s="3"/>
      <c r="AEA56" s="3"/>
      <c r="AEB56" s="3"/>
      <c r="AEC56" s="3"/>
      <c r="AED56" s="3"/>
      <c r="AEE56" s="3"/>
      <c r="AEF56" s="3"/>
      <c r="AEG56" s="3"/>
      <c r="AEH56" s="3"/>
      <c r="AEI56" s="3"/>
      <c r="AEJ56" s="3"/>
      <c r="AEK56" s="3"/>
      <c r="AEL56" s="3"/>
      <c r="AEM56" s="3"/>
      <c r="AEN56" s="3"/>
      <c r="AEO56" s="3"/>
      <c r="AEP56" s="3"/>
      <c r="AEQ56" s="3"/>
      <c r="AER56" s="3"/>
      <c r="AES56" s="3"/>
      <c r="AET56" s="3"/>
      <c r="AEU56" s="3"/>
      <c r="AEV56" s="3"/>
      <c r="AEW56" s="3"/>
      <c r="AEX56" s="3"/>
      <c r="AEY56" s="3"/>
      <c r="AEZ56" s="3"/>
      <c r="AFA56" s="3"/>
      <c r="AFB56" s="3"/>
      <c r="AFC56" s="3"/>
      <c r="AFD56" s="3"/>
      <c r="AFE56" s="3"/>
      <c r="AFF56" s="3"/>
      <c r="AFG56" s="3"/>
      <c r="AFH56" s="3"/>
      <c r="AFI56" s="3"/>
      <c r="AFJ56" s="3"/>
      <c r="AFK56" s="3"/>
      <c r="AFL56" s="3"/>
      <c r="AFM56" s="3"/>
      <c r="AFN56" s="3"/>
      <c r="AFO56" s="3"/>
      <c r="AFP56" s="3"/>
      <c r="AFQ56" s="3"/>
      <c r="AFR56" s="3"/>
      <c r="AFS56" s="3"/>
      <c r="AFT56" s="3"/>
      <c r="AFU56" s="3"/>
      <c r="AFV56" s="3"/>
      <c r="AFW56" s="3"/>
      <c r="AFX56" s="3"/>
      <c r="AFY56" s="3"/>
      <c r="AFZ56" s="3"/>
      <c r="AGA56" s="3"/>
      <c r="AGB56" s="3"/>
      <c r="AGC56" s="3"/>
      <c r="AGD56" s="3"/>
      <c r="AGE56" s="3"/>
      <c r="AGF56" s="3"/>
      <c r="AGG56" s="3"/>
      <c r="AGH56" s="3"/>
      <c r="AGI56" s="3"/>
      <c r="AGJ56" s="3"/>
      <c r="AGK56" s="3"/>
      <c r="AGL56" s="3"/>
      <c r="AGM56" s="3"/>
      <c r="AGN56" s="3"/>
      <c r="AGO56" s="3"/>
      <c r="AGP56" s="3"/>
      <c r="AGQ56" s="3"/>
      <c r="AGR56" s="3"/>
      <c r="AGS56" s="3"/>
      <c r="AGT56" s="3"/>
      <c r="AGU56" s="3"/>
      <c r="AGV56" s="3"/>
      <c r="AGW56" s="3"/>
      <c r="AGX56" s="3"/>
      <c r="AGY56" s="3"/>
      <c r="AGZ56" s="3"/>
      <c r="AHA56" s="3"/>
      <c r="AHB56" s="3"/>
    </row>
    <row r="57" ht="24" customHeight="1" spans="1:886">
      <c r="A57" s="340">
        <v>53</v>
      </c>
      <c r="B57" s="277"/>
      <c r="C57" s="517" t="s">
        <v>124</v>
      </c>
      <c r="D57" s="346"/>
      <c r="E57" s="346"/>
      <c r="F57" s="81">
        <v>18</v>
      </c>
      <c r="G57" s="354" t="s">
        <v>540</v>
      </c>
      <c r="H57" s="355" t="s">
        <v>541</v>
      </c>
      <c r="I57" s="366" t="s">
        <v>128</v>
      </c>
      <c r="J57" s="366" t="s">
        <v>128</v>
      </c>
      <c r="K57" s="366"/>
      <c r="L57" s="366" t="s">
        <v>128</v>
      </c>
      <c r="M57" s="366" t="s">
        <v>128</v>
      </c>
      <c r="N57" s="376" t="s">
        <v>542</v>
      </c>
      <c r="O57" s="377"/>
      <c r="P57" s="373" t="str">
        <f>CONCATENATE(RemovePunctuation(H57),"_CA","_","i4K","_",C57,"_",AE57,"_",PROPER(R57),IF(S57="",PROPER(R57),PROPER(S57)),PROPER(T57),PROPER(U57),PROPER(V57),IF(V57&lt;&gt;"","SUB",""),PROPER(W57),IF(W57&lt;&gt;"","SUB",""),"_","Ed","_","M1",".mpg")</f>
        <v>TotalControlS03E01_CA_i4K_0325_43_EngEngZhoSUB_Ed_M1.mpg</v>
      </c>
      <c r="Q57" s="373" t="str">
        <f>CONCATENATE(RemovePunctuation(H57),"_CA","_","i5K","_",C57,"_",AD57,"_",PROPER(R57),IF(S57="",PROPER(R57),PROPER(S57)),PROPER(T57),PROPER(U57),PROPER(V57),IF(V57&lt;&gt;"","SUB",""),PROPER(W57),IF(W57&lt;&gt;"","SUB",""),"_","Ed","_","M4",".mpg")</f>
        <v>TotalControlS03E01_CA_i5K_0325_169_EngEngZhoSUB_Ed_M4.mpg</v>
      </c>
      <c r="R57" s="393" t="s">
        <v>137</v>
      </c>
      <c r="S57" s="391"/>
      <c r="T57" s="390"/>
      <c r="U57" s="390"/>
      <c r="V57" s="388" t="s">
        <v>136</v>
      </c>
      <c r="W57" s="393"/>
      <c r="X57" s="340" t="s">
        <v>135</v>
      </c>
      <c r="Y57" s="340" t="s">
        <v>135</v>
      </c>
      <c r="Z57" s="120">
        <f t="shared" si="7"/>
        <v>52</v>
      </c>
      <c r="AA57" s="303" t="str">
        <f t="shared" si="8"/>
        <v>00:52:00</v>
      </c>
      <c r="AB57" s="120">
        <f t="shared" si="9"/>
        <v>3120</v>
      </c>
      <c r="AC57" s="406">
        <v>0.035775462962963</v>
      </c>
      <c r="AD57" s="407">
        <v>169</v>
      </c>
      <c r="AE57" s="407">
        <v>43</v>
      </c>
      <c r="AF57" s="340" t="s">
        <v>138</v>
      </c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  <c r="AAN57" s="3"/>
      <c r="AAO57" s="3"/>
      <c r="AAP57" s="3"/>
      <c r="AAQ57" s="3"/>
      <c r="AAR57" s="3"/>
      <c r="AAS57" s="3"/>
      <c r="AAT57" s="3"/>
      <c r="AAU57" s="3"/>
      <c r="AAV57" s="3"/>
      <c r="AAW57" s="3"/>
      <c r="AAX57" s="3"/>
      <c r="AAY57" s="3"/>
      <c r="AAZ57" s="3"/>
      <c r="ABA57" s="3"/>
      <c r="ABB57" s="3"/>
      <c r="ABC57" s="3"/>
      <c r="ABD57" s="3"/>
      <c r="ABE57" s="3"/>
      <c r="ABF57" s="3"/>
      <c r="ABG57" s="3"/>
      <c r="ABH57" s="3"/>
      <c r="ABI57" s="3"/>
      <c r="ABJ57" s="3"/>
      <c r="ABK57" s="3"/>
      <c r="ABL57" s="3"/>
      <c r="ABM57" s="3"/>
      <c r="ABN57" s="3"/>
      <c r="ABO57" s="3"/>
      <c r="ABP57" s="3"/>
      <c r="ABQ57" s="3"/>
      <c r="ABR57" s="3"/>
      <c r="ABS57" s="3"/>
      <c r="ABT57" s="3"/>
      <c r="ABU57" s="3"/>
      <c r="ABV57" s="3"/>
      <c r="ABW57" s="3"/>
      <c r="ABX57" s="3"/>
      <c r="ABY57" s="3"/>
      <c r="ABZ57" s="3"/>
      <c r="ACA57" s="3"/>
      <c r="ACB57" s="3"/>
      <c r="ACC57" s="3"/>
      <c r="ACD57" s="3"/>
      <c r="ACE57" s="3"/>
      <c r="ACF57" s="3"/>
      <c r="ACG57" s="3"/>
      <c r="ACH57" s="3"/>
      <c r="ACI57" s="3"/>
      <c r="ACJ57" s="3"/>
      <c r="ACK57" s="3"/>
      <c r="ACL57" s="3"/>
      <c r="ACM57" s="3"/>
      <c r="ACN57" s="3"/>
      <c r="ACO57" s="3"/>
      <c r="ACP57" s="3"/>
      <c r="ACQ57" s="3"/>
      <c r="ACR57" s="3"/>
      <c r="ACS57" s="3"/>
      <c r="ACT57" s="3"/>
      <c r="ACU57" s="3"/>
      <c r="ACV57" s="3"/>
      <c r="ACW57" s="3"/>
      <c r="ACX57" s="3"/>
      <c r="ACY57" s="3"/>
      <c r="ACZ57" s="3"/>
      <c r="ADA57" s="3"/>
      <c r="ADB57" s="3"/>
      <c r="ADC57" s="3"/>
      <c r="ADD57" s="3"/>
      <c r="ADE57" s="3"/>
      <c r="ADF57" s="3"/>
      <c r="ADG57" s="3"/>
      <c r="ADH57" s="3"/>
      <c r="ADI57" s="3"/>
      <c r="ADJ57" s="3"/>
      <c r="ADK57" s="3"/>
      <c r="ADL57" s="3"/>
      <c r="ADM57" s="3"/>
      <c r="ADN57" s="3"/>
      <c r="ADO57" s="3"/>
      <c r="ADP57" s="3"/>
      <c r="ADQ57" s="3"/>
      <c r="ADR57" s="3"/>
      <c r="ADS57" s="3"/>
      <c r="ADT57" s="3"/>
      <c r="ADU57" s="3"/>
      <c r="ADV57" s="3"/>
      <c r="ADW57" s="3"/>
      <c r="ADX57" s="3"/>
      <c r="ADY57" s="3"/>
      <c r="ADZ57" s="3"/>
      <c r="AEA57" s="3"/>
      <c r="AEB57" s="3"/>
      <c r="AEC57" s="3"/>
      <c r="AED57" s="3"/>
      <c r="AEE57" s="3"/>
      <c r="AEF57" s="3"/>
      <c r="AEG57" s="3"/>
      <c r="AEH57" s="3"/>
      <c r="AEI57" s="3"/>
      <c r="AEJ57" s="3"/>
      <c r="AEK57" s="3"/>
      <c r="AEL57" s="3"/>
      <c r="AEM57" s="3"/>
      <c r="AEN57" s="3"/>
      <c r="AEO57" s="3"/>
      <c r="AEP57" s="3"/>
      <c r="AEQ57" s="3"/>
      <c r="AER57" s="3"/>
      <c r="AES57" s="3"/>
      <c r="AET57" s="3"/>
      <c r="AEU57" s="3"/>
      <c r="AEV57" s="3"/>
      <c r="AEW57" s="3"/>
      <c r="AEX57" s="3"/>
      <c r="AEY57" s="3"/>
      <c r="AEZ57" s="3"/>
      <c r="AFA57" s="3"/>
      <c r="AFB57" s="3"/>
      <c r="AFC57" s="3"/>
      <c r="AFD57" s="3"/>
      <c r="AFE57" s="3"/>
      <c r="AFF57" s="3"/>
      <c r="AFG57" s="3"/>
      <c r="AFH57" s="3"/>
      <c r="AFI57" s="3"/>
      <c r="AFJ57" s="3"/>
      <c r="AFK57" s="3"/>
      <c r="AFL57" s="3"/>
      <c r="AFM57" s="3"/>
      <c r="AFN57" s="3"/>
      <c r="AFO57" s="3"/>
      <c r="AFP57" s="3"/>
      <c r="AFQ57" s="3"/>
      <c r="AFR57" s="3"/>
      <c r="AFS57" s="3"/>
      <c r="AFT57" s="3"/>
      <c r="AFU57" s="3"/>
      <c r="AFV57" s="3"/>
      <c r="AFW57" s="3"/>
      <c r="AFX57" s="3"/>
      <c r="AFY57" s="3"/>
      <c r="AFZ57" s="3"/>
      <c r="AGA57" s="3"/>
      <c r="AGB57" s="3"/>
      <c r="AGC57" s="3"/>
      <c r="AGD57" s="3"/>
      <c r="AGE57" s="3"/>
      <c r="AGF57" s="3"/>
      <c r="AGG57" s="3"/>
      <c r="AGH57" s="3"/>
      <c r="AGI57" s="3"/>
      <c r="AGJ57" s="3"/>
      <c r="AGK57" s="3"/>
      <c r="AGL57" s="3"/>
      <c r="AGM57" s="3"/>
      <c r="AGN57" s="3"/>
      <c r="AGO57" s="3"/>
      <c r="AGP57" s="3"/>
      <c r="AGQ57" s="3"/>
      <c r="AGR57" s="3"/>
      <c r="AGS57" s="3"/>
      <c r="AGT57" s="3"/>
      <c r="AGU57" s="3"/>
      <c r="AGV57" s="3"/>
      <c r="AGW57" s="3"/>
      <c r="AGX57" s="3"/>
      <c r="AGY57" s="3"/>
      <c r="AGZ57" s="3"/>
      <c r="AHA57" s="3"/>
      <c r="AHB57" s="3"/>
    </row>
    <row r="58" ht="24" customHeight="1" spans="1:886">
      <c r="A58" s="340">
        <v>54</v>
      </c>
      <c r="B58" s="277"/>
      <c r="C58" s="517" t="s">
        <v>124</v>
      </c>
      <c r="D58" s="346"/>
      <c r="E58" s="346"/>
      <c r="F58" s="81">
        <v>19</v>
      </c>
      <c r="G58" s="354" t="s">
        <v>543</v>
      </c>
      <c r="H58" s="361" t="s">
        <v>544</v>
      </c>
      <c r="I58" s="366" t="s">
        <v>128</v>
      </c>
      <c r="J58" s="366" t="s">
        <v>128</v>
      </c>
      <c r="K58" s="366"/>
      <c r="L58" s="366" t="s">
        <v>128</v>
      </c>
      <c r="M58" s="366" t="s">
        <v>128</v>
      </c>
      <c r="N58" s="376" t="s">
        <v>545</v>
      </c>
      <c r="O58" s="377"/>
      <c r="P58" s="373" t="str">
        <f>CONCATENATE(RemovePunctuation(H58),"_CA","_","i4K","_",C58,"_",AE58,"_",PROPER(R58),IF(S58="",PROPER(R58),PROPER(S58)),PROPER(T58),PROPER(U58),PROPER(V58),IF(V58&lt;&gt;"","SUB",""),PROPER(W58),IF(W58&lt;&gt;"","SUB",""),"_","Ed","_","M1",".mpg")</f>
        <v>InspectorEllisEp03_CA_i4K_0325_43_EngEngZhoSUB_Ed_M1.mpg</v>
      </c>
      <c r="Q58" s="373" t="str">
        <f>CONCATENATE(RemovePunctuation(H58),"_CA","_","i5K","_",C58,"_",AD58,"_",PROPER(R58),IF(S58="",PROPER(R58),PROPER(S58)),PROPER(T58),PROPER(U58),PROPER(V58),IF(V58&lt;&gt;"","SUB",""),PROPER(W58),IF(W58&lt;&gt;"","SUB",""),"_","Ed","_","M4",".mpg")</f>
        <v>InspectorEllisEp03_CA_i5K_0325_169_EngEngZhoSUB_Ed_M4.mpg</v>
      </c>
      <c r="R58" s="393" t="s">
        <v>137</v>
      </c>
      <c r="S58" s="391"/>
      <c r="T58" s="390"/>
      <c r="U58" s="390"/>
      <c r="V58" s="388" t="s">
        <v>136</v>
      </c>
      <c r="W58" s="393"/>
      <c r="X58" s="340" t="s">
        <v>135</v>
      </c>
      <c r="Y58" s="340" t="s">
        <v>135</v>
      </c>
      <c r="Z58" s="120">
        <f t="shared" si="7"/>
        <v>92</v>
      </c>
      <c r="AA58" s="303" t="str">
        <f t="shared" si="8"/>
        <v>01:32:00</v>
      </c>
      <c r="AB58" s="120">
        <f t="shared" si="9"/>
        <v>5520</v>
      </c>
      <c r="AC58" s="406">
        <v>0.0640162037037037</v>
      </c>
      <c r="AD58" s="407">
        <v>169</v>
      </c>
      <c r="AE58" s="407">
        <v>43</v>
      </c>
      <c r="AF58" s="340" t="s">
        <v>138</v>
      </c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  <c r="AAN58" s="3"/>
      <c r="AAO58" s="3"/>
      <c r="AAP58" s="3"/>
      <c r="AAQ58" s="3"/>
      <c r="AAR58" s="3"/>
      <c r="AAS58" s="3"/>
      <c r="AAT58" s="3"/>
      <c r="AAU58" s="3"/>
      <c r="AAV58" s="3"/>
      <c r="AAW58" s="3"/>
      <c r="AAX58" s="3"/>
      <c r="AAY58" s="3"/>
      <c r="AAZ58" s="3"/>
      <c r="ABA58" s="3"/>
      <c r="ABB58" s="3"/>
      <c r="ABC58" s="3"/>
      <c r="ABD58" s="3"/>
      <c r="ABE58" s="3"/>
      <c r="ABF58" s="3"/>
      <c r="ABG58" s="3"/>
      <c r="ABH58" s="3"/>
      <c r="ABI58" s="3"/>
      <c r="ABJ58" s="3"/>
      <c r="ABK58" s="3"/>
      <c r="ABL58" s="3"/>
      <c r="ABM58" s="3"/>
      <c r="ABN58" s="3"/>
      <c r="ABO58" s="3"/>
      <c r="ABP58" s="3"/>
      <c r="ABQ58" s="3"/>
      <c r="ABR58" s="3"/>
      <c r="ABS58" s="3"/>
      <c r="ABT58" s="3"/>
      <c r="ABU58" s="3"/>
      <c r="ABV58" s="3"/>
      <c r="ABW58" s="3"/>
      <c r="ABX58" s="3"/>
      <c r="ABY58" s="3"/>
      <c r="ABZ58" s="3"/>
      <c r="ACA58" s="3"/>
      <c r="ACB58" s="3"/>
      <c r="ACC58" s="3"/>
      <c r="ACD58" s="3"/>
      <c r="ACE58" s="3"/>
      <c r="ACF58" s="3"/>
      <c r="ACG58" s="3"/>
      <c r="ACH58" s="3"/>
      <c r="ACI58" s="3"/>
      <c r="ACJ58" s="3"/>
      <c r="ACK58" s="3"/>
      <c r="ACL58" s="3"/>
      <c r="ACM58" s="3"/>
      <c r="ACN58" s="3"/>
      <c r="ACO58" s="3"/>
      <c r="ACP58" s="3"/>
      <c r="ACQ58" s="3"/>
      <c r="ACR58" s="3"/>
      <c r="ACS58" s="3"/>
      <c r="ACT58" s="3"/>
      <c r="ACU58" s="3"/>
      <c r="ACV58" s="3"/>
      <c r="ACW58" s="3"/>
      <c r="ACX58" s="3"/>
      <c r="ACY58" s="3"/>
      <c r="ACZ58" s="3"/>
      <c r="ADA58" s="3"/>
      <c r="ADB58" s="3"/>
      <c r="ADC58" s="3"/>
      <c r="ADD58" s="3"/>
      <c r="ADE58" s="3"/>
      <c r="ADF58" s="3"/>
      <c r="ADG58" s="3"/>
      <c r="ADH58" s="3"/>
      <c r="ADI58" s="3"/>
      <c r="ADJ58" s="3"/>
      <c r="ADK58" s="3"/>
      <c r="ADL58" s="3"/>
      <c r="ADM58" s="3"/>
      <c r="ADN58" s="3"/>
      <c r="ADO58" s="3"/>
      <c r="ADP58" s="3"/>
      <c r="ADQ58" s="3"/>
      <c r="ADR58" s="3"/>
      <c r="ADS58" s="3"/>
      <c r="ADT58" s="3"/>
      <c r="ADU58" s="3"/>
      <c r="ADV58" s="3"/>
      <c r="ADW58" s="3"/>
      <c r="ADX58" s="3"/>
      <c r="ADY58" s="3"/>
      <c r="ADZ58" s="3"/>
      <c r="AEA58" s="3"/>
      <c r="AEB58" s="3"/>
      <c r="AEC58" s="3"/>
      <c r="AED58" s="3"/>
      <c r="AEE58" s="3"/>
      <c r="AEF58" s="3"/>
      <c r="AEG58" s="3"/>
      <c r="AEH58" s="3"/>
      <c r="AEI58" s="3"/>
      <c r="AEJ58" s="3"/>
      <c r="AEK58" s="3"/>
      <c r="AEL58" s="3"/>
      <c r="AEM58" s="3"/>
      <c r="AEN58" s="3"/>
      <c r="AEO58" s="3"/>
      <c r="AEP58" s="3"/>
      <c r="AEQ58" s="3"/>
      <c r="AER58" s="3"/>
      <c r="AES58" s="3"/>
      <c r="AET58" s="3"/>
      <c r="AEU58" s="3"/>
      <c r="AEV58" s="3"/>
      <c r="AEW58" s="3"/>
      <c r="AEX58" s="3"/>
      <c r="AEY58" s="3"/>
      <c r="AEZ58" s="3"/>
      <c r="AFA58" s="3"/>
      <c r="AFB58" s="3"/>
      <c r="AFC58" s="3"/>
      <c r="AFD58" s="3"/>
      <c r="AFE58" s="3"/>
      <c r="AFF58" s="3"/>
      <c r="AFG58" s="3"/>
      <c r="AFH58" s="3"/>
      <c r="AFI58" s="3"/>
      <c r="AFJ58" s="3"/>
      <c r="AFK58" s="3"/>
      <c r="AFL58" s="3"/>
      <c r="AFM58" s="3"/>
      <c r="AFN58" s="3"/>
      <c r="AFO58" s="3"/>
      <c r="AFP58" s="3"/>
      <c r="AFQ58" s="3"/>
      <c r="AFR58" s="3"/>
      <c r="AFS58" s="3"/>
      <c r="AFT58" s="3"/>
      <c r="AFU58" s="3"/>
      <c r="AFV58" s="3"/>
      <c r="AFW58" s="3"/>
      <c r="AFX58" s="3"/>
      <c r="AFY58" s="3"/>
      <c r="AFZ58" s="3"/>
      <c r="AGA58" s="3"/>
      <c r="AGB58" s="3"/>
      <c r="AGC58" s="3"/>
      <c r="AGD58" s="3"/>
      <c r="AGE58" s="3"/>
      <c r="AGF58" s="3"/>
      <c r="AGG58" s="3"/>
      <c r="AGH58" s="3"/>
      <c r="AGI58" s="3"/>
      <c r="AGJ58" s="3"/>
      <c r="AGK58" s="3"/>
      <c r="AGL58" s="3"/>
      <c r="AGM58" s="3"/>
      <c r="AGN58" s="3"/>
      <c r="AGO58" s="3"/>
      <c r="AGP58" s="3"/>
      <c r="AGQ58" s="3"/>
      <c r="AGR58" s="3"/>
      <c r="AGS58" s="3"/>
      <c r="AGT58" s="3"/>
      <c r="AGU58" s="3"/>
      <c r="AGV58" s="3"/>
      <c r="AGW58" s="3"/>
      <c r="AGX58" s="3"/>
      <c r="AGY58" s="3"/>
      <c r="AGZ58" s="3"/>
      <c r="AHA58" s="3"/>
      <c r="AHB58" s="3"/>
    </row>
    <row r="59" ht="24" customHeight="1" spans="1:886">
      <c r="A59" s="340">
        <v>55</v>
      </c>
      <c r="B59" s="277"/>
      <c r="C59" s="517" t="s">
        <v>124</v>
      </c>
      <c r="D59" s="346"/>
      <c r="E59" s="346"/>
      <c r="F59" s="81">
        <v>20</v>
      </c>
      <c r="G59" s="354" t="s">
        <v>546</v>
      </c>
      <c r="H59" s="361" t="s">
        <v>547</v>
      </c>
      <c r="I59" s="366" t="s">
        <v>128</v>
      </c>
      <c r="J59" s="366" t="s">
        <v>128</v>
      </c>
      <c r="K59" s="366"/>
      <c r="L59" s="366" t="s">
        <v>128</v>
      </c>
      <c r="M59" s="366" t="s">
        <v>128</v>
      </c>
      <c r="N59" s="376" t="s">
        <v>548</v>
      </c>
      <c r="O59" s="377"/>
      <c r="P59" s="373" t="str">
        <f>CONCATENATE(RemovePunctuation(H59),"_CA","_","i4K","_",C59,"_",AE59,"_",PROPER(R59),IF(S59="",PROPER(R59),PROPER(S59)),PROPER(T59),PROPER(U59),PROPER(V59),IF(V59&lt;&gt;"","SUB",""),PROPER(W59),IF(W59&lt;&gt;"","SUB",""),"_","Ed","_","M1",".mpg")</f>
        <v>InspectorEllisEp02_CA_i4K_0325_43_EngEngZhoSUB_Ed_M1.mpg</v>
      </c>
      <c r="Q59" s="373" t="str">
        <f>CONCATENATE(RemovePunctuation(H59),"_CA","_","i5K","_",C59,"_",AD59,"_",PROPER(R59),IF(S59="",PROPER(R59),PROPER(S59)),PROPER(T59),PROPER(U59),PROPER(V59),IF(V59&lt;&gt;"","SUB",""),PROPER(W59),IF(W59&lt;&gt;"","SUB",""),"_","Ed","_","M4",".mpg")</f>
        <v>InspectorEllisEp02_CA_i5K_0325_169_EngEngZhoSUB_Ed_M4.mpg</v>
      </c>
      <c r="R59" s="393" t="s">
        <v>137</v>
      </c>
      <c r="S59" s="391"/>
      <c r="T59" s="390"/>
      <c r="U59" s="390"/>
      <c r="V59" s="388" t="s">
        <v>136</v>
      </c>
      <c r="W59" s="393"/>
      <c r="X59" s="340" t="s">
        <v>135</v>
      </c>
      <c r="Y59" s="340" t="s">
        <v>135</v>
      </c>
      <c r="Z59" s="120">
        <f t="shared" si="7"/>
        <v>94</v>
      </c>
      <c r="AA59" s="303" t="str">
        <f t="shared" si="8"/>
        <v>01:34:00</v>
      </c>
      <c r="AB59" s="120">
        <f t="shared" si="9"/>
        <v>5640</v>
      </c>
      <c r="AC59" s="406">
        <v>0.0652662037037037</v>
      </c>
      <c r="AD59" s="407">
        <v>169</v>
      </c>
      <c r="AE59" s="407">
        <v>43</v>
      </c>
      <c r="AF59" s="340" t="s">
        <v>138</v>
      </c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  <c r="AAA59" s="3"/>
      <c r="AAB59" s="3"/>
      <c r="AAC59" s="3"/>
      <c r="AAD59" s="3"/>
      <c r="AAE59" s="3"/>
      <c r="AAF59" s="3"/>
      <c r="AAG59" s="3"/>
      <c r="AAH59" s="3"/>
      <c r="AAI59" s="3"/>
      <c r="AAJ59" s="3"/>
      <c r="AAK59" s="3"/>
      <c r="AAL59" s="3"/>
      <c r="AAM59" s="3"/>
      <c r="AAN59" s="3"/>
      <c r="AAO59" s="3"/>
      <c r="AAP59" s="3"/>
      <c r="AAQ59" s="3"/>
      <c r="AAR59" s="3"/>
      <c r="AAS59" s="3"/>
      <c r="AAT59" s="3"/>
      <c r="AAU59" s="3"/>
      <c r="AAV59" s="3"/>
      <c r="AAW59" s="3"/>
      <c r="AAX59" s="3"/>
      <c r="AAY59" s="3"/>
      <c r="AAZ59" s="3"/>
      <c r="ABA59" s="3"/>
      <c r="ABB59" s="3"/>
      <c r="ABC59" s="3"/>
      <c r="ABD59" s="3"/>
      <c r="ABE59" s="3"/>
      <c r="ABF59" s="3"/>
      <c r="ABG59" s="3"/>
      <c r="ABH59" s="3"/>
      <c r="ABI59" s="3"/>
      <c r="ABJ59" s="3"/>
      <c r="ABK59" s="3"/>
      <c r="ABL59" s="3"/>
      <c r="ABM59" s="3"/>
      <c r="ABN59" s="3"/>
      <c r="ABO59" s="3"/>
      <c r="ABP59" s="3"/>
      <c r="ABQ59" s="3"/>
      <c r="ABR59" s="3"/>
      <c r="ABS59" s="3"/>
      <c r="ABT59" s="3"/>
      <c r="ABU59" s="3"/>
      <c r="ABV59" s="3"/>
      <c r="ABW59" s="3"/>
      <c r="ABX59" s="3"/>
      <c r="ABY59" s="3"/>
      <c r="ABZ59" s="3"/>
      <c r="ACA59" s="3"/>
      <c r="ACB59" s="3"/>
      <c r="ACC59" s="3"/>
      <c r="ACD59" s="3"/>
      <c r="ACE59" s="3"/>
      <c r="ACF59" s="3"/>
      <c r="ACG59" s="3"/>
      <c r="ACH59" s="3"/>
      <c r="ACI59" s="3"/>
      <c r="ACJ59" s="3"/>
      <c r="ACK59" s="3"/>
      <c r="ACL59" s="3"/>
      <c r="ACM59" s="3"/>
      <c r="ACN59" s="3"/>
      <c r="ACO59" s="3"/>
      <c r="ACP59" s="3"/>
      <c r="ACQ59" s="3"/>
      <c r="ACR59" s="3"/>
      <c r="ACS59" s="3"/>
      <c r="ACT59" s="3"/>
      <c r="ACU59" s="3"/>
      <c r="ACV59" s="3"/>
      <c r="ACW59" s="3"/>
      <c r="ACX59" s="3"/>
      <c r="ACY59" s="3"/>
      <c r="ACZ59" s="3"/>
      <c r="ADA59" s="3"/>
      <c r="ADB59" s="3"/>
      <c r="ADC59" s="3"/>
      <c r="ADD59" s="3"/>
      <c r="ADE59" s="3"/>
      <c r="ADF59" s="3"/>
      <c r="ADG59" s="3"/>
      <c r="ADH59" s="3"/>
      <c r="ADI59" s="3"/>
      <c r="ADJ59" s="3"/>
      <c r="ADK59" s="3"/>
      <c r="ADL59" s="3"/>
      <c r="ADM59" s="3"/>
      <c r="ADN59" s="3"/>
      <c r="ADO59" s="3"/>
      <c r="ADP59" s="3"/>
      <c r="ADQ59" s="3"/>
      <c r="ADR59" s="3"/>
      <c r="ADS59" s="3"/>
      <c r="ADT59" s="3"/>
      <c r="ADU59" s="3"/>
      <c r="ADV59" s="3"/>
      <c r="ADW59" s="3"/>
      <c r="ADX59" s="3"/>
      <c r="ADY59" s="3"/>
      <c r="ADZ59" s="3"/>
      <c r="AEA59" s="3"/>
      <c r="AEB59" s="3"/>
      <c r="AEC59" s="3"/>
      <c r="AED59" s="3"/>
      <c r="AEE59" s="3"/>
      <c r="AEF59" s="3"/>
      <c r="AEG59" s="3"/>
      <c r="AEH59" s="3"/>
      <c r="AEI59" s="3"/>
      <c r="AEJ59" s="3"/>
      <c r="AEK59" s="3"/>
      <c r="AEL59" s="3"/>
      <c r="AEM59" s="3"/>
      <c r="AEN59" s="3"/>
      <c r="AEO59" s="3"/>
      <c r="AEP59" s="3"/>
      <c r="AEQ59" s="3"/>
      <c r="AER59" s="3"/>
      <c r="AES59" s="3"/>
      <c r="AET59" s="3"/>
      <c r="AEU59" s="3"/>
      <c r="AEV59" s="3"/>
      <c r="AEW59" s="3"/>
      <c r="AEX59" s="3"/>
      <c r="AEY59" s="3"/>
      <c r="AEZ59" s="3"/>
      <c r="AFA59" s="3"/>
      <c r="AFB59" s="3"/>
      <c r="AFC59" s="3"/>
      <c r="AFD59" s="3"/>
      <c r="AFE59" s="3"/>
      <c r="AFF59" s="3"/>
      <c r="AFG59" s="3"/>
      <c r="AFH59" s="3"/>
      <c r="AFI59" s="3"/>
      <c r="AFJ59" s="3"/>
      <c r="AFK59" s="3"/>
      <c r="AFL59" s="3"/>
      <c r="AFM59" s="3"/>
      <c r="AFN59" s="3"/>
      <c r="AFO59" s="3"/>
      <c r="AFP59" s="3"/>
      <c r="AFQ59" s="3"/>
      <c r="AFR59" s="3"/>
      <c r="AFS59" s="3"/>
      <c r="AFT59" s="3"/>
      <c r="AFU59" s="3"/>
      <c r="AFV59" s="3"/>
      <c r="AFW59" s="3"/>
      <c r="AFX59" s="3"/>
      <c r="AFY59" s="3"/>
      <c r="AFZ59" s="3"/>
      <c r="AGA59" s="3"/>
      <c r="AGB59" s="3"/>
      <c r="AGC59" s="3"/>
      <c r="AGD59" s="3"/>
      <c r="AGE59" s="3"/>
      <c r="AGF59" s="3"/>
      <c r="AGG59" s="3"/>
      <c r="AGH59" s="3"/>
      <c r="AGI59" s="3"/>
      <c r="AGJ59" s="3"/>
      <c r="AGK59" s="3"/>
      <c r="AGL59" s="3"/>
      <c r="AGM59" s="3"/>
      <c r="AGN59" s="3"/>
      <c r="AGO59" s="3"/>
      <c r="AGP59" s="3"/>
      <c r="AGQ59" s="3"/>
      <c r="AGR59" s="3"/>
      <c r="AGS59" s="3"/>
      <c r="AGT59" s="3"/>
      <c r="AGU59" s="3"/>
      <c r="AGV59" s="3"/>
      <c r="AGW59" s="3"/>
      <c r="AGX59" s="3"/>
      <c r="AGY59" s="3"/>
      <c r="AGZ59" s="3"/>
      <c r="AHA59" s="3"/>
      <c r="AHB59" s="3"/>
    </row>
    <row r="60" ht="24" customHeight="1" spans="1:886">
      <c r="A60" s="340">
        <v>56</v>
      </c>
      <c r="B60" s="277"/>
      <c r="C60" s="517" t="s">
        <v>124</v>
      </c>
      <c r="D60" s="346"/>
      <c r="E60" s="346"/>
      <c r="F60" s="81">
        <v>21</v>
      </c>
      <c r="G60" s="354" t="s">
        <v>549</v>
      </c>
      <c r="H60" s="361" t="s">
        <v>550</v>
      </c>
      <c r="I60" s="366" t="s">
        <v>128</v>
      </c>
      <c r="J60" s="366" t="s">
        <v>128</v>
      </c>
      <c r="K60" s="366"/>
      <c r="L60" s="366" t="s">
        <v>128</v>
      </c>
      <c r="M60" s="366" t="s">
        <v>128</v>
      </c>
      <c r="N60" s="376" t="s">
        <v>551</v>
      </c>
      <c r="O60" s="377"/>
      <c r="P60" s="373" t="str">
        <f>CONCATENATE(RemovePunctuation(H60),"_CA","_","i4K","_",C60,"_",AE60,"_",PROPER(R60),IF(S60="",PROPER(R60),PROPER(S60)),PROPER(T60),PROPER(U60),PROPER(V60),IF(V60&lt;&gt;"","SUB",""),PROPER(W60),IF(W60&lt;&gt;"","SUB",""),"_","Ed","_","M1",".mpg")</f>
        <v>InspectorEllisEp01_CA_i4K_0325_43_EngEngZhoSUB_Ed_M1.mpg</v>
      </c>
      <c r="Q60" s="373" t="str">
        <f>CONCATENATE(RemovePunctuation(H60),"_CA","_","i5K","_",C60,"_",AD60,"_",PROPER(R60),IF(S60="",PROPER(R60),PROPER(S60)),PROPER(T60),PROPER(U60),PROPER(V60),IF(V60&lt;&gt;"","SUB",""),PROPER(W60),IF(W60&lt;&gt;"","SUB",""),"_","Ed","_","M4",".mpg")</f>
        <v>InspectorEllisEp01_CA_i5K_0325_169_EngEngZhoSUB_Ed_M4.mpg</v>
      </c>
      <c r="R60" s="393" t="s">
        <v>137</v>
      </c>
      <c r="S60" s="391"/>
      <c r="T60" s="390"/>
      <c r="U60" s="390"/>
      <c r="V60" s="388" t="s">
        <v>136</v>
      </c>
      <c r="W60" s="393"/>
      <c r="X60" s="340" t="s">
        <v>135</v>
      </c>
      <c r="Y60" s="340" t="s">
        <v>135</v>
      </c>
      <c r="Z60" s="120">
        <f t="shared" si="7"/>
        <v>92</v>
      </c>
      <c r="AA60" s="303" t="str">
        <f t="shared" si="8"/>
        <v>01:32:00</v>
      </c>
      <c r="AB60" s="120">
        <f t="shared" si="9"/>
        <v>5520</v>
      </c>
      <c r="AC60" s="406">
        <v>0.0637268518518519</v>
      </c>
      <c r="AD60" s="407">
        <v>169</v>
      </c>
      <c r="AE60" s="407">
        <v>43</v>
      </c>
      <c r="AF60" s="340" t="s">
        <v>138</v>
      </c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  <c r="AAA60" s="3"/>
      <c r="AAB60" s="3"/>
      <c r="AAC60" s="3"/>
      <c r="AAD60" s="3"/>
      <c r="AAE60" s="3"/>
      <c r="AAF60" s="3"/>
      <c r="AAG60" s="3"/>
      <c r="AAH60" s="3"/>
      <c r="AAI60" s="3"/>
      <c r="AAJ60" s="3"/>
      <c r="AAK60" s="3"/>
      <c r="AAL60" s="3"/>
      <c r="AAM60" s="3"/>
      <c r="AAN60" s="3"/>
      <c r="AAO60" s="3"/>
      <c r="AAP60" s="3"/>
      <c r="AAQ60" s="3"/>
      <c r="AAR60" s="3"/>
      <c r="AAS60" s="3"/>
      <c r="AAT60" s="3"/>
      <c r="AAU60" s="3"/>
      <c r="AAV60" s="3"/>
      <c r="AAW60" s="3"/>
      <c r="AAX60" s="3"/>
      <c r="AAY60" s="3"/>
      <c r="AAZ60" s="3"/>
      <c r="ABA60" s="3"/>
      <c r="ABB60" s="3"/>
      <c r="ABC60" s="3"/>
      <c r="ABD60" s="3"/>
      <c r="ABE60" s="3"/>
      <c r="ABF60" s="3"/>
      <c r="ABG60" s="3"/>
      <c r="ABH60" s="3"/>
      <c r="ABI60" s="3"/>
      <c r="ABJ60" s="3"/>
      <c r="ABK60" s="3"/>
      <c r="ABL60" s="3"/>
      <c r="ABM60" s="3"/>
      <c r="ABN60" s="3"/>
      <c r="ABO60" s="3"/>
      <c r="ABP60" s="3"/>
      <c r="ABQ60" s="3"/>
      <c r="ABR60" s="3"/>
      <c r="ABS60" s="3"/>
      <c r="ABT60" s="3"/>
      <c r="ABU60" s="3"/>
      <c r="ABV60" s="3"/>
      <c r="ABW60" s="3"/>
      <c r="ABX60" s="3"/>
      <c r="ABY60" s="3"/>
      <c r="ABZ60" s="3"/>
      <c r="ACA60" s="3"/>
      <c r="ACB60" s="3"/>
      <c r="ACC60" s="3"/>
      <c r="ACD60" s="3"/>
      <c r="ACE60" s="3"/>
      <c r="ACF60" s="3"/>
      <c r="ACG60" s="3"/>
      <c r="ACH60" s="3"/>
      <c r="ACI60" s="3"/>
      <c r="ACJ60" s="3"/>
      <c r="ACK60" s="3"/>
      <c r="ACL60" s="3"/>
      <c r="ACM60" s="3"/>
      <c r="ACN60" s="3"/>
      <c r="ACO60" s="3"/>
      <c r="ACP60" s="3"/>
      <c r="ACQ60" s="3"/>
      <c r="ACR60" s="3"/>
      <c r="ACS60" s="3"/>
      <c r="ACT60" s="3"/>
      <c r="ACU60" s="3"/>
      <c r="ACV60" s="3"/>
      <c r="ACW60" s="3"/>
      <c r="ACX60" s="3"/>
      <c r="ACY60" s="3"/>
      <c r="ACZ60" s="3"/>
      <c r="ADA60" s="3"/>
      <c r="ADB60" s="3"/>
      <c r="ADC60" s="3"/>
      <c r="ADD60" s="3"/>
      <c r="ADE60" s="3"/>
      <c r="ADF60" s="3"/>
      <c r="ADG60" s="3"/>
      <c r="ADH60" s="3"/>
      <c r="ADI60" s="3"/>
      <c r="ADJ60" s="3"/>
      <c r="ADK60" s="3"/>
      <c r="ADL60" s="3"/>
      <c r="ADM60" s="3"/>
      <c r="ADN60" s="3"/>
      <c r="ADO60" s="3"/>
      <c r="ADP60" s="3"/>
      <c r="ADQ60" s="3"/>
      <c r="ADR60" s="3"/>
      <c r="ADS60" s="3"/>
      <c r="ADT60" s="3"/>
      <c r="ADU60" s="3"/>
      <c r="ADV60" s="3"/>
      <c r="ADW60" s="3"/>
      <c r="ADX60" s="3"/>
      <c r="ADY60" s="3"/>
      <c r="ADZ60" s="3"/>
      <c r="AEA60" s="3"/>
      <c r="AEB60" s="3"/>
      <c r="AEC60" s="3"/>
      <c r="AED60" s="3"/>
      <c r="AEE60" s="3"/>
      <c r="AEF60" s="3"/>
      <c r="AEG60" s="3"/>
      <c r="AEH60" s="3"/>
      <c r="AEI60" s="3"/>
      <c r="AEJ60" s="3"/>
      <c r="AEK60" s="3"/>
      <c r="AEL60" s="3"/>
      <c r="AEM60" s="3"/>
      <c r="AEN60" s="3"/>
      <c r="AEO60" s="3"/>
      <c r="AEP60" s="3"/>
      <c r="AEQ60" s="3"/>
      <c r="AER60" s="3"/>
      <c r="AES60" s="3"/>
      <c r="AET60" s="3"/>
      <c r="AEU60" s="3"/>
      <c r="AEV60" s="3"/>
      <c r="AEW60" s="3"/>
      <c r="AEX60" s="3"/>
      <c r="AEY60" s="3"/>
      <c r="AEZ60" s="3"/>
      <c r="AFA60" s="3"/>
      <c r="AFB60" s="3"/>
      <c r="AFC60" s="3"/>
      <c r="AFD60" s="3"/>
      <c r="AFE60" s="3"/>
      <c r="AFF60" s="3"/>
      <c r="AFG60" s="3"/>
      <c r="AFH60" s="3"/>
      <c r="AFI60" s="3"/>
      <c r="AFJ60" s="3"/>
      <c r="AFK60" s="3"/>
      <c r="AFL60" s="3"/>
      <c r="AFM60" s="3"/>
      <c r="AFN60" s="3"/>
      <c r="AFO60" s="3"/>
      <c r="AFP60" s="3"/>
      <c r="AFQ60" s="3"/>
      <c r="AFR60" s="3"/>
      <c r="AFS60" s="3"/>
      <c r="AFT60" s="3"/>
      <c r="AFU60" s="3"/>
      <c r="AFV60" s="3"/>
      <c r="AFW60" s="3"/>
      <c r="AFX60" s="3"/>
      <c r="AFY60" s="3"/>
      <c r="AFZ60" s="3"/>
      <c r="AGA60" s="3"/>
      <c r="AGB60" s="3"/>
      <c r="AGC60" s="3"/>
      <c r="AGD60" s="3"/>
      <c r="AGE60" s="3"/>
      <c r="AGF60" s="3"/>
      <c r="AGG60" s="3"/>
      <c r="AGH60" s="3"/>
      <c r="AGI60" s="3"/>
      <c r="AGJ60" s="3"/>
      <c r="AGK60" s="3"/>
      <c r="AGL60" s="3"/>
      <c r="AGM60" s="3"/>
      <c r="AGN60" s="3"/>
      <c r="AGO60" s="3"/>
      <c r="AGP60" s="3"/>
      <c r="AGQ60" s="3"/>
      <c r="AGR60" s="3"/>
      <c r="AGS60" s="3"/>
      <c r="AGT60" s="3"/>
      <c r="AGU60" s="3"/>
      <c r="AGV60" s="3"/>
      <c r="AGW60" s="3"/>
      <c r="AGX60" s="3"/>
      <c r="AGY60" s="3"/>
      <c r="AGZ60" s="3"/>
      <c r="AHA60" s="3"/>
      <c r="AHB60" s="3"/>
    </row>
    <row r="61" ht="24" customHeight="1" spans="1:32">
      <c r="A61" s="340">
        <v>57</v>
      </c>
      <c r="B61" s="277"/>
      <c r="C61" s="517" t="s">
        <v>124</v>
      </c>
      <c r="D61" s="343" t="s">
        <v>552</v>
      </c>
      <c r="E61" s="350"/>
      <c r="F61" s="81">
        <v>1</v>
      </c>
      <c r="G61" s="362" t="s">
        <v>553</v>
      </c>
      <c r="H61" s="362" t="s">
        <v>554</v>
      </c>
      <c r="I61" s="366" t="s">
        <v>128</v>
      </c>
      <c r="J61" s="366" t="s">
        <v>128</v>
      </c>
      <c r="K61" s="366" t="s">
        <v>128</v>
      </c>
      <c r="L61" s="366" t="s">
        <v>128</v>
      </c>
      <c r="M61" s="366" t="s">
        <v>128</v>
      </c>
      <c r="N61" s="376" t="s">
        <v>555</v>
      </c>
      <c r="O61" s="374" t="s">
        <v>556</v>
      </c>
      <c r="P61" s="373" t="str">
        <f>CONCATENATE(RemovePunctuation(H61),"_CA","_","i4K","_",C61,"_",AE61,"_",PROPER(R61),IF(S61="",PROPER(R61),PROPER(S61)),PROPER(T61),PROPER(U61),PROPER(V61),IF(V61&lt;&gt;"","SUB",""),PROPER(W61),IF(W61&lt;&gt;"","SUB",""),"_","Ed","_","M1",".mpg")</f>
        <v>AirPanoramaInternationalOutbound_CA_i4K_0325_43_EngZhoEngSUBZhoSUB_Ed_M1.mpg</v>
      </c>
      <c r="Q61" s="373" t="str">
        <f>CONCATENATE(RemovePunctuation(H61),"_CA","_","i5K","_",C61,"_",AD61,"_",PROPER(R61),IF(S61="",PROPER(R61),PROPER(S61)),PROPER(T61),PROPER(U61),PROPER(V61),IF(V61&lt;&gt;"","SUB",""),PROPER(W61),IF(W61&lt;&gt;"","SUB",""),"_","Ed","_","M4",".mpg")</f>
        <v>AirPanoramaInternationalOutbound_CA_i5K_0325_169_EngZhoEngSUBZhoSUB_Ed_M4.mpg</v>
      </c>
      <c r="R61" s="393" t="s">
        <v>137</v>
      </c>
      <c r="S61" s="392" t="s">
        <v>136</v>
      </c>
      <c r="T61" s="390"/>
      <c r="U61" s="390"/>
      <c r="V61" s="393" t="s">
        <v>137</v>
      </c>
      <c r="W61" s="392" t="s">
        <v>136</v>
      </c>
      <c r="X61" s="340" t="s">
        <v>135</v>
      </c>
      <c r="Y61" s="340" t="s">
        <v>135</v>
      </c>
      <c r="Z61" s="120">
        <f t="shared" si="7"/>
        <v>143</v>
      </c>
      <c r="AA61" s="303" t="str">
        <f t="shared" si="8"/>
        <v>02:23:00</v>
      </c>
      <c r="AB61" s="120">
        <f t="shared" si="9"/>
        <v>8580</v>
      </c>
      <c r="AC61" s="406">
        <v>0.0991666666666667</v>
      </c>
      <c r="AD61" s="407">
        <v>169</v>
      </c>
      <c r="AE61" s="407">
        <v>43</v>
      </c>
      <c r="AF61" s="408"/>
    </row>
    <row r="62" ht="24" customHeight="1" spans="1:32">
      <c r="A62" s="340">
        <v>58</v>
      </c>
      <c r="B62" s="277"/>
      <c r="C62" s="517" t="s">
        <v>124</v>
      </c>
      <c r="D62" s="346"/>
      <c r="E62" s="350"/>
      <c r="F62" s="81">
        <v>2</v>
      </c>
      <c r="G62" s="363" t="s">
        <v>557</v>
      </c>
      <c r="H62" s="362" t="s">
        <v>558</v>
      </c>
      <c r="I62" s="366" t="s">
        <v>128</v>
      </c>
      <c r="J62" s="366" t="s">
        <v>128</v>
      </c>
      <c r="K62" s="366" t="s">
        <v>128</v>
      </c>
      <c r="L62" s="366" t="s">
        <v>128</v>
      </c>
      <c r="M62" s="366" t="s">
        <v>128</v>
      </c>
      <c r="N62" s="376" t="s">
        <v>559</v>
      </c>
      <c r="O62" s="374" t="s">
        <v>560</v>
      </c>
      <c r="P62" s="378" t="s">
        <v>561</v>
      </c>
      <c r="Q62" s="378" t="s">
        <v>562</v>
      </c>
      <c r="R62" s="393" t="s">
        <v>137</v>
      </c>
      <c r="S62" s="392" t="s">
        <v>136</v>
      </c>
      <c r="T62" s="390"/>
      <c r="U62" s="390"/>
      <c r="V62" s="393" t="s">
        <v>137</v>
      </c>
      <c r="W62" s="392" t="s">
        <v>136</v>
      </c>
      <c r="X62" s="340" t="s">
        <v>135</v>
      </c>
      <c r="Y62" s="340" t="s">
        <v>135</v>
      </c>
      <c r="Z62" s="120">
        <f t="shared" si="7"/>
        <v>137</v>
      </c>
      <c r="AA62" s="303" t="str">
        <f t="shared" si="8"/>
        <v>02:17:00</v>
      </c>
      <c r="AB62" s="120">
        <f t="shared" si="9"/>
        <v>8220</v>
      </c>
      <c r="AC62" s="406">
        <v>0.0954166666666667</v>
      </c>
      <c r="AD62" s="407">
        <v>169</v>
      </c>
      <c r="AE62" s="407">
        <v>43</v>
      </c>
      <c r="AF62" s="408"/>
    </row>
    <row r="63" ht="24" customHeight="1" spans="1:32">
      <c r="A63" s="340">
        <v>59</v>
      </c>
      <c r="B63" s="277"/>
      <c r="C63" s="517" t="s">
        <v>124</v>
      </c>
      <c r="D63" s="346"/>
      <c r="E63" s="350"/>
      <c r="F63" s="81">
        <v>3</v>
      </c>
      <c r="G63" s="363" t="s">
        <v>563</v>
      </c>
      <c r="H63" s="362" t="s">
        <v>564</v>
      </c>
      <c r="I63" s="366" t="s">
        <v>128</v>
      </c>
      <c r="J63" s="366" t="s">
        <v>128</v>
      </c>
      <c r="K63" s="366" t="s">
        <v>128</v>
      </c>
      <c r="L63" s="366" t="s">
        <v>128</v>
      </c>
      <c r="M63" s="366" t="s">
        <v>128</v>
      </c>
      <c r="N63" s="376" t="s">
        <v>565</v>
      </c>
      <c r="O63" s="374" t="s">
        <v>566</v>
      </c>
      <c r="P63" s="373" t="str">
        <f>CONCATENATE(RemovePunctuation(H63),"_CA","_","i4K","_",C63,"_",AE63,"_",PROPER(R63),IF(S63="",PROPER(R63),PROPER(S63)),PROPER(T63),PROPER(U63),PROPER(V63),IF(V63&lt;&gt;"","SUB",""),PROPER(W63),IF(W63&lt;&gt;"","SUB",""),"_","Ed","_","M1",".mpg")</f>
        <v>AirPanoramaDomesticOutbound_CA_i4K_0325_43_ZhoZhoZhoSUB_Ed_M1.mpg</v>
      </c>
      <c r="Q63" s="373" t="str">
        <f>CONCATENATE(RemovePunctuation(H63),"_CA","_","i5K","_",C63,"_",AD63,"_",PROPER(R63),IF(S63="",PROPER(R63),PROPER(S63)),PROPER(T63),PROPER(U63),PROPER(V63),IF(V63&lt;&gt;"","SUB",""),PROPER(W63),IF(W63&lt;&gt;"","SUB",""),"_","Ed","_","M4",".mpg")</f>
        <v>AirPanoramaDomesticOutbound_CA_i5K_0325_169_ZhoZhoZhoSUB_Ed_M4.mpg</v>
      </c>
      <c r="R63" s="393" t="s">
        <v>136</v>
      </c>
      <c r="S63" s="390"/>
      <c r="T63" s="390"/>
      <c r="U63" s="390"/>
      <c r="V63" s="392" t="s">
        <v>136</v>
      </c>
      <c r="W63" s="390"/>
      <c r="X63" s="340" t="s">
        <v>135</v>
      </c>
      <c r="Y63" s="340" t="s">
        <v>135</v>
      </c>
      <c r="Z63" s="120">
        <f t="shared" si="7"/>
        <v>142</v>
      </c>
      <c r="AA63" s="303" t="str">
        <f t="shared" si="8"/>
        <v>02:22:00</v>
      </c>
      <c r="AB63" s="120">
        <f t="shared" si="9"/>
        <v>8520</v>
      </c>
      <c r="AC63" s="406">
        <v>0.0985763888888889</v>
      </c>
      <c r="AD63" s="407">
        <v>169</v>
      </c>
      <c r="AE63" s="407">
        <v>43</v>
      </c>
      <c r="AF63" s="408"/>
    </row>
    <row r="64" ht="24" customHeight="1" spans="1:32">
      <c r="A64" s="340">
        <v>60</v>
      </c>
      <c r="B64" s="277"/>
      <c r="C64" s="517" t="s">
        <v>124</v>
      </c>
      <c r="D64" s="346"/>
      <c r="E64" s="350"/>
      <c r="F64" s="81">
        <v>4</v>
      </c>
      <c r="G64" s="362" t="s">
        <v>567</v>
      </c>
      <c r="H64" s="362" t="s">
        <v>568</v>
      </c>
      <c r="I64" s="366" t="s">
        <v>128</v>
      </c>
      <c r="J64" s="366" t="s">
        <v>128</v>
      </c>
      <c r="K64" s="366" t="s">
        <v>128</v>
      </c>
      <c r="L64" s="366" t="s">
        <v>128</v>
      </c>
      <c r="M64" s="366" t="s">
        <v>128</v>
      </c>
      <c r="N64" s="376" t="s">
        <v>569</v>
      </c>
      <c r="O64" s="374" t="s">
        <v>570</v>
      </c>
      <c r="P64" s="373" t="str">
        <f>CONCATENATE(RemovePunctuation(H64),"_CA","_","i4K","_",C64,"_",AE64,"_",PROPER(R64),IF(S64="",PROPER(R64),PROPER(S64)),PROPER(T64),PROPER(U64),PROPER(V64),IF(V64&lt;&gt;"","SUB",""),PROPER(W64),IF(W64&lt;&gt;"","SUB",""),"_","Ed","_","M1",".mpg")</f>
        <v>AirPanoramaDomesticInbound_CA_i4K_0325_43_ZhoZhoZhoSUB_Ed_M1.mpg</v>
      </c>
      <c r="Q64" s="373" t="str">
        <f>CONCATENATE(RemovePunctuation(H64),"_CA","_","i5K","_",C64,"_",AD64,"_",PROPER(R64),IF(S64="",PROPER(R64),PROPER(S64)),PROPER(T64),PROPER(U64),PROPER(V64),IF(V64&lt;&gt;"","SUB",""),PROPER(W64),IF(W64&lt;&gt;"","SUB",""),"_","Ed","_","M4",".mpg")</f>
        <v>AirPanoramaDomesticInbound_CA_i5K_0325_169_ZhoZhoZhoSUB_Ed_M4.mpg</v>
      </c>
      <c r="R64" s="393" t="s">
        <v>136</v>
      </c>
      <c r="S64" s="390"/>
      <c r="T64" s="390"/>
      <c r="U64" s="390"/>
      <c r="V64" s="392" t="s">
        <v>136</v>
      </c>
      <c r="W64" s="390"/>
      <c r="X64" s="340" t="s">
        <v>135</v>
      </c>
      <c r="Y64" s="340" t="s">
        <v>135</v>
      </c>
      <c r="Z64" s="120">
        <f t="shared" si="7"/>
        <v>141</v>
      </c>
      <c r="AA64" s="303" t="str">
        <f t="shared" si="8"/>
        <v>02:21:00</v>
      </c>
      <c r="AB64" s="120">
        <f t="shared" si="9"/>
        <v>8460</v>
      </c>
      <c r="AC64" s="406">
        <v>0.0975810185185185</v>
      </c>
      <c r="AD64" s="407">
        <v>169</v>
      </c>
      <c r="AE64" s="407">
        <v>43</v>
      </c>
      <c r="AF64" s="408"/>
    </row>
    <row r="65" ht="24" customHeight="1" spans="1:32">
      <c r="A65" s="340">
        <v>61</v>
      </c>
      <c r="B65" s="277"/>
      <c r="C65" s="348"/>
      <c r="D65" s="346"/>
      <c r="E65" s="350"/>
      <c r="F65" s="81">
        <v>5</v>
      </c>
      <c r="G65" s="416" t="s">
        <v>571</v>
      </c>
      <c r="H65" s="417" t="s">
        <v>572</v>
      </c>
      <c r="I65" s="366" t="s">
        <v>128</v>
      </c>
      <c r="J65" s="366" t="s">
        <v>128</v>
      </c>
      <c r="K65" s="366" t="s">
        <v>128</v>
      </c>
      <c r="L65" s="366" t="s">
        <v>128</v>
      </c>
      <c r="M65" s="366" t="s">
        <v>128</v>
      </c>
      <c r="N65" s="376" t="s">
        <v>573</v>
      </c>
      <c r="O65" s="374"/>
      <c r="P65" s="373" t="str">
        <f>CONCATENATE(RemovePunctuation(H65),"_CA","_","i4K","_",C65,"_",AE65,"_",PROPER(R65),IF(S65="",PROPER(R65),PROPER(S65)),PROPER(T65),PROPER(U65),PROPER(V65),IF(V65&lt;&gt;"","SUB",""),PROPER(W65),IF(W65&lt;&gt;"","SUB",""),"_","Ed","_","M1",".mpg")</f>
        <v>QuzhouaCityofCourtesyConnectingtotheFuture_CA_i4K__43_ZhoZhoZhoSUB_Ed_M1.mpg</v>
      </c>
      <c r="Q65" s="373" t="str">
        <f>CONCATENATE(RemovePunctuation(H65),"_CA","_","i5K","_",C65,"_",AD65,"_",PROPER(R65),IF(S65="",PROPER(R65),PROPER(S65)),PROPER(T65),PROPER(U65),PROPER(V65),IF(V65&lt;&gt;"","SUB",""),PROPER(W65),IF(W65&lt;&gt;"","SUB",""),"_","Ed","_","M4",".mpg")</f>
        <v>QuzhouaCityofCourtesyConnectingtotheFuture_CA_i5K__169_ZhoZhoZhoSUB_Ed_M4.mpg</v>
      </c>
      <c r="R65" s="393" t="s">
        <v>136</v>
      </c>
      <c r="S65" s="390"/>
      <c r="T65" s="390"/>
      <c r="U65" s="390"/>
      <c r="V65" s="393" t="s">
        <v>136</v>
      </c>
      <c r="W65" s="390"/>
      <c r="X65" s="340" t="s">
        <v>135</v>
      </c>
      <c r="Y65" s="340" t="s">
        <v>135</v>
      </c>
      <c r="Z65" s="120">
        <f t="shared" si="7"/>
        <v>3</v>
      </c>
      <c r="AA65" s="303" t="str">
        <f t="shared" si="8"/>
        <v>00:03:00</v>
      </c>
      <c r="AB65" s="120">
        <f t="shared" si="9"/>
        <v>180</v>
      </c>
      <c r="AC65" s="406">
        <v>0.00207175925925926</v>
      </c>
      <c r="AD65" s="407">
        <v>169</v>
      </c>
      <c r="AE65" s="407">
        <v>43</v>
      </c>
      <c r="AF65" s="408"/>
    </row>
    <row r="66" ht="24" customHeight="1" spans="1:32">
      <c r="A66" s="340">
        <v>62</v>
      </c>
      <c r="B66" s="277"/>
      <c r="C66" s="517" t="s">
        <v>124</v>
      </c>
      <c r="D66" s="346"/>
      <c r="E66" s="350"/>
      <c r="F66" s="81">
        <v>6</v>
      </c>
      <c r="G66" s="362" t="s">
        <v>574</v>
      </c>
      <c r="H66" s="362" t="s">
        <v>575</v>
      </c>
      <c r="I66" s="366" t="s">
        <v>128</v>
      </c>
      <c r="J66" s="366" t="s">
        <v>128</v>
      </c>
      <c r="K66" s="366"/>
      <c r="L66" s="366" t="s">
        <v>128</v>
      </c>
      <c r="M66" s="366" t="s">
        <v>128</v>
      </c>
      <c r="N66" s="376" t="s">
        <v>576</v>
      </c>
      <c r="O66" s="374"/>
      <c r="P66" s="373" t="str">
        <f>CONCATENATE(RemovePunctuation(H66),"_CA","_","i4K","_",C66,"_",AE66,"_",PROPER(R66),IF(S66="",PROPER(R66),PROPER(S66)),PROPER(T66),PROPER(U66),PROPER(V66),IF(V66&lt;&gt;"","SUB",""),PROPER(W66),IF(W66&lt;&gt;"","SUB",""),"_","Ed","_","M1",".mpg")</f>
        <v>CharmingJiangsuS02E02_CA_i4K_0325_43_ZhoZhoZhoSUB_Ed_M1.mpg</v>
      </c>
      <c r="Q66" s="373" t="str">
        <f>CONCATENATE(RemovePunctuation(H66),"_CA","_","i5K","_",C66,"_",AD66,"_",PROPER(R66),IF(S66="",PROPER(R66),PROPER(S66)),PROPER(T66),PROPER(U66),PROPER(V66),IF(V66&lt;&gt;"","SUB",""),PROPER(W66),IF(W66&lt;&gt;"","SUB",""),"_","Ed","_","M4",".mpg")</f>
        <v>CharmingJiangsuS02E02_CA_i5K_0325_169_ZhoZhoZhoSUB_Ed_M4.mpg</v>
      </c>
      <c r="R66" s="393" t="s">
        <v>136</v>
      </c>
      <c r="S66" s="390"/>
      <c r="T66" s="390"/>
      <c r="U66" s="390"/>
      <c r="V66" s="392" t="s">
        <v>136</v>
      </c>
      <c r="W66" s="390"/>
      <c r="X66" s="340" t="s">
        <v>135</v>
      </c>
      <c r="Y66" s="340" t="s">
        <v>135</v>
      </c>
      <c r="Z66" s="120">
        <f t="shared" ref="Z66:Z80" si="10">ROUNDUP(HOUR(AA66)*60+MINUTE(AA66)+SECOND(AA66)/60,0)</f>
        <v>43</v>
      </c>
      <c r="AA66" s="303" t="str">
        <f t="shared" ref="AA66:AA80" si="11">TEXT((HOUR(AC66)*60+MINUTE(AC66)+IF(SECOND(AC66)&lt;=29,0,1))*60/86400,"hh:mm:ss")</f>
        <v>00:43:00</v>
      </c>
      <c r="AB66" s="120">
        <f t="shared" ref="AB66:AB80" si="12">Z66*60</f>
        <v>2580</v>
      </c>
      <c r="AC66" s="406">
        <v>0.0300347222222222</v>
      </c>
      <c r="AD66" s="407">
        <v>169</v>
      </c>
      <c r="AE66" s="407">
        <v>43</v>
      </c>
      <c r="AF66" s="340" t="s">
        <v>138</v>
      </c>
    </row>
    <row r="67" ht="24" customHeight="1" spans="1:32">
      <c r="A67" s="340">
        <v>63</v>
      </c>
      <c r="B67" s="277"/>
      <c r="C67" s="517" t="s">
        <v>124</v>
      </c>
      <c r="D67" s="346"/>
      <c r="E67" s="350"/>
      <c r="F67" s="81">
        <v>7</v>
      </c>
      <c r="G67" s="362" t="s">
        <v>577</v>
      </c>
      <c r="H67" s="362" t="s">
        <v>578</v>
      </c>
      <c r="I67" s="366" t="s">
        <v>128</v>
      </c>
      <c r="J67" s="366" t="s">
        <v>128</v>
      </c>
      <c r="K67" s="366"/>
      <c r="L67" s="366" t="s">
        <v>128</v>
      </c>
      <c r="M67" s="366" t="s">
        <v>128</v>
      </c>
      <c r="N67" s="376" t="s">
        <v>579</v>
      </c>
      <c r="O67" s="374"/>
      <c r="P67" s="373" t="str">
        <f>CONCATENATE(RemovePunctuation(H67),"_CA","_","i4K","_",C67,"_",AE67,"_",PROPER(R67),IF(S67="",PROPER(R67),PROPER(S67)),PROPER(T67),PROPER(U67),PROPER(V67),IF(V67&lt;&gt;"","SUB",""),PROPER(W67),IF(W67&lt;&gt;"","SUB",""),"_","Ed","_","M1",".mpg")</f>
        <v>CharmingJiangsuS02E01_CA_i4K_0325_43_ZhoZhoZhoSUB_Ed_M1.mpg</v>
      </c>
      <c r="Q67" s="373" t="str">
        <f>CONCATENATE(RemovePunctuation(H67),"_CA","_","i5K","_",C67,"_",AD67,"_",PROPER(R67),IF(S67="",PROPER(R67),PROPER(S67)),PROPER(T67),PROPER(U67),PROPER(V67),IF(V67&lt;&gt;"","SUB",""),PROPER(W67),IF(W67&lt;&gt;"","SUB",""),"_","Ed","_","M4",".mpg")</f>
        <v>CharmingJiangsuS02E01_CA_i5K_0325_169_ZhoZhoZhoSUB_Ed_M4.mpg</v>
      </c>
      <c r="R67" s="393" t="s">
        <v>136</v>
      </c>
      <c r="S67" s="390"/>
      <c r="T67" s="390"/>
      <c r="U67" s="390"/>
      <c r="V67" s="392" t="s">
        <v>136</v>
      </c>
      <c r="W67" s="390"/>
      <c r="X67" s="340" t="s">
        <v>135</v>
      </c>
      <c r="Y67" s="340" t="s">
        <v>135</v>
      </c>
      <c r="Z67" s="120">
        <f t="shared" si="10"/>
        <v>45</v>
      </c>
      <c r="AA67" s="303" t="str">
        <f t="shared" si="11"/>
        <v>00:45:00</v>
      </c>
      <c r="AB67" s="120">
        <f t="shared" si="12"/>
        <v>2700</v>
      </c>
      <c r="AC67" s="406">
        <v>0.0311921296296296</v>
      </c>
      <c r="AD67" s="407">
        <v>169</v>
      </c>
      <c r="AE67" s="407">
        <v>43</v>
      </c>
      <c r="AF67" s="340" t="s">
        <v>138</v>
      </c>
    </row>
    <row r="68" ht="24" customHeight="1" spans="1:32">
      <c r="A68" s="340">
        <v>64</v>
      </c>
      <c r="B68" s="277"/>
      <c r="C68" s="517" t="s">
        <v>124</v>
      </c>
      <c r="D68" s="346"/>
      <c r="E68" s="350"/>
      <c r="F68" s="81">
        <v>8</v>
      </c>
      <c r="G68" s="363" t="s">
        <v>580</v>
      </c>
      <c r="H68" s="417" t="s">
        <v>581</v>
      </c>
      <c r="I68" s="366" t="s">
        <v>128</v>
      </c>
      <c r="J68" s="366" t="s">
        <v>128</v>
      </c>
      <c r="K68" s="366"/>
      <c r="L68" s="366" t="s">
        <v>128</v>
      </c>
      <c r="M68" s="366" t="s">
        <v>128</v>
      </c>
      <c r="N68" s="376" t="s">
        <v>582</v>
      </c>
      <c r="O68" s="374"/>
      <c r="P68" s="373" t="str">
        <f>CONCATENATE(RemovePunctuation(H68),"_CA","_","i4K","_",C68,"_",AE68,"_",PROPER(R68),IF(S68="",PROPER(R68),PROPER(S68)),PROPER(T68),PROPER(U68),PROPER(V68),IF(V68&lt;&gt;"","SUB",""),PROPER(W68),IF(W68&lt;&gt;"","SUB",""),"_","Ed","_","M1",".mpg")</f>
        <v>BeyondTravelTravelingwiththeWavesthroughSwitzerlandandFrance_CA_i4K_0325_43_ZhoZhoZhoSUB_Ed_M1.mpg</v>
      </c>
      <c r="Q68" s="373" t="str">
        <f>CONCATENATE(RemovePunctuation(H68),"_CA","_","i5K","_",C68,"_",AD68,"_",PROPER(R68),IF(S68="",PROPER(R68),PROPER(S68)),PROPER(T68),PROPER(U68),PROPER(V68),IF(V68&lt;&gt;"","SUB",""),PROPER(W68),IF(W68&lt;&gt;"","SUB",""),"_","Ed","_","M4",".mpg")</f>
        <v>BeyondTravelTravelingwiththeWavesthroughSwitzerlandandFrance_CA_i5K_0325_169_ZhoZhoZhoSUB_Ed_M4.mpg</v>
      </c>
      <c r="R68" s="393" t="s">
        <v>136</v>
      </c>
      <c r="S68" s="390"/>
      <c r="T68" s="390"/>
      <c r="U68" s="390"/>
      <c r="V68" s="392" t="s">
        <v>136</v>
      </c>
      <c r="W68" s="390"/>
      <c r="X68" s="340" t="s">
        <v>135</v>
      </c>
      <c r="Y68" s="340" t="s">
        <v>135</v>
      </c>
      <c r="Z68" s="120">
        <f t="shared" si="10"/>
        <v>15</v>
      </c>
      <c r="AA68" s="303" t="str">
        <f t="shared" si="11"/>
        <v>00:15:00</v>
      </c>
      <c r="AB68" s="120">
        <f t="shared" si="12"/>
        <v>900</v>
      </c>
      <c r="AC68" s="406">
        <v>0.0102314814814815</v>
      </c>
      <c r="AD68" s="407">
        <v>169</v>
      </c>
      <c r="AE68" s="407">
        <v>43</v>
      </c>
      <c r="AF68" s="340" t="s">
        <v>138</v>
      </c>
    </row>
    <row r="69" ht="24" customHeight="1" spans="1:32">
      <c r="A69" s="340">
        <v>65</v>
      </c>
      <c r="B69" s="277"/>
      <c r="C69" s="517" t="s">
        <v>124</v>
      </c>
      <c r="D69" s="346"/>
      <c r="E69" s="350"/>
      <c r="F69" s="81">
        <v>9</v>
      </c>
      <c r="G69" s="362" t="s">
        <v>583</v>
      </c>
      <c r="H69" s="362" t="s">
        <v>584</v>
      </c>
      <c r="I69" s="366" t="s">
        <v>128</v>
      </c>
      <c r="J69" s="366" t="s">
        <v>128</v>
      </c>
      <c r="K69" s="366"/>
      <c r="L69" s="366" t="s">
        <v>128</v>
      </c>
      <c r="M69" s="366" t="s">
        <v>128</v>
      </c>
      <c r="N69" s="376" t="s">
        <v>585</v>
      </c>
      <c r="O69" s="374"/>
      <c r="P69" s="373" t="str">
        <f>CONCATENATE(RemovePunctuation(H69),"_CA","_","i4K","_",C69,"_",AE69,"_",PROPER(R69),IF(S69="",PROPER(R69),PROPER(S69)),PROPER(T69),PROPER(U69),PROPER(V69),IF(V69&lt;&gt;"","SUB",""),PROPER(W69),IF(W69&lt;&gt;"","SUB",""),"_","Ed","_","M1",".mpg")</f>
        <v>100PlacestoVisitinThisLifetime10LotusFlower_CA_i4K_0325_43_ZhoZhoZhoSUB_Ed_M1.mpg</v>
      </c>
      <c r="Q69" s="373" t="str">
        <f>CONCATENATE(RemovePunctuation(H69),"_CA","_","i5K","_",C69,"_",AD69,"_",PROPER(R69),IF(S69="",PROPER(R69),PROPER(S69)),PROPER(T69),PROPER(U69),PROPER(V69),IF(V69&lt;&gt;"","SUB",""),PROPER(W69),IF(W69&lt;&gt;"","SUB",""),"_","Ed","_","M4",".mpg")</f>
        <v>100PlacestoVisitinThisLifetime10LotusFlower_CA_i5K_0325_169_ZhoZhoZhoSUB_Ed_M4.mpg</v>
      </c>
      <c r="R69" s="393" t="s">
        <v>136</v>
      </c>
      <c r="S69" s="390"/>
      <c r="T69" s="390"/>
      <c r="U69" s="390"/>
      <c r="V69" s="392" t="s">
        <v>136</v>
      </c>
      <c r="W69" s="390"/>
      <c r="X69" s="340" t="s">
        <v>135</v>
      </c>
      <c r="Y69" s="340" t="s">
        <v>135</v>
      </c>
      <c r="Z69" s="120">
        <f t="shared" si="10"/>
        <v>72</v>
      </c>
      <c r="AA69" s="303" t="str">
        <f t="shared" si="11"/>
        <v>01:12:00</v>
      </c>
      <c r="AB69" s="120">
        <f t="shared" si="12"/>
        <v>4320</v>
      </c>
      <c r="AC69" s="406">
        <v>0.0501388888888889</v>
      </c>
      <c r="AD69" s="407">
        <v>169</v>
      </c>
      <c r="AE69" s="407">
        <v>43</v>
      </c>
      <c r="AF69" s="340" t="s">
        <v>138</v>
      </c>
    </row>
    <row r="70" ht="24" customHeight="1" spans="1:32">
      <c r="A70" s="340">
        <v>66</v>
      </c>
      <c r="B70" s="277"/>
      <c r="C70" s="517" t="s">
        <v>124</v>
      </c>
      <c r="D70" s="346"/>
      <c r="E70" s="350"/>
      <c r="F70" s="81">
        <v>10</v>
      </c>
      <c r="G70" s="362" t="s">
        <v>586</v>
      </c>
      <c r="H70" s="362" t="s">
        <v>587</v>
      </c>
      <c r="I70" s="366" t="s">
        <v>128</v>
      </c>
      <c r="J70" s="366"/>
      <c r="K70" s="366"/>
      <c r="L70" s="366" t="s">
        <v>128</v>
      </c>
      <c r="M70" s="366"/>
      <c r="N70" s="376" t="s">
        <v>588</v>
      </c>
      <c r="O70" s="374"/>
      <c r="P70" s="375"/>
      <c r="Q70" s="373" t="str">
        <f>CONCATENATE(RemovePunctuation(H70),"_CA","_","i5K","_",C70,"_",AD70,"_",PROPER(R70),IF(S70="",PROPER(R70),PROPER(S70)),PROPER(T70),PROPER(U70),PROPER(V70),IF(V70&lt;&gt;"","SUB",""),PROPER(W70),IF(W70&lt;&gt;"","SUB",""),"_","Ed","_","M4",".mpg")</f>
        <v>100PlacestoVisitinThisLifetime9MicheliaAlba_CA_i5K_0325_169_ZhoZhoZhoSUB_Ed_M4.mpg</v>
      </c>
      <c r="R70" s="393" t="s">
        <v>136</v>
      </c>
      <c r="S70" s="390"/>
      <c r="T70" s="390"/>
      <c r="U70" s="390"/>
      <c r="V70" s="392" t="s">
        <v>136</v>
      </c>
      <c r="W70" s="390"/>
      <c r="X70" s="340" t="s">
        <v>135</v>
      </c>
      <c r="Y70" s="340" t="s">
        <v>135</v>
      </c>
      <c r="Z70" s="120">
        <f t="shared" si="10"/>
        <v>70</v>
      </c>
      <c r="AA70" s="303" t="str">
        <f t="shared" si="11"/>
        <v>01:10:00</v>
      </c>
      <c r="AB70" s="120">
        <f t="shared" si="12"/>
        <v>4200</v>
      </c>
      <c r="AC70" s="406">
        <v>0.0488425925925926</v>
      </c>
      <c r="AD70" s="407">
        <v>169</v>
      </c>
      <c r="AE70" s="407">
        <v>43</v>
      </c>
      <c r="AF70" s="340" t="s">
        <v>138</v>
      </c>
    </row>
    <row r="71" ht="24" customHeight="1" spans="1:32">
      <c r="A71" s="340">
        <v>67</v>
      </c>
      <c r="B71" s="277"/>
      <c r="C71" s="517" t="s">
        <v>124</v>
      </c>
      <c r="D71" s="346"/>
      <c r="E71" s="350"/>
      <c r="F71" s="81">
        <v>11</v>
      </c>
      <c r="G71" s="362" t="s">
        <v>589</v>
      </c>
      <c r="H71" s="362" t="s">
        <v>590</v>
      </c>
      <c r="I71" s="366" t="s">
        <v>128</v>
      </c>
      <c r="J71" s="366" t="s">
        <v>128</v>
      </c>
      <c r="K71" s="366"/>
      <c r="L71" s="366" t="s">
        <v>128</v>
      </c>
      <c r="M71" s="366" t="s">
        <v>128</v>
      </c>
      <c r="N71" s="376" t="s">
        <v>591</v>
      </c>
      <c r="O71" s="374"/>
      <c r="P71" s="373" t="str">
        <f>CONCATENATE(RemovePunctuation(H71),"_CA","_","i4K","_",C71,"_",AE71,"_",PROPER(R71),IF(S71="",PROPER(R71),PROPER(S71)),PROPER(T71),PROPER(U71),PROPER(V71),IF(V71&lt;&gt;"","SUB",""),PROPER(W71),IF(W71&lt;&gt;"","SUB",""),"_","Ed","_","M1",".mpg")</f>
        <v>ARecordoftheCitySuzhou_CA_i4K_0325_43_ZhoZhoZhoSUB_Ed_M1.mpg</v>
      </c>
      <c r="Q71" s="373" t="str">
        <f>CONCATENATE(RemovePunctuation(H71),"_CA","_","i5K","_",C71,"_",AD71,"_",PROPER(R71),IF(S71="",PROPER(R71),PROPER(S71)),PROPER(T71),PROPER(U71),PROPER(V71),IF(V71&lt;&gt;"","SUB",""),PROPER(W71),IF(W71&lt;&gt;"","SUB",""),"_","Ed","_","M4",".mpg")</f>
        <v>ARecordoftheCitySuzhou_CA_i5K_0325_169_ZhoZhoZhoSUB_Ed_M4.mpg</v>
      </c>
      <c r="R71" s="393" t="s">
        <v>136</v>
      </c>
      <c r="S71" s="390"/>
      <c r="T71" s="390"/>
      <c r="U71" s="390"/>
      <c r="V71" s="392" t="s">
        <v>136</v>
      </c>
      <c r="W71" s="390"/>
      <c r="X71" s="340" t="s">
        <v>135</v>
      </c>
      <c r="Y71" s="340" t="s">
        <v>135</v>
      </c>
      <c r="Z71" s="120">
        <f t="shared" si="10"/>
        <v>89</v>
      </c>
      <c r="AA71" s="303" t="str">
        <f t="shared" si="11"/>
        <v>01:29:00</v>
      </c>
      <c r="AB71" s="120">
        <f t="shared" si="12"/>
        <v>5340</v>
      </c>
      <c r="AC71" s="406">
        <v>0.0618171296296296</v>
      </c>
      <c r="AD71" s="407">
        <v>169</v>
      </c>
      <c r="AE71" s="407">
        <v>43</v>
      </c>
      <c r="AF71" s="340" t="s">
        <v>138</v>
      </c>
    </row>
    <row r="72" ht="24" customHeight="1" spans="1:32">
      <c r="A72" s="340">
        <v>68</v>
      </c>
      <c r="B72" s="277"/>
      <c r="C72" s="517" t="s">
        <v>124</v>
      </c>
      <c r="D72" s="346"/>
      <c r="E72" s="350"/>
      <c r="F72" s="81">
        <v>12</v>
      </c>
      <c r="G72" s="362" t="s">
        <v>592</v>
      </c>
      <c r="H72" s="418" t="s">
        <v>593</v>
      </c>
      <c r="I72" s="366" t="s">
        <v>128</v>
      </c>
      <c r="J72" s="366" t="s">
        <v>128</v>
      </c>
      <c r="K72" s="366"/>
      <c r="L72" s="366" t="s">
        <v>128</v>
      </c>
      <c r="M72" s="366" t="s">
        <v>128</v>
      </c>
      <c r="N72" s="376" t="s">
        <v>594</v>
      </c>
      <c r="O72" s="374"/>
      <c r="P72" s="373" t="str">
        <f>CONCATENATE(RemovePunctuation(H72),"_CA","_","i4K","_",C72,"_",AE72,"_",PROPER(R72),IF(S72="",PROPER(R72),PROPER(S72)),PROPER(T72),PROPER(U72),PROPER(V72),IF(V72&lt;&gt;"","SUB",""),PROPER(W72),IF(W72&lt;&gt;"","SUB",""),"_","Ed","_","M1",".mpg")</f>
        <v>TheLijiangRiver2TheFourSeasons_CA_i4K_0325_43_ZhoZhoZhoSUB_Ed_M1.mpg</v>
      </c>
      <c r="Q72" s="373" t="str">
        <f>CONCATENATE(RemovePunctuation(H72),"_CA","_","i5K","_",C72,"_",AD72,"_",PROPER(R72),IF(S72="",PROPER(R72),PROPER(S72)),PROPER(T72),PROPER(U72),PROPER(V72),IF(V72&lt;&gt;"","SUB",""),PROPER(W72),IF(W72&lt;&gt;"","SUB",""),"_","Ed","_","M4",".mpg")</f>
        <v>TheLijiangRiver2TheFourSeasons_CA_i5K_0325_169_ZhoZhoZhoSUB_Ed_M4.mpg</v>
      </c>
      <c r="R72" s="393" t="s">
        <v>136</v>
      </c>
      <c r="S72" s="390"/>
      <c r="T72" s="390"/>
      <c r="U72" s="390"/>
      <c r="V72" s="392" t="s">
        <v>136</v>
      </c>
      <c r="W72" s="390"/>
      <c r="X72" s="340" t="s">
        <v>135</v>
      </c>
      <c r="Y72" s="340" t="s">
        <v>135</v>
      </c>
      <c r="Z72" s="120">
        <f t="shared" si="10"/>
        <v>24</v>
      </c>
      <c r="AA72" s="303" t="str">
        <f t="shared" si="11"/>
        <v>00:24:00</v>
      </c>
      <c r="AB72" s="120">
        <f t="shared" si="12"/>
        <v>1440</v>
      </c>
      <c r="AC72" s="406">
        <v>0.0166203703703704</v>
      </c>
      <c r="AD72" s="407">
        <v>169</v>
      </c>
      <c r="AE72" s="407">
        <v>43</v>
      </c>
      <c r="AF72" s="340" t="s">
        <v>138</v>
      </c>
    </row>
    <row r="73" ht="24" customHeight="1" spans="1:32">
      <c r="A73" s="340">
        <v>69</v>
      </c>
      <c r="B73" s="277"/>
      <c r="C73" s="517" t="s">
        <v>124</v>
      </c>
      <c r="D73" s="346"/>
      <c r="E73" s="350"/>
      <c r="F73" s="81">
        <v>13</v>
      </c>
      <c r="G73" s="362" t="s">
        <v>595</v>
      </c>
      <c r="H73" s="362" t="s">
        <v>596</v>
      </c>
      <c r="I73" s="366" t="s">
        <v>128</v>
      </c>
      <c r="J73" s="366" t="s">
        <v>128</v>
      </c>
      <c r="K73" s="366" t="s">
        <v>128</v>
      </c>
      <c r="L73" s="366" t="s">
        <v>128</v>
      </c>
      <c r="M73" s="366" t="s">
        <v>128</v>
      </c>
      <c r="N73" s="376" t="s">
        <v>597</v>
      </c>
      <c r="O73" s="374" t="s">
        <v>598</v>
      </c>
      <c r="P73" s="373" t="str">
        <f>CONCATENATE(RemovePunctuation(H73),"_CA","_","i4K","_",C73,"_",AE73,"_",PROPER(R73),IF(S73="",PROPER(R73),PROPER(S73)),PROPER(T73),PROPER(U73),PROPER(V73),IF(V73&lt;&gt;"","SUB",""),PROPER(W73),IF(W73&lt;&gt;"","SUB",""),"_","Ed","_","M1",".mpg")</f>
        <v>LiliAncientTown3TheAppearanceofHometown_CA_i4K_0325_43_ZhoZhoZhoSUB_Ed_M1.mpg</v>
      </c>
      <c r="Q73" s="373" t="str">
        <f>CONCATENATE(RemovePunctuation(H73),"_CA","_","i5K","_",C73,"_",AD73,"_",PROPER(R73),IF(S73="",PROPER(R73),PROPER(S73)),PROPER(T73),PROPER(U73),PROPER(V73),IF(V73&lt;&gt;"","SUB",""),PROPER(W73),IF(W73&lt;&gt;"","SUB",""),"_","Ed","_","M4",".mpg")</f>
        <v>LiliAncientTown3TheAppearanceofHometown_CA_i5K_0325_169_ZhoZhoZhoSUB_Ed_M4.mpg</v>
      </c>
      <c r="R73" s="393" t="s">
        <v>136</v>
      </c>
      <c r="S73" s="390"/>
      <c r="T73" s="390"/>
      <c r="U73" s="390"/>
      <c r="V73" s="392" t="s">
        <v>136</v>
      </c>
      <c r="W73" s="390"/>
      <c r="X73" s="340" t="s">
        <v>135</v>
      </c>
      <c r="Y73" s="340" t="s">
        <v>135</v>
      </c>
      <c r="Z73" s="120">
        <f t="shared" si="10"/>
        <v>24</v>
      </c>
      <c r="AA73" s="303" t="str">
        <f t="shared" si="11"/>
        <v>00:24:00</v>
      </c>
      <c r="AB73" s="120">
        <f t="shared" si="12"/>
        <v>1440</v>
      </c>
      <c r="AC73" s="406">
        <v>0.0167708333333333</v>
      </c>
      <c r="AD73" s="407">
        <v>169</v>
      </c>
      <c r="AE73" s="407">
        <v>43</v>
      </c>
      <c r="AF73" s="340" t="s">
        <v>138</v>
      </c>
    </row>
    <row r="74" ht="24" customHeight="1" spans="1:32">
      <c r="A74" s="340">
        <v>70</v>
      </c>
      <c r="B74" s="277"/>
      <c r="C74" s="517" t="s">
        <v>124</v>
      </c>
      <c r="D74" s="346"/>
      <c r="E74" s="350"/>
      <c r="F74" s="81">
        <v>14</v>
      </c>
      <c r="G74" s="362" t="s">
        <v>599</v>
      </c>
      <c r="H74" s="362" t="s">
        <v>600</v>
      </c>
      <c r="I74" s="366" t="s">
        <v>128</v>
      </c>
      <c r="J74" s="366" t="s">
        <v>128</v>
      </c>
      <c r="K74" s="366" t="s">
        <v>128</v>
      </c>
      <c r="L74" s="366" t="s">
        <v>128</v>
      </c>
      <c r="M74" s="366" t="s">
        <v>128</v>
      </c>
      <c r="N74" s="376" t="s">
        <v>601</v>
      </c>
      <c r="O74" s="374" t="s">
        <v>602</v>
      </c>
      <c r="P74" s="373" t="str">
        <f>CONCATENATE(RemovePunctuation(H74),"_CA","_","i4K","_",C74,"_",AE74,"_",PROPER(R74),IF(S74="",PROPER(R74),PROPER(S74)),PROPER(T74),PROPER(U74),PROPER(V74),IF(V74&lt;&gt;"","SUB",""),PROPER(W74),IF(W74&lt;&gt;"","SUB",""),"_","Ed","_","M1",".mpg")</f>
        <v>TravelwithTangPoetryS02E03FrontierFortressPoems_CA_i4K_0325_43_ZhoZhoZhoSUB_Ed_M1.mpg</v>
      </c>
      <c r="Q74" s="373" t="str">
        <f>CONCATENATE(RemovePunctuation(H74),"_CA","_","i5K","_",C74,"_",AD74,"_",PROPER(R74),IF(S74="",PROPER(R74),PROPER(S74)),PROPER(T74),PROPER(U74),PROPER(V74),IF(V74&lt;&gt;"","SUB",""),PROPER(W74),IF(W74&lt;&gt;"","SUB",""),"_","Ed","_","M4",".mpg")</f>
        <v>TravelwithTangPoetryS02E03FrontierFortressPoems_CA_i5K_0325_169_ZhoZhoZhoSUB_Ed_M4.mpg</v>
      </c>
      <c r="R74" s="393" t="s">
        <v>136</v>
      </c>
      <c r="S74" s="390"/>
      <c r="T74" s="390"/>
      <c r="U74" s="390"/>
      <c r="V74" s="392" t="s">
        <v>136</v>
      </c>
      <c r="W74" s="390"/>
      <c r="X74" s="340" t="s">
        <v>135</v>
      </c>
      <c r="Y74" s="340" t="s">
        <v>135</v>
      </c>
      <c r="Z74" s="120">
        <f t="shared" si="10"/>
        <v>49</v>
      </c>
      <c r="AA74" s="303" t="str">
        <f t="shared" si="11"/>
        <v>00:49:00</v>
      </c>
      <c r="AB74" s="120">
        <f t="shared" si="12"/>
        <v>2940</v>
      </c>
      <c r="AC74" s="406">
        <v>0.0337268518518519</v>
      </c>
      <c r="AD74" s="407">
        <v>169</v>
      </c>
      <c r="AE74" s="407">
        <v>43</v>
      </c>
      <c r="AF74" s="340" t="s">
        <v>138</v>
      </c>
    </row>
    <row r="75" ht="24" customHeight="1" spans="1:32">
      <c r="A75" s="340">
        <v>71</v>
      </c>
      <c r="B75" s="277"/>
      <c r="C75" s="517" t="s">
        <v>124</v>
      </c>
      <c r="D75" s="346"/>
      <c r="E75" s="350"/>
      <c r="F75" s="81">
        <v>15</v>
      </c>
      <c r="G75" s="362" t="s">
        <v>603</v>
      </c>
      <c r="H75" s="362" t="s">
        <v>604</v>
      </c>
      <c r="I75" s="366" t="s">
        <v>128</v>
      </c>
      <c r="J75" s="366"/>
      <c r="K75" s="366"/>
      <c r="L75" s="366" t="s">
        <v>128</v>
      </c>
      <c r="M75" s="366"/>
      <c r="N75" s="376" t="s">
        <v>605</v>
      </c>
      <c r="O75" s="374"/>
      <c r="P75" s="375"/>
      <c r="Q75" s="373" t="str">
        <f>CONCATENATE(RemovePunctuation(H75),"_CA","_","i5K","_",C75,"_",AD75,"_",PROPER(R75),IF(S75="",PROPER(R75),PROPER(S75)),PROPER(T75),PROPER(U75),PROPER(V75),IF(V75&lt;&gt;"","SUB",""),PROPER(W75),IF(W75&lt;&gt;"","SUB",""),"_","Ed","_","M4",".mpg")</f>
        <v>HumanMemoryChinasWorldHeritageSites76PotalaPalaceArchitecturalComplexPart2_CA_i5K_0325_169_ZhoZhoZhoSUB_Ed_M4.mpg</v>
      </c>
      <c r="R75" s="393" t="s">
        <v>136</v>
      </c>
      <c r="S75" s="390"/>
      <c r="T75" s="390"/>
      <c r="U75" s="390"/>
      <c r="V75" s="392" t="s">
        <v>136</v>
      </c>
      <c r="W75" s="390"/>
      <c r="X75" s="340" t="s">
        <v>135</v>
      </c>
      <c r="Y75" s="340" t="s">
        <v>135</v>
      </c>
      <c r="Z75" s="120">
        <f t="shared" si="10"/>
        <v>25</v>
      </c>
      <c r="AA75" s="303" t="str">
        <f t="shared" si="11"/>
        <v>00:25:00</v>
      </c>
      <c r="AB75" s="120">
        <f t="shared" si="12"/>
        <v>1500</v>
      </c>
      <c r="AC75" s="406">
        <v>0.017337962962963</v>
      </c>
      <c r="AD75" s="407">
        <v>169</v>
      </c>
      <c r="AE75" s="407">
        <v>43</v>
      </c>
      <c r="AF75" s="340" t="s">
        <v>138</v>
      </c>
    </row>
    <row r="76" ht="24" customHeight="1" spans="1:32">
      <c r="A76" s="340">
        <v>72</v>
      </c>
      <c r="B76" s="277"/>
      <c r="C76" s="517" t="s">
        <v>124</v>
      </c>
      <c r="D76" s="346"/>
      <c r="E76" s="350"/>
      <c r="F76" s="81">
        <v>16</v>
      </c>
      <c r="G76" s="362" t="s">
        <v>606</v>
      </c>
      <c r="H76" s="362" t="s">
        <v>607</v>
      </c>
      <c r="I76" s="366" t="s">
        <v>128</v>
      </c>
      <c r="J76" s="366"/>
      <c r="K76" s="366" t="s">
        <v>128</v>
      </c>
      <c r="L76" s="366" t="s">
        <v>128</v>
      </c>
      <c r="M76" s="366"/>
      <c r="N76" s="376" t="s">
        <v>608</v>
      </c>
      <c r="O76" s="374" t="s">
        <v>609</v>
      </c>
      <c r="P76" s="375"/>
      <c r="Q76" s="373" t="str">
        <f>CONCATENATE(RemovePunctuation(H76),"_CA","_","i5K","_",C76,"_",AD76,"_",PROPER(R76),IF(S76="",PROPER(R76),PROPER(S76)),PROPER(T76),PROPER(U76),PROPER(V76),IF(V76&lt;&gt;"","SUB",""),PROPER(W76),IF(W76&lt;&gt;"","SUB",""),"_","Ed","_","M4",".mpg")</f>
        <v>HumanMemoryChinasWorldHeritageSites75PotalaPalaceArchitecturalComplexPart1_CA_i5K_0325_169_ZhoZhoZhoSUB_Ed_M4.mpg</v>
      </c>
      <c r="R76" s="393" t="s">
        <v>136</v>
      </c>
      <c r="S76" s="390"/>
      <c r="T76" s="390"/>
      <c r="U76" s="390"/>
      <c r="V76" s="392" t="s">
        <v>136</v>
      </c>
      <c r="W76" s="390"/>
      <c r="X76" s="340" t="s">
        <v>135</v>
      </c>
      <c r="Y76" s="340" t="s">
        <v>135</v>
      </c>
      <c r="Z76" s="120">
        <f t="shared" si="10"/>
        <v>25</v>
      </c>
      <c r="AA76" s="303" t="str">
        <f t="shared" si="11"/>
        <v>00:25:00</v>
      </c>
      <c r="AB76" s="120">
        <f t="shared" si="12"/>
        <v>1500</v>
      </c>
      <c r="AC76" s="406">
        <v>0.0173611111111111</v>
      </c>
      <c r="AD76" s="407">
        <v>169</v>
      </c>
      <c r="AE76" s="407">
        <v>43</v>
      </c>
      <c r="AF76" s="340" t="s">
        <v>138</v>
      </c>
    </row>
    <row r="77" ht="24" customHeight="1" spans="1:32">
      <c r="A77" s="340">
        <v>73</v>
      </c>
      <c r="B77" s="277"/>
      <c r="C77" s="517" t="s">
        <v>124</v>
      </c>
      <c r="D77" s="346"/>
      <c r="E77" s="350"/>
      <c r="F77" s="81">
        <v>17</v>
      </c>
      <c r="G77" s="362" t="s">
        <v>610</v>
      </c>
      <c r="H77" s="362" t="s">
        <v>611</v>
      </c>
      <c r="I77" s="366" t="s">
        <v>128</v>
      </c>
      <c r="J77" s="366" t="s">
        <v>128</v>
      </c>
      <c r="K77" s="366"/>
      <c r="L77" s="366" t="s">
        <v>128</v>
      </c>
      <c r="M77" s="366" t="s">
        <v>128</v>
      </c>
      <c r="N77" s="376" t="s">
        <v>612</v>
      </c>
      <c r="O77" s="374"/>
      <c r="P77" s="373" t="str">
        <f>CONCATENATE(RemovePunctuation(H77),"_CA","_","i4K","_",C77,"_",AE77,"_",PROPER(R77),IF(S77="",PROPER(R77),PROPER(S77)),PROPER(T77),PROPER(U77),PROPER(V77),IF(V77&lt;&gt;"","SUB",""),PROPER(W77),IF(W77&lt;&gt;"","SUB",""),"_","Ed","_","M1",".mpg")</f>
        <v>CtedIvoiretheAfricanMeltingPotEp02_CA_i4K_0325_43_EngEngEngSUBZhoSUB_Ed_M1.mpg</v>
      </c>
      <c r="Q77" s="373" t="str">
        <f>CONCATENATE(RemovePunctuation(H77),"_CA","_","i5K","_",C77,"_",AD77,"_",PROPER(R77),IF(S77="",PROPER(R77),PROPER(S77)),PROPER(T77),PROPER(U77),PROPER(V77),IF(V77&lt;&gt;"","SUB",""),PROPER(W77),IF(W77&lt;&gt;"","SUB",""),"_","Ed","_","M4",".mpg")</f>
        <v>CtedIvoiretheAfricanMeltingPotEp02_CA_i5K_0325_169_EngEngEngSUBZhoSUB_Ed_M4.mpg</v>
      </c>
      <c r="R77" s="393" t="s">
        <v>137</v>
      </c>
      <c r="S77" s="390"/>
      <c r="T77" s="390"/>
      <c r="U77" s="390"/>
      <c r="V77" s="393" t="s">
        <v>137</v>
      </c>
      <c r="W77" s="392" t="s">
        <v>136</v>
      </c>
      <c r="X77" s="340" t="s">
        <v>135</v>
      </c>
      <c r="Y77" s="340" t="s">
        <v>135</v>
      </c>
      <c r="Z77" s="120">
        <f t="shared" si="10"/>
        <v>25</v>
      </c>
      <c r="AA77" s="303" t="str">
        <f t="shared" si="11"/>
        <v>00:25:00</v>
      </c>
      <c r="AB77" s="120">
        <f t="shared" si="12"/>
        <v>1500</v>
      </c>
      <c r="AC77" s="406">
        <v>0.0176041666666667</v>
      </c>
      <c r="AD77" s="407">
        <v>169</v>
      </c>
      <c r="AE77" s="407">
        <v>43</v>
      </c>
      <c r="AF77" s="340" t="s">
        <v>138</v>
      </c>
    </row>
    <row r="78" ht="24" customHeight="1" spans="1:32">
      <c r="A78" s="340">
        <v>74</v>
      </c>
      <c r="B78" s="277"/>
      <c r="C78" s="517" t="s">
        <v>124</v>
      </c>
      <c r="D78" s="346"/>
      <c r="E78" s="350"/>
      <c r="F78" s="81">
        <v>18</v>
      </c>
      <c r="G78" s="362" t="s">
        <v>613</v>
      </c>
      <c r="H78" s="362" t="s">
        <v>614</v>
      </c>
      <c r="I78" s="366" t="s">
        <v>128</v>
      </c>
      <c r="J78" s="366" t="s">
        <v>128</v>
      </c>
      <c r="K78" s="366" t="s">
        <v>128</v>
      </c>
      <c r="L78" s="366" t="s">
        <v>128</v>
      </c>
      <c r="M78" s="366" t="s">
        <v>128</v>
      </c>
      <c r="N78" s="376" t="s">
        <v>615</v>
      </c>
      <c r="O78" s="374" t="s">
        <v>616</v>
      </c>
      <c r="P78" s="373" t="str">
        <f>CONCATENATE(RemovePunctuation(H78),"_CA","_","i4K","_",C78,"_",AE78,"_",PROPER(R78),IF(S78="",PROPER(R78),PROPER(S78)),PROPER(T78),PROPER(U78),PROPER(V78),IF(V78&lt;&gt;"","SUB",""),PROPER(W78),IF(W78&lt;&gt;"","SUB",""),"_","Ed","_","M1",".mpg")</f>
        <v>CtedIvoiretheAfricanMeltingPotEp01_CA_i4K_0325_43_EngEngEngSUBZhoSUB_Ed_M1.mpg</v>
      </c>
      <c r="Q78" s="373" t="str">
        <f>CONCATENATE(RemovePunctuation(H78),"_CA","_","i5K","_",C78,"_",AD78,"_",PROPER(R78),IF(S78="",PROPER(R78),PROPER(S78)),PROPER(T78),PROPER(U78),PROPER(V78),IF(V78&lt;&gt;"","SUB",""),PROPER(W78),IF(W78&lt;&gt;"","SUB",""),"_","Ed","_","M4",".mpg")</f>
        <v>CtedIvoiretheAfricanMeltingPotEp01_CA_i5K_0325_169_EngEngEngSUBZhoSUB_Ed_M4.mpg</v>
      </c>
      <c r="R78" s="393" t="s">
        <v>137</v>
      </c>
      <c r="S78" s="390"/>
      <c r="T78" s="390"/>
      <c r="U78" s="390"/>
      <c r="V78" s="393" t="s">
        <v>137</v>
      </c>
      <c r="W78" s="392" t="s">
        <v>136</v>
      </c>
      <c r="X78" s="340" t="s">
        <v>135</v>
      </c>
      <c r="Y78" s="340" t="s">
        <v>135</v>
      </c>
      <c r="Z78" s="120">
        <f t="shared" si="10"/>
        <v>28</v>
      </c>
      <c r="AA78" s="303" t="str">
        <f t="shared" si="11"/>
        <v>00:28:00</v>
      </c>
      <c r="AB78" s="120">
        <f t="shared" si="12"/>
        <v>1680</v>
      </c>
      <c r="AC78" s="406">
        <v>0.0192592592592593</v>
      </c>
      <c r="AD78" s="407">
        <v>169</v>
      </c>
      <c r="AE78" s="407">
        <v>43</v>
      </c>
      <c r="AF78" s="340" t="s">
        <v>138</v>
      </c>
    </row>
    <row r="79" ht="24" customHeight="1" spans="1:32">
      <c r="A79" s="340">
        <v>75</v>
      </c>
      <c r="B79" s="277"/>
      <c r="C79" s="517" t="s">
        <v>124</v>
      </c>
      <c r="D79" s="346"/>
      <c r="E79" s="350"/>
      <c r="F79" s="81">
        <v>19</v>
      </c>
      <c r="G79" s="362" t="s">
        <v>617</v>
      </c>
      <c r="H79" s="362" t="s">
        <v>618</v>
      </c>
      <c r="I79" s="366" t="s">
        <v>128</v>
      </c>
      <c r="J79" s="366" t="s">
        <v>128</v>
      </c>
      <c r="K79" s="366" t="s">
        <v>128</v>
      </c>
      <c r="L79" s="366" t="s">
        <v>128</v>
      </c>
      <c r="M79" s="366" t="s">
        <v>128</v>
      </c>
      <c r="N79" s="376" t="s">
        <v>619</v>
      </c>
      <c r="O79" s="374" t="s">
        <v>620</v>
      </c>
      <c r="P79" s="373" t="str">
        <f>CONCATENATE(RemovePunctuation(H79),"_CA","_","i4K","_",C79,"_",AE79,"_",PROPER(R79),IF(S79="",PROPER(R79),PROPER(S79)),PROPER(T79),PROPER(U79),PROPER(V79),IF(V79&lt;&gt;"","SUB",""),PROPER(W79),IF(W79&lt;&gt;"","SUB",""),"_","Ed","_","M1",".mpg")</f>
        <v>SilkRoadFromAboveEp03_CA_i4K_0325_43_EngEngEngSUBZhoSUB_Ed_M1.mpg</v>
      </c>
      <c r="Q79" s="373" t="str">
        <f>CONCATENATE(RemovePunctuation(H79),"_CA","_","i5K","_",C79,"_",AD79,"_",PROPER(R79),IF(S79="",PROPER(R79),PROPER(S79)),PROPER(T79),PROPER(U79),PROPER(V79),IF(V79&lt;&gt;"","SUB",""),PROPER(W79),IF(W79&lt;&gt;"","SUB",""),"_","Ed","_","M4",".mpg")</f>
        <v>SilkRoadFromAboveEp03_CA_i5K_0325_169_EngEngEngSUBZhoSUB_Ed_M4.mpg</v>
      </c>
      <c r="R79" s="393" t="s">
        <v>137</v>
      </c>
      <c r="S79" s="390"/>
      <c r="T79" s="390"/>
      <c r="U79" s="390"/>
      <c r="V79" s="393" t="s">
        <v>137</v>
      </c>
      <c r="W79" s="392" t="s">
        <v>136</v>
      </c>
      <c r="X79" s="340" t="s">
        <v>135</v>
      </c>
      <c r="Y79" s="340" t="s">
        <v>135</v>
      </c>
      <c r="Z79" s="120">
        <f t="shared" si="10"/>
        <v>51</v>
      </c>
      <c r="AA79" s="303" t="str">
        <f t="shared" si="11"/>
        <v>00:51:00</v>
      </c>
      <c r="AB79" s="120">
        <f t="shared" si="12"/>
        <v>3060</v>
      </c>
      <c r="AC79" s="406">
        <v>0.0353819444444444</v>
      </c>
      <c r="AD79" s="407">
        <v>169</v>
      </c>
      <c r="AE79" s="407">
        <v>43</v>
      </c>
      <c r="AF79" s="340" t="s">
        <v>138</v>
      </c>
    </row>
    <row r="80" ht="24" customHeight="1" spans="1:32">
      <c r="A80" s="340">
        <v>76</v>
      </c>
      <c r="B80" s="277"/>
      <c r="C80" s="517" t="s">
        <v>124</v>
      </c>
      <c r="D80" s="346"/>
      <c r="E80" s="350"/>
      <c r="F80" s="81">
        <v>20</v>
      </c>
      <c r="G80" s="362" t="s">
        <v>621</v>
      </c>
      <c r="H80" s="362" t="s">
        <v>622</v>
      </c>
      <c r="I80" s="366" t="s">
        <v>128</v>
      </c>
      <c r="J80" s="366" t="s">
        <v>128</v>
      </c>
      <c r="K80" s="366"/>
      <c r="L80" s="366" t="s">
        <v>128</v>
      </c>
      <c r="M80" s="366" t="s">
        <v>128</v>
      </c>
      <c r="N80" s="376" t="s">
        <v>623</v>
      </c>
      <c r="O80" s="374"/>
      <c r="P80" s="373" t="str">
        <f>CONCATENATE(RemovePunctuation(H80),"_CA","_","i4K","_",C80,"_",AE80,"_",PROPER(R80),IF(S80="",PROPER(R80),PROPER(S80)),PROPER(T80),PROPER(U80),PROPER(V80),IF(V80&lt;&gt;"","SUB",""),PROPER(W80),IF(W80&lt;&gt;"","SUB",""),"_","Ed","_","M1",".mpg")</f>
        <v>SilkRoadFromAboveEp02_CA_i4K_0325_43_EngEngEngSUBZhoSUB_Ed_M1.mpg</v>
      </c>
      <c r="Q80" s="373" t="str">
        <f>CONCATENATE(RemovePunctuation(H80),"_CA","_","i5K","_",C80,"_",AD80,"_",PROPER(R80),IF(S80="",PROPER(R80),PROPER(S80)),PROPER(T80),PROPER(U80),PROPER(V80),IF(V80&lt;&gt;"","SUB",""),PROPER(W80),IF(W80&lt;&gt;"","SUB",""),"_","Ed","_","M4",".mpg")</f>
        <v>SilkRoadFromAboveEp02_CA_i5K_0325_169_EngEngEngSUBZhoSUB_Ed_M4.mpg</v>
      </c>
      <c r="R80" s="393" t="s">
        <v>137</v>
      </c>
      <c r="S80" s="390"/>
      <c r="T80" s="390"/>
      <c r="U80" s="390"/>
      <c r="V80" s="393" t="s">
        <v>137</v>
      </c>
      <c r="W80" s="392" t="s">
        <v>136</v>
      </c>
      <c r="X80" s="340" t="s">
        <v>135</v>
      </c>
      <c r="Y80" s="340" t="s">
        <v>135</v>
      </c>
      <c r="Z80" s="120">
        <f t="shared" si="10"/>
        <v>52</v>
      </c>
      <c r="AA80" s="303" t="str">
        <f t="shared" si="11"/>
        <v>00:52:00</v>
      </c>
      <c r="AB80" s="120">
        <f t="shared" si="12"/>
        <v>3120</v>
      </c>
      <c r="AC80" s="406">
        <v>0.035787037037037</v>
      </c>
      <c r="AD80" s="407">
        <v>169</v>
      </c>
      <c r="AE80" s="407">
        <v>43</v>
      </c>
      <c r="AF80" s="340" t="s">
        <v>138</v>
      </c>
    </row>
    <row r="81" ht="24" customHeight="1" spans="1:32">
      <c r="A81" s="340">
        <v>77</v>
      </c>
      <c r="B81" s="277"/>
      <c r="C81" s="517" t="s">
        <v>124</v>
      </c>
      <c r="D81" s="350" t="s">
        <v>624</v>
      </c>
      <c r="E81" s="350"/>
      <c r="F81" s="81">
        <v>1</v>
      </c>
      <c r="G81" s="419" t="s">
        <v>625</v>
      </c>
      <c r="H81" s="362" t="s">
        <v>626</v>
      </c>
      <c r="I81" s="366" t="s">
        <v>128</v>
      </c>
      <c r="J81" s="366" t="s">
        <v>128</v>
      </c>
      <c r="K81" s="366" t="s">
        <v>128</v>
      </c>
      <c r="L81" s="366" t="s">
        <v>128</v>
      </c>
      <c r="M81" s="366" t="s">
        <v>128</v>
      </c>
      <c r="N81" s="376" t="s">
        <v>627</v>
      </c>
      <c r="O81" s="374" t="s">
        <v>628</v>
      </c>
      <c r="P81" s="373" t="str">
        <f>CONCATENATE(RemovePunctuation(H81),"_CA","_","i4K","_",C81,"_",AE81,"_",PROPER(R81),IF(S81="",PROPER(R81),PROPER(S81)),PROPER(T81),PROPER(U81),PROPER(V81),IF(V81&lt;&gt;"","SUB",""),PROPER(W81),IF(W81&lt;&gt;"","SUB",""),"_","Ed","_","M1",".mpg")</f>
        <v>TheGarfieldShowEp12_CA_i4K_0325_43_EngZhoZhoSUB_Ed_M1.mpg</v>
      </c>
      <c r="Q81" s="373" t="str">
        <f>CONCATENATE(RemovePunctuation(H81),"_CA","_","i5K","_",C81,"_",AD81,"_",PROPER(R81),IF(S81="",PROPER(R81),PROPER(S81)),PROPER(T81),PROPER(U81),PROPER(V81),IF(V81&lt;&gt;"","SUB",""),PROPER(W81),IF(W81&lt;&gt;"","SUB",""),"_","Ed","_","M4",".mpg")</f>
        <v>TheGarfieldShowEp12_CA_i5K_0325_169_EngZhoZhoSUB_Ed_M4.mpg</v>
      </c>
      <c r="R81" s="393" t="s">
        <v>137</v>
      </c>
      <c r="S81" s="392" t="s">
        <v>136</v>
      </c>
      <c r="T81" s="390"/>
      <c r="U81" s="390"/>
      <c r="V81" s="392" t="s">
        <v>136</v>
      </c>
      <c r="W81" s="390"/>
      <c r="X81" s="340" t="s">
        <v>135</v>
      </c>
      <c r="Y81" s="340" t="s">
        <v>135</v>
      </c>
      <c r="Z81" s="120">
        <f t="shared" ref="Z81:Z117" si="13">ROUNDUP(HOUR(AA81)*60+MINUTE(AA81)+SECOND(AA81)/60,0)</f>
        <v>12</v>
      </c>
      <c r="AA81" s="303" t="str">
        <f t="shared" ref="AA81:AA117" si="14">TEXT((HOUR(AC81)*60+MINUTE(AC81)+IF(SECOND(AC81)&lt;=29,0,1))*60/86400,"hh:mm:ss")</f>
        <v>00:12:00</v>
      </c>
      <c r="AB81" s="120">
        <f t="shared" ref="AB81:AB117" si="15">Z81*60</f>
        <v>720</v>
      </c>
      <c r="AC81" s="406">
        <v>0.00834490740740741</v>
      </c>
      <c r="AD81" s="407">
        <v>169</v>
      </c>
      <c r="AE81" s="407">
        <v>43</v>
      </c>
      <c r="AF81" s="340" t="s">
        <v>138</v>
      </c>
    </row>
    <row r="82" ht="24" customHeight="1" spans="1:32">
      <c r="A82" s="340">
        <v>78</v>
      </c>
      <c r="B82" s="277"/>
      <c r="C82" s="517" t="s">
        <v>124</v>
      </c>
      <c r="D82" s="350"/>
      <c r="E82" s="350"/>
      <c r="F82" s="81">
        <v>2</v>
      </c>
      <c r="G82" s="419" t="s">
        <v>629</v>
      </c>
      <c r="H82" s="362" t="s">
        <v>630</v>
      </c>
      <c r="I82" s="366" t="s">
        <v>128</v>
      </c>
      <c r="J82" s="366" t="s">
        <v>128</v>
      </c>
      <c r="K82" s="366" t="s">
        <v>128</v>
      </c>
      <c r="L82" s="366" t="s">
        <v>128</v>
      </c>
      <c r="M82" s="366" t="s">
        <v>128</v>
      </c>
      <c r="N82" s="376" t="s">
        <v>631</v>
      </c>
      <c r="O82" s="374" t="s">
        <v>632</v>
      </c>
      <c r="P82" s="373" t="str">
        <f>CONCATENATE(RemovePunctuation(H82),"_CA","_","i4K","_",C82,"_",AE82,"_",PROPER(R82),IF(S82="",PROPER(R82),PROPER(S82)),PROPER(T82),PROPER(U82),PROPER(V82),IF(V82&lt;&gt;"","SUB",""),PROPER(W82),IF(W82&lt;&gt;"","SUB",""),"_","Ed","_","M1",".mpg")</f>
        <v>TheGarfieldShowEp11_CA_i4K_0325_43_EngZhoZhoSUB_Ed_M1.mpg</v>
      </c>
      <c r="Q82" s="373" t="str">
        <f>CONCATENATE(RemovePunctuation(H82),"_CA","_","i5K","_",C82,"_",AD82,"_",PROPER(R82),IF(S82="",PROPER(R82),PROPER(S82)),PROPER(T82),PROPER(U82),PROPER(V82),IF(V82&lt;&gt;"","SUB",""),PROPER(W82),IF(W82&lt;&gt;"","SUB",""),"_","Ed","_","M4",".mpg")</f>
        <v>TheGarfieldShowEp11_CA_i5K_0325_169_EngZhoZhoSUB_Ed_M4.mpg</v>
      </c>
      <c r="R82" s="393" t="s">
        <v>137</v>
      </c>
      <c r="S82" s="392" t="s">
        <v>136</v>
      </c>
      <c r="T82" s="390"/>
      <c r="U82" s="390"/>
      <c r="V82" s="392" t="s">
        <v>136</v>
      </c>
      <c r="W82" s="390"/>
      <c r="X82" s="340" t="s">
        <v>135</v>
      </c>
      <c r="Y82" s="340" t="s">
        <v>135</v>
      </c>
      <c r="Z82" s="120">
        <f t="shared" si="13"/>
        <v>12</v>
      </c>
      <c r="AA82" s="303" t="str">
        <f t="shared" si="14"/>
        <v>00:12:00</v>
      </c>
      <c r="AB82" s="120">
        <f t="shared" si="15"/>
        <v>720</v>
      </c>
      <c r="AC82" s="406">
        <v>0.0084837962962963</v>
      </c>
      <c r="AD82" s="407">
        <v>169</v>
      </c>
      <c r="AE82" s="407">
        <v>43</v>
      </c>
      <c r="AF82" s="340" t="s">
        <v>138</v>
      </c>
    </row>
    <row r="83" ht="24" customHeight="1" spans="1:32">
      <c r="A83" s="340">
        <v>79</v>
      </c>
      <c r="B83" s="277"/>
      <c r="C83" s="517" t="s">
        <v>124</v>
      </c>
      <c r="D83" s="350"/>
      <c r="E83" s="350"/>
      <c r="F83" s="81">
        <v>3</v>
      </c>
      <c r="G83" s="419" t="s">
        <v>633</v>
      </c>
      <c r="H83" s="362" t="s">
        <v>634</v>
      </c>
      <c r="I83" s="366" t="s">
        <v>128</v>
      </c>
      <c r="J83" s="366" t="s">
        <v>128</v>
      </c>
      <c r="K83" s="366" t="s">
        <v>128</v>
      </c>
      <c r="L83" s="366" t="s">
        <v>128</v>
      </c>
      <c r="M83" s="366" t="s">
        <v>128</v>
      </c>
      <c r="N83" s="376" t="s">
        <v>635</v>
      </c>
      <c r="O83" s="374" t="s">
        <v>636</v>
      </c>
      <c r="P83" s="373" t="str">
        <f>CONCATENATE(RemovePunctuation(H83),"_CA","_","i4K","_",C83,"_",AE83,"_",PROPER(R83),IF(S83="",PROPER(R83),PROPER(S83)),PROPER(T83),PROPER(U83),PROPER(V83),IF(V83&lt;&gt;"","SUB",""),PROPER(W83),IF(W83&lt;&gt;"","SUB",""),"_","Ed","_","M1",".mpg")</f>
        <v>IfHistoryIsaGroupofCatsS01E08YiYinAssistinginGovernance_CA_i4K_0325_43_ZhoZhoEngSUBZhoSUB_Ed_M1.mpg</v>
      </c>
      <c r="Q83" s="373" t="str">
        <f>CONCATENATE(RemovePunctuation(H83),"_CA","_","i5K","_",C83,"_",AD83,"_",PROPER(R83),IF(S83="",PROPER(R83),PROPER(S83)),PROPER(T83),PROPER(U83),PROPER(V83),IF(V83&lt;&gt;"","SUB",""),PROPER(W83),IF(W83&lt;&gt;"","SUB",""),"_","Ed","_","M4",".mpg")</f>
        <v>IfHistoryIsaGroupofCatsS01E08YiYinAssistinginGovernance_CA_i5K_0325_169_ZhoZhoEngSUBZhoSUB_Ed_M4.mpg</v>
      </c>
      <c r="R83" s="392" t="s">
        <v>136</v>
      </c>
      <c r="S83" s="392"/>
      <c r="T83" s="390"/>
      <c r="U83" s="390"/>
      <c r="V83" s="393" t="s">
        <v>137</v>
      </c>
      <c r="W83" s="392" t="s">
        <v>136</v>
      </c>
      <c r="X83" s="340" t="s">
        <v>135</v>
      </c>
      <c r="Y83" s="340" t="s">
        <v>135</v>
      </c>
      <c r="Z83" s="120">
        <f t="shared" si="13"/>
        <v>5</v>
      </c>
      <c r="AA83" s="303" t="str">
        <f t="shared" si="14"/>
        <v>00:05:00</v>
      </c>
      <c r="AB83" s="120">
        <f t="shared" si="15"/>
        <v>300</v>
      </c>
      <c r="AC83" s="406">
        <v>0.00369212962962963</v>
      </c>
      <c r="AD83" s="407">
        <v>169</v>
      </c>
      <c r="AE83" s="407">
        <v>43</v>
      </c>
      <c r="AF83" s="340" t="s">
        <v>201</v>
      </c>
    </row>
    <row r="84" ht="24" customHeight="1" spans="1:32">
      <c r="A84" s="340">
        <v>80</v>
      </c>
      <c r="B84" s="277"/>
      <c r="C84" s="517" t="s">
        <v>124</v>
      </c>
      <c r="D84" s="350"/>
      <c r="E84" s="350"/>
      <c r="F84" s="81">
        <v>4</v>
      </c>
      <c r="G84" s="419" t="s">
        <v>637</v>
      </c>
      <c r="H84" s="362" t="s">
        <v>638</v>
      </c>
      <c r="I84" s="366" t="s">
        <v>128</v>
      </c>
      <c r="J84" s="366" t="s">
        <v>128</v>
      </c>
      <c r="K84" s="366" t="s">
        <v>128</v>
      </c>
      <c r="L84" s="366" t="s">
        <v>128</v>
      </c>
      <c r="M84" s="366" t="s">
        <v>128</v>
      </c>
      <c r="N84" s="376" t="s">
        <v>639</v>
      </c>
      <c r="O84" s="374" t="s">
        <v>640</v>
      </c>
      <c r="P84" s="373" t="str">
        <f>CONCATENATE(RemovePunctuation(H84),"_CA","_","i4K","_",C84,"_",AE84,"_",PROPER(R84),IF(S84="",PROPER(R84),PROPER(S84)),PROPER(T84),PROPER(U84),PROPER(V84),IF(V84&lt;&gt;"","SUB",""),PROPER(W84),IF(W84&lt;&gt;"","SUB",""),"_","Ed","_","M1",".mpg")</f>
        <v>IfHistoryIsaGroupofCatsS01E07ShangTangsDestructionoftheXiaDynasty_CA_i4K_0325_43_ZhoZhoEngSUBZhoSUB_Ed_M1.mpg</v>
      </c>
      <c r="Q84" s="373" t="str">
        <f>CONCATENATE(RemovePunctuation(H84),"_CA","_","i5K","_",C84,"_",AD84,"_",PROPER(R84),IF(S84="",PROPER(R84),PROPER(S84)),PROPER(T84),PROPER(U84),PROPER(V84),IF(V84&lt;&gt;"","SUB",""),PROPER(W84),IF(W84&lt;&gt;"","SUB",""),"_","Ed","_","M4",".mpg")</f>
        <v>IfHistoryIsaGroupofCatsS01E07ShangTangsDestructionoftheXiaDynasty_CA_i5K_0325_169_ZhoZhoEngSUBZhoSUB_Ed_M4.mpg</v>
      </c>
      <c r="R84" s="392" t="s">
        <v>136</v>
      </c>
      <c r="S84" s="392"/>
      <c r="T84" s="390"/>
      <c r="U84" s="390"/>
      <c r="V84" s="393" t="s">
        <v>137</v>
      </c>
      <c r="W84" s="392" t="s">
        <v>136</v>
      </c>
      <c r="X84" s="340" t="s">
        <v>135</v>
      </c>
      <c r="Y84" s="340" t="s">
        <v>135</v>
      </c>
      <c r="Z84" s="120">
        <f t="shared" si="13"/>
        <v>6</v>
      </c>
      <c r="AA84" s="303" t="str">
        <f t="shared" si="14"/>
        <v>00:06:00</v>
      </c>
      <c r="AB84" s="120">
        <f t="shared" si="15"/>
        <v>360</v>
      </c>
      <c r="AC84" s="406">
        <v>0.00403935185185185</v>
      </c>
      <c r="AD84" s="407">
        <v>169</v>
      </c>
      <c r="AE84" s="407">
        <v>43</v>
      </c>
      <c r="AF84" s="340" t="s">
        <v>201</v>
      </c>
    </row>
    <row r="85" ht="24" customHeight="1" spans="1:32">
      <c r="A85" s="340">
        <v>81</v>
      </c>
      <c r="B85" s="277"/>
      <c r="C85" s="517" t="s">
        <v>124</v>
      </c>
      <c r="D85" s="350"/>
      <c r="E85" s="350"/>
      <c r="F85" s="81">
        <v>5</v>
      </c>
      <c r="G85" s="419" t="s">
        <v>641</v>
      </c>
      <c r="H85" s="362" t="s">
        <v>642</v>
      </c>
      <c r="I85" s="366" t="s">
        <v>128</v>
      </c>
      <c r="J85" s="366" t="s">
        <v>128</v>
      </c>
      <c r="K85" s="366" t="s">
        <v>128</v>
      </c>
      <c r="L85" s="366" t="s">
        <v>128</v>
      </c>
      <c r="M85" s="366" t="s">
        <v>128</v>
      </c>
      <c r="N85" s="376" t="s">
        <v>643</v>
      </c>
      <c r="O85" s="374" t="s">
        <v>644</v>
      </c>
      <c r="P85" s="373" t="str">
        <f>CONCATENATE(RemovePunctuation(H85),"_CA","_","i4K","_",C85,"_",AE85,"_",PROPER(R85),IF(S85="",PROPER(R85),PROPER(S85)),PROPER(T85),PROPER(U85),PROPER(V85),IF(V85&lt;&gt;"","SUB",""),PROPER(W85),IF(W85&lt;&gt;"","SUB",""),"_","Ed","_","M1",".mpg")</f>
        <v>JingJuCatsS02E17_CA_i4K_0325_43_ZhoZhoZhoSUB_Ed_M1.mpg</v>
      </c>
      <c r="Q85" s="373" t="str">
        <f>CONCATENATE(RemovePunctuation(H85),"_CA","_","i5K","_",C85,"_",AD85,"_",PROPER(R85),IF(S85="",PROPER(R85),PROPER(S85)),PROPER(T85),PROPER(U85),PROPER(V85),IF(V85&lt;&gt;"","SUB",""),PROPER(W85),IF(W85&lt;&gt;"","SUB",""),"_","Ed","_","M4",".mpg")</f>
        <v>JingJuCatsS02E17_CA_i5K_0325_169_ZhoZhoZhoSUB_Ed_M4.mpg</v>
      </c>
      <c r="R85" s="392" t="s">
        <v>136</v>
      </c>
      <c r="S85" s="392"/>
      <c r="T85" s="390"/>
      <c r="U85" s="390"/>
      <c r="V85" s="392" t="s">
        <v>136</v>
      </c>
      <c r="W85" s="390"/>
      <c r="X85" s="340" t="s">
        <v>135</v>
      </c>
      <c r="Y85" s="340" t="s">
        <v>135</v>
      </c>
      <c r="Z85" s="120">
        <f t="shared" si="13"/>
        <v>13</v>
      </c>
      <c r="AA85" s="303" t="str">
        <f t="shared" si="14"/>
        <v>00:13:00</v>
      </c>
      <c r="AB85" s="120">
        <f t="shared" si="15"/>
        <v>780</v>
      </c>
      <c r="AC85" s="406">
        <v>0.00908564814814815</v>
      </c>
      <c r="AD85" s="407">
        <v>169</v>
      </c>
      <c r="AE85" s="407">
        <v>43</v>
      </c>
      <c r="AF85" s="340" t="s">
        <v>201</v>
      </c>
    </row>
    <row r="86" ht="24" customHeight="1" spans="1:32">
      <c r="A86" s="340">
        <v>82</v>
      </c>
      <c r="B86" s="277"/>
      <c r="C86" s="517" t="s">
        <v>124</v>
      </c>
      <c r="D86" s="350"/>
      <c r="E86" s="350"/>
      <c r="F86" s="81">
        <v>6</v>
      </c>
      <c r="G86" s="419" t="s">
        <v>645</v>
      </c>
      <c r="H86" s="362" t="s">
        <v>646</v>
      </c>
      <c r="I86" s="366" t="s">
        <v>128</v>
      </c>
      <c r="J86" s="366" t="s">
        <v>128</v>
      </c>
      <c r="K86" s="366" t="s">
        <v>128</v>
      </c>
      <c r="L86" s="366" t="s">
        <v>128</v>
      </c>
      <c r="M86" s="366" t="s">
        <v>128</v>
      </c>
      <c r="N86" s="376" t="s">
        <v>647</v>
      </c>
      <c r="O86" s="377" t="s">
        <v>648</v>
      </c>
      <c r="P86" s="373" t="str">
        <f>CONCATENATE(RemovePunctuation(H86),"_CA","_","i4K","_",C86,"_",AE86,"_",PROPER(R86),IF(S86="",PROPER(R86),PROPER(S86)),PROPER(T86),PROPER(U86),PROPER(V86),IF(V86&lt;&gt;"","SUB",""),PROPER(W86),IF(W86&lt;&gt;"","SUB",""),"_","Ed","_","M1",".mpg")</f>
        <v>BoonieBearsProjectMonster2910_CA_i4K_0325_43_ZhoZho_Ed_M1.mpg</v>
      </c>
      <c r="Q86" s="373" t="str">
        <f>CONCATENATE(RemovePunctuation(H86),"_CA","_","i5K","_",C86,"_",AD86,"_",PROPER(R86),IF(S86="",PROPER(R86),PROPER(S86)),PROPER(T86),PROPER(U86),PROPER(V86),IF(V86&lt;&gt;"","SUB",""),PROPER(W86),IF(W86&lt;&gt;"","SUB",""),"_","Ed","_","M4",".mpg")</f>
        <v>BoonieBearsProjectMonster2910_CA_i5K_0325_169_ZhoZho_Ed_M4.mpg</v>
      </c>
      <c r="R86" s="392" t="s">
        <v>136</v>
      </c>
      <c r="S86" s="392"/>
      <c r="T86" s="390"/>
      <c r="U86" s="390"/>
      <c r="V86" s="392"/>
      <c r="W86" s="390"/>
      <c r="X86" s="340" t="s">
        <v>135</v>
      </c>
      <c r="Y86" s="340" t="s">
        <v>135</v>
      </c>
      <c r="Z86" s="120">
        <f t="shared" si="13"/>
        <v>20</v>
      </c>
      <c r="AA86" s="303" t="str">
        <f t="shared" si="14"/>
        <v>00:20:00</v>
      </c>
      <c r="AB86" s="120">
        <f t="shared" si="15"/>
        <v>1200</v>
      </c>
      <c r="AC86" s="406">
        <v>0.0139467592592593</v>
      </c>
      <c r="AD86" s="407">
        <v>169</v>
      </c>
      <c r="AE86" s="407">
        <v>43</v>
      </c>
      <c r="AF86" s="340"/>
    </row>
    <row r="87" ht="24" customHeight="1" spans="1:32">
      <c r="A87" s="340">
        <v>83</v>
      </c>
      <c r="B87" s="277"/>
      <c r="C87" s="517" t="s">
        <v>124</v>
      </c>
      <c r="D87" s="350"/>
      <c r="E87" s="350"/>
      <c r="F87" s="81">
        <v>7</v>
      </c>
      <c r="G87" s="419" t="s">
        <v>649</v>
      </c>
      <c r="H87" s="362" t="s">
        <v>650</v>
      </c>
      <c r="I87" s="366" t="s">
        <v>128</v>
      </c>
      <c r="J87" s="366" t="s">
        <v>128</v>
      </c>
      <c r="K87" s="366" t="s">
        <v>128</v>
      </c>
      <c r="L87" s="366" t="s">
        <v>128</v>
      </c>
      <c r="M87" s="366" t="s">
        <v>128</v>
      </c>
      <c r="N87" s="376" t="s">
        <v>651</v>
      </c>
      <c r="O87" s="374" t="s">
        <v>652</v>
      </c>
      <c r="P87" s="373" t="str">
        <f>CONCATENATE(RemovePunctuation(H87),"_CA","_","i4K","_",C87,"_",AE87,"_",PROPER(R87),IF(S87="",PROPER(R87),PROPER(S87)),PROPER(T87),PROPER(U87),PROPER(V87),IF(V87&lt;&gt;"","SUB",""),PROPER(W87),IF(W87&lt;&gt;"","SUB",""),"_","Ed","_","M1",".mpg")</f>
        <v>LegendsofMountainsandSeas9_CA_i4K_0325_43_ZhoZhoZhoSUB_Ed_M1.mpg</v>
      </c>
      <c r="Q87" s="373" t="str">
        <f>CONCATENATE(RemovePunctuation(H87),"_CA","_","i5K","_",C87,"_",AD87,"_",PROPER(R87),IF(S87="",PROPER(R87),PROPER(S87)),PROPER(T87),PROPER(U87),PROPER(V87),IF(V87&lt;&gt;"","SUB",""),PROPER(W87),IF(W87&lt;&gt;"","SUB",""),"_","Ed","_","M4",".mpg")</f>
        <v>LegendsofMountainsandSeas9_CA_i5K_0325_169_ZhoZhoZhoSUB_Ed_M4.mpg</v>
      </c>
      <c r="R87" s="392" t="s">
        <v>136</v>
      </c>
      <c r="S87" s="392"/>
      <c r="T87" s="390"/>
      <c r="U87" s="390"/>
      <c r="V87" s="392" t="s">
        <v>136</v>
      </c>
      <c r="W87" s="390"/>
      <c r="X87" s="340" t="s">
        <v>135</v>
      </c>
      <c r="Y87" s="340" t="s">
        <v>135</v>
      </c>
      <c r="Z87" s="120">
        <f t="shared" si="13"/>
        <v>10</v>
      </c>
      <c r="AA87" s="303" t="str">
        <f t="shared" si="14"/>
        <v>00:10:00</v>
      </c>
      <c r="AB87" s="120">
        <f t="shared" si="15"/>
        <v>600</v>
      </c>
      <c r="AC87" s="406">
        <v>0.0071875</v>
      </c>
      <c r="AD87" s="407">
        <v>169</v>
      </c>
      <c r="AE87" s="407">
        <v>43</v>
      </c>
      <c r="AF87" s="340"/>
    </row>
    <row r="88" ht="24" customHeight="1" spans="1:32">
      <c r="A88" s="340">
        <v>84</v>
      </c>
      <c r="B88" s="277"/>
      <c r="C88" s="517" t="s">
        <v>124</v>
      </c>
      <c r="D88" s="350"/>
      <c r="E88" s="350"/>
      <c r="F88" s="81">
        <v>8</v>
      </c>
      <c r="G88" s="419" t="s">
        <v>653</v>
      </c>
      <c r="H88" s="362" t="s">
        <v>654</v>
      </c>
      <c r="I88" s="366" t="s">
        <v>128</v>
      </c>
      <c r="J88" s="366" t="s">
        <v>128</v>
      </c>
      <c r="K88" s="366" t="s">
        <v>128</v>
      </c>
      <c r="L88" s="366" t="s">
        <v>128</v>
      </c>
      <c r="M88" s="366" t="s">
        <v>128</v>
      </c>
      <c r="N88" s="376" t="s">
        <v>655</v>
      </c>
      <c r="O88" s="374" t="s">
        <v>656</v>
      </c>
      <c r="P88" s="373" t="str">
        <f>CONCATENATE(RemovePunctuation(H88),"_CA","_","i4K","_",C88,"_",AE88,"_",PROPER(R88),IF(S88="",PROPER(R88),PROPER(S88)),PROPER(T88),PROPER(U88),PROPER(V88),IF(V88&lt;&gt;"","SUB",""),PROPER(W88),IF(W88&lt;&gt;"","SUB",""),"_","Ed","_","M1",".mpg")</f>
        <v>TianzhenandKungFuSocks4748_CA_i4K_0325_43_ZhoZho_Ed_M1.mpg</v>
      </c>
      <c r="Q88" s="373" t="str">
        <f>CONCATENATE(RemovePunctuation(H88),"_CA","_","i5K","_",C88,"_",AD88,"_",PROPER(R88),IF(S88="",PROPER(R88),PROPER(S88)),PROPER(T88),PROPER(U88),PROPER(V88),IF(V88&lt;&gt;"","SUB",""),PROPER(W88),IF(W88&lt;&gt;"","SUB",""),"_","Ed","_","M4",".mpg")</f>
        <v>TianzhenandKungFuSocks4748_CA_i5K_0325_169_ZhoZho_Ed_M4.mpg</v>
      </c>
      <c r="R88" s="392" t="s">
        <v>136</v>
      </c>
      <c r="S88" s="392"/>
      <c r="T88" s="390"/>
      <c r="U88" s="390"/>
      <c r="V88" s="392"/>
      <c r="W88" s="390"/>
      <c r="X88" s="340" t="s">
        <v>135</v>
      </c>
      <c r="Y88" s="340" t="s">
        <v>135</v>
      </c>
      <c r="Z88" s="120">
        <f t="shared" si="13"/>
        <v>19</v>
      </c>
      <c r="AA88" s="303" t="str">
        <f t="shared" si="14"/>
        <v>00:19:00</v>
      </c>
      <c r="AB88" s="120">
        <f t="shared" si="15"/>
        <v>1140</v>
      </c>
      <c r="AC88" s="406">
        <v>0.0135300925925926</v>
      </c>
      <c r="AD88" s="407">
        <v>169</v>
      </c>
      <c r="AE88" s="407">
        <v>43</v>
      </c>
      <c r="AF88" s="340"/>
    </row>
    <row r="89" ht="24" customHeight="1" spans="1:32">
      <c r="A89" s="340">
        <v>85</v>
      </c>
      <c r="B89" s="277"/>
      <c r="C89" s="517" t="s">
        <v>124</v>
      </c>
      <c r="D89" s="350"/>
      <c r="E89" s="350"/>
      <c r="F89" s="81">
        <v>9</v>
      </c>
      <c r="G89" s="419" t="s">
        <v>657</v>
      </c>
      <c r="H89" s="362" t="s">
        <v>658</v>
      </c>
      <c r="I89" s="366" t="s">
        <v>128</v>
      </c>
      <c r="J89" s="366" t="s">
        <v>128</v>
      </c>
      <c r="K89" s="366" t="s">
        <v>128</v>
      </c>
      <c r="L89" s="366" t="s">
        <v>128</v>
      </c>
      <c r="M89" s="366" t="s">
        <v>128</v>
      </c>
      <c r="N89" s="376" t="s">
        <v>659</v>
      </c>
      <c r="O89" s="374" t="s">
        <v>660</v>
      </c>
      <c r="P89" s="373" t="str">
        <f>CONCATENATE(RemovePunctuation(H89),"_CA","_","i4K","_",C89,"_",AE89,"_",PROPER(R89),IF(S89="",PROPER(R89),PROPER(S89)),PROPER(T89),PROPER(U89),PROPER(V89),IF(V89&lt;&gt;"","SUB",""),PROPER(W89),IF(W89&lt;&gt;"","SUB",""),"_","Ed","_","M1",".mpg")</f>
        <v>ChickyRainbowSeason72324_CA_i4K_0325_43_ZhoZho_Ed_M1.mpg</v>
      </c>
      <c r="Q89" s="373" t="str">
        <f>CONCATENATE(RemovePunctuation(H89),"_CA","_","i5K","_",C89,"_",AD89,"_",PROPER(R89),IF(S89="",PROPER(R89),PROPER(S89)),PROPER(T89),PROPER(U89),PROPER(V89),IF(V89&lt;&gt;"","SUB",""),PROPER(W89),IF(W89&lt;&gt;"","SUB",""),"_","Ed","_","M4",".mpg")</f>
        <v>ChickyRainbowSeason72324_CA_i5K_0325_169_ZhoZho_Ed_M4.mpg</v>
      </c>
      <c r="R89" s="392" t="s">
        <v>136</v>
      </c>
      <c r="S89" s="391"/>
      <c r="T89" s="390"/>
      <c r="U89" s="390"/>
      <c r="V89" s="392"/>
      <c r="W89" s="390"/>
      <c r="X89" s="340" t="s">
        <v>135</v>
      </c>
      <c r="Y89" s="340" t="s">
        <v>135</v>
      </c>
      <c r="Z89" s="120">
        <f t="shared" si="13"/>
        <v>14</v>
      </c>
      <c r="AA89" s="303" t="str">
        <f t="shared" si="14"/>
        <v>00:14:00</v>
      </c>
      <c r="AB89" s="120">
        <f t="shared" si="15"/>
        <v>840</v>
      </c>
      <c r="AC89" s="406">
        <v>0.00998842592592593</v>
      </c>
      <c r="AD89" s="407">
        <v>169</v>
      </c>
      <c r="AE89" s="407">
        <v>43</v>
      </c>
      <c r="AF89" s="340"/>
    </row>
    <row r="90" ht="24" customHeight="1" spans="1:32">
      <c r="A90" s="340">
        <v>86</v>
      </c>
      <c r="B90" s="277"/>
      <c r="C90" s="517" t="s">
        <v>124</v>
      </c>
      <c r="D90" s="346" t="s">
        <v>661</v>
      </c>
      <c r="E90" s="346"/>
      <c r="F90" s="81">
        <v>1</v>
      </c>
      <c r="G90" s="419" t="s">
        <v>662</v>
      </c>
      <c r="H90" s="362" t="s">
        <v>663</v>
      </c>
      <c r="I90" s="366" t="s">
        <v>128</v>
      </c>
      <c r="J90" s="366" t="s">
        <v>128</v>
      </c>
      <c r="K90" s="366" t="s">
        <v>128</v>
      </c>
      <c r="L90" s="366" t="s">
        <v>128</v>
      </c>
      <c r="M90" s="366" t="s">
        <v>128</v>
      </c>
      <c r="N90" s="376" t="s">
        <v>664</v>
      </c>
      <c r="O90" s="374" t="s">
        <v>665</v>
      </c>
      <c r="P90" s="373" t="str">
        <f>CONCATENATE(RemovePunctuation(H90),"_CA","_","i4K","_",C90,"_",AE90,"_",PROPER(R90),IF(S90="",PROPER(R90),PROPER(S90)),PROPER(T90),PROPER(U90),PROPER(V90),IF(V90&lt;&gt;"","SUB",""),PROPER(W90),IF(W90&lt;&gt;"","SUB",""),"_","Ed","_","M1",".mpg")</f>
        <v>HappyFriendsS02E10_CA_i4K_0325_43_ZhoZhoZhoSUB_Ed_M1.mpg</v>
      </c>
      <c r="Q90" s="373" t="str">
        <f>CONCATENATE(RemovePunctuation(H90),"_CA","_","i5K","_",C90,"_",AD90,"_",PROPER(R90),IF(S90="",PROPER(R90),PROPER(S90)),PROPER(T90),PROPER(U90),PROPER(V90),IF(V90&lt;&gt;"","SUB",""),PROPER(W90),IF(W90&lt;&gt;"","SUB",""),"_","Ed","_","M4",".mpg")</f>
        <v>HappyFriendsS02E10_CA_i5K_0325_169_ZhoZhoZhoSUB_Ed_M4.mpg</v>
      </c>
      <c r="R90" s="392" t="s">
        <v>136</v>
      </c>
      <c r="S90" s="391"/>
      <c r="T90" s="390"/>
      <c r="U90" s="390"/>
      <c r="V90" s="392" t="s">
        <v>136</v>
      </c>
      <c r="W90" s="390"/>
      <c r="X90" s="340" t="s">
        <v>135</v>
      </c>
      <c r="Y90" s="340" t="s">
        <v>135</v>
      </c>
      <c r="Z90" s="120">
        <f t="shared" si="13"/>
        <v>111</v>
      </c>
      <c r="AA90" s="303" t="str">
        <f t="shared" si="14"/>
        <v>01:51:00</v>
      </c>
      <c r="AB90" s="120">
        <f t="shared" si="15"/>
        <v>6660</v>
      </c>
      <c r="AC90" s="406">
        <v>0.0774189814814815</v>
      </c>
      <c r="AD90" s="407">
        <v>169</v>
      </c>
      <c r="AE90" s="407">
        <v>43</v>
      </c>
      <c r="AF90" s="340" t="s">
        <v>138</v>
      </c>
    </row>
    <row r="91" ht="24" customHeight="1" spans="1:32">
      <c r="A91" s="340">
        <v>87</v>
      </c>
      <c r="B91" s="277"/>
      <c r="C91" s="517" t="s">
        <v>124</v>
      </c>
      <c r="D91" s="346"/>
      <c r="E91" s="346"/>
      <c r="F91" s="81">
        <v>2</v>
      </c>
      <c r="G91" s="419" t="s">
        <v>666</v>
      </c>
      <c r="H91" s="362" t="s">
        <v>667</v>
      </c>
      <c r="I91" s="366" t="s">
        <v>128</v>
      </c>
      <c r="J91" s="366" t="s">
        <v>128</v>
      </c>
      <c r="K91" s="366" t="s">
        <v>128</v>
      </c>
      <c r="L91" s="366" t="s">
        <v>128</v>
      </c>
      <c r="M91" s="366" t="s">
        <v>128</v>
      </c>
      <c r="N91" s="376" t="s">
        <v>668</v>
      </c>
      <c r="O91" s="374" t="s">
        <v>669</v>
      </c>
      <c r="P91" s="373" t="str">
        <f>CONCATENATE(RemovePunctuation(H91),"_CA","_","i4K","_",C91,"_",AE91,"_",PROPER(R91),IF(S91="",PROPER(R91),PROPER(S91)),PROPER(T91),PROPER(U91),PROPER(V91),IF(V91&lt;&gt;"","SUB",""),PROPER(W91),IF(W91&lt;&gt;"","SUB",""),"_","Ed","_","M1",".mpg")</f>
        <v>HappyFriendsS02E09_CA_i4K_0325_43_ZhoZhoZhoSUB_Ed_M1.mpg</v>
      </c>
      <c r="Q91" s="373" t="str">
        <f>CONCATENATE(RemovePunctuation(H91),"_CA","_","i5K","_",C91,"_",AD91,"_",PROPER(R91),IF(S91="",PROPER(R91),PROPER(S91)),PROPER(T91),PROPER(U91),PROPER(V91),IF(V91&lt;&gt;"","SUB",""),PROPER(W91),IF(W91&lt;&gt;"","SUB",""),"_","Ed","_","M4",".mpg")</f>
        <v>HappyFriendsS02E09_CA_i5K_0325_169_ZhoZhoZhoSUB_Ed_M4.mpg</v>
      </c>
      <c r="R91" s="392" t="s">
        <v>136</v>
      </c>
      <c r="S91" s="391"/>
      <c r="T91" s="390"/>
      <c r="U91" s="390"/>
      <c r="V91" s="392" t="s">
        <v>136</v>
      </c>
      <c r="W91" s="390"/>
      <c r="X91" s="340" t="s">
        <v>135</v>
      </c>
      <c r="Y91" s="340" t="s">
        <v>135</v>
      </c>
      <c r="Z91" s="120">
        <f t="shared" si="13"/>
        <v>124</v>
      </c>
      <c r="AA91" s="303" t="str">
        <f t="shared" si="14"/>
        <v>02:04:00</v>
      </c>
      <c r="AB91" s="120">
        <f t="shared" si="15"/>
        <v>7440</v>
      </c>
      <c r="AC91" s="406">
        <v>0.0859490740740741</v>
      </c>
      <c r="AD91" s="407">
        <v>169</v>
      </c>
      <c r="AE91" s="407">
        <v>43</v>
      </c>
      <c r="AF91" s="340" t="s">
        <v>138</v>
      </c>
    </row>
    <row r="92" ht="24" customHeight="1" spans="1:32">
      <c r="A92" s="340">
        <v>88</v>
      </c>
      <c r="B92" s="277"/>
      <c r="C92" s="517" t="s">
        <v>124</v>
      </c>
      <c r="D92" s="346"/>
      <c r="E92" s="346"/>
      <c r="F92" s="81">
        <v>3</v>
      </c>
      <c r="G92" s="419" t="s">
        <v>670</v>
      </c>
      <c r="H92" s="362" t="s">
        <v>671</v>
      </c>
      <c r="I92" s="366" t="s">
        <v>128</v>
      </c>
      <c r="J92" s="366"/>
      <c r="K92" s="366" t="s">
        <v>128</v>
      </c>
      <c r="L92" s="366" t="s">
        <v>128</v>
      </c>
      <c r="M92" s="366" t="s">
        <v>128</v>
      </c>
      <c r="N92" s="376" t="s">
        <v>672</v>
      </c>
      <c r="O92" s="374" t="s">
        <v>673</v>
      </c>
      <c r="P92" s="373" t="str">
        <f>CONCATENATE(RemovePunctuation(H92),"_CA","_","i4K","_",C92,"_",AE92,"_",PROPER(R92),IF(S92="",PROPER(R92),PROPER(S92)),PROPER(T92),PROPER(U92),PROPER(V92),IF(V92&lt;&gt;"","SUB",""),PROPER(W92),IF(W92&lt;&gt;"","SUB",""),"_","Ed","_","M1",".mpg")</f>
        <v>HappyFriendsS02E07_CA_i4K_0325_43_ZhoZhoZhoSUB_Ed_M1.mpg</v>
      </c>
      <c r="Q92" s="373" t="str">
        <f>CONCATENATE(RemovePunctuation(H92),"_CA","_","i5K","_",C92,"_",AD92,"_",PROPER(R92),IF(S92="",PROPER(R92),PROPER(S92)),PROPER(T92),PROPER(U92),PROPER(V92),IF(V92&lt;&gt;"","SUB",""),PROPER(W92),IF(W92&lt;&gt;"","SUB",""),"_","Ed","_","M4",".mpg")</f>
        <v>HappyFriendsS02E07_CA_i5K_0325_169_ZhoZhoZhoSUB_Ed_M4.mpg</v>
      </c>
      <c r="R92" s="392" t="s">
        <v>136</v>
      </c>
      <c r="S92" s="391"/>
      <c r="T92" s="390"/>
      <c r="U92" s="390"/>
      <c r="V92" s="392" t="s">
        <v>136</v>
      </c>
      <c r="W92" s="390"/>
      <c r="X92" s="340" t="s">
        <v>135</v>
      </c>
      <c r="Y92" s="340" t="s">
        <v>135</v>
      </c>
      <c r="Z92" s="120">
        <f t="shared" si="13"/>
        <v>93</v>
      </c>
      <c r="AA92" s="303" t="str">
        <f t="shared" si="14"/>
        <v>01:33:00</v>
      </c>
      <c r="AB92" s="120">
        <f t="shared" si="15"/>
        <v>5580</v>
      </c>
      <c r="AC92" s="406">
        <v>0.0648726851851852</v>
      </c>
      <c r="AD92" s="407">
        <v>169</v>
      </c>
      <c r="AE92" s="407">
        <v>43</v>
      </c>
      <c r="AF92" s="340" t="s">
        <v>138</v>
      </c>
    </row>
    <row r="93" ht="24" customHeight="1" spans="1:32">
      <c r="A93" s="340">
        <v>89</v>
      </c>
      <c r="B93" s="277"/>
      <c r="C93" s="517" t="s">
        <v>124</v>
      </c>
      <c r="D93" s="346"/>
      <c r="E93" s="346"/>
      <c r="F93" s="81">
        <v>4</v>
      </c>
      <c r="G93" s="419" t="s">
        <v>674</v>
      </c>
      <c r="H93" s="362" t="s">
        <v>675</v>
      </c>
      <c r="I93" s="366" t="s">
        <v>128</v>
      </c>
      <c r="J93" s="366"/>
      <c r="K93" s="366" t="s">
        <v>128</v>
      </c>
      <c r="L93" s="366" t="s">
        <v>128</v>
      </c>
      <c r="M93" s="366" t="s">
        <v>128</v>
      </c>
      <c r="N93" s="376" t="s">
        <v>676</v>
      </c>
      <c r="O93" s="374" t="s">
        <v>677</v>
      </c>
      <c r="P93" s="373" t="str">
        <f>CONCATENATE(RemovePunctuation(H93),"_CA","_","i4K","_",C93,"_",AE93,"_",PROPER(R93),IF(S93="",PROPER(R93),PROPER(S93)),PROPER(T93),PROPER(U93),PROPER(V93),IF(V93&lt;&gt;"","SUB",""),PROPER(W93),IF(W93&lt;&gt;"","SUB",""),"_","Ed","_","M1",".mpg")</f>
        <v>HappyFriendsS02E06_CA_i4K_0325_43_ZhoZhoZhoSUB_Ed_M1.mpg</v>
      </c>
      <c r="Q93" s="373" t="str">
        <f>CONCATENATE(RemovePunctuation(H93),"_CA","_","i5K","_",C93,"_",AD93,"_",PROPER(R93),IF(S93="",PROPER(R93),PROPER(S93)),PROPER(T93),PROPER(U93),PROPER(V93),IF(V93&lt;&gt;"","SUB",""),PROPER(W93),IF(W93&lt;&gt;"","SUB",""),"_","Ed","_","M4",".mpg")</f>
        <v>HappyFriendsS02E06_CA_i5K_0325_169_ZhoZhoZhoSUB_Ed_M4.mpg</v>
      </c>
      <c r="R93" s="392" t="s">
        <v>136</v>
      </c>
      <c r="S93" s="391"/>
      <c r="T93" s="390"/>
      <c r="U93" s="390"/>
      <c r="V93" s="392" t="s">
        <v>136</v>
      </c>
      <c r="W93" s="390"/>
      <c r="X93" s="340" t="s">
        <v>135</v>
      </c>
      <c r="Y93" s="340" t="s">
        <v>135</v>
      </c>
      <c r="Z93" s="120">
        <f t="shared" si="13"/>
        <v>109</v>
      </c>
      <c r="AA93" s="303" t="str">
        <f t="shared" si="14"/>
        <v>01:49:00</v>
      </c>
      <c r="AB93" s="120">
        <f t="shared" si="15"/>
        <v>6540</v>
      </c>
      <c r="AC93" s="406">
        <v>0.0758449074074074</v>
      </c>
      <c r="AD93" s="407">
        <v>169</v>
      </c>
      <c r="AE93" s="407">
        <v>43</v>
      </c>
      <c r="AF93" s="340" t="s">
        <v>138</v>
      </c>
    </row>
    <row r="94" ht="24" customHeight="1" spans="1:32">
      <c r="A94" s="340">
        <v>90</v>
      </c>
      <c r="B94" s="277"/>
      <c r="C94" s="517" t="s">
        <v>124</v>
      </c>
      <c r="D94" s="346"/>
      <c r="E94" s="346"/>
      <c r="F94" s="81">
        <v>5</v>
      </c>
      <c r="G94" s="419" t="s">
        <v>678</v>
      </c>
      <c r="H94" s="362" t="s">
        <v>679</v>
      </c>
      <c r="I94" s="366" t="s">
        <v>128</v>
      </c>
      <c r="J94" s="366"/>
      <c r="K94" s="366" t="s">
        <v>128</v>
      </c>
      <c r="L94" s="366" t="s">
        <v>128</v>
      </c>
      <c r="M94" s="366"/>
      <c r="N94" s="376" t="s">
        <v>680</v>
      </c>
      <c r="O94" s="374" t="s">
        <v>681</v>
      </c>
      <c r="P94" s="375"/>
      <c r="Q94" s="373" t="str">
        <f>CONCATENATE(RemovePunctuation(H94),"_CA","_","i5K","_",C94,"_",AD94,"_",PROPER(R94),IF(S94="",PROPER(R94),PROPER(S94)),PROPER(T94),PROPER(U94),PROPER(V94),IF(V94&lt;&gt;"","SUB",""),PROPER(W94),IF(W94&lt;&gt;"","SUB",""),"_","Ed","_","M4",".mpg")</f>
        <v>ChineseFlavourDeliciousJingzhouPart2_CA_i5K_0325_169_ZhoZhoZhoSUB_Ed_M4.mpg</v>
      </c>
      <c r="R94" s="392" t="s">
        <v>136</v>
      </c>
      <c r="S94" s="391"/>
      <c r="T94" s="390"/>
      <c r="U94" s="390"/>
      <c r="V94" s="392" t="s">
        <v>136</v>
      </c>
      <c r="W94" s="390"/>
      <c r="X94" s="340" t="s">
        <v>135</v>
      </c>
      <c r="Y94" s="340" t="s">
        <v>135</v>
      </c>
      <c r="Z94" s="120">
        <f t="shared" si="13"/>
        <v>27</v>
      </c>
      <c r="AA94" s="303" t="str">
        <f t="shared" si="14"/>
        <v>00:27:00</v>
      </c>
      <c r="AB94" s="120">
        <f t="shared" si="15"/>
        <v>1620</v>
      </c>
      <c r="AC94" s="406">
        <v>0.0186689814814815</v>
      </c>
      <c r="AD94" s="407">
        <v>169</v>
      </c>
      <c r="AE94" s="407">
        <v>43</v>
      </c>
      <c r="AF94" s="340" t="s">
        <v>138</v>
      </c>
    </row>
    <row r="95" ht="24" customHeight="1" spans="1:32">
      <c r="A95" s="340">
        <v>91</v>
      </c>
      <c r="B95" s="277"/>
      <c r="C95" s="517" t="s">
        <v>124</v>
      </c>
      <c r="D95" s="346"/>
      <c r="E95" s="346"/>
      <c r="F95" s="81">
        <v>6</v>
      </c>
      <c r="G95" s="419" t="s">
        <v>682</v>
      </c>
      <c r="H95" s="362" t="s">
        <v>683</v>
      </c>
      <c r="I95" s="366" t="s">
        <v>128</v>
      </c>
      <c r="J95" s="366"/>
      <c r="K95" s="366" t="s">
        <v>128</v>
      </c>
      <c r="L95" s="366" t="s">
        <v>128</v>
      </c>
      <c r="M95" s="366" t="s">
        <v>128</v>
      </c>
      <c r="N95" s="376" t="s">
        <v>684</v>
      </c>
      <c r="O95" s="374" t="s">
        <v>685</v>
      </c>
      <c r="P95" s="373" t="str">
        <f>CONCATENATE(RemovePunctuation(H95),"_CA","_","i4K","_",C95,"_",AE95,"_",PROPER(R95),IF(S95="",PROPER(R95),PROPER(S95)),PROPER(T95),PROPER(U95),PROPER(V95),IF(V95&lt;&gt;"","SUB",""),PROPER(W95),IF(W95&lt;&gt;"","SUB",""),"_","Ed","_","M1",".mpg")</f>
        <v>ChineseFlavourDeliciousJingzhouPart1_CA_i4K_0325_43_ZhoZhoZhoSUB_Ed_M1.mpg</v>
      </c>
      <c r="Q95" s="373" t="str">
        <f>CONCATENATE(RemovePunctuation(H95),"_CA","_","i5K","_",C95,"_",AD95,"_",PROPER(R95),IF(S95="",PROPER(R95),PROPER(S95)),PROPER(T95),PROPER(U95),PROPER(V95),IF(V95&lt;&gt;"","SUB",""),PROPER(W95),IF(W95&lt;&gt;"","SUB",""),"_","Ed","_","M4",".mpg")</f>
        <v>ChineseFlavourDeliciousJingzhouPart1_CA_i5K_0325_169_ZhoZhoZhoSUB_Ed_M4.mpg</v>
      </c>
      <c r="R95" s="392" t="s">
        <v>136</v>
      </c>
      <c r="S95" s="391"/>
      <c r="T95" s="390"/>
      <c r="U95" s="390"/>
      <c r="V95" s="392" t="s">
        <v>136</v>
      </c>
      <c r="W95" s="390"/>
      <c r="X95" s="340" t="s">
        <v>135</v>
      </c>
      <c r="Y95" s="340" t="s">
        <v>135</v>
      </c>
      <c r="Z95" s="120">
        <f t="shared" si="13"/>
        <v>27</v>
      </c>
      <c r="AA95" s="303" t="str">
        <f t="shared" si="14"/>
        <v>00:27:00</v>
      </c>
      <c r="AB95" s="120">
        <f t="shared" si="15"/>
        <v>1620</v>
      </c>
      <c r="AC95" s="406">
        <v>0.0190162037037037</v>
      </c>
      <c r="AD95" s="407">
        <v>169</v>
      </c>
      <c r="AE95" s="407">
        <v>43</v>
      </c>
      <c r="AF95" s="340" t="s">
        <v>138</v>
      </c>
    </row>
    <row r="96" ht="24" customHeight="1" spans="1:32">
      <c r="A96" s="340">
        <v>92</v>
      </c>
      <c r="B96" s="277"/>
      <c r="C96" s="517" t="s">
        <v>124</v>
      </c>
      <c r="D96" s="346"/>
      <c r="E96" s="346"/>
      <c r="F96" s="81">
        <v>7</v>
      </c>
      <c r="G96" s="419" t="s">
        <v>686</v>
      </c>
      <c r="H96" s="362" t="s">
        <v>687</v>
      </c>
      <c r="I96" s="366" t="s">
        <v>128</v>
      </c>
      <c r="J96" s="366" t="s">
        <v>128</v>
      </c>
      <c r="K96" s="366" t="s">
        <v>128</v>
      </c>
      <c r="L96" s="366" t="s">
        <v>128</v>
      </c>
      <c r="M96" s="366" t="s">
        <v>128</v>
      </c>
      <c r="N96" s="376" t="s">
        <v>688</v>
      </c>
      <c r="O96" s="374" t="s">
        <v>689</v>
      </c>
      <c r="P96" s="373" t="str">
        <f>CONCATENATE(RemovePunctuation(H96),"_CA","_","i4K","_",C96,"_",AE96,"_",PROPER(R96),IF(S96="",PROPER(R96),PROPER(S96)),PROPER(T96),PROPER(U96),PROPER(V96),IF(V96&lt;&gt;"","SUB",""),PROPER(W96),IF(W96&lt;&gt;"","SUB",""),"_","Ed","_","M1",".mpg")</f>
        <v>ExploringCivilizationbyFarming2GuangchangJiangxiTraditionalLotusCultureSystem_CA_i4K_0325_43_ZhoZhoZhoSUB_Ed_M1.mpg</v>
      </c>
      <c r="Q96" s="373" t="str">
        <f>CONCATENATE(RemovePunctuation(H96),"_CA","_","i5K","_",C96,"_",AD96,"_",PROPER(R96),IF(S96="",PROPER(R96),PROPER(S96)),PROPER(T96),PROPER(U96),PROPER(V96),IF(V96&lt;&gt;"","SUB",""),PROPER(W96),IF(W96&lt;&gt;"","SUB",""),"_","Ed","_","M4",".mpg")</f>
        <v>ExploringCivilizationbyFarming2GuangchangJiangxiTraditionalLotusCultureSystem_CA_i5K_0325_169_ZhoZhoZhoSUB_Ed_M4.mpg</v>
      </c>
      <c r="R96" s="392" t="s">
        <v>136</v>
      </c>
      <c r="S96" s="391"/>
      <c r="T96" s="390"/>
      <c r="U96" s="390"/>
      <c r="V96" s="392" t="s">
        <v>136</v>
      </c>
      <c r="W96" s="390"/>
      <c r="X96" s="340" t="s">
        <v>135</v>
      </c>
      <c r="Y96" s="340" t="s">
        <v>135</v>
      </c>
      <c r="Z96" s="120">
        <f t="shared" si="13"/>
        <v>29</v>
      </c>
      <c r="AA96" s="303" t="str">
        <f t="shared" si="14"/>
        <v>00:29:00</v>
      </c>
      <c r="AB96" s="120">
        <f t="shared" si="15"/>
        <v>1740</v>
      </c>
      <c r="AC96" s="406">
        <v>0.0199537037037037</v>
      </c>
      <c r="AD96" s="407">
        <v>169</v>
      </c>
      <c r="AE96" s="407">
        <v>43</v>
      </c>
      <c r="AF96" s="340" t="s">
        <v>138</v>
      </c>
    </row>
    <row r="97" ht="24" customHeight="1" spans="1:32">
      <c r="A97" s="340">
        <v>93</v>
      </c>
      <c r="B97" s="277"/>
      <c r="C97" s="517" t="s">
        <v>124</v>
      </c>
      <c r="D97" s="346"/>
      <c r="E97" s="346"/>
      <c r="F97" s="81">
        <v>8</v>
      </c>
      <c r="G97" s="419" t="s">
        <v>690</v>
      </c>
      <c r="H97" s="362" t="s">
        <v>691</v>
      </c>
      <c r="I97" s="366" t="s">
        <v>128</v>
      </c>
      <c r="J97" s="366"/>
      <c r="K97" s="366" t="s">
        <v>128</v>
      </c>
      <c r="L97" s="366" t="s">
        <v>128</v>
      </c>
      <c r="M97" s="366" t="s">
        <v>128</v>
      </c>
      <c r="N97" s="376" t="s">
        <v>692</v>
      </c>
      <c r="O97" s="374" t="s">
        <v>693</v>
      </c>
      <c r="P97" s="373" t="str">
        <f>CONCATENATE(RemovePunctuation(H97),"_CA","_","i4K","_",C97,"_",AE97,"_",PROPER(R97),IF(S97="",PROPER(R97),PROPER(S97)),PROPER(T97),PROPER(U97),PROPER(V97),IF(V97&lt;&gt;"","SUB",""),PROPER(W97),IF(W97&lt;&gt;"","SUB",""),"_","Ed","_","M1",".mpg")</f>
        <v>PeakednessFoodMomentChineseandFrenchChefCompetitionIdyllicPastoral_CA_i4K_0325_43_ZhoZhoZhoSUB_Ed_M1.mpg</v>
      </c>
      <c r="Q97" s="373" t="str">
        <f>CONCATENATE(RemovePunctuation(H97),"_CA","_","i5K","_",C97,"_",AD97,"_",PROPER(R97),IF(S97="",PROPER(R97),PROPER(S97)),PROPER(T97),PROPER(U97),PROPER(V97),IF(V97&lt;&gt;"","SUB",""),PROPER(W97),IF(W97&lt;&gt;"","SUB",""),"_","Ed","_","M4",".mpg")</f>
        <v>PeakednessFoodMomentChineseandFrenchChefCompetitionIdyllicPastoral_CA_i5K_0325_169_ZhoZhoZhoSUB_Ed_M4.mpg</v>
      </c>
      <c r="R97" s="392" t="s">
        <v>136</v>
      </c>
      <c r="S97" s="391"/>
      <c r="T97" s="390"/>
      <c r="U97" s="390"/>
      <c r="V97" s="392" t="s">
        <v>136</v>
      </c>
      <c r="W97" s="390"/>
      <c r="X97" s="340" t="s">
        <v>135</v>
      </c>
      <c r="Y97" s="340" t="s">
        <v>135</v>
      </c>
      <c r="Z97" s="120">
        <f t="shared" si="13"/>
        <v>56</v>
      </c>
      <c r="AA97" s="303" t="str">
        <f t="shared" si="14"/>
        <v>00:56:00</v>
      </c>
      <c r="AB97" s="120">
        <f t="shared" si="15"/>
        <v>3360</v>
      </c>
      <c r="AC97" s="406">
        <v>0.0389814814814815</v>
      </c>
      <c r="AD97" s="407">
        <v>169</v>
      </c>
      <c r="AE97" s="407">
        <v>43</v>
      </c>
      <c r="AF97" s="340" t="s">
        <v>138</v>
      </c>
    </row>
    <row r="98" ht="24" customHeight="1" spans="1:32">
      <c r="A98" s="340">
        <v>94</v>
      </c>
      <c r="B98" s="277"/>
      <c r="C98" s="517" t="s">
        <v>124</v>
      </c>
      <c r="D98" s="346"/>
      <c r="E98" s="346"/>
      <c r="F98" s="81">
        <v>9</v>
      </c>
      <c r="G98" s="419" t="s">
        <v>694</v>
      </c>
      <c r="H98" s="362" t="s">
        <v>695</v>
      </c>
      <c r="I98" s="366" t="s">
        <v>128</v>
      </c>
      <c r="J98" s="366" t="s">
        <v>128</v>
      </c>
      <c r="K98" s="366" t="s">
        <v>128</v>
      </c>
      <c r="L98" s="366" t="s">
        <v>128</v>
      </c>
      <c r="M98" s="366" t="s">
        <v>128</v>
      </c>
      <c r="N98" s="376" t="s">
        <v>696</v>
      </c>
      <c r="O98" s="374" t="s">
        <v>697</v>
      </c>
      <c r="P98" s="373" t="str">
        <f>CONCATENATE(RemovePunctuation(H98),"_CA","_","i4K","_",C98,"_",AE98,"_",PROPER(R98),IF(S98="",PROPER(R98),PROPER(S98)),PROPER(T98),PROPER(U98),PROPER(V98),IF(V98&lt;&gt;"","SUB",""),PROPER(W98),IF(W98&lt;&gt;"","SUB",""),"_","Ed","_","M1",".mpg")</f>
        <v>ThreeMealsandFourSeasons20240721_CA_i4K_0325_43_ZhoZhoZhoSUB_Ed_M1.mpg</v>
      </c>
      <c r="Q98" s="373" t="str">
        <f>CONCATENATE(RemovePunctuation(H98),"_CA","_","i5K","_",C98,"_",AD98,"_",PROPER(R98),IF(S98="",PROPER(R98),PROPER(S98)),PROPER(T98),PROPER(U98),PROPER(V98),IF(V98&lt;&gt;"","SUB",""),PROPER(W98),IF(W98&lt;&gt;"","SUB",""),"_","Ed","_","M4",".mpg")</f>
        <v>ThreeMealsandFourSeasons20240721_CA_i5K_0325_169_ZhoZhoZhoSUB_Ed_M4.mpg</v>
      </c>
      <c r="R98" s="392" t="s">
        <v>136</v>
      </c>
      <c r="S98" s="391"/>
      <c r="T98" s="390"/>
      <c r="U98" s="390"/>
      <c r="V98" s="392" t="s">
        <v>136</v>
      </c>
      <c r="W98" s="390"/>
      <c r="X98" s="340" t="s">
        <v>135</v>
      </c>
      <c r="Y98" s="340" t="s">
        <v>135</v>
      </c>
      <c r="Z98" s="120">
        <f t="shared" si="13"/>
        <v>89</v>
      </c>
      <c r="AA98" s="303" t="str">
        <f t="shared" si="14"/>
        <v>01:29:00</v>
      </c>
      <c r="AB98" s="120">
        <f t="shared" si="15"/>
        <v>5340</v>
      </c>
      <c r="AC98" s="406">
        <v>0.0616550925925926</v>
      </c>
      <c r="AD98" s="407">
        <v>169</v>
      </c>
      <c r="AE98" s="407">
        <v>43</v>
      </c>
      <c r="AF98" s="340" t="s">
        <v>138</v>
      </c>
    </row>
    <row r="99" ht="24" customHeight="1" spans="1:32">
      <c r="A99" s="340">
        <v>95</v>
      </c>
      <c r="B99" s="277"/>
      <c r="C99" s="517" t="s">
        <v>124</v>
      </c>
      <c r="D99" s="346"/>
      <c r="E99" s="346"/>
      <c r="F99" s="81">
        <v>10</v>
      </c>
      <c r="G99" s="419" t="s">
        <v>698</v>
      </c>
      <c r="H99" s="362" t="s">
        <v>699</v>
      </c>
      <c r="I99" s="366" t="s">
        <v>128</v>
      </c>
      <c r="J99" s="366" t="s">
        <v>128</v>
      </c>
      <c r="K99" s="366" t="s">
        <v>128</v>
      </c>
      <c r="L99" s="366" t="s">
        <v>128</v>
      </c>
      <c r="M99" s="366" t="s">
        <v>128</v>
      </c>
      <c r="N99" s="376" t="s">
        <v>700</v>
      </c>
      <c r="O99" s="374" t="s">
        <v>701</v>
      </c>
      <c r="P99" s="373" t="str">
        <f>CONCATENATE(RemovePunctuation(H99),"_CA","_","i4K","_",C99,"_",AE99,"_",PROPER(R99),IF(S99="",PROPER(R99),PROPER(S99)),PROPER(T99),PROPER(U99),PROPER(V99),IF(V99&lt;&gt;"","SUB",""),PROPER(W99),IF(W99&lt;&gt;"","SUB",""),"_","Ed","_","M1",".mpg")</f>
        <v>AHomeamongMountainsandRiversSeason320240929_CA_i4K_0325_43_ZhoZhoZhoSUB_Ed_M1.mpg</v>
      </c>
      <c r="Q99" s="373" t="str">
        <f>CONCATENATE(RemovePunctuation(H99),"_CA","_","i5K","_",C99,"_",AD99,"_",PROPER(R99),IF(S99="",PROPER(R99),PROPER(S99)),PROPER(T99),PROPER(U99),PROPER(V99),IF(V99&lt;&gt;"","SUB",""),PROPER(W99),IF(W99&lt;&gt;"","SUB",""),"_","Ed","_","M4",".mpg")</f>
        <v>AHomeamongMountainsandRiversSeason320240929_CA_i5K_0325_169_ZhoZhoZhoSUB_Ed_M4.mpg</v>
      </c>
      <c r="R99" s="392" t="s">
        <v>136</v>
      </c>
      <c r="S99" s="391"/>
      <c r="T99" s="390"/>
      <c r="U99" s="390"/>
      <c r="V99" s="392" t="s">
        <v>136</v>
      </c>
      <c r="W99" s="390"/>
      <c r="X99" s="340" t="s">
        <v>135</v>
      </c>
      <c r="Y99" s="340" t="s">
        <v>135</v>
      </c>
      <c r="Z99" s="120">
        <f t="shared" si="13"/>
        <v>85</v>
      </c>
      <c r="AA99" s="303" t="str">
        <f t="shared" si="14"/>
        <v>01:25:00</v>
      </c>
      <c r="AB99" s="120">
        <f t="shared" si="15"/>
        <v>5100</v>
      </c>
      <c r="AC99" s="406">
        <v>0.0589930555555556</v>
      </c>
      <c r="AD99" s="407">
        <v>169</v>
      </c>
      <c r="AE99" s="407">
        <v>43</v>
      </c>
      <c r="AF99" s="340" t="s">
        <v>138</v>
      </c>
    </row>
    <row r="100" ht="24" customHeight="1" spans="1:32">
      <c r="A100" s="340">
        <v>96</v>
      </c>
      <c r="B100" s="277"/>
      <c r="C100" s="517" t="s">
        <v>124</v>
      </c>
      <c r="D100" s="346"/>
      <c r="E100" s="346"/>
      <c r="F100" s="81">
        <v>11</v>
      </c>
      <c r="G100" s="419" t="s">
        <v>702</v>
      </c>
      <c r="H100" s="362" t="s">
        <v>703</v>
      </c>
      <c r="I100" s="366" t="s">
        <v>128</v>
      </c>
      <c r="J100" s="366" t="s">
        <v>128</v>
      </c>
      <c r="K100" s="366" t="s">
        <v>128</v>
      </c>
      <c r="L100" s="366" t="s">
        <v>128</v>
      </c>
      <c r="M100" s="366" t="s">
        <v>128</v>
      </c>
      <c r="N100" s="376" t="s">
        <v>704</v>
      </c>
      <c r="O100" s="374" t="s">
        <v>705</v>
      </c>
      <c r="P100" s="373" t="str">
        <f>CONCATENATE(RemovePunctuation(H100),"_CA","_","i4K","_",C100,"_",AE100,"_",PROPER(R100),IF(S100="",PROPER(R100),PROPER(S100)),PROPER(T100),PROPER(U100),PROPER(V100),IF(V100&lt;&gt;"","SUB",""),PROPER(W100),IF(W100&lt;&gt;"","SUB",""),"_","Ed","_","M1",".mpg")</f>
        <v>LegendsoftheForkEp02_CA_i4K_0325_43_EngEngEngSUBZhoSUB_Ed_M1.mpg</v>
      </c>
      <c r="Q100" s="373" t="str">
        <f>CONCATENATE(RemovePunctuation(H100),"_CA","_","i5K","_",C100,"_",AD100,"_",PROPER(R100),IF(S100="",PROPER(R100),PROPER(S100)),PROPER(T100),PROPER(U100),PROPER(V100),IF(V100&lt;&gt;"","SUB",""),PROPER(W100),IF(W100&lt;&gt;"","SUB",""),"_","Ed","_","M4",".mpg")</f>
        <v>LegendsoftheForkEp02_CA_i5K_0325_169_EngEngEngSUBZhoSUB_Ed_M4.mpg</v>
      </c>
      <c r="R100" s="393" t="s">
        <v>137</v>
      </c>
      <c r="S100" s="390"/>
      <c r="T100" s="390"/>
      <c r="U100" s="390"/>
      <c r="V100" s="393" t="s">
        <v>137</v>
      </c>
      <c r="W100" s="392" t="s">
        <v>136</v>
      </c>
      <c r="X100" s="340" t="s">
        <v>135</v>
      </c>
      <c r="Y100" s="340" t="s">
        <v>135</v>
      </c>
      <c r="Z100" s="120">
        <f t="shared" si="13"/>
        <v>21</v>
      </c>
      <c r="AA100" s="303" t="str">
        <f t="shared" si="14"/>
        <v>00:21:00</v>
      </c>
      <c r="AB100" s="120">
        <f t="shared" si="15"/>
        <v>1260</v>
      </c>
      <c r="AC100" s="406">
        <v>0.0147106481481481</v>
      </c>
      <c r="AD100" s="407">
        <v>169</v>
      </c>
      <c r="AE100" s="407">
        <v>43</v>
      </c>
      <c r="AF100" s="340" t="s">
        <v>138</v>
      </c>
    </row>
    <row r="101" ht="24" customHeight="1" spans="1:32">
      <c r="A101" s="340">
        <v>97</v>
      </c>
      <c r="B101" s="277"/>
      <c r="C101" s="517" t="s">
        <v>124</v>
      </c>
      <c r="D101" s="346"/>
      <c r="E101" s="346"/>
      <c r="F101" s="81">
        <v>12</v>
      </c>
      <c r="G101" s="419" t="s">
        <v>706</v>
      </c>
      <c r="H101" s="362" t="s">
        <v>707</v>
      </c>
      <c r="I101" s="366" t="s">
        <v>128</v>
      </c>
      <c r="J101" s="366" t="s">
        <v>128</v>
      </c>
      <c r="K101" s="366"/>
      <c r="L101" s="366" t="s">
        <v>128</v>
      </c>
      <c r="M101" s="366" t="s">
        <v>128</v>
      </c>
      <c r="N101" s="376" t="s">
        <v>708</v>
      </c>
      <c r="O101" s="374"/>
      <c r="P101" s="373" t="str">
        <f>CONCATENATE(RemovePunctuation(H101),"_CA","_","i4K","_",C101,"_",AE101,"_",PROPER(R101),IF(S101="",PROPER(R101),PROPER(S101)),PROPER(T101),PROPER(U101),PROPER(V101),IF(V101&lt;&gt;"","SUB",""),PROPER(W101),IF(W101&lt;&gt;"","SUB",""),"_","Ed","_","M1",".mpg")</f>
        <v>LegendsoftheForkEp01_CA_i4K_0325_43_EngEngEngSUBZhoSUB_Ed_M1.mpg</v>
      </c>
      <c r="Q101" s="373" t="str">
        <f>CONCATENATE(RemovePunctuation(H101),"_CA","_","i5K","_",C101,"_",AD101,"_",PROPER(R101),IF(S101="",PROPER(R101),PROPER(S101)),PROPER(T101),PROPER(U101),PROPER(V101),IF(V101&lt;&gt;"","SUB",""),PROPER(W101),IF(W101&lt;&gt;"","SUB",""),"_","Ed","_","M4",".mpg")</f>
        <v>LegendsoftheForkEp01_CA_i5K_0325_169_EngEngEngSUBZhoSUB_Ed_M4.mpg</v>
      </c>
      <c r="R101" s="393" t="s">
        <v>137</v>
      </c>
      <c r="S101" s="391"/>
      <c r="T101" s="390"/>
      <c r="U101" s="390"/>
      <c r="V101" s="393" t="s">
        <v>137</v>
      </c>
      <c r="W101" s="392" t="s">
        <v>136</v>
      </c>
      <c r="X101" s="340" t="s">
        <v>135</v>
      </c>
      <c r="Y101" s="340" t="s">
        <v>135</v>
      </c>
      <c r="Z101" s="120">
        <f t="shared" si="13"/>
        <v>20</v>
      </c>
      <c r="AA101" s="303" t="str">
        <f t="shared" si="14"/>
        <v>00:20:00</v>
      </c>
      <c r="AB101" s="120">
        <f t="shared" si="15"/>
        <v>1200</v>
      </c>
      <c r="AC101" s="406">
        <v>0.0139236111111111</v>
      </c>
      <c r="AD101" s="407">
        <v>169</v>
      </c>
      <c r="AE101" s="407">
        <v>43</v>
      </c>
      <c r="AF101" s="340" t="s">
        <v>138</v>
      </c>
    </row>
    <row r="102" ht="24" customHeight="1" spans="1:32">
      <c r="A102" s="340">
        <v>98</v>
      </c>
      <c r="B102" s="277"/>
      <c r="C102" s="517" t="s">
        <v>124</v>
      </c>
      <c r="D102" s="346"/>
      <c r="E102" s="346"/>
      <c r="F102" s="81">
        <v>13</v>
      </c>
      <c r="G102" s="419" t="s">
        <v>709</v>
      </c>
      <c r="H102" s="362" t="s">
        <v>710</v>
      </c>
      <c r="I102" s="366" t="s">
        <v>128</v>
      </c>
      <c r="J102" s="366" t="s">
        <v>128</v>
      </c>
      <c r="K102" s="366"/>
      <c r="L102" s="366" t="s">
        <v>128</v>
      </c>
      <c r="M102" s="366" t="s">
        <v>128</v>
      </c>
      <c r="N102" s="376" t="s">
        <v>711</v>
      </c>
      <c r="O102" s="374"/>
      <c r="P102" s="373" t="str">
        <f>CONCATENATE(RemovePunctuation(H102),"_CA","_","i4K","_",C102,"_",AE102,"_",PROPER(R102),IF(S102="",PROPER(R102),PROPER(S102)),PROPER(T102),PROPER(U102),PROPER(V102),IF(V102&lt;&gt;"","SUB",""),PROPER(W102),IF(W102&lt;&gt;"","SUB",""),"_","Ed","_","M1",".mpg")</f>
        <v>SortYourLifeOutS03E02_CA_i4K_0325_43_EngEngEngSUBZhoSUB_Ed_M1.mpg</v>
      </c>
      <c r="Q102" s="373" t="str">
        <f>CONCATENATE(RemovePunctuation(H102),"_CA","_","i5K","_",C102,"_",AD102,"_",PROPER(R102),IF(S102="",PROPER(R102),PROPER(S102)),PROPER(T102),PROPER(U102),PROPER(V102),IF(V102&lt;&gt;"","SUB",""),PROPER(W102),IF(W102&lt;&gt;"","SUB",""),"_","Ed","_","M4",".mpg")</f>
        <v>SortYourLifeOutS03E02_CA_i5K_0325_169_EngEngEngSUBZhoSUB_Ed_M4.mpg</v>
      </c>
      <c r="R102" s="393" t="s">
        <v>137</v>
      </c>
      <c r="S102" s="391"/>
      <c r="T102" s="390"/>
      <c r="U102" s="390"/>
      <c r="V102" s="393" t="s">
        <v>137</v>
      </c>
      <c r="W102" s="392" t="s">
        <v>136</v>
      </c>
      <c r="X102" s="340" t="s">
        <v>135</v>
      </c>
      <c r="Y102" s="340" t="s">
        <v>135</v>
      </c>
      <c r="Z102" s="120">
        <f t="shared" si="13"/>
        <v>57</v>
      </c>
      <c r="AA102" s="303" t="str">
        <f t="shared" si="14"/>
        <v>00:57:00</v>
      </c>
      <c r="AB102" s="120">
        <f t="shared" si="15"/>
        <v>3420</v>
      </c>
      <c r="AC102" s="406">
        <v>0.0397800925925926</v>
      </c>
      <c r="AD102" s="407">
        <v>169</v>
      </c>
      <c r="AE102" s="407">
        <v>43</v>
      </c>
      <c r="AF102" s="340" t="s">
        <v>138</v>
      </c>
    </row>
    <row r="103" ht="24" customHeight="1" spans="1:32">
      <c r="A103" s="340">
        <v>99</v>
      </c>
      <c r="B103" s="277"/>
      <c r="C103" s="517" t="s">
        <v>124</v>
      </c>
      <c r="D103" s="346"/>
      <c r="E103" s="346"/>
      <c r="F103" s="81">
        <v>14</v>
      </c>
      <c r="G103" s="419" t="s">
        <v>712</v>
      </c>
      <c r="H103" s="362" t="s">
        <v>713</v>
      </c>
      <c r="I103" s="366" t="s">
        <v>128</v>
      </c>
      <c r="J103" s="366" t="s">
        <v>128</v>
      </c>
      <c r="K103" s="366" t="s">
        <v>128</v>
      </c>
      <c r="L103" s="366" t="s">
        <v>128</v>
      </c>
      <c r="M103" s="366" t="s">
        <v>128</v>
      </c>
      <c r="N103" s="376" t="s">
        <v>714</v>
      </c>
      <c r="O103" s="374" t="s">
        <v>715</v>
      </c>
      <c r="P103" s="373" t="str">
        <f>CONCATENATE(RemovePunctuation(H103),"_CA","_","i4K","_",C103,"_",AE103,"_",PROPER(R103),IF(S103="",PROPER(R103),PROPER(S103)),PROPER(T103),PROPER(U103),PROPER(V103),IF(V103&lt;&gt;"","SUB",""),PROPER(W103),IF(W103&lt;&gt;"","SUB",""),"_","Ed","_","M1",".mpg")</f>
        <v>SortYourLifeOutS03E01_CA_i4K_0325_43_EngEngEngSUBZhoSUB_Ed_M1.mpg</v>
      </c>
      <c r="Q103" s="373" t="str">
        <f>CONCATENATE(RemovePunctuation(H103),"_CA","_","i5K","_",C103,"_",AD103,"_",PROPER(R103),IF(S103="",PROPER(R103),PROPER(S103)),PROPER(T103),PROPER(U103),PROPER(V103),IF(V103&lt;&gt;"","SUB",""),PROPER(W103),IF(W103&lt;&gt;"","SUB",""),"_","Ed","_","M4",".mpg")</f>
        <v>SortYourLifeOutS03E01_CA_i5K_0325_169_EngEngEngSUBZhoSUB_Ed_M4.mpg</v>
      </c>
      <c r="R103" s="393" t="s">
        <v>137</v>
      </c>
      <c r="S103" s="391"/>
      <c r="T103" s="390"/>
      <c r="U103" s="390"/>
      <c r="V103" s="393" t="s">
        <v>137</v>
      </c>
      <c r="W103" s="392" t="s">
        <v>136</v>
      </c>
      <c r="X103" s="340" t="s">
        <v>135</v>
      </c>
      <c r="Y103" s="340" t="s">
        <v>135</v>
      </c>
      <c r="Z103" s="120">
        <f t="shared" si="13"/>
        <v>56</v>
      </c>
      <c r="AA103" s="303" t="str">
        <f t="shared" si="14"/>
        <v>00:56:00</v>
      </c>
      <c r="AB103" s="120">
        <f t="shared" si="15"/>
        <v>3360</v>
      </c>
      <c r="AC103" s="406">
        <v>0.0392013888888889</v>
      </c>
      <c r="AD103" s="407">
        <v>169</v>
      </c>
      <c r="AE103" s="407">
        <v>43</v>
      </c>
      <c r="AF103" s="340" t="s">
        <v>138</v>
      </c>
    </row>
    <row r="104" ht="24" customHeight="1" spans="1:32">
      <c r="A104" s="340">
        <v>100</v>
      </c>
      <c r="B104" s="277"/>
      <c r="C104" s="517" t="s">
        <v>124</v>
      </c>
      <c r="D104" s="346"/>
      <c r="E104" s="346"/>
      <c r="F104" s="81">
        <v>15</v>
      </c>
      <c r="G104" s="419" t="s">
        <v>716</v>
      </c>
      <c r="H104" s="362" t="s">
        <v>717</v>
      </c>
      <c r="I104" s="366" t="s">
        <v>128</v>
      </c>
      <c r="J104" s="366" t="s">
        <v>128</v>
      </c>
      <c r="K104" s="366" t="s">
        <v>128</v>
      </c>
      <c r="L104" s="366" t="s">
        <v>128</v>
      </c>
      <c r="M104" s="366" t="s">
        <v>128</v>
      </c>
      <c r="N104" s="376" t="s">
        <v>718</v>
      </c>
      <c r="O104" s="374" t="s">
        <v>719</v>
      </c>
      <c r="P104" s="373" t="str">
        <f>CONCATENATE(RemovePunctuation(H104),"_CA","_","i4K","_",C104,"_",AE104,"_",PROPER(R104),IF(S104="",PROPER(R104),PROPER(S104)),PROPER(T104),PROPER(U104),PROPER(V104),IF(V104&lt;&gt;"","SUB",""),PROPER(W104),IF(W104&lt;&gt;"","SUB",""),"_","Ed","_","M1",".mpg")</f>
        <v>WorldsMostSecretHotelsEp02_CA_i4K_0325_43_EngEngEngSUBZhoSUB_Ed_M1.mpg</v>
      </c>
      <c r="Q104" s="373" t="str">
        <f>CONCATENATE(RemovePunctuation(H104),"_CA","_","i5K","_",C104,"_",AD104,"_",PROPER(R104),IF(S104="",PROPER(R104),PROPER(S104)),PROPER(T104),PROPER(U104),PROPER(V104),IF(V104&lt;&gt;"","SUB",""),PROPER(W104),IF(W104&lt;&gt;"","SUB",""),"_","Ed","_","M4",".mpg")</f>
        <v>WorldsMostSecretHotelsEp02_CA_i5K_0325_169_EngEngEngSUBZhoSUB_Ed_M4.mpg</v>
      </c>
      <c r="R104" s="393" t="s">
        <v>137</v>
      </c>
      <c r="S104" s="391"/>
      <c r="T104" s="390"/>
      <c r="U104" s="390"/>
      <c r="V104" s="393" t="s">
        <v>137</v>
      </c>
      <c r="W104" s="392" t="s">
        <v>136</v>
      </c>
      <c r="X104" s="340" t="s">
        <v>135</v>
      </c>
      <c r="Y104" s="340" t="s">
        <v>135</v>
      </c>
      <c r="Z104" s="120">
        <f t="shared" si="13"/>
        <v>27</v>
      </c>
      <c r="AA104" s="303" t="str">
        <f t="shared" si="14"/>
        <v>00:27:00</v>
      </c>
      <c r="AB104" s="120">
        <f t="shared" si="15"/>
        <v>1620</v>
      </c>
      <c r="AC104" s="406">
        <v>0.0185648148148148</v>
      </c>
      <c r="AD104" s="407">
        <v>169</v>
      </c>
      <c r="AE104" s="407">
        <v>43</v>
      </c>
      <c r="AF104" s="340" t="s">
        <v>138</v>
      </c>
    </row>
    <row r="105" ht="24" customHeight="1" spans="1:32">
      <c r="A105" s="340">
        <v>101</v>
      </c>
      <c r="B105" s="277"/>
      <c r="C105" s="517" t="s">
        <v>124</v>
      </c>
      <c r="D105" s="346"/>
      <c r="E105" s="346"/>
      <c r="F105" s="81">
        <v>16</v>
      </c>
      <c r="G105" s="419" t="s">
        <v>720</v>
      </c>
      <c r="H105" s="362" t="s">
        <v>721</v>
      </c>
      <c r="I105" s="366" t="s">
        <v>128</v>
      </c>
      <c r="J105" s="366" t="s">
        <v>128</v>
      </c>
      <c r="K105" s="366"/>
      <c r="L105" s="366" t="s">
        <v>128</v>
      </c>
      <c r="M105" s="366" t="s">
        <v>128</v>
      </c>
      <c r="N105" s="376" t="s">
        <v>722</v>
      </c>
      <c r="O105" s="374"/>
      <c r="P105" s="373" t="str">
        <f>CONCATENATE(RemovePunctuation(H105),"_CA","_","i4K","_",C105,"_",AE105,"_",PROPER(R105),IF(S105="",PROPER(R105),PROPER(S105)),PROPER(T105),PROPER(U105),PROPER(V105),IF(V105&lt;&gt;"","SUB",""),PROPER(W105),IF(W105&lt;&gt;"","SUB",""),"_","Ed","_","M1",".mpg")</f>
        <v>JamieCookstheMediterraneanEp04_CA_i4K_0325_43_EngEngEngSUBZhoSUB_Ed_M1.mpg</v>
      </c>
      <c r="Q105" s="373" t="str">
        <f>CONCATENATE(RemovePunctuation(H105),"_CA","_","i5K","_",C105,"_",AD105,"_",PROPER(R105),IF(S105="",PROPER(R105),PROPER(S105)),PROPER(T105),PROPER(U105),PROPER(V105),IF(V105&lt;&gt;"","SUB",""),PROPER(W105),IF(W105&lt;&gt;"","SUB",""),"_","Ed","_","M4",".mpg")</f>
        <v>JamieCookstheMediterraneanEp04_CA_i5K_0325_169_EngEngEngSUBZhoSUB_Ed_M4.mpg</v>
      </c>
      <c r="R105" s="393" t="s">
        <v>137</v>
      </c>
      <c r="S105" s="391"/>
      <c r="T105" s="390"/>
      <c r="U105" s="390"/>
      <c r="V105" s="393" t="s">
        <v>137</v>
      </c>
      <c r="W105" s="392" t="s">
        <v>136</v>
      </c>
      <c r="X105" s="340" t="s">
        <v>135</v>
      </c>
      <c r="Y105" s="340" t="s">
        <v>135</v>
      </c>
      <c r="Z105" s="120">
        <f t="shared" si="13"/>
        <v>22</v>
      </c>
      <c r="AA105" s="303" t="str">
        <f t="shared" si="14"/>
        <v>00:22:00</v>
      </c>
      <c r="AB105" s="120">
        <f t="shared" si="15"/>
        <v>1320</v>
      </c>
      <c r="AC105" s="406">
        <v>0.0150578703703704</v>
      </c>
      <c r="AD105" s="407">
        <v>169</v>
      </c>
      <c r="AE105" s="407">
        <v>43</v>
      </c>
      <c r="AF105" s="340" t="s">
        <v>138</v>
      </c>
    </row>
    <row r="106" ht="24" customHeight="1" spans="1:32">
      <c r="A106" s="340">
        <v>102</v>
      </c>
      <c r="B106" s="277"/>
      <c r="C106" s="517" t="s">
        <v>124</v>
      </c>
      <c r="D106" s="346"/>
      <c r="E106" s="346"/>
      <c r="F106" s="81">
        <v>17</v>
      </c>
      <c r="G106" s="419" t="s">
        <v>723</v>
      </c>
      <c r="H106" s="362" t="s">
        <v>724</v>
      </c>
      <c r="I106" s="366" t="s">
        <v>128</v>
      </c>
      <c r="J106" s="366" t="s">
        <v>128</v>
      </c>
      <c r="K106" s="366" t="s">
        <v>128</v>
      </c>
      <c r="L106" s="366" t="s">
        <v>128</v>
      </c>
      <c r="M106" s="366" t="s">
        <v>128</v>
      </c>
      <c r="N106" s="376" t="s">
        <v>725</v>
      </c>
      <c r="O106" s="374" t="s">
        <v>726</v>
      </c>
      <c r="P106" s="373" t="str">
        <f>CONCATENATE(RemovePunctuation(H106),"_CA","_","i4K","_",C106,"_",AE106,"_",PROPER(R106),IF(S106="",PROPER(R106),PROPER(S106)),PROPER(T106),PROPER(U106),PROPER(V106),IF(V106&lt;&gt;"","SUB",""),PROPER(W106),IF(W106&lt;&gt;"","SUB",""),"_","Ed","_","M1",".mpg")</f>
        <v>JamieCookstheMediterraneanEp03_CA_i4K_0325_43_EngEngEngSUBZhoSUB_Ed_M1.mpg</v>
      </c>
      <c r="Q106" s="373" t="str">
        <f>CONCATENATE(RemovePunctuation(H106),"_CA","_","i5K","_",C106,"_",AD106,"_",PROPER(R106),IF(S106="",PROPER(R106),PROPER(S106)),PROPER(T106),PROPER(U106),PROPER(V106),IF(V106&lt;&gt;"","SUB",""),PROPER(W106),IF(W106&lt;&gt;"","SUB",""),"_","Ed","_","M4",".mpg")</f>
        <v>JamieCookstheMediterraneanEp03_CA_i5K_0325_169_EngEngEngSUBZhoSUB_Ed_M4.mpg</v>
      </c>
      <c r="R106" s="393" t="s">
        <v>137</v>
      </c>
      <c r="S106" s="391"/>
      <c r="T106" s="390"/>
      <c r="U106" s="390"/>
      <c r="V106" s="393" t="s">
        <v>137</v>
      </c>
      <c r="W106" s="392" t="s">
        <v>136</v>
      </c>
      <c r="X106" s="340" t="s">
        <v>135</v>
      </c>
      <c r="Y106" s="340" t="s">
        <v>135</v>
      </c>
      <c r="Z106" s="120">
        <f t="shared" si="13"/>
        <v>27</v>
      </c>
      <c r="AA106" s="303" t="str">
        <f t="shared" si="14"/>
        <v>00:27:00</v>
      </c>
      <c r="AB106" s="120">
        <f t="shared" si="15"/>
        <v>1620</v>
      </c>
      <c r="AC106" s="406">
        <v>0.0184375</v>
      </c>
      <c r="AD106" s="407">
        <v>169</v>
      </c>
      <c r="AE106" s="407">
        <v>43</v>
      </c>
      <c r="AF106" s="340" t="s">
        <v>138</v>
      </c>
    </row>
    <row r="107" ht="24" customHeight="1" spans="1:32">
      <c r="A107" s="340">
        <v>103</v>
      </c>
      <c r="B107" s="277"/>
      <c r="C107" s="517" t="s">
        <v>124</v>
      </c>
      <c r="D107" s="420" t="s">
        <v>727</v>
      </c>
      <c r="E107" s="420"/>
      <c r="F107" s="81">
        <v>1</v>
      </c>
      <c r="G107" s="419" t="s">
        <v>728</v>
      </c>
      <c r="H107" s="362" t="s">
        <v>729</v>
      </c>
      <c r="I107" s="366" t="s">
        <v>128</v>
      </c>
      <c r="J107" s="366" t="s">
        <v>128</v>
      </c>
      <c r="K107" s="366" t="s">
        <v>128</v>
      </c>
      <c r="L107" s="366" t="s">
        <v>128</v>
      </c>
      <c r="M107" s="366" t="s">
        <v>128</v>
      </c>
      <c r="N107" s="376" t="s">
        <v>730</v>
      </c>
      <c r="O107" s="374" t="s">
        <v>731</v>
      </c>
      <c r="P107" s="373" t="str">
        <f>CONCATENATE(RemovePunctuation(H107),"_CA","_","i4K","_",C107,"_",AE107,"_",PROPER(R107),IF(S107="",PROPER(R107),PROPER(S107)),PROPER(T107),PROPER(U107),PROPER(V107),IF(V107&lt;&gt;"","SUB",""),PROPER(W107),IF(W107&lt;&gt;"","SUB",""),"_","Ed","_","M1",".mpg")</f>
        <v>PingPongITTFSinglesWorldCupSemiFinalWangChuqinVSMaLong_CA_i4K_0325_43_ZhoZho_Ed_M1.mpg</v>
      </c>
      <c r="Q107" s="373" t="str">
        <f>CONCATENATE(RemovePunctuation(H107),"_CA","_","i5K","_",C107,"_",AD107,"_",PROPER(R107),IF(S107="",PROPER(R107),PROPER(S107)),PROPER(T107),PROPER(U107),PROPER(V107),IF(V107&lt;&gt;"","SUB",""),PROPER(W107),IF(W107&lt;&gt;"","SUB",""),"_","Ed","_","M4",".mpg")</f>
        <v>PingPongITTFSinglesWorldCupSemiFinalWangChuqinVSMaLong_CA_i5K_0325_169_ZhoZho_Ed_M4.mpg</v>
      </c>
      <c r="R107" s="392" t="s">
        <v>136</v>
      </c>
      <c r="S107" s="390"/>
      <c r="T107" s="390"/>
      <c r="U107" s="390"/>
      <c r="V107" s="392"/>
      <c r="W107" s="390"/>
      <c r="X107" s="340" t="s">
        <v>135</v>
      </c>
      <c r="Y107" s="340" t="s">
        <v>135</v>
      </c>
      <c r="Z107" s="120">
        <f t="shared" si="13"/>
        <v>51</v>
      </c>
      <c r="AA107" s="303" t="str">
        <f t="shared" si="14"/>
        <v>00:51:00</v>
      </c>
      <c r="AB107" s="120">
        <f t="shared" si="15"/>
        <v>3060</v>
      </c>
      <c r="AC107" s="406">
        <v>0.0352662037037037</v>
      </c>
      <c r="AD107" s="407">
        <v>169</v>
      </c>
      <c r="AE107" s="407">
        <v>43</v>
      </c>
      <c r="AF107" s="340" t="s">
        <v>138</v>
      </c>
    </row>
    <row r="108" ht="24" customHeight="1" spans="1:32">
      <c r="A108" s="340">
        <v>104</v>
      </c>
      <c r="B108" s="277"/>
      <c r="C108" s="517" t="s">
        <v>124</v>
      </c>
      <c r="D108" s="421"/>
      <c r="E108" s="421"/>
      <c r="F108" s="81">
        <v>2</v>
      </c>
      <c r="G108" s="419" t="s">
        <v>732</v>
      </c>
      <c r="H108" s="362" t="s">
        <v>733</v>
      </c>
      <c r="I108" s="366" t="s">
        <v>128</v>
      </c>
      <c r="J108" s="366" t="s">
        <v>128</v>
      </c>
      <c r="K108" s="366" t="s">
        <v>128</v>
      </c>
      <c r="L108" s="366" t="s">
        <v>128</v>
      </c>
      <c r="M108" s="366" t="s">
        <v>128</v>
      </c>
      <c r="N108" s="376" t="s">
        <v>734</v>
      </c>
      <c r="O108" s="374" t="s">
        <v>735</v>
      </c>
      <c r="P108" s="373" t="str">
        <f>CONCATENATE(RemovePunctuation(H108),"_CA","_","i4K","_",C108,"_",AE108,"_",PROPER(R108),IF(S108="",PROPER(R108),PROPER(S108)),PROPER(T108),PROPER(U108),PROPER(V108),IF(V108&lt;&gt;"","SUB",""),PROPER(W108),IF(W108&lt;&gt;"","SUB",""),"_","Ed","_","M1",".mpg")</f>
        <v>BadmintonWorldTourFinalsWomensSinglesFinalHanYueVSWangZhiyi_CA_i4K_0325_43_ZhoZho_Ed_M1.mpg</v>
      </c>
      <c r="Q108" s="373" t="str">
        <f>CONCATENATE(RemovePunctuation(H108),"_CA","_","i5K","_",C108,"_",AD108,"_",PROPER(R108),IF(S108="",PROPER(R108),PROPER(S108)),PROPER(T108),PROPER(U108),PROPER(V108),IF(V108&lt;&gt;"","SUB",""),PROPER(W108),IF(W108&lt;&gt;"","SUB",""),"_","Ed","_","M4",".mpg")</f>
        <v>BadmintonWorldTourFinalsWomensSinglesFinalHanYueVSWangZhiyi_CA_i5K_0325_169_ZhoZho_Ed_M4.mpg</v>
      </c>
      <c r="R108" s="392" t="s">
        <v>136</v>
      </c>
      <c r="S108" s="390"/>
      <c r="T108" s="390"/>
      <c r="U108" s="390"/>
      <c r="V108" s="392"/>
      <c r="W108" s="390"/>
      <c r="X108" s="340" t="s">
        <v>135</v>
      </c>
      <c r="Y108" s="340" t="s">
        <v>135</v>
      </c>
      <c r="Z108" s="120">
        <f t="shared" si="13"/>
        <v>79</v>
      </c>
      <c r="AA108" s="303" t="str">
        <f t="shared" si="14"/>
        <v>01:19:00</v>
      </c>
      <c r="AB108" s="120">
        <f t="shared" si="15"/>
        <v>4740</v>
      </c>
      <c r="AC108" s="406">
        <v>0.0546643518518519</v>
      </c>
      <c r="AD108" s="407">
        <v>169</v>
      </c>
      <c r="AE108" s="407">
        <v>43</v>
      </c>
      <c r="AF108" s="340" t="s">
        <v>138</v>
      </c>
    </row>
    <row r="109" ht="24" customHeight="1" spans="1:32">
      <c r="A109" s="340">
        <v>105</v>
      </c>
      <c r="B109" s="277"/>
      <c r="C109" s="517" t="s">
        <v>124</v>
      </c>
      <c r="D109" s="421"/>
      <c r="E109" s="421"/>
      <c r="F109" s="81">
        <v>3</v>
      </c>
      <c r="G109" s="419" t="s">
        <v>736</v>
      </c>
      <c r="H109" s="362" t="s">
        <v>737</v>
      </c>
      <c r="I109" s="366" t="s">
        <v>128</v>
      </c>
      <c r="J109" s="366"/>
      <c r="K109" s="366" t="s">
        <v>128</v>
      </c>
      <c r="L109" s="366" t="s">
        <v>128</v>
      </c>
      <c r="M109" s="366" t="s">
        <v>128</v>
      </c>
      <c r="N109" s="376" t="s">
        <v>738</v>
      </c>
      <c r="O109" s="374" t="s">
        <v>739</v>
      </c>
      <c r="P109" s="373" t="str">
        <f>CONCATENATE(RemovePunctuation(H109),"_CA","_","i4K","_",C109,"_",AE109,"_",PROPER(R109),IF(S109="",PROPER(R109),PROPER(S109)),PROPER(T109),PROPER(U109),PROPER(V109),IF(V109&lt;&gt;"","SUB",""),PROPER(W109),IF(W109&lt;&gt;"","SUB",""),"_","Ed","_","M1",".mpg")</f>
        <v>TotalSoccerLamineYamalYouthHasNoLimits_CA_i4K_0325_43_ZhoZhoZhoSUB_Ed_M1.mpg</v>
      </c>
      <c r="Q109" s="373" t="str">
        <f>CONCATENATE(RemovePunctuation(H109),"_CA","_","i5K","_",C109,"_",AD109,"_",PROPER(R109),IF(S109="",PROPER(R109),PROPER(S109)),PROPER(T109),PROPER(U109),PROPER(V109),IF(V109&lt;&gt;"","SUB",""),PROPER(W109),IF(W109&lt;&gt;"","SUB",""),"_","Ed","_","M4",".mpg")</f>
        <v>TotalSoccerLamineYamalYouthHasNoLimits_CA_i5K_0325_169_ZhoZhoZhoSUB_Ed_M4.mpg</v>
      </c>
      <c r="R109" s="392" t="s">
        <v>136</v>
      </c>
      <c r="S109" s="391"/>
      <c r="T109" s="390"/>
      <c r="U109" s="390"/>
      <c r="V109" s="392" t="s">
        <v>136</v>
      </c>
      <c r="W109" s="390"/>
      <c r="X109" s="340" t="s">
        <v>135</v>
      </c>
      <c r="Y109" s="340" t="s">
        <v>135</v>
      </c>
      <c r="Z109" s="120">
        <f t="shared" si="13"/>
        <v>35</v>
      </c>
      <c r="AA109" s="303" t="str">
        <f t="shared" si="14"/>
        <v>00:35:00</v>
      </c>
      <c r="AB109" s="120">
        <f t="shared" si="15"/>
        <v>2100</v>
      </c>
      <c r="AC109" s="406">
        <v>0.0243171296296296</v>
      </c>
      <c r="AD109" s="407">
        <v>169</v>
      </c>
      <c r="AE109" s="407">
        <v>43</v>
      </c>
      <c r="AF109" s="340" t="s">
        <v>138</v>
      </c>
    </row>
    <row r="110" ht="24" customHeight="1" spans="1:32">
      <c r="A110" s="340">
        <v>106</v>
      </c>
      <c r="B110" s="277"/>
      <c r="C110" s="517" t="s">
        <v>124</v>
      </c>
      <c r="D110" s="421"/>
      <c r="E110" s="421"/>
      <c r="F110" s="81">
        <v>4</v>
      </c>
      <c r="G110" s="419" t="s">
        <v>740</v>
      </c>
      <c r="H110" s="362" t="s">
        <v>741</v>
      </c>
      <c r="I110" s="366" t="s">
        <v>128</v>
      </c>
      <c r="J110" s="366"/>
      <c r="K110" s="366"/>
      <c r="L110" s="366"/>
      <c r="M110" s="366"/>
      <c r="N110" s="376" t="s">
        <v>742</v>
      </c>
      <c r="O110" s="374"/>
      <c r="P110" s="375"/>
      <c r="Q110" s="373"/>
      <c r="R110" s="392" t="s">
        <v>136</v>
      </c>
      <c r="S110" s="391"/>
      <c r="T110" s="390"/>
      <c r="U110" s="390"/>
      <c r="V110" s="392" t="s">
        <v>136</v>
      </c>
      <c r="W110" s="390"/>
      <c r="X110" s="340" t="s">
        <v>135</v>
      </c>
      <c r="Y110" s="340" t="s">
        <v>135</v>
      </c>
      <c r="Z110" s="120">
        <f t="shared" si="13"/>
        <v>32</v>
      </c>
      <c r="AA110" s="303" t="str">
        <f t="shared" si="14"/>
        <v>00:32:00</v>
      </c>
      <c r="AB110" s="120">
        <f t="shared" si="15"/>
        <v>1920</v>
      </c>
      <c r="AC110" s="406">
        <v>0.0221875</v>
      </c>
      <c r="AD110" s="407">
        <v>169</v>
      </c>
      <c r="AE110" s="407">
        <v>43</v>
      </c>
      <c r="AF110" s="340" t="s">
        <v>138</v>
      </c>
    </row>
    <row r="111" ht="26" customHeight="1" spans="1:32">
      <c r="A111" s="340">
        <v>107</v>
      </c>
      <c r="B111" s="277"/>
      <c r="C111" s="517" t="s">
        <v>124</v>
      </c>
      <c r="D111" s="421"/>
      <c r="E111" s="421"/>
      <c r="F111" s="81">
        <v>5</v>
      </c>
      <c r="G111" s="419" t="s">
        <v>743</v>
      </c>
      <c r="H111" s="362" t="s">
        <v>744</v>
      </c>
      <c r="I111" s="366" t="s">
        <v>128</v>
      </c>
      <c r="J111" s="366" t="s">
        <v>128</v>
      </c>
      <c r="K111" s="366" t="s">
        <v>128</v>
      </c>
      <c r="L111" s="366" t="s">
        <v>128</v>
      </c>
      <c r="M111" s="366" t="s">
        <v>128</v>
      </c>
      <c r="N111" s="376" t="s">
        <v>745</v>
      </c>
      <c r="O111" s="374" t="s">
        <v>746</v>
      </c>
      <c r="P111" s="373" t="str">
        <f>CONCATENATE(RemovePunctuation(H111),"_CA","_","i4K","_",C111,"_",AE111,"_",PROPER(R111),IF(S111="",PROPER(R111),PROPER(S111)),PROPER(T111),PROPER(U111),PROPER(V111),IF(V111&lt;&gt;"","SUB",""),PROPER(W111),IF(W111&lt;&gt;"","SUB",""),"_","Ed","_","M1",".mpg")</f>
        <v>BasketballParkACityATeamACoachLiuWeiwei_CA_i4K_0325_43_ZhoZho_Ed_M1.mpg</v>
      </c>
      <c r="Q111" s="373" t="str">
        <f>CONCATENATE(RemovePunctuation(H111),"_CA","_","i5K","_",C111,"_",AD111,"_",PROPER(R111),IF(S111="",PROPER(R111),PROPER(S111)),PROPER(T111),PROPER(U111),PROPER(V111),IF(V111&lt;&gt;"","SUB",""),PROPER(W111),IF(W111&lt;&gt;"","SUB",""),"_","Ed","_","M4",".mpg")</f>
        <v>BasketballParkACityATeamACoachLiuWeiwei_CA_i5K_0325_169_ZhoZho_Ed_M4.mpg</v>
      </c>
      <c r="R111" s="392" t="s">
        <v>136</v>
      </c>
      <c r="S111" s="391"/>
      <c r="T111" s="390"/>
      <c r="U111" s="390"/>
      <c r="V111" s="392"/>
      <c r="W111" s="390"/>
      <c r="X111" s="340" t="s">
        <v>135</v>
      </c>
      <c r="Y111" s="340" t="s">
        <v>135</v>
      </c>
      <c r="Z111" s="120">
        <f t="shared" si="13"/>
        <v>38</v>
      </c>
      <c r="AA111" s="303" t="str">
        <f t="shared" si="14"/>
        <v>00:38:00</v>
      </c>
      <c r="AB111" s="120">
        <f t="shared" si="15"/>
        <v>2280</v>
      </c>
      <c r="AC111" s="406">
        <v>0.026412037037037</v>
      </c>
      <c r="AD111" s="407">
        <v>169</v>
      </c>
      <c r="AE111" s="407">
        <v>43</v>
      </c>
      <c r="AF111" s="340" t="s">
        <v>138</v>
      </c>
    </row>
    <row r="112" ht="24" customHeight="1" spans="1:32">
      <c r="A112" s="340">
        <v>108</v>
      </c>
      <c r="B112" s="277"/>
      <c r="C112" s="517" t="s">
        <v>124</v>
      </c>
      <c r="D112" s="421"/>
      <c r="E112" s="421"/>
      <c r="F112" s="81">
        <v>6</v>
      </c>
      <c r="G112" s="422" t="s">
        <v>747</v>
      </c>
      <c r="H112" s="423" t="s">
        <v>748</v>
      </c>
      <c r="I112" s="366" t="s">
        <v>128</v>
      </c>
      <c r="J112" s="366"/>
      <c r="K112" s="366"/>
      <c r="L112" s="366"/>
      <c r="M112" s="366"/>
      <c r="N112" s="376" t="s">
        <v>749</v>
      </c>
      <c r="O112" s="374"/>
      <c r="P112" s="375"/>
      <c r="Q112" s="373"/>
      <c r="R112" s="392" t="s">
        <v>136</v>
      </c>
      <c r="S112" s="391"/>
      <c r="T112" s="390"/>
      <c r="U112" s="390"/>
      <c r="V112" s="393"/>
      <c r="W112" s="392"/>
      <c r="X112" s="340" t="s">
        <v>135</v>
      </c>
      <c r="Y112" s="340" t="s">
        <v>135</v>
      </c>
      <c r="Z112" s="120">
        <f t="shared" si="13"/>
        <v>37</v>
      </c>
      <c r="AA112" s="303" t="str">
        <f t="shared" si="14"/>
        <v>00:37:00</v>
      </c>
      <c r="AB112" s="120">
        <f t="shared" si="15"/>
        <v>2220</v>
      </c>
      <c r="AC112" s="406">
        <v>0.0256365740740741</v>
      </c>
      <c r="AD112" s="407">
        <v>169</v>
      </c>
      <c r="AE112" s="407">
        <v>43</v>
      </c>
      <c r="AF112" s="340" t="s">
        <v>138</v>
      </c>
    </row>
    <row r="113" ht="24" customHeight="1" spans="1:32">
      <c r="A113" s="340">
        <v>109</v>
      </c>
      <c r="B113" s="277"/>
      <c r="C113" s="517" t="s">
        <v>124</v>
      </c>
      <c r="D113" s="421"/>
      <c r="E113" s="421"/>
      <c r="F113" s="81">
        <v>7</v>
      </c>
      <c r="G113" s="422" t="s">
        <v>750</v>
      </c>
      <c r="H113" s="423" t="s">
        <v>751</v>
      </c>
      <c r="I113" s="366" t="s">
        <v>128</v>
      </c>
      <c r="J113" s="366" t="s">
        <v>128</v>
      </c>
      <c r="K113" s="366" t="s">
        <v>128</v>
      </c>
      <c r="L113" s="366" t="s">
        <v>128</v>
      </c>
      <c r="M113" s="366" t="s">
        <v>128</v>
      </c>
      <c r="N113" s="376" t="s">
        <v>752</v>
      </c>
      <c r="O113" s="374" t="s">
        <v>753</v>
      </c>
      <c r="P113" s="373" t="str">
        <f>CONCATENATE(RemovePunctuation(H113),"_CA","_","i4K","_",C113,"_",AE113,"_",PROPER(R113),IF(S113="",PROPER(R113),PROPER(S113)),PROPER(T113),PROPER(U113),PROPER(V113),IF(V113&lt;&gt;"","SUB",""),PROPER(W113),IF(W113&lt;&gt;"","SUB",""),"_","Ed","_","M1",".mpg")</f>
        <v>BayernMunichRiseofaLegendEp01_CA_i4K_0325_43_DeuDeuEngSUBZhoSUB_Ed_M1.mpg</v>
      </c>
      <c r="Q113" s="378" t="s">
        <v>754</v>
      </c>
      <c r="R113" s="425" t="s">
        <v>227</v>
      </c>
      <c r="S113" s="391"/>
      <c r="T113" s="390"/>
      <c r="U113" s="390"/>
      <c r="V113" s="393" t="s">
        <v>137</v>
      </c>
      <c r="W113" s="392" t="s">
        <v>136</v>
      </c>
      <c r="X113" s="340" t="s">
        <v>135</v>
      </c>
      <c r="Y113" s="340" t="s">
        <v>135</v>
      </c>
      <c r="Z113" s="120">
        <f t="shared" si="13"/>
        <v>44</v>
      </c>
      <c r="AA113" s="303" t="str">
        <f t="shared" si="14"/>
        <v>00:44:00</v>
      </c>
      <c r="AB113" s="120">
        <f t="shared" si="15"/>
        <v>2640</v>
      </c>
      <c r="AC113" s="406">
        <v>0.0307986111111111</v>
      </c>
      <c r="AD113" s="407">
        <v>169</v>
      </c>
      <c r="AE113" s="407">
        <v>43</v>
      </c>
      <c r="AF113" s="340" t="s">
        <v>138</v>
      </c>
    </row>
    <row r="114" ht="24" customHeight="1" spans="1:32">
      <c r="A114" s="340">
        <v>110</v>
      </c>
      <c r="B114" s="277"/>
      <c r="C114" s="517" t="s">
        <v>124</v>
      </c>
      <c r="D114" s="421"/>
      <c r="E114" s="421"/>
      <c r="F114" s="81">
        <v>8</v>
      </c>
      <c r="G114" s="422" t="s">
        <v>755</v>
      </c>
      <c r="H114" s="423" t="s">
        <v>756</v>
      </c>
      <c r="I114" s="366" t="s">
        <v>128</v>
      </c>
      <c r="J114" s="366" t="s">
        <v>128</v>
      </c>
      <c r="K114" s="366" t="s">
        <v>128</v>
      </c>
      <c r="L114" s="366" t="s">
        <v>128</v>
      </c>
      <c r="M114" s="366" t="s">
        <v>128</v>
      </c>
      <c r="N114" s="376" t="s">
        <v>757</v>
      </c>
      <c r="O114" s="374" t="s">
        <v>758</v>
      </c>
      <c r="P114" s="373" t="str">
        <f>CONCATENATE(RemovePunctuation(H114),"_CA","_","i4K","_",C114,"_",AE114,"_",PROPER(R114),IF(S114="",PROPER(R114),PROPER(S114)),PROPER(T114),PROPER(U114),PROPER(V114),IF(V114&lt;&gt;"","SUB",""),PROPER(W114),IF(W114&lt;&gt;"","SUB",""),"_","Ed","_","M1",".mpg")</f>
        <v>FIBAWorldBasketballEp04_CA_i4K_0325_43_EngEngEngSUBZhoSUB_Ed_M1.mpg</v>
      </c>
      <c r="Q114" s="373" t="str">
        <f>CONCATENATE(RemovePunctuation(H114),"_CA","_","i5K","_",C114,"_",AD114,"_",PROPER(R114),IF(S114="",PROPER(R114),PROPER(S114)),PROPER(T114),PROPER(U114),PROPER(V114),IF(V114&lt;&gt;"","SUB",""),PROPER(W114),IF(W114&lt;&gt;"","SUB",""),"_","Ed","_","M4",".mpg")</f>
        <v>FIBAWorldBasketballEp04_CA_i5K_0325_169_EngEngEngSUBZhoSUB_Ed_M4.mpg</v>
      </c>
      <c r="R114" s="393" t="s">
        <v>137</v>
      </c>
      <c r="S114" s="391"/>
      <c r="T114" s="390"/>
      <c r="U114" s="390"/>
      <c r="V114" s="393" t="s">
        <v>137</v>
      </c>
      <c r="W114" s="392" t="s">
        <v>136</v>
      </c>
      <c r="X114" s="340" t="s">
        <v>135</v>
      </c>
      <c r="Y114" s="340" t="s">
        <v>135</v>
      </c>
      <c r="Z114" s="120">
        <f t="shared" si="13"/>
        <v>24</v>
      </c>
      <c r="AA114" s="303" t="str">
        <f t="shared" si="14"/>
        <v>00:24:00</v>
      </c>
      <c r="AB114" s="120">
        <f t="shared" si="15"/>
        <v>1440</v>
      </c>
      <c r="AC114" s="406">
        <v>0.0165277777777778</v>
      </c>
      <c r="AD114" s="407">
        <v>169</v>
      </c>
      <c r="AE114" s="407">
        <v>43</v>
      </c>
      <c r="AF114" s="340" t="s">
        <v>138</v>
      </c>
    </row>
    <row r="115" ht="24" customHeight="1" spans="1:32">
      <c r="A115" s="340">
        <v>111</v>
      </c>
      <c r="B115" s="277"/>
      <c r="C115" s="517" t="s">
        <v>124</v>
      </c>
      <c r="D115" s="421"/>
      <c r="E115" s="421"/>
      <c r="F115" s="81">
        <v>9</v>
      </c>
      <c r="G115" s="422" t="s">
        <v>759</v>
      </c>
      <c r="H115" s="418" t="s">
        <v>760</v>
      </c>
      <c r="I115" s="366" t="s">
        <v>128</v>
      </c>
      <c r="J115" s="366" t="s">
        <v>128</v>
      </c>
      <c r="K115" s="366" t="s">
        <v>128</v>
      </c>
      <c r="L115" s="366" t="s">
        <v>128</v>
      </c>
      <c r="M115" s="366" t="s">
        <v>128</v>
      </c>
      <c r="N115" s="376" t="s">
        <v>761</v>
      </c>
      <c r="O115" s="374" t="s">
        <v>762</v>
      </c>
      <c r="P115" s="373" t="str">
        <f>CONCATENATE(RemovePunctuation(H115),"_CA","_","i4K","_",C115,"_",AE115,"_",PROPER(R115),IF(S115="",PROPER(R115),PROPER(S115)),PROPER(T115),PROPER(U115),PROPER(V115),IF(V115&lt;&gt;"","SUB",""),PROPER(W115),IF(W115&lt;&gt;"","SUB",""),"_","Ed","_","M1",".mpg")</f>
        <v>HowGoodIsGolfEp04_CA_i4K_0325_43_EngEngEngSUBZhoSUB_Ed_M1.mpg</v>
      </c>
      <c r="Q115" s="373" t="str">
        <f>CONCATENATE(RemovePunctuation(H115),"_CA","_","i5K","_",C115,"_",AD115,"_",PROPER(R115),IF(S115="",PROPER(R115),PROPER(S115)),PROPER(T115),PROPER(U115),PROPER(V115),IF(V115&lt;&gt;"","SUB",""),PROPER(W115),IF(W115&lt;&gt;"","SUB",""),"_","Ed","_","M4",".mpg")</f>
        <v>HowGoodIsGolfEp04_CA_i5K_0325_169_EngEngEngSUBZhoSUB_Ed_M4.mpg</v>
      </c>
      <c r="R115" s="393" t="s">
        <v>137</v>
      </c>
      <c r="S115" s="391"/>
      <c r="T115" s="390"/>
      <c r="U115" s="390"/>
      <c r="V115" s="393" t="s">
        <v>137</v>
      </c>
      <c r="W115" s="392" t="s">
        <v>136</v>
      </c>
      <c r="X115" s="340" t="s">
        <v>135</v>
      </c>
      <c r="Y115" s="340" t="s">
        <v>135</v>
      </c>
      <c r="Z115" s="120">
        <f t="shared" si="13"/>
        <v>24</v>
      </c>
      <c r="AA115" s="303" t="str">
        <f t="shared" si="14"/>
        <v>00:24:00</v>
      </c>
      <c r="AB115" s="120">
        <f t="shared" si="15"/>
        <v>1440</v>
      </c>
      <c r="AC115" s="406">
        <v>0.0163888888888889</v>
      </c>
      <c r="AD115" s="407">
        <v>169</v>
      </c>
      <c r="AE115" s="407">
        <v>43</v>
      </c>
      <c r="AF115" s="340" t="s">
        <v>138</v>
      </c>
    </row>
    <row r="116" ht="24" customHeight="1" spans="1:32">
      <c r="A116" s="340">
        <v>112</v>
      </c>
      <c r="B116" s="277"/>
      <c r="C116" s="517" t="s">
        <v>124</v>
      </c>
      <c r="D116" s="421"/>
      <c r="E116" s="421"/>
      <c r="F116" s="81">
        <v>10</v>
      </c>
      <c r="G116" s="422" t="s">
        <v>763</v>
      </c>
      <c r="H116" s="423" t="s">
        <v>764</v>
      </c>
      <c r="I116" s="366" t="s">
        <v>128</v>
      </c>
      <c r="J116" s="366" t="s">
        <v>128</v>
      </c>
      <c r="K116" s="366" t="s">
        <v>128</v>
      </c>
      <c r="L116" s="366" t="s">
        <v>128</v>
      </c>
      <c r="M116" s="366" t="s">
        <v>128</v>
      </c>
      <c r="N116" s="376" t="s">
        <v>765</v>
      </c>
      <c r="O116" s="374" t="s">
        <v>766</v>
      </c>
      <c r="P116" s="373" t="str">
        <f>CONCATENATE(RemovePunctuation(H116),"_CA","_","i4K","_",C116,"_",AE116,"_",PROPER(R116),IF(S116="",PROPER(R116),PROPER(S116)),PROPER(T116),PROPER(U116),PROPER(V116),IF(V116&lt;&gt;"","SUB",""),PROPER(W116),IF(W116&lt;&gt;"","SUB",""),"_","Ed","_","M1",".mpg")</f>
        <v>TheGreatestofAllTimeEp06_CA_i4K_0325_43_EngEngEngSUBZhoSUB_Ed_M1.mpg</v>
      </c>
      <c r="Q116" s="373" t="str">
        <f>CONCATENATE(RemovePunctuation(H116),"_CA","_","i5K","_",C116,"_",AD116,"_",PROPER(R116),IF(S116="",PROPER(R116),PROPER(S116)),PROPER(T116),PROPER(U116),PROPER(V116),IF(V116&lt;&gt;"","SUB",""),PROPER(W116),IF(W116&lt;&gt;"","SUB",""),"_","Ed","_","M4",".mpg")</f>
        <v>TheGreatestofAllTimeEp06_CA_i5K_0325_169_EngEngEngSUBZhoSUB_Ed_M4.mpg</v>
      </c>
      <c r="R116" s="393" t="s">
        <v>137</v>
      </c>
      <c r="S116" s="391"/>
      <c r="T116" s="390"/>
      <c r="U116" s="390"/>
      <c r="V116" s="393" t="s">
        <v>137</v>
      </c>
      <c r="W116" s="392" t="s">
        <v>136</v>
      </c>
      <c r="X116" s="340" t="s">
        <v>135</v>
      </c>
      <c r="Y116" s="340" t="s">
        <v>135</v>
      </c>
      <c r="Z116" s="120">
        <f t="shared" si="13"/>
        <v>24</v>
      </c>
      <c r="AA116" s="303" t="str">
        <f t="shared" si="14"/>
        <v>00:24:00</v>
      </c>
      <c r="AB116" s="120">
        <f t="shared" si="15"/>
        <v>1440</v>
      </c>
      <c r="AC116" s="406">
        <v>0.0165277777777778</v>
      </c>
      <c r="AD116" s="407">
        <v>169</v>
      </c>
      <c r="AE116" s="407">
        <v>43</v>
      </c>
      <c r="AF116" s="340" t="s">
        <v>138</v>
      </c>
    </row>
    <row r="117" ht="24" customHeight="1" spans="1:32">
      <c r="A117" s="340">
        <v>113</v>
      </c>
      <c r="B117" s="277"/>
      <c r="C117" s="517" t="s">
        <v>124</v>
      </c>
      <c r="D117" s="421"/>
      <c r="E117" s="421"/>
      <c r="F117" s="81">
        <v>11</v>
      </c>
      <c r="G117" s="422" t="s">
        <v>767</v>
      </c>
      <c r="H117" s="423" t="s">
        <v>768</v>
      </c>
      <c r="I117" s="366" t="s">
        <v>128</v>
      </c>
      <c r="J117" s="366" t="s">
        <v>128</v>
      </c>
      <c r="K117" s="366" t="s">
        <v>128</v>
      </c>
      <c r="L117" s="366" t="s">
        <v>128</v>
      </c>
      <c r="M117" s="366" t="s">
        <v>128</v>
      </c>
      <c r="N117" s="376" t="s">
        <v>769</v>
      </c>
      <c r="O117" s="377" t="s">
        <v>770</v>
      </c>
      <c r="P117" s="373" t="str">
        <f>CONCATENATE(RemovePunctuation(H117),"_CA","_","i4K","_",C117,"_",AE117,"_",PROPER(R117),IF(S117="",PROPER(R117),PROPER(S117)),PROPER(T117),PROPER(U117),PROPER(V117),IF(V117&lt;&gt;"","SUB",""),PROPER(W117),IF(W117&lt;&gt;"","SUB",""),"_","Ed","_","M1",".mpg")</f>
        <v>BrilliantCornersS03E05_CA_i4K_0325_43_EngEngEngSUBZhoSUB_Ed_M1.mpg</v>
      </c>
      <c r="Q117" s="373" t="str">
        <f>CONCATENATE(RemovePunctuation(H117),"_CA","_","i5K","_",C117,"_",AD117,"_",PROPER(R117),IF(S117="",PROPER(R117),PROPER(S117)),PROPER(T117),PROPER(U117),PROPER(V117),IF(V117&lt;&gt;"","SUB",""),PROPER(W117),IF(W117&lt;&gt;"","SUB",""),"_","Ed","_","M4",".mpg")</f>
        <v>BrilliantCornersS03E05_CA_i5K_0325_169_EngEngEngSUBZhoSUB_Ed_M4.mpg</v>
      </c>
      <c r="R117" s="393" t="s">
        <v>137</v>
      </c>
      <c r="S117" s="391"/>
      <c r="T117" s="390"/>
      <c r="U117" s="390"/>
      <c r="V117" s="393" t="s">
        <v>137</v>
      </c>
      <c r="W117" s="392" t="s">
        <v>136</v>
      </c>
      <c r="X117" s="340" t="s">
        <v>135</v>
      </c>
      <c r="Y117" s="340" t="s">
        <v>135</v>
      </c>
      <c r="Z117" s="120">
        <f t="shared" si="13"/>
        <v>45</v>
      </c>
      <c r="AA117" s="303" t="str">
        <f t="shared" si="14"/>
        <v>00:45:00</v>
      </c>
      <c r="AB117" s="120">
        <f t="shared" si="15"/>
        <v>2700</v>
      </c>
      <c r="AC117" s="406">
        <v>0.031412037037037</v>
      </c>
      <c r="AD117" s="407">
        <v>169</v>
      </c>
      <c r="AE117" s="407">
        <v>43</v>
      </c>
      <c r="AF117" s="340" t="s">
        <v>138</v>
      </c>
    </row>
    <row r="118" ht="24" customHeight="1" spans="1:32">
      <c r="A118" s="340">
        <v>114</v>
      </c>
      <c r="B118" s="277"/>
      <c r="C118" s="517" t="s">
        <v>124</v>
      </c>
      <c r="D118" s="420" t="s">
        <v>771</v>
      </c>
      <c r="E118" s="420"/>
      <c r="F118" s="81">
        <v>1</v>
      </c>
      <c r="G118" s="362" t="s">
        <v>772</v>
      </c>
      <c r="H118" s="362" t="s">
        <v>773</v>
      </c>
      <c r="I118" s="366" t="s">
        <v>128</v>
      </c>
      <c r="J118" s="366" t="s">
        <v>128</v>
      </c>
      <c r="K118" s="366" t="s">
        <v>128</v>
      </c>
      <c r="L118" s="366" t="s">
        <v>128</v>
      </c>
      <c r="M118" s="366" t="s">
        <v>128</v>
      </c>
      <c r="N118" s="376" t="s">
        <v>774</v>
      </c>
      <c r="O118" s="374" t="s">
        <v>775</v>
      </c>
      <c r="P118" s="373" t="str">
        <f>CONCATENATE(RemovePunctuation(H118),"_CA","_","i4K","_",C118,"_",AE118,"_",PROPER(R118),IF(S118="",PROPER(R118),PROPER(S118)),PROPER(T118),PROPER(U118),PROPER(V118),IF(V118&lt;&gt;"","SUB",""),PROPER(W118),IF(W118&lt;&gt;"","SUB",""),"_","Ed","_","M1",".mpg")</f>
        <v>GoFightingS10E02_CA_i4K_0325_43_ZhoZhoZhoSUB_Ed_M1.mpg</v>
      </c>
      <c r="Q118" s="373" t="str">
        <f>CONCATENATE(RemovePunctuation(H118),"_CA","_","i5K","_",C118,"_",AD118,"_",PROPER(R118),IF(S118="",PROPER(R118),PROPER(S118)),PROPER(T118),PROPER(U118),PROPER(V118),IF(V118&lt;&gt;"","SUB",""),PROPER(W118),IF(W118&lt;&gt;"","SUB",""),"_","Ed","_","M4",".mpg")</f>
        <v>GoFightingS10E02_CA_i5K_0325_169_ZhoZhoZhoSUB_Ed_M4.mpg</v>
      </c>
      <c r="R118" s="392" t="s">
        <v>136</v>
      </c>
      <c r="S118" s="391"/>
      <c r="T118" s="390"/>
      <c r="U118" s="390"/>
      <c r="V118" s="392" t="s">
        <v>136</v>
      </c>
      <c r="W118" s="392"/>
      <c r="X118" s="340" t="s">
        <v>135</v>
      </c>
      <c r="Y118" s="340" t="s">
        <v>135</v>
      </c>
      <c r="Z118" s="120">
        <f t="shared" ref="Z118:Z131" si="16">ROUNDUP(HOUR(AA118)*60+MINUTE(AA118)+SECOND(AA118)/60,0)</f>
        <v>89</v>
      </c>
      <c r="AA118" s="303" t="str">
        <f t="shared" ref="AA118:AA131" si="17">TEXT((HOUR(AC118)*60+MINUTE(AC118)+IF(SECOND(AC118)&lt;=29,0,1))*60/86400,"hh:mm:ss")</f>
        <v>01:29:00</v>
      </c>
      <c r="AB118" s="120">
        <f t="shared" ref="AB118:AB131" si="18">Z118*60</f>
        <v>5340</v>
      </c>
      <c r="AC118" s="406">
        <v>0.0615393518518519</v>
      </c>
      <c r="AD118" s="407">
        <v>169</v>
      </c>
      <c r="AE118" s="407">
        <v>43</v>
      </c>
      <c r="AF118" s="340" t="s">
        <v>138</v>
      </c>
    </row>
    <row r="119" ht="23.1" customHeight="1" spans="1:32">
      <c r="A119" s="340">
        <v>115</v>
      </c>
      <c r="B119" s="277"/>
      <c r="C119" s="517" t="s">
        <v>124</v>
      </c>
      <c r="D119" s="421"/>
      <c r="E119" s="421"/>
      <c r="F119" s="81">
        <v>2</v>
      </c>
      <c r="G119" s="422" t="s">
        <v>776</v>
      </c>
      <c r="H119" s="418" t="s">
        <v>777</v>
      </c>
      <c r="I119" s="366" t="s">
        <v>128</v>
      </c>
      <c r="J119" s="366" t="s">
        <v>128</v>
      </c>
      <c r="K119" s="366" t="s">
        <v>128</v>
      </c>
      <c r="L119" s="366" t="s">
        <v>128</v>
      </c>
      <c r="M119" s="366" t="s">
        <v>128</v>
      </c>
      <c r="N119" s="376" t="s">
        <v>778</v>
      </c>
      <c r="O119" s="374" t="s">
        <v>779</v>
      </c>
      <c r="P119" s="373" t="str">
        <f>CONCATENATE(RemovePunctuation(H119),"_CA","_","i4K","_",C119,"_",AE119,"_",PROPER(R119),IF(S119="",PROPER(R119),PROPER(S119)),PROPER(T119),PROPER(U119),PROPER(V119),IF(V119&lt;&gt;"","SUB",""),PROPER(W119),IF(W119&lt;&gt;"","SUB",""),"_","Ed","_","M1",".mpg")</f>
        <v>GoFightingS10E01_CA_i4K_0325_43_ZhoZhoZhoSUB_Ed_M1.mpg</v>
      </c>
      <c r="Q119" s="373" t="str">
        <f>CONCATENATE(RemovePunctuation(H119),"_CA","_","i5K","_",C119,"_",AD119,"_",PROPER(R119),IF(S119="",PROPER(R119),PROPER(S119)),PROPER(T119),PROPER(U119),PROPER(V119),IF(V119&lt;&gt;"","SUB",""),PROPER(W119),IF(W119&lt;&gt;"","SUB",""),"_","Ed","_","M4",".mpg")</f>
        <v>GoFightingS10E01_CA_i5K_0325_169_ZhoZhoZhoSUB_Ed_M4.mpg</v>
      </c>
      <c r="R119" s="392" t="s">
        <v>136</v>
      </c>
      <c r="S119" s="391"/>
      <c r="T119" s="390"/>
      <c r="U119" s="390"/>
      <c r="V119" s="392" t="s">
        <v>136</v>
      </c>
      <c r="W119" s="392"/>
      <c r="X119" s="340" t="s">
        <v>135</v>
      </c>
      <c r="Y119" s="340" t="s">
        <v>135</v>
      </c>
      <c r="Z119" s="120">
        <f t="shared" si="16"/>
        <v>103</v>
      </c>
      <c r="AA119" s="303" t="str">
        <f t="shared" si="17"/>
        <v>01:43:00</v>
      </c>
      <c r="AB119" s="120">
        <f t="shared" si="18"/>
        <v>6180</v>
      </c>
      <c r="AC119" s="406">
        <v>0.071712962962963</v>
      </c>
      <c r="AD119" s="407">
        <v>169</v>
      </c>
      <c r="AE119" s="407">
        <v>43</v>
      </c>
      <c r="AF119" s="340" t="s">
        <v>138</v>
      </c>
    </row>
    <row r="120" ht="23.1" customHeight="1" spans="1:32">
      <c r="A120" s="340">
        <v>116</v>
      </c>
      <c r="B120" s="277"/>
      <c r="C120" s="517" t="s">
        <v>124</v>
      </c>
      <c r="D120" s="421"/>
      <c r="E120" s="421"/>
      <c r="F120" s="81">
        <v>3</v>
      </c>
      <c r="G120" s="422" t="s">
        <v>780</v>
      </c>
      <c r="H120" s="418" t="s">
        <v>781</v>
      </c>
      <c r="I120" s="366" t="s">
        <v>128</v>
      </c>
      <c r="J120" s="366" t="s">
        <v>128</v>
      </c>
      <c r="K120" s="366" t="s">
        <v>128</v>
      </c>
      <c r="L120" s="366" t="s">
        <v>128</v>
      </c>
      <c r="M120" s="366" t="s">
        <v>128</v>
      </c>
      <c r="N120" s="376" t="s">
        <v>782</v>
      </c>
      <c r="O120" s="374" t="s">
        <v>783</v>
      </c>
      <c r="P120" s="373" t="str">
        <f>CONCATENATE(RemovePunctuation(H120),"_CA","_","i4K","_",C120,"_",AE120,"_",PROPER(R120),IF(S120="",PROPER(R120),PROPER(S120)),PROPER(T120),PROPER(U120),PROPER(V120),IF(V120&lt;&gt;"","SUB",""),PROPER(W120),IF(W120&lt;&gt;"","SUB",""),"_","Ed","_","M1",".mpg")</f>
        <v>SuperSketchShowS01E06_CA_i4K_0325_43_ZhoZhoZhoSUB_Ed_M1.mpg</v>
      </c>
      <c r="Q120" s="373" t="str">
        <f>CONCATENATE(RemovePunctuation(H120),"_CA","_","i5K","_",C120,"_",AD120,"_",PROPER(R120),IF(S120="",PROPER(R120),PROPER(S120)),PROPER(T120),PROPER(U120),PROPER(V120),IF(V120&lt;&gt;"","SUB",""),PROPER(W120),IF(W120&lt;&gt;"","SUB",""),"_","Ed","_","M4",".mpg")</f>
        <v>SuperSketchShowS01E06_CA_i5K_0325_169_ZhoZhoZhoSUB_Ed_M4.mpg</v>
      </c>
      <c r="R120" s="392" t="s">
        <v>136</v>
      </c>
      <c r="S120" s="391"/>
      <c r="T120" s="390"/>
      <c r="U120" s="390"/>
      <c r="V120" s="392" t="s">
        <v>136</v>
      </c>
      <c r="W120" s="390"/>
      <c r="X120" s="340" t="s">
        <v>135</v>
      </c>
      <c r="Y120" s="340" t="s">
        <v>135</v>
      </c>
      <c r="Z120" s="120">
        <f t="shared" si="16"/>
        <v>47</v>
      </c>
      <c r="AA120" s="303" t="str">
        <f t="shared" si="17"/>
        <v>00:47:00</v>
      </c>
      <c r="AB120" s="120">
        <f t="shared" si="18"/>
        <v>2820</v>
      </c>
      <c r="AC120" s="406">
        <v>0.032662037037037</v>
      </c>
      <c r="AD120" s="407">
        <v>169</v>
      </c>
      <c r="AE120" s="407">
        <v>43</v>
      </c>
      <c r="AF120" s="340" t="s">
        <v>228</v>
      </c>
    </row>
    <row r="121" ht="23.1" customHeight="1" spans="1:32">
      <c r="A121" s="340">
        <v>117</v>
      </c>
      <c r="B121" s="277"/>
      <c r="C121" s="517" t="s">
        <v>124</v>
      </c>
      <c r="D121" s="421"/>
      <c r="E121" s="421"/>
      <c r="F121" s="81">
        <v>4</v>
      </c>
      <c r="G121" s="422" t="s">
        <v>784</v>
      </c>
      <c r="H121" s="418" t="s">
        <v>785</v>
      </c>
      <c r="I121" s="366" t="s">
        <v>128</v>
      </c>
      <c r="J121" s="366" t="s">
        <v>128</v>
      </c>
      <c r="K121" s="366" t="s">
        <v>128</v>
      </c>
      <c r="L121" s="366" t="s">
        <v>128</v>
      </c>
      <c r="M121" s="366" t="s">
        <v>128</v>
      </c>
      <c r="N121" s="376" t="s">
        <v>786</v>
      </c>
      <c r="O121" s="374" t="s">
        <v>787</v>
      </c>
      <c r="P121" s="373" t="str">
        <f>CONCATENATE(RemovePunctuation(H121),"_CA","_","i4K","_",C121,"_",AE121,"_",PROPER(R121),IF(S121="",PROPER(R121),PROPER(S121)),PROPER(T121),PROPER(U121),PROPER(V121),IF(V121&lt;&gt;"","SUB",""),PROPER(W121),IF(W121&lt;&gt;"","SUB",""),"_","Ed","_","M1",".mpg")</f>
        <v>SuperSketchShowS01E05_CA_i4K_0325_43_ZhoZhoZhoSUB_Ed_M1.mpg</v>
      </c>
      <c r="Q121" s="373" t="str">
        <f>CONCATENATE(RemovePunctuation(H121),"_CA","_","i5K","_",C121,"_",AD121,"_",PROPER(R121),IF(S121="",PROPER(R121),PROPER(S121)),PROPER(T121),PROPER(U121),PROPER(V121),IF(V121&lt;&gt;"","SUB",""),PROPER(W121),IF(W121&lt;&gt;"","SUB",""),"_","Ed","_","M4",".mpg")</f>
        <v>SuperSketchShowS01E05_CA_i5K_0325_169_ZhoZhoZhoSUB_Ed_M4.mpg</v>
      </c>
      <c r="R121" s="392" t="s">
        <v>136</v>
      </c>
      <c r="S121" s="391"/>
      <c r="T121" s="390"/>
      <c r="U121" s="390"/>
      <c r="V121" s="392" t="s">
        <v>136</v>
      </c>
      <c r="W121" s="390"/>
      <c r="X121" s="340" t="s">
        <v>135</v>
      </c>
      <c r="Y121" s="340" t="s">
        <v>135</v>
      </c>
      <c r="Z121" s="120">
        <f t="shared" si="16"/>
        <v>59</v>
      </c>
      <c r="AA121" s="303" t="str">
        <f t="shared" si="17"/>
        <v>00:59:00</v>
      </c>
      <c r="AB121" s="120">
        <f t="shared" si="18"/>
        <v>3540</v>
      </c>
      <c r="AC121" s="406">
        <v>0.0409837962962963</v>
      </c>
      <c r="AD121" s="407">
        <v>169</v>
      </c>
      <c r="AE121" s="407">
        <v>43</v>
      </c>
      <c r="AF121" s="340" t="s">
        <v>228</v>
      </c>
    </row>
    <row r="122" ht="23.1" customHeight="1" spans="1:32">
      <c r="A122" s="340">
        <v>118</v>
      </c>
      <c r="B122" s="277"/>
      <c r="C122" s="517" t="s">
        <v>124</v>
      </c>
      <c r="D122" s="421"/>
      <c r="E122" s="421"/>
      <c r="F122" s="81">
        <v>5</v>
      </c>
      <c r="G122" s="422" t="s">
        <v>788</v>
      </c>
      <c r="H122" s="418" t="s">
        <v>789</v>
      </c>
      <c r="I122" s="366" t="s">
        <v>128</v>
      </c>
      <c r="J122" s="366"/>
      <c r="K122" s="366"/>
      <c r="L122" s="366" t="s">
        <v>128</v>
      </c>
      <c r="M122" s="366"/>
      <c r="N122" s="376" t="s">
        <v>790</v>
      </c>
      <c r="O122" s="374"/>
      <c r="P122" s="375"/>
      <c r="Q122" s="373" t="str">
        <f>CONCATENATE(RemovePunctuation(H122),"_CA","_","i5K","_",C122,"_",AD122,"_",PROPER(R122),IF(S122="",PROPER(R122),PROPER(S122)),PROPER(T122),PROPER(U122),PROPER(V122),IF(V122&lt;&gt;"","SUB",""),PROPER(W122),IF(W122&lt;&gt;"","SUB",""),"_","Ed","_","M4",".mpg")</f>
        <v>SuperSketchShowS01E04_CA_i5K_0325_169_ZhoZhoZhoSUB_Ed_M4.mpg</v>
      </c>
      <c r="R122" s="392" t="s">
        <v>136</v>
      </c>
      <c r="S122" s="391"/>
      <c r="T122" s="390"/>
      <c r="U122" s="390"/>
      <c r="V122" s="392" t="s">
        <v>136</v>
      </c>
      <c r="W122" s="390"/>
      <c r="X122" s="340" t="s">
        <v>135</v>
      </c>
      <c r="Y122" s="340" t="s">
        <v>135</v>
      </c>
      <c r="Z122" s="120">
        <f t="shared" si="16"/>
        <v>60</v>
      </c>
      <c r="AA122" s="303" t="str">
        <f t="shared" si="17"/>
        <v>01:00:00</v>
      </c>
      <c r="AB122" s="120">
        <f t="shared" si="18"/>
        <v>3600</v>
      </c>
      <c r="AC122" s="406">
        <v>0.0419212962962963</v>
      </c>
      <c r="AD122" s="407">
        <v>169</v>
      </c>
      <c r="AE122" s="407">
        <v>43</v>
      </c>
      <c r="AF122" s="340" t="s">
        <v>228</v>
      </c>
    </row>
    <row r="123" ht="23.1" customHeight="1" spans="1:32">
      <c r="A123" s="340">
        <v>119</v>
      </c>
      <c r="B123" s="277"/>
      <c r="C123" s="517" t="s">
        <v>124</v>
      </c>
      <c r="D123" s="421"/>
      <c r="E123" s="421"/>
      <c r="F123" s="81">
        <v>6</v>
      </c>
      <c r="G123" s="422" t="s">
        <v>791</v>
      </c>
      <c r="H123" s="418" t="s">
        <v>792</v>
      </c>
      <c r="I123" s="366" t="s">
        <v>128</v>
      </c>
      <c r="J123" s="366" t="s">
        <v>128</v>
      </c>
      <c r="K123" s="366"/>
      <c r="L123" s="366" t="s">
        <v>128</v>
      </c>
      <c r="M123" s="366" t="s">
        <v>128</v>
      </c>
      <c r="N123" s="376" t="s">
        <v>793</v>
      </c>
      <c r="O123" s="374"/>
      <c r="P123" s="373" t="str">
        <f>CONCATENATE(RemovePunctuation(H123),"_CA","_","i4K","_",C123,"_",AE123,"_",PROPER(R123),IF(S123="",PROPER(R123),PROPER(S123)),PROPER(T123),PROPER(U123),PROPER(V123),IF(V123&lt;&gt;"","SUB",""),PROPER(W123),IF(W123&lt;&gt;"","SUB",""),"_","Ed","_","M1",".mpg")</f>
        <v>AvenueofStarsGame1ofthe2024Finals_CA_i4K_0325_43_ZhoZhoZhoSUB_Ed_M1.mpg</v>
      </c>
      <c r="Q123" s="373" t="str">
        <f>CONCATENATE(RemovePunctuation(H123),"_CA","_","i5K","_",C123,"_",AD123,"_",PROPER(R123),IF(S123="",PROPER(R123),PROPER(S123)),PROPER(T123),PROPER(U123),PROPER(V123),IF(V123&lt;&gt;"","SUB",""),PROPER(W123),IF(W123&lt;&gt;"","SUB",""),"_","Ed","_","M4",".mpg")</f>
        <v>AvenueofStarsGame1ofthe2024Finals_CA_i5K_0325_169_ZhoZhoZhoSUB_Ed_M4.mpg</v>
      </c>
      <c r="R123" s="392" t="s">
        <v>136</v>
      </c>
      <c r="S123" s="391"/>
      <c r="T123" s="390"/>
      <c r="U123" s="390"/>
      <c r="V123" s="392" t="s">
        <v>136</v>
      </c>
      <c r="W123" s="390"/>
      <c r="X123" s="340" t="s">
        <v>135</v>
      </c>
      <c r="Y123" s="340" t="s">
        <v>135</v>
      </c>
      <c r="Z123" s="120">
        <f t="shared" si="16"/>
        <v>75</v>
      </c>
      <c r="AA123" s="303" t="str">
        <f t="shared" si="17"/>
        <v>01:15:00</v>
      </c>
      <c r="AB123" s="120">
        <f t="shared" si="18"/>
        <v>4500</v>
      </c>
      <c r="AC123" s="406">
        <v>0.0517824074074074</v>
      </c>
      <c r="AD123" s="407">
        <v>169</v>
      </c>
      <c r="AE123" s="407">
        <v>43</v>
      </c>
      <c r="AF123" s="340" t="s">
        <v>138</v>
      </c>
    </row>
    <row r="124" ht="23.1" customHeight="1" spans="1:32">
      <c r="A124" s="340">
        <v>120</v>
      </c>
      <c r="B124" s="277"/>
      <c r="C124" s="517" t="s">
        <v>124</v>
      </c>
      <c r="D124" s="421"/>
      <c r="E124" s="421"/>
      <c r="F124" s="81">
        <v>7</v>
      </c>
      <c r="G124" s="422" t="s">
        <v>794</v>
      </c>
      <c r="H124" s="418" t="s">
        <v>795</v>
      </c>
      <c r="I124" s="366" t="s">
        <v>128</v>
      </c>
      <c r="J124" s="366"/>
      <c r="K124" s="366" t="s">
        <v>128</v>
      </c>
      <c r="L124" s="366" t="s">
        <v>128</v>
      </c>
      <c r="M124" s="366" t="s">
        <v>128</v>
      </c>
      <c r="N124" s="376" t="s">
        <v>796</v>
      </c>
      <c r="O124" s="374" t="s">
        <v>797</v>
      </c>
      <c r="P124" s="373" t="str">
        <f>CONCATENATE(RemovePunctuation(H124),"_CA","_","i4K","_",C124,"_",AE124,"_",PROPER(R124),IF(S124="",PROPER(R124),PROPER(S124)),PROPER(T124),PROPER(U124),PROPER(V124),IF(V124&lt;&gt;"","SUB",""),PROPER(W124),IF(W124&lt;&gt;"","SUB",""),"_","Ed","_","M1",".mpg")</f>
        <v>OpentheDoorandBeHappy20241125_CA_i4K_0325_43_ZhoZhoZhoSUB_Ed_M1.mpg</v>
      </c>
      <c r="Q124" s="373" t="str">
        <f>CONCATENATE(RemovePunctuation(H124),"_CA","_","i5K","_",C124,"_",AD124,"_",PROPER(R124),IF(S124="",PROPER(R124),PROPER(S124)),PROPER(T124),PROPER(U124),PROPER(V124),IF(V124&lt;&gt;"","SUB",""),PROPER(W124),IF(W124&lt;&gt;"","SUB",""),"_","Ed","_","M4",".mpg")</f>
        <v>OpentheDoorandBeHappy20241125_CA_i5K_0325_169_ZhoZhoZhoSUB_Ed_M4.mpg</v>
      </c>
      <c r="R124" s="392" t="s">
        <v>136</v>
      </c>
      <c r="S124" s="391"/>
      <c r="T124" s="390"/>
      <c r="U124" s="390"/>
      <c r="V124" s="392" t="s">
        <v>136</v>
      </c>
      <c r="W124" s="390"/>
      <c r="X124" s="340" t="s">
        <v>135</v>
      </c>
      <c r="Y124" s="340" t="s">
        <v>135</v>
      </c>
      <c r="Z124" s="120">
        <f t="shared" si="16"/>
        <v>73</v>
      </c>
      <c r="AA124" s="303" t="str">
        <f t="shared" si="17"/>
        <v>01:13:00</v>
      </c>
      <c r="AB124" s="120">
        <f t="shared" si="18"/>
        <v>4380</v>
      </c>
      <c r="AC124" s="406">
        <v>0.0507638888888889</v>
      </c>
      <c r="AD124" s="407">
        <v>169</v>
      </c>
      <c r="AE124" s="407">
        <v>43</v>
      </c>
      <c r="AF124" s="340" t="s">
        <v>138</v>
      </c>
    </row>
    <row r="125" ht="23.1" customHeight="1" spans="1:32">
      <c r="A125" s="340">
        <v>121</v>
      </c>
      <c r="B125" s="277"/>
      <c r="C125" s="517" t="s">
        <v>124</v>
      </c>
      <c r="D125" s="424"/>
      <c r="E125" s="424"/>
      <c r="F125" s="81">
        <v>8</v>
      </c>
      <c r="G125" s="422" t="s">
        <v>798</v>
      </c>
      <c r="H125" s="418" t="s">
        <v>799</v>
      </c>
      <c r="I125" s="366" t="s">
        <v>128</v>
      </c>
      <c r="J125" s="366"/>
      <c r="K125" s="366" t="s">
        <v>128</v>
      </c>
      <c r="L125" s="366" t="s">
        <v>128</v>
      </c>
      <c r="M125" s="366"/>
      <c r="N125" s="376" t="s">
        <v>800</v>
      </c>
      <c r="O125" s="374" t="s">
        <v>801</v>
      </c>
      <c r="P125" s="375"/>
      <c r="Q125" s="373" t="str">
        <f>CONCATENATE(RemovePunctuation(H125),"_CA","_","i5K","_",C125,"_",AD125,"_",PROPER(R125),IF(S125="",PROPER(R125),PROPER(S125)),PROPER(T125),PROPER(U125),PROPER(V125),IF(V125&lt;&gt;"","SUB",""),PROPER(W125),IF(W125&lt;&gt;"","SUB",""),"_","Ed","_","M4",".mpg")</f>
        <v>OpentheDoorandBeHappy20241118_CA_i5K_0325_169_ZhoZhoZhoSUB_Ed_M4.mpg</v>
      </c>
      <c r="R125" s="392" t="s">
        <v>136</v>
      </c>
      <c r="S125" s="391"/>
      <c r="T125" s="390"/>
      <c r="U125" s="390"/>
      <c r="V125" s="392" t="s">
        <v>136</v>
      </c>
      <c r="W125" s="390"/>
      <c r="X125" s="340" t="s">
        <v>135</v>
      </c>
      <c r="Y125" s="340" t="s">
        <v>135</v>
      </c>
      <c r="Z125" s="120">
        <f t="shared" si="16"/>
        <v>74</v>
      </c>
      <c r="AA125" s="303" t="str">
        <f t="shared" si="17"/>
        <v>01:14:00</v>
      </c>
      <c r="AB125" s="120">
        <f t="shared" si="18"/>
        <v>4440</v>
      </c>
      <c r="AC125" s="406">
        <v>0.0513425925925926</v>
      </c>
      <c r="AD125" s="407">
        <v>169</v>
      </c>
      <c r="AE125" s="407">
        <v>43</v>
      </c>
      <c r="AF125" s="340" t="s">
        <v>138</v>
      </c>
    </row>
    <row r="126" ht="23.1" customHeight="1" spans="1:32">
      <c r="A126" s="340">
        <v>122</v>
      </c>
      <c r="B126" s="277"/>
      <c r="C126" s="517" t="s">
        <v>124</v>
      </c>
      <c r="D126" s="420" t="s">
        <v>802</v>
      </c>
      <c r="E126" s="420"/>
      <c r="F126" s="81">
        <v>1</v>
      </c>
      <c r="G126" s="422" t="s">
        <v>803</v>
      </c>
      <c r="H126" s="418" t="s">
        <v>804</v>
      </c>
      <c r="I126" s="366" t="s">
        <v>128</v>
      </c>
      <c r="J126" s="366" t="s">
        <v>128</v>
      </c>
      <c r="K126" s="366" t="s">
        <v>128</v>
      </c>
      <c r="L126" s="366" t="s">
        <v>128</v>
      </c>
      <c r="M126" s="366" t="s">
        <v>128</v>
      </c>
      <c r="N126" s="376" t="s">
        <v>805</v>
      </c>
      <c r="O126" s="374" t="s">
        <v>806</v>
      </c>
      <c r="P126" s="373" t="str">
        <f>CONCATENATE(RemovePunctuation(H126),"_CA","_","i4K","_",C126,"_",AE126,"_",PROPER(R126),IF(S126="",PROPER(R126),PROPER(S126)),PROPER(T126),PROPER(U126),PROPER(V126),IF(V126&lt;&gt;"","SUB",""),PROPER(W126),IF(W126&lt;&gt;"","SUB",""),"_","Ed","_","M1",".mpg")</f>
        <v>TimeConcertOldFriendsEp08_CA_i4K_0325_43_ZhoZhoZhoSUB_Ed_M1.mpg</v>
      </c>
      <c r="Q126" s="373" t="str">
        <f>CONCATENATE(RemovePunctuation(H126),"_CA","_","i5K","_",C126,"_",AD126,"_",PROPER(R126),IF(S126="",PROPER(R126),PROPER(S126)),PROPER(T126),PROPER(U126),PROPER(V126),IF(V126&lt;&gt;"","SUB",""),PROPER(W126),IF(W126&lt;&gt;"","SUB",""),"_","Ed","_","M4",".mpg")</f>
        <v>TimeConcertOldFriendsEp08_CA_i5K_0325_169_ZhoZhoZhoSUB_Ed_M4.mpg</v>
      </c>
      <c r="R126" s="392" t="s">
        <v>136</v>
      </c>
      <c r="S126" s="391"/>
      <c r="T126" s="390"/>
      <c r="U126" s="390"/>
      <c r="V126" s="392" t="s">
        <v>136</v>
      </c>
      <c r="W126" s="392"/>
      <c r="X126" s="340" t="s">
        <v>135</v>
      </c>
      <c r="Y126" s="340" t="s">
        <v>135</v>
      </c>
      <c r="Z126" s="120">
        <f t="shared" si="16"/>
        <v>92</v>
      </c>
      <c r="AA126" s="303" t="str">
        <f t="shared" si="17"/>
        <v>01:32:00</v>
      </c>
      <c r="AB126" s="120">
        <f t="shared" si="18"/>
        <v>5520</v>
      </c>
      <c r="AC126" s="406">
        <v>0.0638541666666667</v>
      </c>
      <c r="AD126" s="407">
        <v>169</v>
      </c>
      <c r="AE126" s="407">
        <v>43</v>
      </c>
      <c r="AF126" s="340" t="s">
        <v>138</v>
      </c>
    </row>
    <row r="127" ht="23.1" customHeight="1" spans="1:32">
      <c r="A127" s="340">
        <v>123</v>
      </c>
      <c r="B127" s="277"/>
      <c r="C127" s="517" t="s">
        <v>124</v>
      </c>
      <c r="D127" s="421"/>
      <c r="E127" s="421"/>
      <c r="F127" s="81">
        <v>2</v>
      </c>
      <c r="G127" s="422" t="s">
        <v>807</v>
      </c>
      <c r="H127" s="418" t="s">
        <v>808</v>
      </c>
      <c r="I127" s="366" t="s">
        <v>128</v>
      </c>
      <c r="J127" s="366" t="s">
        <v>128</v>
      </c>
      <c r="K127" s="366" t="s">
        <v>128</v>
      </c>
      <c r="L127" s="366" t="s">
        <v>128</v>
      </c>
      <c r="M127" s="366" t="s">
        <v>128</v>
      </c>
      <c r="N127" s="376" t="s">
        <v>809</v>
      </c>
      <c r="O127" s="374" t="s">
        <v>810</v>
      </c>
      <c r="P127" s="373" t="str">
        <f>CONCATENATE(RemovePunctuation(H127),"_CA","_","i4K","_",C127,"_",AE127,"_",PROPER(R127),IF(S127="",PROPER(R127),PROPER(S127)),PROPER(T127),PROPER(U127),PROPER(V127),IF(V127&lt;&gt;"","SUB",""),PROPER(W127),IF(W127&lt;&gt;"","SUB",""),"_","Ed","_","M1",".mpg")</f>
        <v>TimeConcertOldFriendsEp07_CA_i4K_0325_43_ZhoZhoZhoSUB_Ed_M1.mpg</v>
      </c>
      <c r="Q127" s="373" t="str">
        <f>CONCATENATE(RemovePunctuation(H127),"_CA","_","i5K","_",C127,"_",AD127,"_",PROPER(R127),IF(S127="",PROPER(R127),PROPER(S127)),PROPER(T127),PROPER(U127),PROPER(V127),IF(V127&lt;&gt;"","SUB",""),PROPER(W127),IF(W127&lt;&gt;"","SUB",""),"_","Ed","_","M4",".mpg")</f>
        <v>TimeConcertOldFriendsEp07_CA_i5K_0325_169_ZhoZhoZhoSUB_Ed_M4.mpg</v>
      </c>
      <c r="R127" s="392" t="s">
        <v>136</v>
      </c>
      <c r="S127" s="391"/>
      <c r="T127" s="390"/>
      <c r="U127" s="390"/>
      <c r="V127" s="392" t="s">
        <v>136</v>
      </c>
      <c r="W127" s="392"/>
      <c r="X127" s="340" t="s">
        <v>135</v>
      </c>
      <c r="Y127" s="340" t="s">
        <v>135</v>
      </c>
      <c r="Z127" s="120">
        <f t="shared" si="16"/>
        <v>99</v>
      </c>
      <c r="AA127" s="303" t="str">
        <f t="shared" si="17"/>
        <v>01:39:00</v>
      </c>
      <c r="AB127" s="120">
        <f t="shared" si="18"/>
        <v>5940</v>
      </c>
      <c r="AC127" s="406">
        <v>0.0688657407407407</v>
      </c>
      <c r="AD127" s="407">
        <v>169</v>
      </c>
      <c r="AE127" s="407">
        <v>43</v>
      </c>
      <c r="AF127" s="340" t="s">
        <v>138</v>
      </c>
    </row>
    <row r="128" ht="23.1" customHeight="1" spans="1:32">
      <c r="A128" s="340">
        <v>124</v>
      </c>
      <c r="B128" s="277"/>
      <c r="C128" s="517" t="s">
        <v>124</v>
      </c>
      <c r="D128" s="421"/>
      <c r="E128" s="421"/>
      <c r="F128" s="81">
        <v>3</v>
      </c>
      <c r="G128" s="422" t="s">
        <v>811</v>
      </c>
      <c r="H128" s="418" t="s">
        <v>812</v>
      </c>
      <c r="I128" s="366" t="s">
        <v>128</v>
      </c>
      <c r="J128" s="366" t="s">
        <v>128</v>
      </c>
      <c r="K128" s="366" t="s">
        <v>128</v>
      </c>
      <c r="L128" s="366" t="s">
        <v>128</v>
      </c>
      <c r="M128" s="366" t="s">
        <v>128</v>
      </c>
      <c r="N128" s="376" t="s">
        <v>813</v>
      </c>
      <c r="O128" s="374" t="s">
        <v>814</v>
      </c>
      <c r="P128" s="373" t="str">
        <f>CONCATENATE(RemovePunctuation(H128),"_CA","_","i4K","_",C128,"_",AE128,"_",PROPER(R128),IF(S128="",PROPER(R128),PROPER(S128)),PROPER(T128),PROPER(U128),PROPER(V128),IF(V128&lt;&gt;"","SUB",""),PROPER(W128),IF(W128&lt;&gt;"","SUB",""),"_","Ed","_","M1",".mpg")</f>
        <v>TimeConcertOldFriendsEp06_CA_i4K_0325_43_ZhoZhoZhoSUB_Ed_M1.mpg</v>
      </c>
      <c r="Q128" s="373" t="str">
        <f>CONCATENATE(RemovePunctuation(H128),"_CA","_","i5K","_",C128,"_",AD128,"_",PROPER(R128),IF(S128="",PROPER(R128),PROPER(S128)),PROPER(T128),PROPER(U128),PROPER(V128),IF(V128&lt;&gt;"","SUB",""),PROPER(W128),IF(W128&lt;&gt;"","SUB",""),"_","Ed","_","M4",".mpg")</f>
        <v>TimeConcertOldFriendsEp06_CA_i5K_0325_169_ZhoZhoZhoSUB_Ed_M4.mpg</v>
      </c>
      <c r="R128" s="392" t="s">
        <v>136</v>
      </c>
      <c r="S128" s="391"/>
      <c r="T128" s="390"/>
      <c r="U128" s="390"/>
      <c r="V128" s="392" t="s">
        <v>136</v>
      </c>
      <c r="W128" s="392"/>
      <c r="X128" s="340" t="s">
        <v>135</v>
      </c>
      <c r="Y128" s="340" t="s">
        <v>135</v>
      </c>
      <c r="Z128" s="120">
        <f t="shared" si="16"/>
        <v>84</v>
      </c>
      <c r="AA128" s="303" t="str">
        <f t="shared" si="17"/>
        <v>01:24:00</v>
      </c>
      <c r="AB128" s="120">
        <f t="shared" si="18"/>
        <v>5040</v>
      </c>
      <c r="AC128" s="406">
        <v>0.0586226851851852</v>
      </c>
      <c r="AD128" s="407">
        <v>169</v>
      </c>
      <c r="AE128" s="407">
        <v>43</v>
      </c>
      <c r="AF128" s="340" t="s">
        <v>138</v>
      </c>
    </row>
    <row r="129" ht="23.1" customHeight="1" spans="1:32">
      <c r="A129" s="340">
        <v>125</v>
      </c>
      <c r="B129" s="277"/>
      <c r="C129" s="517" t="s">
        <v>124</v>
      </c>
      <c r="D129" s="421"/>
      <c r="E129" s="421"/>
      <c r="F129" s="81">
        <v>4</v>
      </c>
      <c r="G129" s="422" t="s">
        <v>815</v>
      </c>
      <c r="H129" s="418" t="s">
        <v>816</v>
      </c>
      <c r="I129" s="366" t="s">
        <v>128</v>
      </c>
      <c r="J129" s="366"/>
      <c r="K129" s="366" t="s">
        <v>128</v>
      </c>
      <c r="L129" s="366" t="s">
        <v>128</v>
      </c>
      <c r="M129" s="366"/>
      <c r="N129" s="376" t="s">
        <v>817</v>
      </c>
      <c r="O129" s="377" t="s">
        <v>818</v>
      </c>
      <c r="P129" s="375"/>
      <c r="Q129" s="373" t="str">
        <f>CONCATENATE(RemovePunctuation(H129),"_CA","_","i5K","_",C129,"_",AD129,"_",PROPER(R129),IF(S129="",PROPER(R129),PROPER(S129)),PROPER(T129),PROPER(U129),PROPER(V129),IF(V129&lt;&gt;"","SUB",""),PROPER(W129),IF(W129&lt;&gt;"","SUB",""),"_","Ed","_","M4",".mpg")</f>
        <v>TimeConcertOldFriendsEp05_CA_i5K_0325_169_ZhoZhoZhoSUB_Ed_M4.mpg</v>
      </c>
      <c r="R129" s="392" t="s">
        <v>136</v>
      </c>
      <c r="S129" s="391"/>
      <c r="T129" s="390"/>
      <c r="U129" s="390"/>
      <c r="V129" s="392" t="s">
        <v>136</v>
      </c>
      <c r="W129" s="392"/>
      <c r="X129" s="340" t="s">
        <v>135</v>
      </c>
      <c r="Y129" s="340" t="s">
        <v>135</v>
      </c>
      <c r="Z129" s="120">
        <f t="shared" si="16"/>
        <v>96</v>
      </c>
      <c r="AA129" s="303" t="str">
        <f t="shared" si="17"/>
        <v>01:36:00</v>
      </c>
      <c r="AB129" s="120">
        <f t="shared" si="18"/>
        <v>5760</v>
      </c>
      <c r="AC129" s="406">
        <v>0.0665740740740741</v>
      </c>
      <c r="AD129" s="407">
        <v>169</v>
      </c>
      <c r="AE129" s="407">
        <v>43</v>
      </c>
      <c r="AF129" s="340" t="s">
        <v>138</v>
      </c>
    </row>
    <row r="130" ht="23.1" customHeight="1" spans="1:32">
      <c r="A130" s="340">
        <v>126</v>
      </c>
      <c r="B130" s="277"/>
      <c r="C130" s="517" t="s">
        <v>124</v>
      </c>
      <c r="D130" s="421"/>
      <c r="E130" s="421"/>
      <c r="F130" s="81">
        <v>5</v>
      </c>
      <c r="G130" s="422" t="s">
        <v>819</v>
      </c>
      <c r="H130" s="418" t="s">
        <v>820</v>
      </c>
      <c r="I130" s="366" t="s">
        <v>128</v>
      </c>
      <c r="J130" s="366" t="s">
        <v>128</v>
      </c>
      <c r="K130" s="366" t="s">
        <v>128</v>
      </c>
      <c r="L130" s="366" t="s">
        <v>128</v>
      </c>
      <c r="M130" s="366" t="s">
        <v>128</v>
      </c>
      <c r="N130" s="376" t="s">
        <v>821</v>
      </c>
      <c r="O130" s="377" t="s">
        <v>822</v>
      </c>
      <c r="P130" s="373" t="str">
        <f>CONCATENATE(RemovePunctuation(H130),"_CA","_","i4K","_",C130,"_",AE130,"_",PROPER(R130),IF(S130="",PROPER(R130),PROPER(S130)),PROPER(T130),PROPER(U130),PROPER(V130),IF(V130&lt;&gt;"","SUB",""),PROPER(W130),IF(W130&lt;&gt;"","SUB",""),"_","Ed","_","M1",".mpg")</f>
        <v>HiAIMusicSeason20240802_CA_i4K_0325_43_ZhoZhoZhoSUB_Ed_M1.mpg</v>
      </c>
      <c r="Q130" s="373" t="str">
        <f>CONCATENATE(RemovePunctuation(H130),"_CA","_","i5K","_",C130,"_",AD130,"_",PROPER(R130),IF(S130="",PROPER(R130),PROPER(S130)),PROPER(T130),PROPER(U130),PROPER(V130),IF(V130&lt;&gt;"","SUB",""),PROPER(W130),IF(W130&lt;&gt;"","SUB",""),"_","Ed","_","M4",".mpg")</f>
        <v>HiAIMusicSeason20240802_CA_i5K_0325_169_ZhoZhoZhoSUB_Ed_M4.mpg</v>
      </c>
      <c r="R130" s="392" t="s">
        <v>136</v>
      </c>
      <c r="S130" s="391"/>
      <c r="T130" s="390"/>
      <c r="U130" s="390"/>
      <c r="V130" s="392" t="s">
        <v>136</v>
      </c>
      <c r="W130" s="392"/>
      <c r="X130" s="340" t="s">
        <v>135</v>
      </c>
      <c r="Y130" s="340" t="s">
        <v>135</v>
      </c>
      <c r="Z130" s="120">
        <f t="shared" si="16"/>
        <v>34</v>
      </c>
      <c r="AA130" s="303" t="str">
        <f t="shared" si="17"/>
        <v>00:34:00</v>
      </c>
      <c r="AB130" s="120">
        <f t="shared" si="18"/>
        <v>2040</v>
      </c>
      <c r="AC130" s="406">
        <v>0.0233912037037037</v>
      </c>
      <c r="AD130" s="407">
        <v>169</v>
      </c>
      <c r="AE130" s="407">
        <v>43</v>
      </c>
      <c r="AF130" s="340" t="s">
        <v>138</v>
      </c>
    </row>
    <row r="131" ht="23.1" customHeight="1" spans="1:32">
      <c r="A131" s="340">
        <v>127</v>
      </c>
      <c r="B131" s="277"/>
      <c r="C131" s="517" t="s">
        <v>124</v>
      </c>
      <c r="D131" s="421"/>
      <c r="E131" s="421"/>
      <c r="F131" s="81">
        <v>6</v>
      </c>
      <c r="G131" s="422" t="s">
        <v>823</v>
      </c>
      <c r="H131" s="418" t="s">
        <v>824</v>
      </c>
      <c r="I131" s="366" t="s">
        <v>128</v>
      </c>
      <c r="J131" s="366" t="s">
        <v>128</v>
      </c>
      <c r="K131" s="366" t="s">
        <v>128</v>
      </c>
      <c r="L131" s="366" t="s">
        <v>128</v>
      </c>
      <c r="M131" s="366" t="s">
        <v>128</v>
      </c>
      <c r="N131" s="376" t="s">
        <v>825</v>
      </c>
      <c r="O131" s="374" t="s">
        <v>826</v>
      </c>
      <c r="P131" s="373" t="str">
        <f>CONCATENATE(RemovePunctuation(H131),"_CA","_","i4K","_",C131,"_",AE131,"_",PROPER(R131),IF(S131="",PROPER(R131),PROPER(S131)),PROPER(T131),PROPER(U131),PROPER(V131),IF(V131&lt;&gt;"","SUB",""),PROPER(W131),IF(W131&lt;&gt;"","SUB",""),"_","Ed","_","M1",".mpg")</f>
        <v>WonderfulMusicCollectionMyLoveSaystoYou20241215_CA_i4K_0325_43_ZhoZhoZhoSUB_Ed_M1.mpg</v>
      </c>
      <c r="Q131" s="373" t="str">
        <f>CONCATENATE(RemovePunctuation(H131),"_CA","_","i5K","_",C131,"_",AD131,"_",PROPER(R131),IF(S131="",PROPER(R131),PROPER(S131)),PROPER(T131),PROPER(U131),PROPER(V131),IF(V131&lt;&gt;"","SUB",""),PROPER(W131),IF(W131&lt;&gt;"","SUB",""),"_","Ed","_","M4",".mpg")</f>
        <v>WonderfulMusicCollectionMyLoveSaystoYou20241215_CA_i5K_0325_169_ZhoZhoZhoSUB_Ed_M4.mpg</v>
      </c>
      <c r="R131" s="392" t="s">
        <v>136</v>
      </c>
      <c r="S131" s="391"/>
      <c r="T131" s="390"/>
      <c r="U131" s="390"/>
      <c r="V131" s="392" t="s">
        <v>136</v>
      </c>
      <c r="W131" s="392"/>
      <c r="X131" s="340" t="s">
        <v>135</v>
      </c>
      <c r="Y131" s="340" t="s">
        <v>135</v>
      </c>
      <c r="Z131" s="120">
        <f t="shared" si="16"/>
        <v>57</v>
      </c>
      <c r="AA131" s="303" t="str">
        <f t="shared" si="17"/>
        <v>00:57:00</v>
      </c>
      <c r="AB131" s="120">
        <f t="shared" si="18"/>
        <v>3420</v>
      </c>
      <c r="AC131" s="406">
        <v>0.0398148148148148</v>
      </c>
      <c r="AD131" s="407">
        <v>169</v>
      </c>
      <c r="AE131" s="407">
        <v>43</v>
      </c>
      <c r="AF131" s="340" t="s">
        <v>138</v>
      </c>
    </row>
    <row r="132" ht="23.1" customHeight="1" spans="1:32">
      <c r="A132" s="340">
        <v>128</v>
      </c>
      <c r="B132" s="277"/>
      <c r="C132" s="517" t="s">
        <v>124</v>
      </c>
      <c r="D132" s="426" t="s">
        <v>827</v>
      </c>
      <c r="E132" s="426"/>
      <c r="F132" s="156">
        <v>1</v>
      </c>
      <c r="G132" s="422" t="s">
        <v>828</v>
      </c>
      <c r="H132" s="326" t="s">
        <v>829</v>
      </c>
      <c r="I132" s="366" t="s">
        <v>128</v>
      </c>
      <c r="J132" s="366" t="s">
        <v>128</v>
      </c>
      <c r="K132" s="366" t="s">
        <v>128</v>
      </c>
      <c r="L132" s="366" t="s">
        <v>128</v>
      </c>
      <c r="M132" s="366" t="s">
        <v>128</v>
      </c>
      <c r="N132" s="376" t="s">
        <v>830</v>
      </c>
      <c r="O132" s="374" t="s">
        <v>831</v>
      </c>
      <c r="P132" s="373" t="str">
        <f>CONCATENATE(RemovePunctuation(H132),"_CA","_","i4K","_",C132,"_",AE132,"_",PROPER(R132),IF(S132="",PROPER(R132),PROPER(S132)),PROPER(T132),PROPER(U132),PROPER(V132),IF(V132&lt;&gt;"","SUB",""),PROPER(W132),IF(W132&lt;&gt;"","SUB",""),"_","Ed","_","M1",".mpg")</f>
        <v>ChinaBeforeChinaEp07_CA_i4K_0325_43_ZhoZhoZhoSUB_Ed_M1.mpg</v>
      </c>
      <c r="Q132" s="373" t="str">
        <f>CONCATENATE(RemovePunctuation(H132),"_CA","_","i5K","_",C132,"_",AD132,"_",PROPER(R132),IF(S132="",PROPER(R132),PROPER(S132)),PROPER(T132),PROPER(U132),PROPER(V132),IF(V132&lt;&gt;"","SUB",""),PROPER(W132),IF(W132&lt;&gt;"","SUB",""),"_","Ed","_","M4",".mpg")</f>
        <v>ChinaBeforeChinaEp07_CA_i5K_0325_169_ZhoZhoZhoSUB_Ed_M4.mpg</v>
      </c>
      <c r="R132" s="392" t="s">
        <v>136</v>
      </c>
      <c r="S132" s="391"/>
      <c r="T132" s="390"/>
      <c r="U132" s="390"/>
      <c r="V132" s="392" t="s">
        <v>136</v>
      </c>
      <c r="W132" s="390"/>
      <c r="X132" s="340" t="s">
        <v>135</v>
      </c>
      <c r="Y132" s="340" t="s">
        <v>135</v>
      </c>
      <c r="Z132" s="120">
        <f t="shared" ref="Z132:Z140" si="19">ROUNDUP(HOUR(AA132)*60+MINUTE(AA132)+SECOND(AA132)/60,0)</f>
        <v>60</v>
      </c>
      <c r="AA132" s="303" t="str">
        <f t="shared" ref="AA132:AA140" si="20">TEXT((HOUR(AC132)*60+MINUTE(AC132)+IF(SECOND(AC132)&lt;=29,0,1))*60/86400,"hh:mm:ss")</f>
        <v>01:00:00</v>
      </c>
      <c r="AB132" s="120">
        <f t="shared" ref="AB132:AB140" si="21">Z132*60</f>
        <v>3600</v>
      </c>
      <c r="AC132" s="406">
        <v>0.0418634259259259</v>
      </c>
      <c r="AD132" s="407">
        <v>169</v>
      </c>
      <c r="AE132" s="407">
        <v>43</v>
      </c>
      <c r="AF132" s="340" t="s">
        <v>138</v>
      </c>
    </row>
    <row r="133" ht="23.1" customHeight="1" spans="1:32">
      <c r="A133" s="340">
        <v>129</v>
      </c>
      <c r="B133" s="277"/>
      <c r="C133" s="517" t="s">
        <v>124</v>
      </c>
      <c r="D133" s="426"/>
      <c r="E133" s="426"/>
      <c r="F133" s="156">
        <v>2</v>
      </c>
      <c r="G133" s="422" t="s">
        <v>832</v>
      </c>
      <c r="H133" s="326" t="s">
        <v>833</v>
      </c>
      <c r="I133" s="366" t="s">
        <v>128</v>
      </c>
      <c r="J133" s="366" t="s">
        <v>128</v>
      </c>
      <c r="K133" s="366" t="s">
        <v>128</v>
      </c>
      <c r="L133" s="366" t="s">
        <v>128</v>
      </c>
      <c r="M133" s="366" t="s">
        <v>128</v>
      </c>
      <c r="N133" s="376" t="s">
        <v>834</v>
      </c>
      <c r="O133" s="374" t="s">
        <v>835</v>
      </c>
      <c r="P133" s="373" t="str">
        <f>CONCATENATE(RemovePunctuation(H133),"_CA","_","i4K","_",C133,"_",AE133,"_",PROPER(R133),IF(S133="",PROPER(R133),PROPER(S133)),PROPER(T133),PROPER(U133),PROPER(V133),IF(V133&lt;&gt;"","SUB",""),PROPER(W133),IF(W133&lt;&gt;"","SUB",""),"_","Ed","_","M1",".mpg")</f>
        <v>TheVillagesinChinaEp06_CA_i4K_0325_43_ZhoZhoZhoSUB_Ed_M1.mpg</v>
      </c>
      <c r="Q133" s="373" t="str">
        <f>CONCATENATE(RemovePunctuation(H133),"_CA","_","i5K","_",C133,"_",AD133,"_",PROPER(R133),IF(S133="",PROPER(R133),PROPER(S133)),PROPER(T133),PROPER(U133),PROPER(V133),IF(V133&lt;&gt;"","SUB",""),PROPER(W133),IF(W133&lt;&gt;"","SUB",""),"_","Ed","_","M4",".mpg")</f>
        <v>TheVillagesinChinaEp06_CA_i5K_0325_169_ZhoZhoZhoSUB_Ed_M4.mpg</v>
      </c>
      <c r="R133" s="392" t="s">
        <v>136</v>
      </c>
      <c r="S133" s="391"/>
      <c r="T133" s="390"/>
      <c r="U133" s="390"/>
      <c r="V133" s="392" t="s">
        <v>136</v>
      </c>
      <c r="W133" s="390"/>
      <c r="X133" s="340" t="s">
        <v>135</v>
      </c>
      <c r="Y133" s="340" t="s">
        <v>135</v>
      </c>
      <c r="Z133" s="120">
        <f t="shared" si="19"/>
        <v>45</v>
      </c>
      <c r="AA133" s="303" t="str">
        <f t="shared" si="20"/>
        <v>00:45:00</v>
      </c>
      <c r="AB133" s="120">
        <f t="shared" si="21"/>
        <v>2700</v>
      </c>
      <c r="AC133" s="406">
        <v>0.0311689814814815</v>
      </c>
      <c r="AD133" s="407">
        <v>169</v>
      </c>
      <c r="AE133" s="407">
        <v>43</v>
      </c>
      <c r="AF133" s="340" t="s">
        <v>201</v>
      </c>
    </row>
    <row r="134" ht="23.1" customHeight="1" spans="1:32">
      <c r="A134" s="340">
        <v>130</v>
      </c>
      <c r="B134" s="277"/>
      <c r="C134" s="517" t="s">
        <v>124</v>
      </c>
      <c r="D134" s="426"/>
      <c r="E134" s="426"/>
      <c r="F134" s="156">
        <v>3</v>
      </c>
      <c r="G134" s="422" t="s">
        <v>836</v>
      </c>
      <c r="H134" s="326" t="s">
        <v>837</v>
      </c>
      <c r="I134" s="366" t="s">
        <v>128</v>
      </c>
      <c r="J134" s="366"/>
      <c r="K134" s="366" t="s">
        <v>128</v>
      </c>
      <c r="L134" s="366" t="s">
        <v>128</v>
      </c>
      <c r="M134" s="366"/>
      <c r="N134" s="376" t="s">
        <v>838</v>
      </c>
      <c r="O134" s="374" t="s">
        <v>839</v>
      </c>
      <c r="P134" s="375"/>
      <c r="Q134" s="373" t="str">
        <f>CONCATENATE(RemovePunctuation(H134),"_CA","_","i5K","_",C134,"_",AD134,"_",PROPER(R134),IF(S134="",PROPER(R134),PROPER(S134)),PROPER(T134),PROPER(U134),PROPER(V134),IF(V134&lt;&gt;"","SUB",""),PROPER(W134),IF(W134&lt;&gt;"","SUB",""),"_","Ed","_","M4",".mpg")</f>
        <v>NationalBackbone2Mission_CA_i5K_0325_169_ZhoZhoZhoSUB_Ed_M4.mpg</v>
      </c>
      <c r="R134" s="392" t="s">
        <v>136</v>
      </c>
      <c r="S134" s="391"/>
      <c r="T134" s="390"/>
      <c r="U134" s="390"/>
      <c r="V134" s="392" t="s">
        <v>136</v>
      </c>
      <c r="W134" s="390"/>
      <c r="X134" s="340" t="s">
        <v>135</v>
      </c>
      <c r="Y134" s="340" t="s">
        <v>135</v>
      </c>
      <c r="Z134" s="120">
        <f t="shared" si="19"/>
        <v>24</v>
      </c>
      <c r="AA134" s="303" t="str">
        <f t="shared" si="20"/>
        <v>00:24:00</v>
      </c>
      <c r="AB134" s="120">
        <f t="shared" si="21"/>
        <v>1440</v>
      </c>
      <c r="AC134" s="406">
        <v>0.0164930555555556</v>
      </c>
      <c r="AD134" s="407">
        <v>169</v>
      </c>
      <c r="AE134" s="407">
        <v>43</v>
      </c>
      <c r="AF134" s="340" t="s">
        <v>138</v>
      </c>
    </row>
    <row r="135" ht="23.1" customHeight="1" spans="1:32">
      <c r="A135" s="340">
        <v>131</v>
      </c>
      <c r="B135" s="277"/>
      <c r="C135" s="517" t="s">
        <v>124</v>
      </c>
      <c r="D135" s="426"/>
      <c r="E135" s="426"/>
      <c r="F135" s="156">
        <v>4</v>
      </c>
      <c r="G135" s="422" t="s">
        <v>840</v>
      </c>
      <c r="H135" s="326" t="s">
        <v>841</v>
      </c>
      <c r="I135" s="366" t="s">
        <v>128</v>
      </c>
      <c r="J135" s="366" t="s">
        <v>128</v>
      </c>
      <c r="K135" s="366" t="s">
        <v>128</v>
      </c>
      <c r="L135" s="366" t="s">
        <v>128</v>
      </c>
      <c r="M135" s="366" t="s">
        <v>128</v>
      </c>
      <c r="N135" s="376" t="s">
        <v>842</v>
      </c>
      <c r="O135" s="374" t="s">
        <v>843</v>
      </c>
      <c r="P135" s="373" t="str">
        <f>CONCATENATE(RemovePunctuation(H135),"_CA","_","i4K","_",C135,"_",AE135,"_",PROPER(R135),IF(S135="",PROPER(R135),PROPER(S135)),PROPER(T135),PROPER(U135),PROPER(V135),IF(V135&lt;&gt;"","SUB",""),PROPER(W135),IF(W135&lt;&gt;"","SUB",""),"_","Ed","_","M1",".mpg")</f>
        <v>NationalBackbone1OriginalIntention_CA_i4K_0325_43_ZhoZhoZhoSUB_Ed_M1.mpg</v>
      </c>
      <c r="Q135" s="373" t="str">
        <f>CONCATENATE(RemovePunctuation(H135),"_CA","_","i5K","_",C135,"_",AD135,"_",PROPER(R135),IF(S135="",PROPER(R135),PROPER(S135)),PROPER(T135),PROPER(U135),PROPER(V135),IF(V135&lt;&gt;"","SUB",""),PROPER(W135),IF(W135&lt;&gt;"","SUB",""),"_","Ed","_","M4",".mpg")</f>
        <v>NationalBackbone1OriginalIntention_CA_i5K_0325_169_ZhoZhoZhoSUB_Ed_M4.mpg</v>
      </c>
      <c r="R135" s="392" t="s">
        <v>136</v>
      </c>
      <c r="S135" s="391"/>
      <c r="T135" s="390"/>
      <c r="U135" s="390"/>
      <c r="V135" s="392" t="s">
        <v>136</v>
      </c>
      <c r="W135" s="392"/>
      <c r="X135" s="340" t="s">
        <v>135</v>
      </c>
      <c r="Y135" s="340" t="s">
        <v>135</v>
      </c>
      <c r="Z135" s="120">
        <f t="shared" si="19"/>
        <v>24</v>
      </c>
      <c r="AA135" s="303" t="str">
        <f t="shared" si="20"/>
        <v>00:24:00</v>
      </c>
      <c r="AB135" s="120">
        <f t="shared" si="21"/>
        <v>1440</v>
      </c>
      <c r="AC135" s="406">
        <v>0.0164930555555556</v>
      </c>
      <c r="AD135" s="407">
        <v>169</v>
      </c>
      <c r="AE135" s="407">
        <v>43</v>
      </c>
      <c r="AF135" s="340" t="s">
        <v>138</v>
      </c>
    </row>
    <row r="136" ht="23.1" customHeight="1" spans="1:32">
      <c r="A136" s="340">
        <v>132</v>
      </c>
      <c r="B136" s="277"/>
      <c r="C136" s="517" t="s">
        <v>124</v>
      </c>
      <c r="D136" s="426"/>
      <c r="E136" s="426"/>
      <c r="F136" s="156">
        <v>5</v>
      </c>
      <c r="G136" s="422" t="s">
        <v>844</v>
      </c>
      <c r="H136" s="326" t="s">
        <v>845</v>
      </c>
      <c r="I136" s="366" t="s">
        <v>128</v>
      </c>
      <c r="J136" s="366"/>
      <c r="K136" s="366" t="s">
        <v>128</v>
      </c>
      <c r="L136" s="366" t="s">
        <v>128</v>
      </c>
      <c r="M136" s="366" t="s">
        <v>128</v>
      </c>
      <c r="N136" s="376" t="s">
        <v>846</v>
      </c>
      <c r="O136" s="374" t="s">
        <v>847</v>
      </c>
      <c r="P136" s="373" t="str">
        <f>CONCATENATE(RemovePunctuation(H136),"_CA","_","i4K","_",C136,"_",AE136,"_",PROPER(R136),IF(S136="",PROPER(R136),PROPER(S136)),PROPER(T136),PROPER(U136),PROPER(V136),IF(V136&lt;&gt;"","SUB",""),PROPER(W136),IF(W136&lt;&gt;"","SUB",""),"_","Ed","_","M1",".mpg")</f>
        <v>PoetryandPaintinginChinaRiversFlowThroughtheAges20240706_CA_i4K_0325_43_ZhoZhoZhoSUB_Ed_M1.mpg</v>
      </c>
      <c r="Q136" s="373" t="str">
        <f>CONCATENATE(RemovePunctuation(H136),"_CA","_","i5K","_",C136,"_",AD136,"_",PROPER(R136),IF(S136="",PROPER(R136),PROPER(S136)),PROPER(T136),PROPER(U136),PROPER(V136),IF(V136&lt;&gt;"","SUB",""),PROPER(W136),IF(W136&lt;&gt;"","SUB",""),"_","Ed","_","M4",".mpg")</f>
        <v>PoetryandPaintinginChinaRiversFlowThroughtheAges20240706_CA_i5K_0325_169_ZhoZhoZhoSUB_Ed_M4.mpg</v>
      </c>
      <c r="R136" s="392" t="s">
        <v>136</v>
      </c>
      <c r="S136" s="391"/>
      <c r="T136" s="390"/>
      <c r="U136" s="390"/>
      <c r="V136" s="392" t="s">
        <v>136</v>
      </c>
      <c r="W136" s="392"/>
      <c r="X136" s="340" t="s">
        <v>135</v>
      </c>
      <c r="Y136" s="340" t="s">
        <v>135</v>
      </c>
      <c r="Z136" s="120">
        <f t="shared" si="19"/>
        <v>87</v>
      </c>
      <c r="AA136" s="303" t="str">
        <f t="shared" si="20"/>
        <v>01:27:00</v>
      </c>
      <c r="AB136" s="120">
        <f t="shared" si="21"/>
        <v>5220</v>
      </c>
      <c r="AC136" s="406">
        <v>0.0600694444444444</v>
      </c>
      <c r="AD136" s="407">
        <v>169</v>
      </c>
      <c r="AE136" s="407">
        <v>43</v>
      </c>
      <c r="AF136" s="340" t="s">
        <v>138</v>
      </c>
    </row>
    <row r="137" ht="23.1" customHeight="1" spans="1:32">
      <c r="A137" s="340">
        <v>133</v>
      </c>
      <c r="B137" s="277"/>
      <c r="C137" s="517" t="s">
        <v>124</v>
      </c>
      <c r="D137" s="426"/>
      <c r="E137" s="426"/>
      <c r="F137" s="156">
        <v>6</v>
      </c>
      <c r="G137" s="422" t="s">
        <v>848</v>
      </c>
      <c r="H137" s="326" t="s">
        <v>849</v>
      </c>
      <c r="I137" s="366" t="s">
        <v>128</v>
      </c>
      <c r="J137" s="366" t="s">
        <v>128</v>
      </c>
      <c r="K137" s="366" t="s">
        <v>128</v>
      </c>
      <c r="L137" s="366" t="s">
        <v>128</v>
      </c>
      <c r="M137" s="366" t="s">
        <v>128</v>
      </c>
      <c r="N137" s="376" t="s">
        <v>850</v>
      </c>
      <c r="O137" s="374" t="s">
        <v>851</v>
      </c>
      <c r="P137" s="373" t="str">
        <f>CONCATENATE(RemovePunctuation(H137),"_CA","_","i4K","_",C137,"_",AE137,"_",PROPER(R137),IF(S137="",PROPER(R137),PROPER(S137)),PROPER(T137),PROPER(U137),PROPER(V137),IF(V137&lt;&gt;"","SUB",""),PROPER(W137),IF(W137&lt;&gt;"","SUB",""),"_","Ed","_","M1",".mpg")</f>
        <v>TheColoursofChinaEp05_CA_i4K_0325_43_ZhoZhoEngSUBZhoSUB_Ed_M1.mpg</v>
      </c>
      <c r="Q137" s="373" t="str">
        <f>CONCATENATE(RemovePunctuation(H137),"_CA","_","i5K","_",C137,"_",AD137,"_",PROPER(R137),IF(S137="",PROPER(R137),PROPER(S137)),PROPER(T137),PROPER(U137),PROPER(V137),IF(V137&lt;&gt;"","SUB",""),PROPER(W137),IF(W137&lt;&gt;"","SUB",""),"_","Ed","_","M4",".mpg")</f>
        <v>TheColoursofChinaEp05_CA_i5K_0325_169_ZhoZhoEngSUBZhoSUB_Ed_M4.mpg</v>
      </c>
      <c r="R137" s="392" t="s">
        <v>136</v>
      </c>
      <c r="S137" s="391"/>
      <c r="T137" s="390"/>
      <c r="U137" s="390"/>
      <c r="V137" s="393" t="s">
        <v>137</v>
      </c>
      <c r="W137" s="392" t="s">
        <v>136</v>
      </c>
      <c r="X137" s="340" t="s">
        <v>135</v>
      </c>
      <c r="Y137" s="340" t="s">
        <v>135</v>
      </c>
      <c r="Z137" s="120">
        <f t="shared" si="19"/>
        <v>52</v>
      </c>
      <c r="AA137" s="303" t="str">
        <f t="shared" si="20"/>
        <v>00:52:00</v>
      </c>
      <c r="AB137" s="120">
        <f t="shared" si="21"/>
        <v>3120</v>
      </c>
      <c r="AC137" s="406">
        <v>0.0360300925925926</v>
      </c>
      <c r="AD137" s="407">
        <v>169</v>
      </c>
      <c r="AE137" s="407">
        <v>43</v>
      </c>
      <c r="AF137" s="340" t="s">
        <v>228</v>
      </c>
    </row>
    <row r="138" ht="23.1" customHeight="1" spans="1:32">
      <c r="A138" s="340">
        <v>134</v>
      </c>
      <c r="B138" s="277"/>
      <c r="C138" s="517" t="s">
        <v>124</v>
      </c>
      <c r="D138" s="426"/>
      <c r="E138" s="426"/>
      <c r="F138" s="156">
        <v>7</v>
      </c>
      <c r="G138" s="422" t="s">
        <v>852</v>
      </c>
      <c r="H138" s="326" t="s">
        <v>853</v>
      </c>
      <c r="I138" s="366" t="s">
        <v>128</v>
      </c>
      <c r="J138" s="366" t="s">
        <v>128</v>
      </c>
      <c r="K138" s="366" t="s">
        <v>128</v>
      </c>
      <c r="L138" s="366" t="s">
        <v>128</v>
      </c>
      <c r="M138" s="366" t="s">
        <v>128</v>
      </c>
      <c r="N138" s="376" t="s">
        <v>854</v>
      </c>
      <c r="O138" s="374" t="s">
        <v>855</v>
      </c>
      <c r="P138" s="373" t="str">
        <f>CONCATENATE(RemovePunctuation(H138),"_CA","_","i4K","_",C138,"_",AE138,"_",PROPER(R138),IF(S138="",PROPER(R138),PROPER(S138)),PROPER(T138),PROPER(U138),PROPER(V138),IF(V138&lt;&gt;"","SUB",""),PROPER(W138),IF(W138&lt;&gt;"","SUB",""),"_","Ed","_","M1",".mpg")</f>
        <v>TheColoursofChinaEp04_CA_i4K_0325_43_ZhoZhoEngSUBZhoSUB_Ed_M1.mpg</v>
      </c>
      <c r="Q138" s="373" t="str">
        <f>CONCATENATE(RemovePunctuation(H138),"_CA","_","i5K","_",C138,"_",AD138,"_",PROPER(R138),IF(S138="",PROPER(R138),PROPER(S138)),PROPER(T138),PROPER(U138),PROPER(V138),IF(V138&lt;&gt;"","SUB",""),PROPER(W138),IF(W138&lt;&gt;"","SUB",""),"_","Ed","_","M4",".mpg")</f>
        <v>TheColoursofChinaEp04_CA_i5K_0325_169_ZhoZhoEngSUBZhoSUB_Ed_M4.mpg</v>
      </c>
      <c r="R138" s="392" t="s">
        <v>136</v>
      </c>
      <c r="S138" s="391"/>
      <c r="T138" s="390"/>
      <c r="U138" s="390"/>
      <c r="V138" s="393" t="s">
        <v>137</v>
      </c>
      <c r="W138" s="392" t="s">
        <v>136</v>
      </c>
      <c r="X138" s="340" t="s">
        <v>135</v>
      </c>
      <c r="Y138" s="340" t="s">
        <v>135</v>
      </c>
      <c r="Z138" s="120">
        <f t="shared" si="19"/>
        <v>51</v>
      </c>
      <c r="AA138" s="303" t="str">
        <f t="shared" si="20"/>
        <v>00:51:00</v>
      </c>
      <c r="AB138" s="120">
        <f t="shared" si="21"/>
        <v>3060</v>
      </c>
      <c r="AC138" s="406">
        <v>0.0353240740740741</v>
      </c>
      <c r="AD138" s="407">
        <v>169</v>
      </c>
      <c r="AE138" s="407">
        <v>43</v>
      </c>
      <c r="AF138" s="340" t="s">
        <v>228</v>
      </c>
    </row>
    <row r="139" ht="23.1" customHeight="1" spans="1:32">
      <c r="A139" s="340">
        <v>135</v>
      </c>
      <c r="B139" s="277"/>
      <c r="C139" s="517" t="s">
        <v>124</v>
      </c>
      <c r="D139" s="427"/>
      <c r="E139" s="421" t="s">
        <v>856</v>
      </c>
      <c r="F139" s="156">
        <v>1</v>
      </c>
      <c r="G139" s="354" t="s">
        <v>857</v>
      </c>
      <c r="H139" s="355" t="s">
        <v>858</v>
      </c>
      <c r="I139" s="366" t="s">
        <v>128</v>
      </c>
      <c r="J139" s="366"/>
      <c r="K139" s="366"/>
      <c r="L139" s="366"/>
      <c r="M139" s="430"/>
      <c r="N139" s="376" t="s">
        <v>859</v>
      </c>
      <c r="O139" s="374"/>
      <c r="P139" s="375"/>
      <c r="Q139" s="373"/>
      <c r="R139" s="392" t="s">
        <v>136</v>
      </c>
      <c r="S139" s="391"/>
      <c r="T139" s="390"/>
      <c r="U139" s="390"/>
      <c r="V139" s="392" t="s">
        <v>136</v>
      </c>
      <c r="W139" s="392"/>
      <c r="X139" s="340" t="s">
        <v>135</v>
      </c>
      <c r="Y139" s="340" t="s">
        <v>135</v>
      </c>
      <c r="Z139" s="120">
        <f t="shared" si="19"/>
        <v>3</v>
      </c>
      <c r="AA139" s="303" t="str">
        <f t="shared" si="20"/>
        <v>00:03:00</v>
      </c>
      <c r="AB139" s="120">
        <f t="shared" si="21"/>
        <v>180</v>
      </c>
      <c r="AC139" s="406">
        <v>0.00221064814814815</v>
      </c>
      <c r="AD139" s="407">
        <v>169</v>
      </c>
      <c r="AE139" s="407">
        <v>43</v>
      </c>
      <c r="AF139" s="340" t="s">
        <v>138</v>
      </c>
    </row>
    <row r="140" ht="23.1" customHeight="1" spans="1:32">
      <c r="A140" s="340">
        <v>136</v>
      </c>
      <c r="B140" s="277"/>
      <c r="C140" s="517" t="s">
        <v>124</v>
      </c>
      <c r="D140" s="427" t="s">
        <v>860</v>
      </c>
      <c r="E140" s="421"/>
      <c r="F140" s="156">
        <v>2</v>
      </c>
      <c r="G140" s="354" t="s">
        <v>861</v>
      </c>
      <c r="H140" s="355" t="s">
        <v>862</v>
      </c>
      <c r="I140" s="366" t="s">
        <v>128</v>
      </c>
      <c r="J140" s="366"/>
      <c r="K140" s="366"/>
      <c r="L140" s="366"/>
      <c r="M140" s="430"/>
      <c r="N140" s="376" t="s">
        <v>863</v>
      </c>
      <c r="O140" s="374"/>
      <c r="P140" s="375"/>
      <c r="Q140" s="373"/>
      <c r="R140" s="392" t="s">
        <v>136</v>
      </c>
      <c r="S140" s="391"/>
      <c r="T140" s="390"/>
      <c r="U140" s="390"/>
      <c r="V140" s="392" t="s">
        <v>136</v>
      </c>
      <c r="W140" s="392"/>
      <c r="X140" s="340" t="s">
        <v>135</v>
      </c>
      <c r="Y140" s="340" t="s">
        <v>135</v>
      </c>
      <c r="Z140" s="120">
        <f t="shared" ref="Z140:Z160" si="22">ROUNDUP(HOUR(AA140)*60+MINUTE(AA140)+SECOND(AA140)/60,0)</f>
        <v>3</v>
      </c>
      <c r="AA140" s="303" t="str">
        <f t="shared" ref="AA140:AA160" si="23">TEXT((HOUR(AC140)*60+MINUTE(AC140)+IF(SECOND(AC140)&lt;=29,0,1))*60/86400,"hh:mm:ss")</f>
        <v>00:03:00</v>
      </c>
      <c r="AB140" s="120">
        <f t="shared" ref="AB140:AB160" si="24">Z140*60</f>
        <v>180</v>
      </c>
      <c r="AC140" s="406">
        <v>0.00195601851851852</v>
      </c>
      <c r="AD140" s="407">
        <v>169</v>
      </c>
      <c r="AE140" s="407">
        <v>43</v>
      </c>
      <c r="AF140" s="340"/>
    </row>
    <row r="141" ht="23.1" customHeight="1" spans="1:32">
      <c r="A141" s="340">
        <v>137</v>
      </c>
      <c r="B141" s="277"/>
      <c r="C141" s="517" t="s">
        <v>124</v>
      </c>
      <c r="D141" s="427"/>
      <c r="E141" s="421"/>
      <c r="F141" s="156">
        <v>3</v>
      </c>
      <c r="G141" s="354" t="s">
        <v>864</v>
      </c>
      <c r="H141" s="355" t="s">
        <v>865</v>
      </c>
      <c r="I141" s="366" t="s">
        <v>128</v>
      </c>
      <c r="J141" s="366"/>
      <c r="K141" s="366"/>
      <c r="L141" s="366"/>
      <c r="M141" s="430"/>
      <c r="N141" s="376" t="s">
        <v>866</v>
      </c>
      <c r="O141" s="374"/>
      <c r="P141" s="375"/>
      <c r="Q141" s="373"/>
      <c r="R141" s="392" t="s">
        <v>136</v>
      </c>
      <c r="S141" s="391"/>
      <c r="T141" s="390"/>
      <c r="U141" s="390"/>
      <c r="V141" s="392" t="s">
        <v>136</v>
      </c>
      <c r="W141" s="392"/>
      <c r="X141" s="340" t="s">
        <v>135</v>
      </c>
      <c r="Y141" s="340" t="s">
        <v>135</v>
      </c>
      <c r="Z141" s="120">
        <f t="shared" si="22"/>
        <v>6</v>
      </c>
      <c r="AA141" s="303" t="str">
        <f t="shared" si="23"/>
        <v>00:06:00</v>
      </c>
      <c r="AB141" s="120">
        <f t="shared" si="24"/>
        <v>360</v>
      </c>
      <c r="AC141" s="406">
        <v>0.00393518518518518</v>
      </c>
      <c r="AD141" s="407">
        <v>169</v>
      </c>
      <c r="AE141" s="407">
        <v>43</v>
      </c>
      <c r="AF141" s="340"/>
    </row>
    <row r="142" ht="23.1" customHeight="1" spans="1:32">
      <c r="A142" s="340">
        <v>138</v>
      </c>
      <c r="B142" s="277"/>
      <c r="C142" s="517" t="s">
        <v>124</v>
      </c>
      <c r="D142" s="427"/>
      <c r="E142" s="421"/>
      <c r="F142" s="156">
        <v>4</v>
      </c>
      <c r="G142" s="354" t="s">
        <v>867</v>
      </c>
      <c r="H142" s="355" t="s">
        <v>868</v>
      </c>
      <c r="I142" s="366" t="s">
        <v>128</v>
      </c>
      <c r="J142" s="366"/>
      <c r="K142" s="366"/>
      <c r="L142" s="366"/>
      <c r="M142" s="430"/>
      <c r="N142" s="376" t="s">
        <v>869</v>
      </c>
      <c r="O142" s="374"/>
      <c r="P142" s="375"/>
      <c r="Q142" s="373"/>
      <c r="R142" s="392" t="s">
        <v>262</v>
      </c>
      <c r="S142" s="391"/>
      <c r="T142" s="390"/>
      <c r="U142" s="390"/>
      <c r="V142" s="392" t="s">
        <v>136</v>
      </c>
      <c r="W142" s="392"/>
      <c r="X142" s="340" t="s">
        <v>135</v>
      </c>
      <c r="Y142" s="340" t="s">
        <v>135</v>
      </c>
      <c r="Z142" s="120">
        <f t="shared" si="22"/>
        <v>3</v>
      </c>
      <c r="AA142" s="406" t="str">
        <f t="shared" si="23"/>
        <v>00:03:00</v>
      </c>
      <c r="AB142" s="120">
        <f t="shared" si="24"/>
        <v>180</v>
      </c>
      <c r="AC142" s="406">
        <v>0.00225694444444444</v>
      </c>
      <c r="AD142" s="407">
        <v>169</v>
      </c>
      <c r="AE142" s="407">
        <v>43</v>
      </c>
      <c r="AF142" s="340"/>
    </row>
    <row r="143" ht="23.1" customHeight="1" spans="1:32">
      <c r="A143" s="340">
        <v>139</v>
      </c>
      <c r="B143" s="277"/>
      <c r="C143" s="517" t="s">
        <v>124</v>
      </c>
      <c r="D143" s="427"/>
      <c r="E143" s="421"/>
      <c r="F143" s="156">
        <v>5</v>
      </c>
      <c r="G143" s="354" t="s">
        <v>870</v>
      </c>
      <c r="H143" s="355" t="s">
        <v>871</v>
      </c>
      <c r="I143" s="366" t="s">
        <v>128</v>
      </c>
      <c r="J143" s="366"/>
      <c r="K143" s="366"/>
      <c r="L143" s="366"/>
      <c r="M143" s="430"/>
      <c r="N143" s="376" t="s">
        <v>872</v>
      </c>
      <c r="O143" s="374"/>
      <c r="P143" s="375"/>
      <c r="Q143" s="375"/>
      <c r="R143" s="392" t="s">
        <v>136</v>
      </c>
      <c r="S143" s="391"/>
      <c r="T143" s="390"/>
      <c r="U143" s="390"/>
      <c r="V143" s="392" t="s">
        <v>136</v>
      </c>
      <c r="W143" s="392"/>
      <c r="X143" s="340" t="s">
        <v>135</v>
      </c>
      <c r="Y143" s="340" t="s">
        <v>135</v>
      </c>
      <c r="Z143" s="120">
        <f t="shared" si="22"/>
        <v>3</v>
      </c>
      <c r="AA143" s="406" t="str">
        <f t="shared" si="23"/>
        <v>00:03:00</v>
      </c>
      <c r="AB143" s="120">
        <f t="shared" si="24"/>
        <v>180</v>
      </c>
      <c r="AC143" s="406">
        <v>0.00238425925925926</v>
      </c>
      <c r="AD143" s="407">
        <v>169</v>
      </c>
      <c r="AE143" s="407">
        <v>43</v>
      </c>
      <c r="AF143" s="408"/>
    </row>
    <row r="144" ht="23.1" customHeight="1" spans="1:32">
      <c r="A144" s="340">
        <v>140</v>
      </c>
      <c r="B144" s="277"/>
      <c r="C144" s="517" t="s">
        <v>124</v>
      </c>
      <c r="D144" s="427"/>
      <c r="E144" s="421"/>
      <c r="F144" s="156">
        <v>6</v>
      </c>
      <c r="G144" s="354" t="s">
        <v>873</v>
      </c>
      <c r="H144" s="355" t="s">
        <v>874</v>
      </c>
      <c r="I144" s="366" t="s">
        <v>128</v>
      </c>
      <c r="J144" s="366"/>
      <c r="K144" s="366"/>
      <c r="L144" s="366"/>
      <c r="M144" s="430"/>
      <c r="N144" s="376" t="s">
        <v>875</v>
      </c>
      <c r="O144" s="374"/>
      <c r="P144" s="375"/>
      <c r="Q144" s="373"/>
      <c r="R144" s="392" t="s">
        <v>136</v>
      </c>
      <c r="S144" s="391"/>
      <c r="T144" s="390"/>
      <c r="U144" s="390"/>
      <c r="V144" s="392" t="s">
        <v>136</v>
      </c>
      <c r="W144" s="393"/>
      <c r="X144" s="340" t="s">
        <v>135</v>
      </c>
      <c r="Y144" s="340" t="s">
        <v>135</v>
      </c>
      <c r="Z144" s="120">
        <f t="shared" si="22"/>
        <v>4</v>
      </c>
      <c r="AA144" s="406" t="str">
        <f t="shared" si="23"/>
        <v>00:04:00</v>
      </c>
      <c r="AB144" s="120">
        <f t="shared" si="24"/>
        <v>240</v>
      </c>
      <c r="AC144" s="406">
        <v>0.00244212962962963</v>
      </c>
      <c r="AD144" s="407">
        <v>169</v>
      </c>
      <c r="AE144" s="407">
        <v>43</v>
      </c>
      <c r="AF144" s="340"/>
    </row>
    <row r="145" ht="23.1" customHeight="1" spans="1:32">
      <c r="A145" s="340">
        <v>141</v>
      </c>
      <c r="B145" s="277"/>
      <c r="C145" s="517" t="s">
        <v>124</v>
      </c>
      <c r="D145" s="427"/>
      <c r="E145" s="421"/>
      <c r="F145" s="156">
        <v>7</v>
      </c>
      <c r="G145" s="354" t="s">
        <v>876</v>
      </c>
      <c r="H145" s="355" t="s">
        <v>877</v>
      </c>
      <c r="I145" s="366" t="s">
        <v>128</v>
      </c>
      <c r="J145" s="366"/>
      <c r="K145" s="366"/>
      <c r="L145" s="366"/>
      <c r="M145" s="430"/>
      <c r="N145" s="376" t="s">
        <v>878</v>
      </c>
      <c r="O145" s="374"/>
      <c r="P145" s="375"/>
      <c r="Q145" s="373"/>
      <c r="R145" s="392" t="s">
        <v>136</v>
      </c>
      <c r="S145" s="391"/>
      <c r="T145" s="390"/>
      <c r="U145" s="390"/>
      <c r="V145" s="392" t="s">
        <v>136</v>
      </c>
      <c r="W145" s="392"/>
      <c r="X145" s="340" t="s">
        <v>135</v>
      </c>
      <c r="Y145" s="340" t="s">
        <v>135</v>
      </c>
      <c r="Z145" s="120">
        <f t="shared" si="22"/>
        <v>3</v>
      </c>
      <c r="AA145" s="406" t="str">
        <f t="shared" si="23"/>
        <v>00:03:00</v>
      </c>
      <c r="AB145" s="120">
        <f t="shared" si="24"/>
        <v>180</v>
      </c>
      <c r="AC145" s="406">
        <v>0.00225694444444444</v>
      </c>
      <c r="AD145" s="407">
        <v>169</v>
      </c>
      <c r="AE145" s="407">
        <v>43</v>
      </c>
      <c r="AF145" s="340"/>
    </row>
    <row r="146" ht="23.1" customHeight="1" spans="1:32">
      <c r="A146" s="340">
        <v>142</v>
      </c>
      <c r="B146" s="277"/>
      <c r="C146" s="517" t="s">
        <v>124</v>
      </c>
      <c r="D146" s="427"/>
      <c r="E146" s="421"/>
      <c r="F146" s="156">
        <v>8</v>
      </c>
      <c r="G146" s="354" t="s">
        <v>879</v>
      </c>
      <c r="H146" s="355" t="s">
        <v>880</v>
      </c>
      <c r="I146" s="366" t="s">
        <v>128</v>
      </c>
      <c r="J146" s="366"/>
      <c r="K146" s="366"/>
      <c r="L146" s="366"/>
      <c r="M146" s="430"/>
      <c r="N146" s="376" t="s">
        <v>881</v>
      </c>
      <c r="O146" s="374"/>
      <c r="P146" s="375"/>
      <c r="Q146" s="373"/>
      <c r="R146" s="392" t="s">
        <v>136</v>
      </c>
      <c r="S146" s="391"/>
      <c r="T146" s="390"/>
      <c r="U146" s="390"/>
      <c r="V146" s="392" t="s">
        <v>136</v>
      </c>
      <c r="W146" s="392"/>
      <c r="X146" s="340" t="s">
        <v>135</v>
      </c>
      <c r="Y146" s="340" t="s">
        <v>135</v>
      </c>
      <c r="Z146" s="120">
        <f t="shared" si="22"/>
        <v>4</v>
      </c>
      <c r="AA146" s="406" t="str">
        <f t="shared" si="23"/>
        <v>00:04:00</v>
      </c>
      <c r="AB146" s="120">
        <f t="shared" si="24"/>
        <v>240</v>
      </c>
      <c r="AC146" s="406">
        <v>0.00255787037037037</v>
      </c>
      <c r="AD146" s="407">
        <v>169</v>
      </c>
      <c r="AE146" s="407">
        <v>43</v>
      </c>
      <c r="AF146" s="340"/>
    </row>
    <row r="147" ht="23.1" customHeight="1" spans="1:32">
      <c r="A147" s="340">
        <v>143</v>
      </c>
      <c r="B147" s="277"/>
      <c r="C147" s="517" t="s">
        <v>124</v>
      </c>
      <c r="D147" s="427"/>
      <c r="E147" s="421"/>
      <c r="F147" s="156">
        <v>9</v>
      </c>
      <c r="G147" s="354" t="s">
        <v>882</v>
      </c>
      <c r="H147" s="355" t="s">
        <v>883</v>
      </c>
      <c r="I147" s="366" t="s">
        <v>128</v>
      </c>
      <c r="J147" s="366"/>
      <c r="K147" s="366"/>
      <c r="L147" s="366"/>
      <c r="M147" s="430"/>
      <c r="N147" s="376" t="s">
        <v>884</v>
      </c>
      <c r="O147" s="374"/>
      <c r="P147" s="375"/>
      <c r="Q147" s="373"/>
      <c r="R147" s="392" t="s">
        <v>136</v>
      </c>
      <c r="S147" s="391"/>
      <c r="T147" s="390"/>
      <c r="U147" s="390"/>
      <c r="V147" s="392" t="s">
        <v>136</v>
      </c>
      <c r="W147" s="392"/>
      <c r="X147" s="340" t="s">
        <v>135</v>
      </c>
      <c r="Y147" s="340" t="s">
        <v>135</v>
      </c>
      <c r="Z147" s="120">
        <f t="shared" si="22"/>
        <v>3</v>
      </c>
      <c r="AA147" s="406" t="str">
        <f t="shared" si="23"/>
        <v>00:03:00</v>
      </c>
      <c r="AB147" s="120">
        <f t="shared" si="24"/>
        <v>180</v>
      </c>
      <c r="AC147" s="406">
        <v>0.00230324074074074</v>
      </c>
      <c r="AD147" s="407">
        <v>169</v>
      </c>
      <c r="AE147" s="407">
        <v>43</v>
      </c>
      <c r="AF147" s="340"/>
    </row>
    <row r="148" ht="23.1" customHeight="1" spans="1:32">
      <c r="A148" s="340">
        <v>144</v>
      </c>
      <c r="B148" s="277"/>
      <c r="C148" s="517" t="s">
        <v>124</v>
      </c>
      <c r="D148" s="427"/>
      <c r="E148" s="421"/>
      <c r="F148" s="156">
        <v>10</v>
      </c>
      <c r="G148" s="354" t="s">
        <v>885</v>
      </c>
      <c r="H148" s="355" t="s">
        <v>886</v>
      </c>
      <c r="I148" s="366" t="s">
        <v>128</v>
      </c>
      <c r="J148" s="366"/>
      <c r="K148" s="366"/>
      <c r="L148" s="366"/>
      <c r="M148" s="430"/>
      <c r="N148" s="376" t="s">
        <v>887</v>
      </c>
      <c r="O148" s="374"/>
      <c r="P148" s="375"/>
      <c r="Q148" s="373"/>
      <c r="R148" s="392" t="s">
        <v>136</v>
      </c>
      <c r="S148" s="391"/>
      <c r="T148" s="390"/>
      <c r="U148" s="390"/>
      <c r="V148" s="392" t="s">
        <v>136</v>
      </c>
      <c r="W148" s="392"/>
      <c r="X148" s="340" t="s">
        <v>135</v>
      </c>
      <c r="Y148" s="340" t="s">
        <v>135</v>
      </c>
      <c r="Z148" s="120">
        <f t="shared" si="22"/>
        <v>5</v>
      </c>
      <c r="AA148" s="303" t="str">
        <f t="shared" si="23"/>
        <v>00:05:00</v>
      </c>
      <c r="AB148" s="120">
        <f t="shared" si="24"/>
        <v>300</v>
      </c>
      <c r="AC148" s="406">
        <v>0.00341435185185185</v>
      </c>
      <c r="AD148" s="407">
        <v>169</v>
      </c>
      <c r="AE148" s="407">
        <v>43</v>
      </c>
      <c r="AF148" s="340"/>
    </row>
    <row r="149" ht="23.1" customHeight="1" spans="1:32">
      <c r="A149" s="340">
        <v>145</v>
      </c>
      <c r="B149" s="277"/>
      <c r="C149" s="517" t="s">
        <v>124</v>
      </c>
      <c r="D149" s="427"/>
      <c r="E149" s="421"/>
      <c r="F149" s="156">
        <v>11</v>
      </c>
      <c r="G149" s="354" t="s">
        <v>888</v>
      </c>
      <c r="H149" s="355" t="s">
        <v>889</v>
      </c>
      <c r="I149" s="366" t="s">
        <v>128</v>
      </c>
      <c r="J149" s="366"/>
      <c r="K149" s="366"/>
      <c r="L149" s="366"/>
      <c r="M149" s="430"/>
      <c r="N149" s="376" t="s">
        <v>890</v>
      </c>
      <c r="O149" s="374"/>
      <c r="P149" s="375"/>
      <c r="Q149" s="373"/>
      <c r="R149" s="392" t="s">
        <v>136</v>
      </c>
      <c r="S149" s="391"/>
      <c r="T149" s="390"/>
      <c r="U149" s="390"/>
      <c r="V149" s="392" t="s">
        <v>136</v>
      </c>
      <c r="W149" s="392"/>
      <c r="X149" s="340" t="s">
        <v>135</v>
      </c>
      <c r="Y149" s="340" t="s">
        <v>135</v>
      </c>
      <c r="Z149" s="120">
        <f t="shared" si="22"/>
        <v>3</v>
      </c>
      <c r="AA149" s="303" t="str">
        <f t="shared" si="23"/>
        <v>00:03:00</v>
      </c>
      <c r="AB149" s="120">
        <f t="shared" si="24"/>
        <v>180</v>
      </c>
      <c r="AC149" s="406">
        <v>0.00224537037037037</v>
      </c>
      <c r="AD149" s="407">
        <v>169</v>
      </c>
      <c r="AE149" s="407">
        <v>43</v>
      </c>
      <c r="AF149" s="340"/>
    </row>
    <row r="150" ht="23.1" customHeight="1" spans="1:32">
      <c r="A150" s="340">
        <v>146</v>
      </c>
      <c r="B150" s="277"/>
      <c r="C150" s="517" t="s">
        <v>124</v>
      </c>
      <c r="D150" s="427"/>
      <c r="E150" s="421"/>
      <c r="F150" s="156">
        <v>12</v>
      </c>
      <c r="G150" s="354" t="s">
        <v>891</v>
      </c>
      <c r="H150" s="355" t="s">
        <v>892</v>
      </c>
      <c r="I150" s="366" t="s">
        <v>128</v>
      </c>
      <c r="J150" s="366"/>
      <c r="K150" s="366"/>
      <c r="L150" s="366"/>
      <c r="M150" s="430"/>
      <c r="N150" s="376" t="s">
        <v>893</v>
      </c>
      <c r="O150" s="374"/>
      <c r="P150" s="375"/>
      <c r="Q150" s="373"/>
      <c r="R150" s="392" t="s">
        <v>136</v>
      </c>
      <c r="S150" s="391"/>
      <c r="T150" s="390"/>
      <c r="U150" s="390"/>
      <c r="V150" s="392" t="s">
        <v>136</v>
      </c>
      <c r="W150" s="392"/>
      <c r="X150" s="340" t="s">
        <v>135</v>
      </c>
      <c r="Y150" s="340" t="s">
        <v>135</v>
      </c>
      <c r="Z150" s="120">
        <f t="shared" si="22"/>
        <v>4</v>
      </c>
      <c r="AA150" s="303" t="str">
        <f t="shared" si="23"/>
        <v>00:04:00</v>
      </c>
      <c r="AB150" s="120">
        <f t="shared" si="24"/>
        <v>240</v>
      </c>
      <c r="AC150" s="406">
        <v>0.00284722222222222</v>
      </c>
      <c r="AD150" s="407">
        <v>169</v>
      </c>
      <c r="AE150" s="407">
        <v>43</v>
      </c>
      <c r="AF150" s="340"/>
    </row>
    <row r="151" ht="23.1" customHeight="1" spans="1:32">
      <c r="A151" s="340">
        <v>147</v>
      </c>
      <c r="B151" s="277"/>
      <c r="C151" s="517" t="s">
        <v>124</v>
      </c>
      <c r="D151" s="427"/>
      <c r="E151" s="421"/>
      <c r="F151" s="156">
        <v>13</v>
      </c>
      <c r="G151" s="354" t="s">
        <v>894</v>
      </c>
      <c r="H151" s="355" t="s">
        <v>895</v>
      </c>
      <c r="I151" s="366" t="s">
        <v>128</v>
      </c>
      <c r="J151" s="366"/>
      <c r="K151" s="366"/>
      <c r="L151" s="366"/>
      <c r="M151" s="430"/>
      <c r="N151" s="376" t="s">
        <v>896</v>
      </c>
      <c r="O151" s="374"/>
      <c r="P151" s="375"/>
      <c r="Q151" s="373"/>
      <c r="R151" s="392" t="s">
        <v>136</v>
      </c>
      <c r="S151" s="391"/>
      <c r="T151" s="390"/>
      <c r="U151" s="390"/>
      <c r="V151" s="392"/>
      <c r="W151" s="392"/>
      <c r="X151" s="340" t="s">
        <v>135</v>
      </c>
      <c r="Y151" s="340" t="s">
        <v>135</v>
      </c>
      <c r="Z151" s="120">
        <f t="shared" si="22"/>
        <v>4</v>
      </c>
      <c r="AA151" s="303" t="str">
        <f t="shared" si="23"/>
        <v>00:04:00</v>
      </c>
      <c r="AB151" s="120">
        <f t="shared" si="24"/>
        <v>240</v>
      </c>
      <c r="AC151" s="406">
        <v>0.00262731481481481</v>
      </c>
      <c r="AD151" s="407">
        <v>169</v>
      </c>
      <c r="AE151" s="407">
        <v>43</v>
      </c>
      <c r="AF151" s="340"/>
    </row>
    <row r="152" ht="23.1" customHeight="1" spans="1:32">
      <c r="A152" s="340">
        <v>148</v>
      </c>
      <c r="B152" s="277"/>
      <c r="C152" s="517" t="s">
        <v>124</v>
      </c>
      <c r="D152" s="427"/>
      <c r="E152" s="421"/>
      <c r="F152" s="156">
        <v>14</v>
      </c>
      <c r="G152" s="354" t="s">
        <v>897</v>
      </c>
      <c r="H152" s="355" t="s">
        <v>898</v>
      </c>
      <c r="I152" s="366" t="s">
        <v>128</v>
      </c>
      <c r="J152" s="366"/>
      <c r="K152" s="366"/>
      <c r="L152" s="366"/>
      <c r="M152" s="430"/>
      <c r="N152" s="376" t="s">
        <v>899</v>
      </c>
      <c r="O152" s="374"/>
      <c r="P152" s="375"/>
      <c r="Q152" s="373"/>
      <c r="R152" s="392" t="s">
        <v>136</v>
      </c>
      <c r="S152" s="391"/>
      <c r="T152" s="390"/>
      <c r="U152" s="390"/>
      <c r="V152" s="392" t="s">
        <v>136</v>
      </c>
      <c r="W152" s="392"/>
      <c r="X152" s="340" t="s">
        <v>135</v>
      </c>
      <c r="Y152" s="340" t="s">
        <v>135</v>
      </c>
      <c r="Z152" s="120">
        <f t="shared" si="22"/>
        <v>5</v>
      </c>
      <c r="AA152" s="303" t="str">
        <f t="shared" si="23"/>
        <v>00:05:00</v>
      </c>
      <c r="AB152" s="120">
        <f t="shared" si="24"/>
        <v>300</v>
      </c>
      <c r="AC152" s="406">
        <v>0.00336805555555556</v>
      </c>
      <c r="AD152" s="407">
        <v>169</v>
      </c>
      <c r="AE152" s="407">
        <v>43</v>
      </c>
      <c r="AF152" s="340"/>
    </row>
    <row r="153" ht="23.1" customHeight="1" spans="1:32">
      <c r="A153" s="340">
        <v>149</v>
      </c>
      <c r="B153" s="277"/>
      <c r="C153" s="517" t="s">
        <v>124</v>
      </c>
      <c r="D153" s="427"/>
      <c r="E153" s="421"/>
      <c r="F153" s="156">
        <v>15</v>
      </c>
      <c r="G153" s="354" t="s">
        <v>900</v>
      </c>
      <c r="H153" s="355" t="s">
        <v>901</v>
      </c>
      <c r="I153" s="366" t="s">
        <v>128</v>
      </c>
      <c r="J153" s="366"/>
      <c r="K153" s="366"/>
      <c r="L153" s="366"/>
      <c r="M153" s="430"/>
      <c r="N153" s="376" t="s">
        <v>902</v>
      </c>
      <c r="O153" s="374"/>
      <c r="P153" s="375"/>
      <c r="Q153" s="373"/>
      <c r="R153" s="392" t="s">
        <v>136</v>
      </c>
      <c r="S153" s="391"/>
      <c r="T153" s="390"/>
      <c r="U153" s="390"/>
      <c r="V153" s="392" t="s">
        <v>136</v>
      </c>
      <c r="W153" s="392"/>
      <c r="X153" s="340" t="s">
        <v>135</v>
      </c>
      <c r="Y153" s="340" t="s">
        <v>135</v>
      </c>
      <c r="Z153" s="120">
        <f t="shared" si="22"/>
        <v>4</v>
      </c>
      <c r="AA153" s="303" t="str">
        <f t="shared" si="23"/>
        <v>00:04:00</v>
      </c>
      <c r="AB153" s="120">
        <f t="shared" si="24"/>
        <v>240</v>
      </c>
      <c r="AC153" s="406">
        <v>0.00247685185185185</v>
      </c>
      <c r="AD153" s="407">
        <v>169</v>
      </c>
      <c r="AE153" s="407">
        <v>43</v>
      </c>
      <c r="AF153" s="340"/>
    </row>
    <row r="154" ht="23.1" customHeight="1" spans="1:32">
      <c r="A154" s="340">
        <v>150</v>
      </c>
      <c r="B154" s="277"/>
      <c r="C154" s="517" t="s">
        <v>124</v>
      </c>
      <c r="D154" s="427"/>
      <c r="E154" s="421"/>
      <c r="F154" s="156">
        <v>16</v>
      </c>
      <c r="G154" s="354" t="s">
        <v>903</v>
      </c>
      <c r="H154" s="355" t="s">
        <v>904</v>
      </c>
      <c r="I154" s="366" t="s">
        <v>128</v>
      </c>
      <c r="J154" s="366"/>
      <c r="K154" s="366"/>
      <c r="L154" s="366"/>
      <c r="M154" s="430"/>
      <c r="N154" s="376" t="s">
        <v>905</v>
      </c>
      <c r="O154" s="374"/>
      <c r="P154" s="375"/>
      <c r="Q154" s="373"/>
      <c r="R154" s="392" t="s">
        <v>136</v>
      </c>
      <c r="S154" s="391"/>
      <c r="T154" s="390"/>
      <c r="U154" s="390"/>
      <c r="V154" s="392"/>
      <c r="W154" s="392"/>
      <c r="X154" s="340" t="s">
        <v>135</v>
      </c>
      <c r="Y154" s="340" t="s">
        <v>135</v>
      </c>
      <c r="Z154" s="120">
        <f t="shared" si="22"/>
        <v>14</v>
      </c>
      <c r="AA154" s="303" t="str">
        <f t="shared" si="23"/>
        <v>00:14:00</v>
      </c>
      <c r="AB154" s="120">
        <f t="shared" si="24"/>
        <v>840</v>
      </c>
      <c r="AC154" s="406">
        <v>0.00960648148148148</v>
      </c>
      <c r="AD154" s="407">
        <v>169</v>
      </c>
      <c r="AE154" s="407">
        <v>43</v>
      </c>
      <c r="AF154" s="340"/>
    </row>
    <row r="155" ht="23.1" customHeight="1" spans="1:32">
      <c r="A155" s="340">
        <v>151</v>
      </c>
      <c r="B155" s="277"/>
      <c r="C155" s="517" t="s">
        <v>124</v>
      </c>
      <c r="D155" s="427"/>
      <c r="E155" s="426" t="s">
        <v>906</v>
      </c>
      <c r="F155" s="156">
        <v>1</v>
      </c>
      <c r="G155" s="354" t="s">
        <v>907</v>
      </c>
      <c r="H155" s="355" t="s">
        <v>908</v>
      </c>
      <c r="I155" s="366" t="s">
        <v>128</v>
      </c>
      <c r="J155" s="366"/>
      <c r="K155" s="366"/>
      <c r="L155" s="366"/>
      <c r="M155" s="430"/>
      <c r="N155" s="376" t="s">
        <v>909</v>
      </c>
      <c r="O155" s="374"/>
      <c r="P155" s="375"/>
      <c r="Q155" s="373"/>
      <c r="R155" s="392" t="s">
        <v>136</v>
      </c>
      <c r="S155" s="391"/>
      <c r="T155" s="390"/>
      <c r="U155" s="390"/>
      <c r="V155" s="392" t="s">
        <v>136</v>
      </c>
      <c r="W155" s="392"/>
      <c r="X155" s="340" t="s">
        <v>135</v>
      </c>
      <c r="Y155" s="340" t="s">
        <v>135</v>
      </c>
      <c r="Z155" s="120">
        <f t="shared" ref="Z155:Z164" si="25">ROUNDUP(HOUR(AA155)*60+MINUTE(AA155)+SECOND(AA155)/60,0)</f>
        <v>1</v>
      </c>
      <c r="AA155" s="303" t="str">
        <f t="shared" ref="AA155:AA164" si="26">TEXT((HOUR(AC155)*60+MINUTE(AC155)+IF(SECOND(AC155)&lt;=29,0,1))*60/86400,"hh:mm:ss")</f>
        <v>00:01:00</v>
      </c>
      <c r="AB155" s="120">
        <f t="shared" ref="AB155:AB164" si="27">Z155*60</f>
        <v>60</v>
      </c>
      <c r="AC155" s="406">
        <v>0.000960648148148148</v>
      </c>
      <c r="AD155" s="407">
        <v>169</v>
      </c>
      <c r="AE155" s="407">
        <v>43</v>
      </c>
      <c r="AF155" s="340" t="s">
        <v>138</v>
      </c>
    </row>
    <row r="156" ht="23.1" customHeight="1" spans="1:32">
      <c r="A156" s="340">
        <v>152</v>
      </c>
      <c r="B156" s="277"/>
      <c r="C156" s="517" t="s">
        <v>124</v>
      </c>
      <c r="D156" s="427"/>
      <c r="E156" s="426"/>
      <c r="F156" s="156">
        <v>2</v>
      </c>
      <c r="G156" s="354" t="s">
        <v>910</v>
      </c>
      <c r="H156" s="355" t="s">
        <v>911</v>
      </c>
      <c r="I156" s="366" t="s">
        <v>128</v>
      </c>
      <c r="J156" s="366"/>
      <c r="K156" s="366"/>
      <c r="L156" s="366"/>
      <c r="M156" s="430"/>
      <c r="N156" s="376" t="s">
        <v>912</v>
      </c>
      <c r="O156" s="374"/>
      <c r="P156" s="375"/>
      <c r="Q156" s="373"/>
      <c r="R156" s="392" t="s">
        <v>136</v>
      </c>
      <c r="S156" s="391"/>
      <c r="T156" s="390"/>
      <c r="U156" s="390"/>
      <c r="V156" s="392" t="s">
        <v>136</v>
      </c>
      <c r="W156" s="392"/>
      <c r="X156" s="340" t="s">
        <v>135</v>
      </c>
      <c r="Y156" s="340" t="s">
        <v>135</v>
      </c>
      <c r="Z156" s="120">
        <f t="shared" si="25"/>
        <v>3</v>
      </c>
      <c r="AA156" s="303" t="str">
        <f t="shared" si="26"/>
        <v>00:03:00</v>
      </c>
      <c r="AB156" s="120">
        <f t="shared" si="27"/>
        <v>180</v>
      </c>
      <c r="AC156" s="406">
        <v>0.00181712962962963</v>
      </c>
      <c r="AD156" s="407">
        <v>169</v>
      </c>
      <c r="AE156" s="407">
        <v>43</v>
      </c>
      <c r="AF156" s="340"/>
    </row>
    <row r="157" ht="23.1" customHeight="1" spans="1:32">
      <c r="A157" s="340">
        <v>153</v>
      </c>
      <c r="B157" s="277"/>
      <c r="C157" s="517" t="s">
        <v>124</v>
      </c>
      <c r="D157" s="427"/>
      <c r="E157" s="426"/>
      <c r="F157" s="156">
        <v>3</v>
      </c>
      <c r="G157" s="354" t="s">
        <v>913</v>
      </c>
      <c r="H157" s="355" t="s">
        <v>914</v>
      </c>
      <c r="I157" s="366" t="s">
        <v>128</v>
      </c>
      <c r="J157" s="366"/>
      <c r="K157" s="366"/>
      <c r="L157" s="366"/>
      <c r="M157" s="430"/>
      <c r="N157" s="376" t="s">
        <v>915</v>
      </c>
      <c r="O157" s="374"/>
      <c r="P157" s="375"/>
      <c r="Q157" s="373"/>
      <c r="R157" s="392" t="s">
        <v>136</v>
      </c>
      <c r="S157" s="391"/>
      <c r="T157" s="390"/>
      <c r="U157" s="390"/>
      <c r="V157" s="392" t="s">
        <v>136</v>
      </c>
      <c r="W157" s="392"/>
      <c r="X157" s="340" t="s">
        <v>135</v>
      </c>
      <c r="Y157" s="340" t="s">
        <v>135</v>
      </c>
      <c r="Z157" s="120">
        <f t="shared" si="25"/>
        <v>1</v>
      </c>
      <c r="AA157" s="303" t="str">
        <f t="shared" si="26"/>
        <v>00:01:00</v>
      </c>
      <c r="AB157" s="120">
        <f t="shared" si="27"/>
        <v>60</v>
      </c>
      <c r="AC157" s="406">
        <v>0.000891203703703704</v>
      </c>
      <c r="AD157" s="407">
        <v>169</v>
      </c>
      <c r="AE157" s="407">
        <v>43</v>
      </c>
      <c r="AF157" s="340"/>
    </row>
    <row r="158" ht="23.1" customHeight="1" spans="1:32">
      <c r="A158" s="340">
        <v>154</v>
      </c>
      <c r="B158" s="277"/>
      <c r="C158" s="517" t="s">
        <v>124</v>
      </c>
      <c r="D158" s="427"/>
      <c r="E158" s="426"/>
      <c r="F158" s="156">
        <v>4</v>
      </c>
      <c r="G158" s="354" t="s">
        <v>916</v>
      </c>
      <c r="H158" s="355" t="s">
        <v>917</v>
      </c>
      <c r="I158" s="366" t="s">
        <v>128</v>
      </c>
      <c r="J158" s="366"/>
      <c r="K158" s="366"/>
      <c r="L158" s="366"/>
      <c r="M158" s="430"/>
      <c r="N158" s="376" t="s">
        <v>918</v>
      </c>
      <c r="O158" s="374"/>
      <c r="P158" s="375"/>
      <c r="Q158" s="373"/>
      <c r="R158" s="392" t="s">
        <v>136</v>
      </c>
      <c r="S158" s="391"/>
      <c r="T158" s="390"/>
      <c r="U158" s="390"/>
      <c r="V158" s="392" t="s">
        <v>136</v>
      </c>
      <c r="W158" s="392"/>
      <c r="X158" s="340" t="s">
        <v>135</v>
      </c>
      <c r="Y158" s="340" t="s">
        <v>135</v>
      </c>
      <c r="Z158" s="120">
        <f t="shared" si="25"/>
        <v>1</v>
      </c>
      <c r="AA158" s="303" t="str">
        <f t="shared" si="26"/>
        <v>00:01:00</v>
      </c>
      <c r="AB158" s="120">
        <f t="shared" si="27"/>
        <v>60</v>
      </c>
      <c r="AC158" s="406">
        <v>0.000532407407407407</v>
      </c>
      <c r="AD158" s="407">
        <v>169</v>
      </c>
      <c r="AE158" s="407">
        <v>43</v>
      </c>
      <c r="AF158" s="340"/>
    </row>
    <row r="159" ht="23.1" customHeight="1" spans="1:32">
      <c r="A159" s="340">
        <v>155</v>
      </c>
      <c r="B159" s="277"/>
      <c r="C159" s="517" t="s">
        <v>124</v>
      </c>
      <c r="D159" s="427"/>
      <c r="E159" s="426"/>
      <c r="F159" s="156">
        <v>5</v>
      </c>
      <c r="G159" s="354" t="s">
        <v>919</v>
      </c>
      <c r="H159" s="355" t="s">
        <v>920</v>
      </c>
      <c r="I159" s="366" t="s">
        <v>128</v>
      </c>
      <c r="J159" s="366"/>
      <c r="K159" s="366"/>
      <c r="L159" s="366"/>
      <c r="M159" s="430"/>
      <c r="N159" s="376" t="s">
        <v>921</v>
      </c>
      <c r="O159" s="374"/>
      <c r="P159" s="375"/>
      <c r="Q159" s="373"/>
      <c r="R159" s="392" t="s">
        <v>136</v>
      </c>
      <c r="S159" s="391"/>
      <c r="T159" s="390"/>
      <c r="U159" s="390"/>
      <c r="V159" s="392" t="s">
        <v>136</v>
      </c>
      <c r="W159" s="392"/>
      <c r="X159" s="340" t="s">
        <v>135</v>
      </c>
      <c r="Y159" s="340" t="s">
        <v>135</v>
      </c>
      <c r="Z159" s="120">
        <f t="shared" si="25"/>
        <v>1</v>
      </c>
      <c r="AA159" s="303" t="str">
        <f t="shared" si="26"/>
        <v>00:01:00</v>
      </c>
      <c r="AB159" s="120">
        <f t="shared" si="27"/>
        <v>60</v>
      </c>
      <c r="AC159" s="406">
        <v>0.000775462962962963</v>
      </c>
      <c r="AD159" s="407">
        <v>169</v>
      </c>
      <c r="AE159" s="407">
        <v>43</v>
      </c>
      <c r="AF159" s="340"/>
    </row>
    <row r="160" ht="23.1" customHeight="1" spans="1:32">
      <c r="A160" s="340">
        <v>156</v>
      </c>
      <c r="B160" s="277"/>
      <c r="C160" s="517" t="s">
        <v>124</v>
      </c>
      <c r="D160" s="427"/>
      <c r="E160" s="426"/>
      <c r="F160" s="156">
        <v>6</v>
      </c>
      <c r="G160" s="354" t="s">
        <v>922</v>
      </c>
      <c r="H160" s="355" t="s">
        <v>923</v>
      </c>
      <c r="I160" s="366" t="s">
        <v>128</v>
      </c>
      <c r="J160" s="366"/>
      <c r="K160" s="366"/>
      <c r="L160" s="366"/>
      <c r="M160" s="430"/>
      <c r="N160" s="376" t="s">
        <v>924</v>
      </c>
      <c r="O160" s="374"/>
      <c r="P160" s="375"/>
      <c r="Q160" s="373"/>
      <c r="R160" s="392" t="s">
        <v>136</v>
      </c>
      <c r="S160" s="391"/>
      <c r="T160" s="390"/>
      <c r="U160" s="390"/>
      <c r="V160" s="392" t="s">
        <v>136</v>
      </c>
      <c r="W160" s="392"/>
      <c r="X160" s="340" t="s">
        <v>135</v>
      </c>
      <c r="Y160" s="340" t="s">
        <v>135</v>
      </c>
      <c r="Z160" s="120">
        <f t="shared" si="25"/>
        <v>2</v>
      </c>
      <c r="AA160" s="303" t="str">
        <f t="shared" si="26"/>
        <v>00:02:00</v>
      </c>
      <c r="AB160" s="120">
        <f t="shared" si="27"/>
        <v>120</v>
      </c>
      <c r="AC160" s="406">
        <v>0.00128472222222222</v>
      </c>
      <c r="AD160" s="407">
        <v>169</v>
      </c>
      <c r="AE160" s="407">
        <v>43</v>
      </c>
      <c r="AF160" s="340"/>
    </row>
    <row r="161" ht="23.1" customHeight="1" spans="1:32">
      <c r="A161" s="340">
        <v>157</v>
      </c>
      <c r="B161" s="277"/>
      <c r="C161" s="517" t="s">
        <v>124</v>
      </c>
      <c r="D161" s="427"/>
      <c r="E161" s="426"/>
      <c r="F161" s="156">
        <v>7</v>
      </c>
      <c r="G161" s="354" t="s">
        <v>925</v>
      </c>
      <c r="H161" s="355" t="s">
        <v>926</v>
      </c>
      <c r="I161" s="366" t="s">
        <v>128</v>
      </c>
      <c r="J161" s="366"/>
      <c r="K161" s="366"/>
      <c r="L161" s="366"/>
      <c r="M161" s="430"/>
      <c r="N161" s="376" t="s">
        <v>927</v>
      </c>
      <c r="O161" s="374"/>
      <c r="P161" s="375"/>
      <c r="Q161" s="373"/>
      <c r="R161" s="392" t="s">
        <v>136</v>
      </c>
      <c r="S161" s="391"/>
      <c r="T161" s="390"/>
      <c r="U161" s="390"/>
      <c r="V161" s="392" t="s">
        <v>136</v>
      </c>
      <c r="W161" s="392"/>
      <c r="X161" s="340" t="s">
        <v>135</v>
      </c>
      <c r="Y161" s="340" t="s">
        <v>135</v>
      </c>
      <c r="Z161" s="120">
        <f t="shared" si="25"/>
        <v>2</v>
      </c>
      <c r="AA161" s="303" t="str">
        <f t="shared" si="26"/>
        <v>00:02:00</v>
      </c>
      <c r="AB161" s="120">
        <f t="shared" si="27"/>
        <v>120</v>
      </c>
      <c r="AC161" s="406">
        <v>0.00114583333333333</v>
      </c>
      <c r="AD161" s="407">
        <v>169</v>
      </c>
      <c r="AE161" s="407">
        <v>43</v>
      </c>
      <c r="AF161" s="340"/>
    </row>
    <row r="162" ht="23.1" customHeight="1" spans="1:32">
      <c r="A162" s="340">
        <v>158</v>
      </c>
      <c r="B162" s="277"/>
      <c r="C162" s="517" t="s">
        <v>124</v>
      </c>
      <c r="D162" s="427"/>
      <c r="E162" s="426"/>
      <c r="F162" s="156">
        <v>8</v>
      </c>
      <c r="G162" s="354" t="s">
        <v>928</v>
      </c>
      <c r="H162" s="355" t="s">
        <v>929</v>
      </c>
      <c r="I162" s="366" t="s">
        <v>128</v>
      </c>
      <c r="J162" s="366"/>
      <c r="K162" s="366"/>
      <c r="L162" s="366"/>
      <c r="M162" s="430"/>
      <c r="N162" s="376" t="s">
        <v>930</v>
      </c>
      <c r="O162" s="374"/>
      <c r="P162" s="375"/>
      <c r="Q162" s="373"/>
      <c r="R162" s="392" t="s">
        <v>136</v>
      </c>
      <c r="S162" s="391"/>
      <c r="T162" s="390"/>
      <c r="U162" s="390"/>
      <c r="V162" s="392" t="s">
        <v>136</v>
      </c>
      <c r="W162" s="392"/>
      <c r="X162" s="340" t="s">
        <v>135</v>
      </c>
      <c r="Y162" s="340" t="s">
        <v>135</v>
      </c>
      <c r="Z162" s="120">
        <f t="shared" si="25"/>
        <v>1</v>
      </c>
      <c r="AA162" s="303" t="str">
        <f t="shared" si="26"/>
        <v>00:01:00</v>
      </c>
      <c r="AB162" s="120">
        <f t="shared" si="27"/>
        <v>60</v>
      </c>
      <c r="AC162" s="406">
        <v>0.000694444444444444</v>
      </c>
      <c r="AD162" s="407">
        <v>169</v>
      </c>
      <c r="AE162" s="407">
        <v>43</v>
      </c>
      <c r="AF162" s="340"/>
    </row>
    <row r="163" ht="23.1" customHeight="1" spans="1:32">
      <c r="A163" s="340">
        <v>159</v>
      </c>
      <c r="B163" s="277"/>
      <c r="C163" s="517" t="s">
        <v>124</v>
      </c>
      <c r="D163" s="427"/>
      <c r="E163" s="426"/>
      <c r="F163" s="156">
        <v>9</v>
      </c>
      <c r="G163" s="354" t="s">
        <v>931</v>
      </c>
      <c r="H163" s="355" t="s">
        <v>932</v>
      </c>
      <c r="I163" s="366" t="s">
        <v>128</v>
      </c>
      <c r="J163" s="366"/>
      <c r="K163" s="366"/>
      <c r="L163" s="366"/>
      <c r="M163" s="430"/>
      <c r="N163" s="376" t="s">
        <v>933</v>
      </c>
      <c r="O163" s="374"/>
      <c r="P163" s="375"/>
      <c r="Q163" s="373"/>
      <c r="R163" s="392" t="s">
        <v>136</v>
      </c>
      <c r="S163" s="391"/>
      <c r="T163" s="390"/>
      <c r="U163" s="390"/>
      <c r="V163" s="392" t="s">
        <v>136</v>
      </c>
      <c r="W163" s="392"/>
      <c r="X163" s="340" t="s">
        <v>135</v>
      </c>
      <c r="Y163" s="340" t="s">
        <v>135</v>
      </c>
      <c r="Z163" s="120">
        <f t="shared" si="25"/>
        <v>1</v>
      </c>
      <c r="AA163" s="303" t="str">
        <f t="shared" si="26"/>
        <v>00:01:00</v>
      </c>
      <c r="AB163" s="120">
        <f t="shared" si="27"/>
        <v>60</v>
      </c>
      <c r="AC163" s="406">
        <v>0.000694444444444444</v>
      </c>
      <c r="AD163" s="407">
        <v>169</v>
      </c>
      <c r="AE163" s="407">
        <v>43</v>
      </c>
      <c r="AF163" s="340"/>
    </row>
    <row r="164" ht="23.1" customHeight="1" spans="1:32">
      <c r="A164" s="340">
        <v>160</v>
      </c>
      <c r="B164" s="277"/>
      <c r="C164" s="517" t="s">
        <v>124</v>
      </c>
      <c r="D164" s="427"/>
      <c r="E164" s="426"/>
      <c r="F164" s="156">
        <v>10</v>
      </c>
      <c r="G164" s="354" t="s">
        <v>934</v>
      </c>
      <c r="H164" s="355" t="s">
        <v>935</v>
      </c>
      <c r="I164" s="366" t="s">
        <v>128</v>
      </c>
      <c r="J164" s="366"/>
      <c r="K164" s="366"/>
      <c r="L164" s="366"/>
      <c r="M164" s="430"/>
      <c r="N164" s="376" t="s">
        <v>936</v>
      </c>
      <c r="O164" s="374"/>
      <c r="P164" s="375"/>
      <c r="Q164" s="373"/>
      <c r="R164" s="392" t="s">
        <v>136</v>
      </c>
      <c r="S164" s="391"/>
      <c r="T164" s="390"/>
      <c r="U164" s="390"/>
      <c r="V164" s="392" t="s">
        <v>136</v>
      </c>
      <c r="W164" s="392"/>
      <c r="X164" s="340" t="s">
        <v>135</v>
      </c>
      <c r="Y164" s="340" t="s">
        <v>135</v>
      </c>
      <c r="Z164" s="120">
        <f t="shared" si="25"/>
        <v>2</v>
      </c>
      <c r="AA164" s="303" t="str">
        <f t="shared" si="26"/>
        <v>00:02:00</v>
      </c>
      <c r="AB164" s="120">
        <f t="shared" si="27"/>
        <v>120</v>
      </c>
      <c r="AC164" s="406">
        <v>0.00106481481481481</v>
      </c>
      <c r="AD164" s="407">
        <v>169</v>
      </c>
      <c r="AE164" s="407">
        <v>43</v>
      </c>
      <c r="AF164" s="340"/>
    </row>
    <row r="165" ht="23.1" customHeight="1" spans="1:32">
      <c r="A165" s="340">
        <v>161</v>
      </c>
      <c r="B165" s="277"/>
      <c r="C165" s="517" t="s">
        <v>124</v>
      </c>
      <c r="D165" s="427"/>
      <c r="E165" s="426"/>
      <c r="F165" s="156">
        <v>11</v>
      </c>
      <c r="G165" s="354" t="s">
        <v>937</v>
      </c>
      <c r="H165" s="355" t="s">
        <v>938</v>
      </c>
      <c r="I165" s="366" t="s">
        <v>128</v>
      </c>
      <c r="J165" s="366"/>
      <c r="K165" s="366"/>
      <c r="L165" s="366"/>
      <c r="M165" s="430"/>
      <c r="N165" s="376" t="s">
        <v>939</v>
      </c>
      <c r="O165" s="374"/>
      <c r="P165" s="375"/>
      <c r="Q165" s="373"/>
      <c r="R165" s="392" t="s">
        <v>136</v>
      </c>
      <c r="S165" s="391"/>
      <c r="T165" s="390"/>
      <c r="U165" s="390"/>
      <c r="V165" s="392"/>
      <c r="W165" s="392"/>
      <c r="X165" s="340" t="s">
        <v>135</v>
      </c>
      <c r="Y165" s="340" t="s">
        <v>135</v>
      </c>
      <c r="Z165" s="120">
        <f t="shared" ref="Z165:Z172" si="28">ROUNDUP(HOUR(AA165)*60+MINUTE(AA165)+SECOND(AA165)/60,0)</f>
        <v>1</v>
      </c>
      <c r="AA165" s="303" t="str">
        <f t="shared" ref="AA165:AA172" si="29">TEXT((HOUR(AC165)*60+MINUTE(AC165)+IF(SECOND(AC165)&lt;=29,0,1))*60/86400,"hh:mm:ss")</f>
        <v>00:01:00</v>
      </c>
      <c r="AB165" s="120">
        <f t="shared" ref="AB165:AB172" si="30">Z165*60</f>
        <v>60</v>
      </c>
      <c r="AC165" s="406">
        <v>0.000613425925925926</v>
      </c>
      <c r="AD165" s="407">
        <v>169</v>
      </c>
      <c r="AE165" s="407">
        <v>43</v>
      </c>
      <c r="AF165" s="340"/>
    </row>
    <row r="166" ht="20" customHeight="1" spans="1:32">
      <c r="A166" s="340">
        <v>162</v>
      </c>
      <c r="B166" s="277"/>
      <c r="C166" s="348" t="s">
        <v>124</v>
      </c>
      <c r="D166" s="426" t="s">
        <v>337</v>
      </c>
      <c r="E166" s="426"/>
      <c r="F166" s="428">
        <v>1</v>
      </c>
      <c r="G166" s="429" t="s">
        <v>940</v>
      </c>
      <c r="H166" s="28" t="s">
        <v>941</v>
      </c>
      <c r="I166" s="366" t="s">
        <v>128</v>
      </c>
      <c r="J166" s="366" t="s">
        <v>128</v>
      </c>
      <c r="K166" s="366" t="s">
        <v>128</v>
      </c>
      <c r="L166" s="366" t="s">
        <v>128</v>
      </c>
      <c r="M166" s="366" t="s">
        <v>128</v>
      </c>
      <c r="N166" s="376" t="s">
        <v>942</v>
      </c>
      <c r="O166" s="374" t="s">
        <v>943</v>
      </c>
      <c r="P166" s="431" t="str">
        <f>CONCATENATE("WonderfulNavigation","_",C166,"_","169","_",PROPER(R166),IF(S166="",PROPER(R166),PROPER(S166)),PROPER(T166),PROPER(U166),PROPER(V166),IF(V166&lt;&gt;"","SUB",""),PROPER(W166),IF(W166&lt;&gt;"","SUB",""),"_","Ed","_","M2",".mpg")</f>
        <v>WonderfulNavigation_0325_169_EngEngEngSUBZhoSUB_Ed_M2.mpg</v>
      </c>
      <c r="Q166" s="431"/>
      <c r="R166" s="392" t="s">
        <v>137</v>
      </c>
      <c r="S166" s="432"/>
      <c r="T166" s="432"/>
      <c r="U166" s="432"/>
      <c r="V166" s="433" t="s">
        <v>137</v>
      </c>
      <c r="W166" s="433" t="s">
        <v>136</v>
      </c>
      <c r="X166" s="340" t="s">
        <v>135</v>
      </c>
      <c r="Y166" s="340" t="s">
        <v>135</v>
      </c>
      <c r="Z166" s="120">
        <f t="shared" si="28"/>
        <v>1</v>
      </c>
      <c r="AA166" s="303" t="str">
        <f t="shared" si="29"/>
        <v>00:01:00</v>
      </c>
      <c r="AB166" s="120">
        <f t="shared" si="30"/>
        <v>60</v>
      </c>
      <c r="AC166" s="434">
        <v>0.000694444444444444</v>
      </c>
      <c r="AD166" s="407">
        <v>169</v>
      </c>
      <c r="AE166" s="407">
        <v>43</v>
      </c>
      <c r="AF166" s="435"/>
    </row>
  </sheetData>
  <autoFilter xmlns:etc="http://www.wps.cn/officeDocument/2017/etCustomData" ref="A4:AHB166" etc:filterBottomFollowUsedRange="0">
    <extLst/>
  </autoFilter>
  <mergeCells count="64">
    <mergeCell ref="A2:H2"/>
    <mergeCell ref="I2:K2"/>
    <mergeCell ref="L2:M2"/>
    <mergeCell ref="N2:O2"/>
    <mergeCell ref="P2:Q2"/>
    <mergeCell ref="R2:W2"/>
    <mergeCell ref="X2:Y2"/>
    <mergeCell ref="AA2:AB2"/>
    <mergeCell ref="AD2:AE2"/>
    <mergeCell ref="P166:Q166"/>
    <mergeCell ref="A3:A4"/>
    <mergeCell ref="B3:B4"/>
    <mergeCell ref="C3:C4"/>
    <mergeCell ref="D3:D4"/>
    <mergeCell ref="D5:D15"/>
    <mergeCell ref="D16:D31"/>
    <mergeCell ref="D32:D39"/>
    <mergeCell ref="D40:D60"/>
    <mergeCell ref="D61:D80"/>
    <mergeCell ref="D81:D89"/>
    <mergeCell ref="D90:D106"/>
    <mergeCell ref="D107:D117"/>
    <mergeCell ref="D118:D125"/>
    <mergeCell ref="D126:D131"/>
    <mergeCell ref="D132:D138"/>
    <mergeCell ref="D140:D165"/>
    <mergeCell ref="E3:E4"/>
    <mergeCell ref="E5:E15"/>
    <mergeCell ref="E16:E31"/>
    <mergeCell ref="E32:E39"/>
    <mergeCell ref="E40:E60"/>
    <mergeCell ref="E61:E80"/>
    <mergeCell ref="E81:E89"/>
    <mergeCell ref="E90:E106"/>
    <mergeCell ref="E107:E117"/>
    <mergeCell ref="E118:E125"/>
    <mergeCell ref="E126:E131"/>
    <mergeCell ref="E132:E138"/>
    <mergeCell ref="E139:E154"/>
    <mergeCell ref="E155:E165"/>
    <mergeCell ref="F3:F4"/>
    <mergeCell ref="G3:G4"/>
    <mergeCell ref="H3:H4"/>
    <mergeCell ref="I3:I4"/>
    <mergeCell ref="L3:L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pageSetup paperSize="1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K29"/>
  <sheetViews>
    <sheetView zoomScale="80" zoomScaleNormal="80" workbookViewId="0">
      <pane xSplit="6" ySplit="4" topLeftCell="M5" activePane="bottomRight" state="frozen"/>
      <selection/>
      <selection pane="topRight"/>
      <selection pane="bottomLeft"/>
      <selection pane="bottomRight" activeCell="S11" sqref="S11"/>
    </sheetView>
  </sheetViews>
  <sheetFormatPr defaultColWidth="8" defaultRowHeight="13.5"/>
  <cols>
    <col min="1" max="1" width="3.63333333333333" customWidth="1"/>
    <col min="2" max="2" width="5.63333333333333" customWidth="1"/>
    <col min="3" max="3" width="4.38333333333333" customWidth="1"/>
    <col min="4" max="4" width="7" customWidth="1"/>
    <col min="5" max="5" width="3.25833333333333" customWidth="1"/>
    <col min="6" max="7" width="26.2583333333333" customWidth="1"/>
    <col min="8" max="11" width="4.38333333333333" customWidth="1"/>
    <col min="12" max="12" width="23" customWidth="1"/>
    <col min="13" max="13" width="62.3416666666667" customWidth="1"/>
    <col min="14" max="14" width="64.525" customWidth="1"/>
    <col min="15" max="20" width="4.14166666666667" customWidth="1"/>
    <col min="21" max="22" width="5.63333333333333" customWidth="1"/>
    <col min="23" max="23" width="8" customWidth="1"/>
    <col min="24" max="24" width="11.3833333333333" customWidth="1"/>
    <col min="25" max="25" width="11.2583333333333" customWidth="1"/>
    <col min="26" max="26" width="6.14166666666667" customWidth="1"/>
    <col min="27" max="27" width="6.88333333333333" customWidth="1"/>
    <col min="28" max="28" width="17.6333333333333" customWidth="1"/>
    <col min="29" max="34" width="5.14166666666667" customWidth="1"/>
    <col min="35" max="37" width="4.14166666666667" hidden="1" customWidth="1"/>
  </cols>
  <sheetData>
    <row r="1" ht="14.25"/>
    <row r="2" customFormat="1" ht="18.95" customHeight="1" spans="1:37">
      <c r="A2" s="14" t="s">
        <v>350</v>
      </c>
      <c r="B2" s="13"/>
      <c r="C2" s="13"/>
      <c r="D2" s="13"/>
      <c r="E2" s="13"/>
      <c r="F2" s="13"/>
      <c r="G2" s="271"/>
      <c r="H2" s="15" t="s">
        <v>77</v>
      </c>
      <c r="I2" s="35"/>
      <c r="J2" s="15" t="s">
        <v>78</v>
      </c>
      <c r="K2" s="36"/>
      <c r="L2" s="37" t="s">
        <v>79</v>
      </c>
      <c r="M2" s="321" t="s">
        <v>352</v>
      </c>
      <c r="N2" s="322"/>
      <c r="O2" s="162" t="s">
        <v>84</v>
      </c>
      <c r="P2" s="40"/>
      <c r="Q2" s="40"/>
      <c r="R2" s="40"/>
      <c r="S2" s="40"/>
      <c r="T2" s="40"/>
      <c r="U2" s="53" t="s">
        <v>353</v>
      </c>
      <c r="V2" s="54"/>
      <c r="W2" s="55"/>
      <c r="X2" s="65" t="s">
        <v>85</v>
      </c>
      <c r="Y2" s="65"/>
      <c r="Z2" s="264" t="s">
        <v>86</v>
      </c>
      <c r="AA2" s="328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customFormat="1" ht="18" customHeight="1" spans="1:37">
      <c r="A3" s="68" t="s">
        <v>89</v>
      </c>
      <c r="B3" s="77" t="s">
        <v>91</v>
      </c>
      <c r="C3" s="78" t="s">
        <v>354</v>
      </c>
      <c r="D3" s="77" t="s">
        <v>90</v>
      </c>
      <c r="E3" s="78" t="s">
        <v>93</v>
      </c>
      <c r="F3" s="78" t="s">
        <v>94</v>
      </c>
      <c r="G3" s="116" t="s">
        <v>95</v>
      </c>
      <c r="H3" s="21" t="s">
        <v>97</v>
      </c>
      <c r="I3" s="27" t="s">
        <v>944</v>
      </c>
      <c r="J3" s="41" t="s">
        <v>100</v>
      </c>
      <c r="K3" s="42" t="s">
        <v>101</v>
      </c>
      <c r="L3" s="199" t="s">
        <v>102</v>
      </c>
      <c r="M3" s="44" t="s">
        <v>358</v>
      </c>
      <c r="N3" s="44" t="s">
        <v>105</v>
      </c>
      <c r="O3" s="45" t="s">
        <v>113</v>
      </c>
      <c r="P3" s="56" t="s">
        <v>114</v>
      </c>
      <c r="Q3" s="57" t="s">
        <v>115</v>
      </c>
      <c r="R3" s="57" t="s">
        <v>116</v>
      </c>
      <c r="S3" s="56" t="s">
        <v>117</v>
      </c>
      <c r="T3" s="56" t="s">
        <v>118</v>
      </c>
      <c r="U3" s="58" t="s">
        <v>111</v>
      </c>
      <c r="V3" s="58" t="s">
        <v>112</v>
      </c>
      <c r="W3" s="24" t="s">
        <v>119</v>
      </c>
      <c r="X3" s="68" t="s">
        <v>120</v>
      </c>
      <c r="Y3" s="69" t="s">
        <v>121</v>
      </c>
      <c r="Z3" s="265" t="s">
        <v>122</v>
      </c>
      <c r="AA3" s="329" t="s">
        <v>945</v>
      </c>
      <c r="AB3" s="2"/>
      <c r="AC3" s="2"/>
      <c r="AD3" s="2"/>
      <c r="AE3" s="2"/>
      <c r="AF3" s="2"/>
      <c r="AG3" s="2"/>
      <c r="AH3" s="2"/>
      <c r="AI3" s="2"/>
      <c r="AJ3" s="2"/>
      <c r="AK3" s="2"/>
    </row>
    <row r="4" customFormat="1" ht="111.95" customHeight="1" spans="1:27">
      <c r="A4" s="68"/>
      <c r="B4" s="79"/>
      <c r="C4" s="80"/>
      <c r="D4" s="79"/>
      <c r="E4" s="80"/>
      <c r="F4" s="80"/>
      <c r="G4" s="116"/>
      <c r="H4" s="242"/>
      <c r="I4" s="242"/>
      <c r="J4" s="251"/>
      <c r="K4" s="251"/>
      <c r="L4" s="323"/>
      <c r="M4" s="99"/>
      <c r="N4" s="99"/>
      <c r="O4" s="45"/>
      <c r="P4" s="56"/>
      <c r="Q4" s="136"/>
      <c r="R4" s="136"/>
      <c r="S4" s="56"/>
      <c r="T4" s="56"/>
      <c r="U4" s="137"/>
      <c r="V4" s="137"/>
      <c r="W4" s="115"/>
      <c r="X4" s="68"/>
      <c r="Y4" s="113"/>
      <c r="Z4" s="267"/>
      <c r="AA4" s="330"/>
    </row>
    <row r="5" s="316" customFormat="1" ht="30" customHeight="1" spans="1:31">
      <c r="A5" s="317">
        <v>1</v>
      </c>
      <c r="B5" s="318" t="s">
        <v>124</v>
      </c>
      <c r="C5" s="319" t="s">
        <v>946</v>
      </c>
      <c r="D5" s="318"/>
      <c r="E5" s="317">
        <v>1</v>
      </c>
      <c r="F5" s="317" t="s">
        <v>947</v>
      </c>
      <c r="G5" s="317" t="s">
        <v>947</v>
      </c>
      <c r="H5" s="320" t="s">
        <v>128</v>
      </c>
      <c r="I5" s="320" t="s">
        <v>128</v>
      </c>
      <c r="J5" s="320" t="s">
        <v>128</v>
      </c>
      <c r="K5" s="320" t="s">
        <v>128</v>
      </c>
      <c r="L5" s="324" t="s">
        <v>948</v>
      </c>
      <c r="M5" s="317" t="str">
        <f>CONCATENATE("CA",B5,"Advertisement","_","i4K","_",B5,"_",AA5,"_",O5,IF(P5="",O5,P5),Q5,R5,S5,IF(S5&lt;&gt;"","SUB",""),T5,IF(T5&lt;&gt;"","SUB",""),"_","Ed","_","M2",".mpg")</f>
        <v>CA0325Advertisement_i4K_0325_43_ZhoZho_Ed_M2.mpg</v>
      </c>
      <c r="N5" s="317" t="str">
        <f>CONCATENATE("CA",B5,"Advertisement","_","i5K","_",B5,"_",Z5,"_",O5,IF(P5="",O5,P5),Q5,R5,S5,IF(S5&lt;&gt;"","SUB",""),T5,IF(T5&lt;&gt;"","SUB",""),"_","Ed","_","M2",".mpg")</f>
        <v>CA0325Advertisement_i5K_0325_169_ZhoZho_Ed_M2.mpg</v>
      </c>
      <c r="O5" s="325" t="s">
        <v>136</v>
      </c>
      <c r="P5" s="325"/>
      <c r="Q5" s="325"/>
      <c r="R5" s="325"/>
      <c r="S5" s="325"/>
      <c r="T5" s="325"/>
      <c r="U5" s="325" t="s">
        <v>949</v>
      </c>
      <c r="V5" s="325" t="s">
        <v>949</v>
      </c>
      <c r="W5" s="326"/>
      <c r="X5" s="327">
        <v>0.000185185185185185</v>
      </c>
      <c r="Y5" s="331"/>
      <c r="Z5" s="332">
        <v>169</v>
      </c>
      <c r="AA5" s="332">
        <v>43</v>
      </c>
      <c r="AB5" s="333"/>
      <c r="AE5" s="334"/>
    </row>
    <row r="6" customFormat="1" ht="24" customHeight="1" spans="21:23">
      <c r="U6" s="3"/>
      <c r="V6" s="3"/>
      <c r="W6" s="3"/>
    </row>
    <row r="7" customFormat="1" ht="20.25" spans="3:23">
      <c r="C7" s="34"/>
      <c r="D7" s="34"/>
      <c r="U7" s="3"/>
      <c r="V7" s="3"/>
      <c r="W7" s="3"/>
    </row>
    <row r="8" customFormat="1" ht="20.25" spans="3:23">
      <c r="C8" s="34"/>
      <c r="D8" s="34"/>
      <c r="U8" s="3"/>
      <c r="V8" s="3"/>
      <c r="W8" s="3"/>
    </row>
    <row r="9" customFormat="1" spans="21:23">
      <c r="U9" s="3"/>
      <c r="V9" s="3"/>
      <c r="W9" s="3"/>
    </row>
    <row r="10" customFormat="1" spans="21:23">
      <c r="U10" s="3"/>
      <c r="V10" s="3"/>
      <c r="W10" s="3"/>
    </row>
    <row r="11" customFormat="1" spans="21:23">
      <c r="U11" s="3"/>
      <c r="V11" s="3"/>
      <c r="W11" s="3"/>
    </row>
    <row r="12" customFormat="1" spans="21:23">
      <c r="U12" s="3"/>
      <c r="V12" s="3"/>
      <c r="W12" s="3"/>
    </row>
    <row r="13" customFormat="1" spans="21:23">
      <c r="U13" s="3"/>
      <c r="V13" s="3"/>
      <c r="W13" s="3"/>
    </row>
    <row r="14" customFormat="1" spans="21:23">
      <c r="U14" s="3"/>
      <c r="V14" s="3"/>
      <c r="W14" s="3"/>
    </row>
    <row r="15" customFormat="1" spans="21:23">
      <c r="U15" s="3"/>
      <c r="V15" s="3"/>
      <c r="W15" s="3"/>
    </row>
    <row r="16" customFormat="1" spans="21:23">
      <c r="U16" s="3"/>
      <c r="V16" s="3"/>
      <c r="W16" s="3"/>
    </row>
    <row r="17" customFormat="1" spans="21:23">
      <c r="U17" s="3"/>
      <c r="V17" s="3"/>
      <c r="W17" s="3"/>
    </row>
    <row r="18" customFormat="1" spans="21:23">
      <c r="U18" s="3"/>
      <c r="V18" s="3"/>
      <c r="W18" s="3"/>
    </row>
    <row r="19" customFormat="1" spans="21:23">
      <c r="U19" s="3"/>
      <c r="V19" s="3"/>
      <c r="W19" s="3"/>
    </row>
    <row r="20" customFormat="1" spans="21:23">
      <c r="U20" s="3"/>
      <c r="V20" s="3"/>
      <c r="W20" s="3"/>
    </row>
    <row r="21" customFormat="1" spans="21:23">
      <c r="U21" s="3"/>
      <c r="V21" s="3"/>
      <c r="W21" s="3"/>
    </row>
    <row r="22" customFormat="1" spans="21:23">
      <c r="U22" s="3"/>
      <c r="V22" s="3"/>
      <c r="W22" s="3"/>
    </row>
    <row r="23" customFormat="1" spans="21:23">
      <c r="U23" s="3"/>
      <c r="V23" s="3"/>
      <c r="W23" s="3"/>
    </row>
    <row r="24" customFormat="1" spans="21:23">
      <c r="U24" s="3"/>
      <c r="V24" s="3"/>
      <c r="W24" s="3"/>
    </row>
    <row r="25" customFormat="1" spans="21:23">
      <c r="U25" s="3"/>
      <c r="V25" s="3"/>
      <c r="W25" s="3"/>
    </row>
    <row r="26" customFormat="1" ht="15.75" spans="21:23">
      <c r="U26" s="63"/>
      <c r="V26" s="63"/>
      <c r="W26" s="63"/>
    </row>
    <row r="27" customFormat="1" ht="15.75" spans="21:23">
      <c r="U27" s="63"/>
      <c r="V27" s="63"/>
      <c r="W27" s="63"/>
    </row>
    <row r="28" customFormat="1" ht="15.75" spans="21:23">
      <c r="U28" s="64"/>
      <c r="V28" s="64"/>
      <c r="W28" s="64"/>
    </row>
    <row r="29" customFormat="1" ht="15.75" spans="21:23">
      <c r="U29" s="64"/>
      <c r="V29" s="64"/>
      <c r="W29" s="64"/>
    </row>
  </sheetData>
  <mergeCells count="35">
    <mergeCell ref="A2:G2"/>
    <mergeCell ref="H2:I2"/>
    <mergeCell ref="J2:K2"/>
    <mergeCell ref="M2:N2"/>
    <mergeCell ref="O2:T2"/>
    <mergeCell ref="U2:V2"/>
    <mergeCell ref="X2:Y2"/>
    <mergeCell ref="Z2:AA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</mergeCells>
  <pageMargins left="0.75" right="0.75" top="1" bottom="1" header="0.5" footer="0.5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AQ209"/>
  <sheetViews>
    <sheetView zoomScale="80" zoomScaleNormal="80" topLeftCell="B1" workbookViewId="0">
      <pane ySplit="4" topLeftCell="A45" activePane="bottomLeft" state="frozen"/>
      <selection/>
      <selection pane="bottomLeft" activeCell="AC69" sqref="AC69"/>
    </sheetView>
  </sheetViews>
  <sheetFormatPr defaultColWidth="8" defaultRowHeight="26" customHeight="1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4.50833333333333" style="3" customWidth="1"/>
    <col min="6" max="6" width="4.36666666666667" style="3" customWidth="1"/>
    <col min="7" max="7" width="31.4" style="4" customWidth="1"/>
    <col min="8" max="8" width="46.5583333333333" style="3" customWidth="1"/>
    <col min="9" max="9" width="5.63333333333333" style="3" customWidth="1"/>
    <col min="10" max="11" width="4.50833333333333" style="3" customWidth="1"/>
    <col min="12" max="14" width="4.50833333333333" style="3" hidden="1" customWidth="1"/>
    <col min="15" max="15" width="23.425" style="3" customWidth="1"/>
    <col min="16" max="16" width="23.425" style="3" hidden="1" customWidth="1"/>
    <col min="17" max="17" width="42.8083333333333" style="5" hidden="1" customWidth="1"/>
    <col min="18" max="18" width="106.091666666667" style="5" hidden="1" customWidth="1"/>
    <col min="19" max="19" width="4.14166666666667" style="3" customWidth="1"/>
    <col min="20" max="22" width="4.14166666666667" style="6" customWidth="1"/>
    <col min="23" max="24" width="4.14166666666667" style="3" customWidth="1"/>
    <col min="25" max="26" width="5.63333333333333" style="7" customWidth="1"/>
    <col min="27" max="27" width="8" style="7" customWidth="1"/>
    <col min="28" max="28" width="11.5083333333333" style="3" customWidth="1"/>
    <col min="29" max="29" width="11.3833333333333" style="3" customWidth="1"/>
    <col min="30" max="30" width="11.2583333333333" style="3" customWidth="1"/>
    <col min="31" max="32" width="6.14166666666667" style="3" customWidth="1"/>
    <col min="33" max="33" width="5.14166666666667" style="8" customWidth="1"/>
    <col min="34" max="34" width="64.8833333333333" style="9" customWidth="1"/>
    <col min="35" max="35" width="5.14166666666667" style="10" customWidth="1"/>
    <col min="36" max="36" width="5.14166666666667" style="8" customWidth="1"/>
    <col min="37" max="37" width="5.14166666666667" style="11" customWidth="1"/>
    <col min="38" max="39" width="5.14166666666667" style="8" customWidth="1"/>
    <col min="40" max="40" width="5.14166666666667" style="10" customWidth="1"/>
    <col min="41" max="43" width="4.14166666666667" style="12" hidden="1" customWidth="1"/>
    <col min="44" max="16384" width="8" style="2"/>
  </cols>
  <sheetData>
    <row r="1" ht="15" customHeight="1"/>
    <row r="2" customHeight="1" spans="1:43">
      <c r="A2" s="13" t="s">
        <v>350</v>
      </c>
      <c r="B2" s="13"/>
      <c r="C2" s="13"/>
      <c r="D2" s="13"/>
      <c r="E2" s="13"/>
      <c r="F2" s="13"/>
      <c r="G2" s="13"/>
      <c r="H2" s="271"/>
      <c r="I2" s="202" t="s">
        <v>77</v>
      </c>
      <c r="J2" s="281"/>
      <c r="K2" s="281"/>
      <c r="L2" s="203"/>
      <c r="M2" s="202" t="s">
        <v>78</v>
      </c>
      <c r="N2" s="203"/>
      <c r="O2" s="282" t="s">
        <v>351</v>
      </c>
      <c r="P2" s="282" t="s">
        <v>950</v>
      </c>
      <c r="Q2" s="296" t="s">
        <v>352</v>
      </c>
      <c r="R2" s="297"/>
      <c r="S2" s="162" t="s">
        <v>84</v>
      </c>
      <c r="T2" s="40"/>
      <c r="U2" s="40"/>
      <c r="V2" s="40"/>
      <c r="W2" s="40"/>
      <c r="X2" s="40"/>
      <c r="Y2" s="53" t="s">
        <v>353</v>
      </c>
      <c r="Z2" s="54"/>
      <c r="AA2" s="55"/>
      <c r="AB2" s="216" t="s">
        <v>85</v>
      </c>
      <c r="AC2" s="65" t="s">
        <v>85</v>
      </c>
      <c r="AD2" s="65"/>
      <c r="AE2" s="264" t="s">
        <v>86</v>
      </c>
      <c r="AF2" s="67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customHeight="1" spans="1:43">
      <c r="A3" s="16" t="s">
        <v>89</v>
      </c>
      <c r="B3" s="17" t="s">
        <v>91</v>
      </c>
      <c r="C3" s="18" t="s">
        <v>354</v>
      </c>
      <c r="D3" s="17" t="s">
        <v>90</v>
      </c>
      <c r="E3" s="144" t="s">
        <v>93</v>
      </c>
      <c r="F3" s="272" t="s">
        <v>951</v>
      </c>
      <c r="G3" s="145" t="s">
        <v>94</v>
      </c>
      <c r="H3" s="273" t="s">
        <v>95</v>
      </c>
      <c r="I3" s="283" t="s">
        <v>952</v>
      </c>
      <c r="J3" s="284" t="s">
        <v>953</v>
      </c>
      <c r="K3" s="285" t="s">
        <v>98</v>
      </c>
      <c r="L3" s="21" t="s">
        <v>103</v>
      </c>
      <c r="M3" s="286" t="s">
        <v>100</v>
      </c>
      <c r="N3" s="286" t="s">
        <v>101</v>
      </c>
      <c r="O3" s="287"/>
      <c r="P3" s="287"/>
      <c r="Q3" s="296"/>
      <c r="R3" s="297"/>
      <c r="S3" s="45" t="s">
        <v>113</v>
      </c>
      <c r="T3" s="56" t="s">
        <v>114</v>
      </c>
      <c r="U3" s="57" t="s">
        <v>115</v>
      </c>
      <c r="V3" s="57" t="s">
        <v>116</v>
      </c>
      <c r="W3" s="56" t="s">
        <v>117</v>
      </c>
      <c r="X3" s="56" t="s">
        <v>118</v>
      </c>
      <c r="Y3" s="58" t="s">
        <v>111</v>
      </c>
      <c r="Z3" s="58" t="s">
        <v>112</v>
      </c>
      <c r="AA3" s="69" t="s">
        <v>119</v>
      </c>
      <c r="AB3" s="220" t="s">
        <v>359</v>
      </c>
      <c r="AC3" s="20" t="s">
        <v>120</v>
      </c>
      <c r="AD3" s="69" t="s">
        <v>121</v>
      </c>
      <c r="AE3" s="265" t="s">
        <v>954</v>
      </c>
      <c r="AF3" s="266" t="s">
        <v>955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ht="49" customHeight="1" spans="1:34">
      <c r="A4" s="274"/>
      <c r="B4" s="23"/>
      <c r="C4" s="24"/>
      <c r="D4" s="128"/>
      <c r="E4" s="275"/>
      <c r="F4" s="117"/>
      <c r="G4" s="148"/>
      <c r="H4" s="273"/>
      <c r="I4" s="288"/>
      <c r="J4" s="289"/>
      <c r="K4" s="290"/>
      <c r="L4" s="242"/>
      <c r="M4" s="291"/>
      <c r="N4" s="291"/>
      <c r="O4" s="292"/>
      <c r="P4" s="292"/>
      <c r="Q4" s="298" t="s">
        <v>105</v>
      </c>
      <c r="R4" s="299" t="s">
        <v>358</v>
      </c>
      <c r="S4" s="45"/>
      <c r="T4" s="56"/>
      <c r="U4" s="136"/>
      <c r="V4" s="136"/>
      <c r="W4" s="56"/>
      <c r="X4" s="56"/>
      <c r="Y4" s="137"/>
      <c r="Z4" s="137"/>
      <c r="AA4" s="113"/>
      <c r="AB4" s="302"/>
      <c r="AC4" s="20"/>
      <c r="AD4" s="113"/>
      <c r="AE4" s="267"/>
      <c r="AF4" s="268"/>
      <c r="AH4" s="304"/>
    </row>
    <row r="5" customHeight="1" spans="1:32">
      <c r="A5" s="81">
        <v>1</v>
      </c>
      <c r="B5" s="29" t="s">
        <v>124</v>
      </c>
      <c r="C5" s="276" t="s">
        <v>956</v>
      </c>
      <c r="D5" s="277"/>
      <c r="E5" s="81">
        <v>1</v>
      </c>
      <c r="F5" s="278" t="s">
        <v>957</v>
      </c>
      <c r="G5" s="279" t="s">
        <v>958</v>
      </c>
      <c r="H5" s="28" t="s">
        <v>959</v>
      </c>
      <c r="I5" s="293" t="s">
        <v>128</v>
      </c>
      <c r="J5" s="293" t="s">
        <v>128</v>
      </c>
      <c r="K5" s="293" t="s">
        <v>128</v>
      </c>
      <c r="L5" s="294"/>
      <c r="M5" s="294"/>
      <c r="N5" s="294"/>
      <c r="O5" s="295" t="s">
        <v>960</v>
      </c>
      <c r="P5" s="295"/>
      <c r="Q5" s="300"/>
      <c r="R5" s="300"/>
      <c r="S5" s="61" t="s">
        <v>136</v>
      </c>
      <c r="T5" s="61"/>
      <c r="U5" s="52"/>
      <c r="V5" s="52"/>
      <c r="W5" s="61" t="s">
        <v>137</v>
      </c>
      <c r="X5" s="61" t="s">
        <v>136</v>
      </c>
      <c r="Y5" s="61" t="s">
        <v>135</v>
      </c>
      <c r="Z5" s="61" t="s">
        <v>135</v>
      </c>
      <c r="AA5" s="118">
        <f>ROUNDUP(HOUR(AB5)*60+MINUTE(AB5)+SECOND(AB5)/60,0)</f>
        <v>7</v>
      </c>
      <c r="AB5" s="303" t="str">
        <f>TEXT((HOUR(AC5)*60+MINUTE(AC5)+IF(SECOND(AC5)&lt;=29,0,1))*60/86400,"hh:mm:ss")</f>
        <v>00:07:00</v>
      </c>
      <c r="AC5" s="119">
        <v>0.00519675925925926</v>
      </c>
      <c r="AD5" s="120">
        <f>AA5*60</f>
        <v>420</v>
      </c>
      <c r="AE5" s="141">
        <v>169</v>
      </c>
      <c r="AF5" s="141"/>
    </row>
    <row r="6" customHeight="1" spans="1:32">
      <c r="A6" s="81">
        <v>2</v>
      </c>
      <c r="B6" s="29" t="s">
        <v>124</v>
      </c>
      <c r="C6" s="276"/>
      <c r="D6" s="277"/>
      <c r="E6" s="81">
        <v>2</v>
      </c>
      <c r="F6" s="278"/>
      <c r="G6" s="279" t="s">
        <v>961</v>
      </c>
      <c r="H6" s="28" t="s">
        <v>962</v>
      </c>
      <c r="I6" s="293" t="s">
        <v>128</v>
      </c>
      <c r="J6" s="293" t="s">
        <v>128</v>
      </c>
      <c r="K6" s="293" t="s">
        <v>128</v>
      </c>
      <c r="L6" s="294"/>
      <c r="M6" s="294"/>
      <c r="N6" s="294"/>
      <c r="O6" s="295" t="s">
        <v>963</v>
      </c>
      <c r="P6" s="295"/>
      <c r="Q6" s="300"/>
      <c r="R6" s="300"/>
      <c r="S6" s="61" t="s">
        <v>136</v>
      </c>
      <c r="T6" s="61"/>
      <c r="U6" s="52"/>
      <c r="V6" s="52"/>
      <c r="W6" s="61" t="s">
        <v>137</v>
      </c>
      <c r="X6" s="61" t="s">
        <v>136</v>
      </c>
      <c r="Y6" s="61" t="s">
        <v>135</v>
      </c>
      <c r="Z6" s="61" t="s">
        <v>135</v>
      </c>
      <c r="AA6" s="118">
        <f t="shared" ref="AA6:AA37" si="0">ROUNDUP(HOUR(AB6)*60+MINUTE(AB6)+SECOND(AB6)/60,0)</f>
        <v>10</v>
      </c>
      <c r="AB6" s="303" t="str">
        <f t="shared" ref="AB6:AB37" si="1">TEXT((HOUR(AC6)*60+MINUTE(AC6)+IF(SECOND(AC6)&lt;=29,0,1))*60/86400,"hh:mm:ss")</f>
        <v>00:10:00</v>
      </c>
      <c r="AC6" s="119">
        <v>0.00711805555555556</v>
      </c>
      <c r="AD6" s="120">
        <f t="shared" ref="AD6:AD46" si="2">AA6*60</f>
        <v>600</v>
      </c>
      <c r="AE6" s="141">
        <v>169</v>
      </c>
      <c r="AF6" s="141"/>
    </row>
    <row r="7" customHeight="1" spans="1:32">
      <c r="A7" s="81">
        <v>3</v>
      </c>
      <c r="B7" s="29" t="s">
        <v>124</v>
      </c>
      <c r="C7" s="276"/>
      <c r="D7" s="277"/>
      <c r="E7" s="81">
        <v>3</v>
      </c>
      <c r="F7" s="278"/>
      <c r="G7" s="279" t="s">
        <v>964</v>
      </c>
      <c r="H7" s="28" t="s">
        <v>965</v>
      </c>
      <c r="I7" s="293" t="s">
        <v>128</v>
      </c>
      <c r="J7" s="293" t="s">
        <v>128</v>
      </c>
      <c r="K7" s="293" t="s">
        <v>128</v>
      </c>
      <c r="L7" s="294"/>
      <c r="M7" s="294"/>
      <c r="N7" s="294"/>
      <c r="O7" s="295" t="s">
        <v>966</v>
      </c>
      <c r="P7" s="295"/>
      <c r="Q7" s="300"/>
      <c r="R7" s="300"/>
      <c r="S7" s="61" t="s">
        <v>136</v>
      </c>
      <c r="T7" s="61"/>
      <c r="U7" s="52"/>
      <c r="V7" s="52"/>
      <c r="W7" s="61" t="s">
        <v>137</v>
      </c>
      <c r="X7" s="61" t="s">
        <v>136</v>
      </c>
      <c r="Y7" s="61" t="s">
        <v>135</v>
      </c>
      <c r="Z7" s="61" t="s">
        <v>135</v>
      </c>
      <c r="AA7" s="118">
        <f t="shared" si="0"/>
        <v>11</v>
      </c>
      <c r="AB7" s="303" t="str">
        <f t="shared" si="1"/>
        <v>00:11:00</v>
      </c>
      <c r="AC7" s="119">
        <v>0.00766203703703704</v>
      </c>
      <c r="AD7" s="120">
        <f t="shared" si="2"/>
        <v>660</v>
      </c>
      <c r="AE7" s="141">
        <v>169</v>
      </c>
      <c r="AF7" s="141"/>
    </row>
    <row r="8" customHeight="1" spans="1:32">
      <c r="A8" s="81">
        <v>4</v>
      </c>
      <c r="B8" s="29" t="s">
        <v>124</v>
      </c>
      <c r="C8" s="276"/>
      <c r="D8" s="277"/>
      <c r="E8" s="81">
        <v>4</v>
      </c>
      <c r="F8" s="278"/>
      <c r="G8" s="279" t="s">
        <v>967</v>
      </c>
      <c r="H8" s="28" t="s">
        <v>968</v>
      </c>
      <c r="I8" s="293" t="s">
        <v>128</v>
      </c>
      <c r="J8" s="293" t="s">
        <v>128</v>
      </c>
      <c r="K8" s="293" t="s">
        <v>128</v>
      </c>
      <c r="L8" s="294"/>
      <c r="M8" s="294"/>
      <c r="N8" s="294"/>
      <c r="O8" s="295" t="s">
        <v>969</v>
      </c>
      <c r="P8" s="295"/>
      <c r="Q8" s="300"/>
      <c r="R8" s="300"/>
      <c r="S8" s="61" t="s">
        <v>137</v>
      </c>
      <c r="T8" s="61" t="s">
        <v>136</v>
      </c>
      <c r="U8" s="52"/>
      <c r="V8" s="52"/>
      <c r="W8" s="61" t="s">
        <v>137</v>
      </c>
      <c r="X8" s="61" t="s">
        <v>136</v>
      </c>
      <c r="Y8" s="61" t="s">
        <v>135</v>
      </c>
      <c r="Z8" s="61" t="s">
        <v>135</v>
      </c>
      <c r="AA8" s="118">
        <f t="shared" si="0"/>
        <v>56</v>
      </c>
      <c r="AB8" s="303" t="str">
        <f t="shared" si="1"/>
        <v>00:56:00</v>
      </c>
      <c r="AC8" s="119">
        <v>0.0387152777777778</v>
      </c>
      <c r="AD8" s="120">
        <f t="shared" si="2"/>
        <v>3360</v>
      </c>
      <c r="AE8" s="141">
        <v>169</v>
      </c>
      <c r="AF8" s="141"/>
    </row>
    <row r="9" customHeight="1" spans="1:32">
      <c r="A9" s="81">
        <v>5</v>
      </c>
      <c r="B9" s="29" t="s">
        <v>124</v>
      </c>
      <c r="C9" s="276"/>
      <c r="D9" s="277"/>
      <c r="E9" s="81">
        <v>5</v>
      </c>
      <c r="F9" s="278" t="s">
        <v>970</v>
      </c>
      <c r="G9" s="279" t="s">
        <v>971</v>
      </c>
      <c r="H9" s="28" t="s">
        <v>972</v>
      </c>
      <c r="I9" s="293" t="s">
        <v>128</v>
      </c>
      <c r="J9" s="293" t="s">
        <v>128</v>
      </c>
      <c r="K9" s="293" t="s">
        <v>128</v>
      </c>
      <c r="L9" s="294"/>
      <c r="M9" s="294"/>
      <c r="N9" s="294"/>
      <c r="O9" s="295" t="s">
        <v>973</v>
      </c>
      <c r="P9" s="295"/>
      <c r="Q9" s="300"/>
      <c r="R9" s="300"/>
      <c r="S9" s="61" t="s">
        <v>137</v>
      </c>
      <c r="T9" s="61" t="s">
        <v>136</v>
      </c>
      <c r="U9" s="52"/>
      <c r="V9" s="52"/>
      <c r="W9" s="61" t="s">
        <v>137</v>
      </c>
      <c r="X9" s="61" t="s">
        <v>136</v>
      </c>
      <c r="Y9" s="61" t="s">
        <v>135</v>
      </c>
      <c r="Z9" s="61" t="s">
        <v>135</v>
      </c>
      <c r="AA9" s="118">
        <f t="shared" si="0"/>
        <v>9</v>
      </c>
      <c r="AB9" s="303" t="str">
        <f t="shared" si="1"/>
        <v>00:09:00</v>
      </c>
      <c r="AC9" s="119">
        <v>0.00623842592592593</v>
      </c>
      <c r="AD9" s="120">
        <f t="shared" si="2"/>
        <v>540</v>
      </c>
      <c r="AE9" s="141">
        <v>169</v>
      </c>
      <c r="AF9" s="141"/>
    </row>
    <row r="10" customHeight="1" spans="1:32">
      <c r="A10" s="81">
        <v>6</v>
      </c>
      <c r="B10" s="29" t="s">
        <v>124</v>
      </c>
      <c r="C10" s="276"/>
      <c r="D10" s="277"/>
      <c r="E10" s="81">
        <v>6</v>
      </c>
      <c r="F10" s="278"/>
      <c r="G10" s="279" t="s">
        <v>974</v>
      </c>
      <c r="H10" s="28" t="s">
        <v>975</v>
      </c>
      <c r="I10" s="293" t="s">
        <v>128</v>
      </c>
      <c r="J10" s="293" t="s">
        <v>128</v>
      </c>
      <c r="K10" s="293" t="s">
        <v>128</v>
      </c>
      <c r="L10" s="294"/>
      <c r="M10" s="294"/>
      <c r="N10" s="294"/>
      <c r="O10" s="295" t="s">
        <v>976</v>
      </c>
      <c r="P10" s="295"/>
      <c r="Q10" s="300"/>
      <c r="R10" s="300"/>
      <c r="S10" s="61" t="s">
        <v>137</v>
      </c>
      <c r="T10" s="61" t="s">
        <v>136</v>
      </c>
      <c r="U10" s="52"/>
      <c r="V10" s="52"/>
      <c r="W10" s="61" t="s">
        <v>137</v>
      </c>
      <c r="X10" s="61" t="s">
        <v>136</v>
      </c>
      <c r="Y10" s="61" t="s">
        <v>135</v>
      </c>
      <c r="Z10" s="61" t="s">
        <v>135</v>
      </c>
      <c r="AA10" s="118">
        <f t="shared" si="0"/>
        <v>9</v>
      </c>
      <c r="AB10" s="303" t="str">
        <f t="shared" si="1"/>
        <v>00:09:00</v>
      </c>
      <c r="AC10" s="119">
        <v>0.00600694444444444</v>
      </c>
      <c r="AD10" s="120">
        <f t="shared" si="2"/>
        <v>540</v>
      </c>
      <c r="AE10" s="141">
        <v>169</v>
      </c>
      <c r="AF10" s="141"/>
    </row>
    <row r="11" customHeight="1" spans="1:32">
      <c r="A11" s="81">
        <v>7</v>
      </c>
      <c r="B11" s="29" t="s">
        <v>124</v>
      </c>
      <c r="C11" s="276"/>
      <c r="D11" s="277"/>
      <c r="E11" s="81">
        <v>7</v>
      </c>
      <c r="F11" s="278"/>
      <c r="G11" s="279" t="s">
        <v>977</v>
      </c>
      <c r="H11" s="28" t="s">
        <v>978</v>
      </c>
      <c r="I11" s="293" t="s">
        <v>128</v>
      </c>
      <c r="J11" s="293" t="s">
        <v>128</v>
      </c>
      <c r="K11" s="293" t="s">
        <v>128</v>
      </c>
      <c r="L11" s="294"/>
      <c r="M11" s="294"/>
      <c r="N11" s="294"/>
      <c r="O11" s="295" t="s">
        <v>979</v>
      </c>
      <c r="P11" s="295"/>
      <c r="Q11" s="300"/>
      <c r="R11" s="300"/>
      <c r="S11" s="61" t="s">
        <v>137</v>
      </c>
      <c r="T11" s="61" t="s">
        <v>136</v>
      </c>
      <c r="U11" s="52"/>
      <c r="V11" s="52"/>
      <c r="W11" s="52" t="s">
        <v>137</v>
      </c>
      <c r="X11" s="52" t="s">
        <v>136</v>
      </c>
      <c r="Y11" s="61" t="s">
        <v>135</v>
      </c>
      <c r="Z11" s="61" t="s">
        <v>135</v>
      </c>
      <c r="AA11" s="118">
        <f t="shared" si="0"/>
        <v>7</v>
      </c>
      <c r="AB11" s="303" t="str">
        <f t="shared" si="1"/>
        <v>00:07:00</v>
      </c>
      <c r="AC11" s="119">
        <v>0.00508101851851852</v>
      </c>
      <c r="AD11" s="120">
        <f t="shared" si="2"/>
        <v>420</v>
      </c>
      <c r="AE11" s="141">
        <v>169</v>
      </c>
      <c r="AF11" s="141"/>
    </row>
    <row r="12" customHeight="1" spans="1:32">
      <c r="A12" s="81">
        <v>8</v>
      </c>
      <c r="B12" s="29" t="s">
        <v>124</v>
      </c>
      <c r="C12" s="276"/>
      <c r="D12" s="277"/>
      <c r="E12" s="81">
        <v>8</v>
      </c>
      <c r="F12" s="278"/>
      <c r="G12" s="279" t="s">
        <v>980</v>
      </c>
      <c r="H12" s="28" t="s">
        <v>981</v>
      </c>
      <c r="I12" s="293" t="s">
        <v>128</v>
      </c>
      <c r="J12" s="293" t="s">
        <v>128</v>
      </c>
      <c r="K12" s="293" t="s">
        <v>128</v>
      </c>
      <c r="L12" s="294"/>
      <c r="M12" s="294"/>
      <c r="N12" s="294"/>
      <c r="O12" s="295" t="s">
        <v>982</v>
      </c>
      <c r="P12" s="295"/>
      <c r="Q12" s="300"/>
      <c r="R12" s="300"/>
      <c r="S12" s="61" t="s">
        <v>137</v>
      </c>
      <c r="T12" s="61" t="s">
        <v>136</v>
      </c>
      <c r="U12" s="52"/>
      <c r="V12" s="52"/>
      <c r="W12" s="52" t="s">
        <v>137</v>
      </c>
      <c r="X12" s="52" t="s">
        <v>136</v>
      </c>
      <c r="Y12" s="61" t="s">
        <v>135</v>
      </c>
      <c r="Z12" s="61" t="s">
        <v>135</v>
      </c>
      <c r="AA12" s="118">
        <f t="shared" si="0"/>
        <v>34</v>
      </c>
      <c r="AB12" s="303" t="str">
        <f t="shared" si="1"/>
        <v>00:34:00</v>
      </c>
      <c r="AC12" s="119">
        <v>0.0236458333333333</v>
      </c>
      <c r="AD12" s="120">
        <f t="shared" si="2"/>
        <v>2040</v>
      </c>
      <c r="AE12" s="141">
        <v>169</v>
      </c>
      <c r="AF12" s="141"/>
    </row>
    <row r="13" customHeight="1" spans="1:32">
      <c r="A13" s="81">
        <v>9</v>
      </c>
      <c r="B13" s="29" t="s">
        <v>124</v>
      </c>
      <c r="C13" s="276"/>
      <c r="D13" s="277"/>
      <c r="E13" s="81">
        <v>9</v>
      </c>
      <c r="F13" s="278" t="s">
        <v>983</v>
      </c>
      <c r="G13" s="279" t="s">
        <v>984</v>
      </c>
      <c r="H13" s="28" t="s">
        <v>985</v>
      </c>
      <c r="I13" s="293" t="s">
        <v>128</v>
      </c>
      <c r="J13" s="293" t="s">
        <v>128</v>
      </c>
      <c r="K13" s="293" t="s">
        <v>128</v>
      </c>
      <c r="L13" s="294"/>
      <c r="M13" s="294"/>
      <c r="N13" s="294"/>
      <c r="O13" s="295" t="s">
        <v>986</v>
      </c>
      <c r="P13" s="295"/>
      <c r="Q13" s="300"/>
      <c r="R13" s="300"/>
      <c r="S13" s="61" t="s">
        <v>136</v>
      </c>
      <c r="T13" s="61"/>
      <c r="U13" s="52"/>
      <c r="V13" s="52"/>
      <c r="W13" s="52" t="s">
        <v>137</v>
      </c>
      <c r="X13" s="52" t="s">
        <v>136</v>
      </c>
      <c r="Y13" s="61" t="s">
        <v>135</v>
      </c>
      <c r="Z13" s="61" t="s">
        <v>135</v>
      </c>
      <c r="AA13" s="118">
        <f t="shared" si="0"/>
        <v>5</v>
      </c>
      <c r="AB13" s="303" t="str">
        <f t="shared" si="1"/>
        <v>00:05:00</v>
      </c>
      <c r="AC13" s="119">
        <v>0.00314814814814815</v>
      </c>
      <c r="AD13" s="120">
        <f t="shared" si="2"/>
        <v>300</v>
      </c>
      <c r="AE13" s="141">
        <v>169</v>
      </c>
      <c r="AF13" s="141"/>
    </row>
    <row r="14" customHeight="1" spans="1:32">
      <c r="A14" s="81">
        <v>10</v>
      </c>
      <c r="B14" s="29" t="s">
        <v>124</v>
      </c>
      <c r="C14" s="276"/>
      <c r="D14" s="277"/>
      <c r="E14" s="81">
        <v>10</v>
      </c>
      <c r="F14" s="278"/>
      <c r="G14" s="279" t="s">
        <v>987</v>
      </c>
      <c r="H14" s="28" t="s">
        <v>988</v>
      </c>
      <c r="I14" s="293" t="s">
        <v>128</v>
      </c>
      <c r="J14" s="293" t="s">
        <v>128</v>
      </c>
      <c r="K14" s="293" t="s">
        <v>128</v>
      </c>
      <c r="L14" s="294"/>
      <c r="M14" s="294"/>
      <c r="N14" s="294"/>
      <c r="O14" s="295" t="s">
        <v>989</v>
      </c>
      <c r="P14" s="295"/>
      <c r="Q14" s="300"/>
      <c r="R14" s="300"/>
      <c r="S14" s="61" t="s">
        <v>136</v>
      </c>
      <c r="T14" s="61"/>
      <c r="U14" s="52"/>
      <c r="V14" s="52"/>
      <c r="W14" s="52" t="s">
        <v>137</v>
      </c>
      <c r="X14" s="52" t="s">
        <v>136</v>
      </c>
      <c r="Y14" s="61" t="s">
        <v>135</v>
      </c>
      <c r="Z14" s="61" t="s">
        <v>135</v>
      </c>
      <c r="AA14" s="118">
        <f t="shared" si="0"/>
        <v>8</v>
      </c>
      <c r="AB14" s="303" t="str">
        <f t="shared" si="1"/>
        <v>00:08:00</v>
      </c>
      <c r="AC14" s="119">
        <v>0.00575231481481482</v>
      </c>
      <c r="AD14" s="120">
        <f t="shared" si="2"/>
        <v>480</v>
      </c>
      <c r="AE14" s="141">
        <v>169</v>
      </c>
      <c r="AF14" s="141"/>
    </row>
    <row r="15" customHeight="1" spans="1:32">
      <c r="A15" s="81">
        <v>11</v>
      </c>
      <c r="B15" s="29" t="s">
        <v>124</v>
      </c>
      <c r="C15" s="276"/>
      <c r="D15" s="277"/>
      <c r="E15" s="81">
        <v>11</v>
      </c>
      <c r="F15" s="278"/>
      <c r="G15" s="279" t="s">
        <v>990</v>
      </c>
      <c r="H15" s="28" t="s">
        <v>991</v>
      </c>
      <c r="I15" s="293" t="s">
        <v>128</v>
      </c>
      <c r="J15" s="293" t="s">
        <v>128</v>
      </c>
      <c r="K15" s="293" t="s">
        <v>128</v>
      </c>
      <c r="L15" s="294"/>
      <c r="M15" s="294"/>
      <c r="N15" s="294"/>
      <c r="O15" s="295" t="s">
        <v>992</v>
      </c>
      <c r="P15" s="295"/>
      <c r="Q15" s="300"/>
      <c r="R15" s="300"/>
      <c r="S15" s="61" t="s">
        <v>136</v>
      </c>
      <c r="T15" s="61"/>
      <c r="U15" s="52"/>
      <c r="V15" s="52"/>
      <c r="W15" s="61" t="s">
        <v>137</v>
      </c>
      <c r="X15" s="61" t="s">
        <v>136</v>
      </c>
      <c r="Y15" s="61" t="s">
        <v>135</v>
      </c>
      <c r="Z15" s="61" t="s">
        <v>135</v>
      </c>
      <c r="AA15" s="118">
        <f t="shared" si="0"/>
        <v>14</v>
      </c>
      <c r="AB15" s="303" t="str">
        <f t="shared" si="1"/>
        <v>00:14:00</v>
      </c>
      <c r="AC15" s="119">
        <v>0.00978009259259259</v>
      </c>
      <c r="AD15" s="120">
        <f t="shared" si="2"/>
        <v>840</v>
      </c>
      <c r="AE15" s="141">
        <v>169</v>
      </c>
      <c r="AF15" s="141"/>
    </row>
    <row r="16" customHeight="1" spans="1:32">
      <c r="A16" s="81">
        <v>12</v>
      </c>
      <c r="B16" s="29" t="s">
        <v>124</v>
      </c>
      <c r="C16" s="276"/>
      <c r="D16" s="277"/>
      <c r="E16" s="81">
        <v>12</v>
      </c>
      <c r="F16" s="278"/>
      <c r="G16" s="279" t="s">
        <v>993</v>
      </c>
      <c r="H16" s="28" t="s">
        <v>994</v>
      </c>
      <c r="I16" s="293" t="s">
        <v>128</v>
      </c>
      <c r="J16" s="293" t="s">
        <v>128</v>
      </c>
      <c r="K16" s="293" t="s">
        <v>128</v>
      </c>
      <c r="L16" s="294"/>
      <c r="M16" s="294"/>
      <c r="N16" s="294"/>
      <c r="O16" s="295" t="s">
        <v>995</v>
      </c>
      <c r="P16" s="295"/>
      <c r="Q16" s="300"/>
      <c r="R16" s="300"/>
      <c r="S16" s="61" t="s">
        <v>137</v>
      </c>
      <c r="T16" s="61" t="s">
        <v>136</v>
      </c>
      <c r="U16" s="52"/>
      <c r="V16" s="52"/>
      <c r="W16" s="61" t="s">
        <v>137</v>
      </c>
      <c r="X16" s="61" t="s">
        <v>136</v>
      </c>
      <c r="Y16" s="61" t="s">
        <v>135</v>
      </c>
      <c r="Z16" s="61" t="s">
        <v>135</v>
      </c>
      <c r="AA16" s="118">
        <f t="shared" si="0"/>
        <v>57</v>
      </c>
      <c r="AB16" s="303" t="str">
        <f t="shared" si="1"/>
        <v>00:57:00</v>
      </c>
      <c r="AC16" s="119">
        <v>0.0392824074074074</v>
      </c>
      <c r="AD16" s="120">
        <f t="shared" si="2"/>
        <v>3420</v>
      </c>
      <c r="AE16" s="141">
        <v>169</v>
      </c>
      <c r="AF16" s="141"/>
    </row>
    <row r="17" customHeight="1" spans="1:32">
      <c r="A17" s="81">
        <v>13</v>
      </c>
      <c r="B17" s="29" t="s">
        <v>124</v>
      </c>
      <c r="C17" s="276"/>
      <c r="D17" s="277"/>
      <c r="E17" s="81">
        <v>13</v>
      </c>
      <c r="F17" s="278" t="s">
        <v>996</v>
      </c>
      <c r="G17" s="279" t="s">
        <v>997</v>
      </c>
      <c r="H17" s="28" t="s">
        <v>998</v>
      </c>
      <c r="I17" s="293" t="s">
        <v>128</v>
      </c>
      <c r="J17" s="293" t="s">
        <v>128</v>
      </c>
      <c r="K17" s="293" t="s">
        <v>128</v>
      </c>
      <c r="L17" s="294"/>
      <c r="M17" s="294"/>
      <c r="N17" s="294"/>
      <c r="O17" s="295" t="s">
        <v>999</v>
      </c>
      <c r="P17" s="295"/>
      <c r="Q17" s="300"/>
      <c r="R17" s="300"/>
      <c r="S17" s="61" t="s">
        <v>137</v>
      </c>
      <c r="T17" s="61" t="s">
        <v>136</v>
      </c>
      <c r="U17" s="52"/>
      <c r="V17" s="52"/>
      <c r="W17" s="61" t="s">
        <v>137</v>
      </c>
      <c r="X17" s="61" t="s">
        <v>136</v>
      </c>
      <c r="Y17" s="61" t="s">
        <v>135</v>
      </c>
      <c r="Z17" s="61" t="s">
        <v>135</v>
      </c>
      <c r="AA17" s="118">
        <f t="shared" si="0"/>
        <v>10</v>
      </c>
      <c r="AB17" s="303" t="str">
        <f t="shared" si="1"/>
        <v>00:10:00</v>
      </c>
      <c r="AC17" s="119">
        <v>0.00674768518518519</v>
      </c>
      <c r="AD17" s="120">
        <f t="shared" si="2"/>
        <v>600</v>
      </c>
      <c r="AE17" s="141">
        <v>169</v>
      </c>
      <c r="AF17" s="141"/>
    </row>
    <row r="18" customHeight="1" spans="1:32">
      <c r="A18" s="81">
        <v>14</v>
      </c>
      <c r="B18" s="29" t="s">
        <v>124</v>
      </c>
      <c r="C18" s="276"/>
      <c r="D18" s="277"/>
      <c r="E18" s="81">
        <v>14</v>
      </c>
      <c r="F18" s="278"/>
      <c r="G18" s="279" t="s">
        <v>1000</v>
      </c>
      <c r="H18" s="28" t="s">
        <v>1001</v>
      </c>
      <c r="I18" s="293" t="s">
        <v>128</v>
      </c>
      <c r="J18" s="293" t="s">
        <v>128</v>
      </c>
      <c r="K18" s="293" t="s">
        <v>128</v>
      </c>
      <c r="L18" s="294"/>
      <c r="M18" s="294"/>
      <c r="N18" s="294"/>
      <c r="O18" s="295" t="s">
        <v>1002</v>
      </c>
      <c r="P18" s="295"/>
      <c r="Q18" s="300"/>
      <c r="R18" s="300"/>
      <c r="S18" s="61" t="s">
        <v>137</v>
      </c>
      <c r="T18" s="61" t="s">
        <v>136</v>
      </c>
      <c r="U18" s="52"/>
      <c r="V18" s="52"/>
      <c r="W18" s="61" t="s">
        <v>137</v>
      </c>
      <c r="X18" s="61" t="s">
        <v>136</v>
      </c>
      <c r="Y18" s="61" t="s">
        <v>135</v>
      </c>
      <c r="Z18" s="61" t="s">
        <v>135</v>
      </c>
      <c r="AA18" s="118">
        <f t="shared" si="0"/>
        <v>7</v>
      </c>
      <c r="AB18" s="303" t="str">
        <f t="shared" si="1"/>
        <v>00:07:00</v>
      </c>
      <c r="AC18" s="119">
        <v>0.00453703703703704</v>
      </c>
      <c r="AD18" s="120">
        <f t="shared" si="2"/>
        <v>420</v>
      </c>
      <c r="AE18" s="141">
        <v>169</v>
      </c>
      <c r="AF18" s="141"/>
    </row>
    <row r="19" customHeight="1" spans="1:32">
      <c r="A19" s="81">
        <v>15</v>
      </c>
      <c r="B19" s="29" t="s">
        <v>124</v>
      </c>
      <c r="C19" s="276"/>
      <c r="D19" s="277"/>
      <c r="E19" s="81">
        <v>15</v>
      </c>
      <c r="F19" s="278"/>
      <c r="G19" s="279" t="s">
        <v>1003</v>
      </c>
      <c r="H19" s="28" t="s">
        <v>1004</v>
      </c>
      <c r="I19" s="293" t="s">
        <v>128</v>
      </c>
      <c r="J19" s="293" t="s">
        <v>128</v>
      </c>
      <c r="K19" s="293" t="s">
        <v>128</v>
      </c>
      <c r="L19" s="294"/>
      <c r="M19" s="294"/>
      <c r="N19" s="294"/>
      <c r="O19" s="295" t="s">
        <v>1005</v>
      </c>
      <c r="P19" s="295"/>
      <c r="Q19" s="300"/>
      <c r="R19" s="300"/>
      <c r="S19" s="61" t="s">
        <v>137</v>
      </c>
      <c r="T19" s="61" t="s">
        <v>136</v>
      </c>
      <c r="U19" s="52"/>
      <c r="V19" s="52"/>
      <c r="W19" s="61" t="s">
        <v>137</v>
      </c>
      <c r="X19" s="61" t="s">
        <v>136</v>
      </c>
      <c r="Y19" s="61" t="s">
        <v>135</v>
      </c>
      <c r="Z19" s="61" t="s">
        <v>135</v>
      </c>
      <c r="AA19" s="118">
        <f t="shared" si="0"/>
        <v>7</v>
      </c>
      <c r="AB19" s="303" t="str">
        <f t="shared" si="1"/>
        <v>00:07:00</v>
      </c>
      <c r="AC19" s="119">
        <v>0.00493055555555556</v>
      </c>
      <c r="AD19" s="120">
        <f t="shared" si="2"/>
        <v>420</v>
      </c>
      <c r="AE19" s="141">
        <v>169</v>
      </c>
      <c r="AF19" s="141"/>
    </row>
    <row r="20" customHeight="1" spans="1:32">
      <c r="A20" s="81">
        <v>16</v>
      </c>
      <c r="B20" s="29" t="s">
        <v>124</v>
      </c>
      <c r="C20" s="276"/>
      <c r="D20" s="277"/>
      <c r="E20" s="81">
        <v>16</v>
      </c>
      <c r="F20" s="278"/>
      <c r="G20" s="279" t="s">
        <v>1006</v>
      </c>
      <c r="H20" s="28" t="s">
        <v>1007</v>
      </c>
      <c r="I20" s="293" t="s">
        <v>128</v>
      </c>
      <c r="J20" s="293" t="s">
        <v>128</v>
      </c>
      <c r="K20" s="293" t="s">
        <v>128</v>
      </c>
      <c r="L20" s="294"/>
      <c r="M20" s="294"/>
      <c r="N20" s="294"/>
      <c r="O20" s="295" t="s">
        <v>1008</v>
      </c>
      <c r="P20" s="295"/>
      <c r="Q20" s="300"/>
      <c r="R20" s="300"/>
      <c r="S20" s="61" t="s">
        <v>137</v>
      </c>
      <c r="T20" s="61" t="s">
        <v>136</v>
      </c>
      <c r="U20" s="52"/>
      <c r="V20" s="52"/>
      <c r="W20" s="61" t="s">
        <v>137</v>
      </c>
      <c r="X20" s="61" t="s">
        <v>136</v>
      </c>
      <c r="Y20" s="61" t="s">
        <v>135</v>
      </c>
      <c r="Z20" s="61" t="s">
        <v>135</v>
      </c>
      <c r="AA20" s="118">
        <f t="shared" si="0"/>
        <v>31</v>
      </c>
      <c r="AB20" s="303" t="str">
        <f t="shared" si="1"/>
        <v>00:31:00</v>
      </c>
      <c r="AC20" s="119">
        <v>0.021724537037037</v>
      </c>
      <c r="AD20" s="120">
        <f t="shared" si="2"/>
        <v>1860</v>
      </c>
      <c r="AE20" s="141">
        <v>169</v>
      </c>
      <c r="AF20" s="141"/>
    </row>
    <row r="21" customHeight="1" spans="1:32">
      <c r="A21" s="81">
        <v>17</v>
      </c>
      <c r="B21" s="29" t="s">
        <v>124</v>
      </c>
      <c r="C21" s="276"/>
      <c r="D21" s="277"/>
      <c r="E21" s="81">
        <v>17</v>
      </c>
      <c r="F21" s="278" t="s">
        <v>1009</v>
      </c>
      <c r="G21" s="279" t="s">
        <v>1010</v>
      </c>
      <c r="H21" s="28" t="s">
        <v>1011</v>
      </c>
      <c r="I21" s="293" t="s">
        <v>128</v>
      </c>
      <c r="J21" s="293" t="s">
        <v>128</v>
      </c>
      <c r="K21" s="293" t="s">
        <v>128</v>
      </c>
      <c r="L21" s="294"/>
      <c r="M21" s="294"/>
      <c r="N21" s="294"/>
      <c r="O21" s="295" t="s">
        <v>1012</v>
      </c>
      <c r="P21" s="295"/>
      <c r="Q21" s="300"/>
      <c r="R21" s="300"/>
      <c r="S21" s="61" t="s">
        <v>136</v>
      </c>
      <c r="T21" s="61"/>
      <c r="U21" s="52"/>
      <c r="V21" s="52"/>
      <c r="W21" s="61" t="s">
        <v>136</v>
      </c>
      <c r="X21" s="61"/>
      <c r="Y21" s="61" t="s">
        <v>135</v>
      </c>
      <c r="Z21" s="61" t="s">
        <v>135</v>
      </c>
      <c r="AA21" s="118">
        <f t="shared" si="0"/>
        <v>7</v>
      </c>
      <c r="AB21" s="303" t="str">
        <f t="shared" si="1"/>
        <v>00:07:00</v>
      </c>
      <c r="AC21" s="119">
        <v>0.00516203703703704</v>
      </c>
      <c r="AD21" s="120">
        <f t="shared" si="2"/>
        <v>420</v>
      </c>
      <c r="AE21" s="141">
        <v>169</v>
      </c>
      <c r="AF21" s="141"/>
    </row>
    <row r="22" customHeight="1" spans="1:32">
      <c r="A22" s="81">
        <v>18</v>
      </c>
      <c r="B22" s="29" t="s">
        <v>124</v>
      </c>
      <c r="C22" s="276"/>
      <c r="D22" s="277"/>
      <c r="E22" s="81">
        <v>18</v>
      </c>
      <c r="F22" s="278"/>
      <c r="G22" s="279" t="s">
        <v>1013</v>
      </c>
      <c r="H22" s="28" t="s">
        <v>1014</v>
      </c>
      <c r="I22" s="293" t="s">
        <v>128</v>
      </c>
      <c r="J22" s="293" t="s">
        <v>128</v>
      </c>
      <c r="K22" s="293" t="s">
        <v>128</v>
      </c>
      <c r="L22" s="294"/>
      <c r="M22" s="294"/>
      <c r="N22" s="294"/>
      <c r="O22" s="295" t="s">
        <v>1015</v>
      </c>
      <c r="P22" s="295"/>
      <c r="Q22" s="300"/>
      <c r="R22" s="300"/>
      <c r="S22" s="61" t="s">
        <v>136</v>
      </c>
      <c r="T22" s="61"/>
      <c r="U22" s="52"/>
      <c r="V22" s="52"/>
      <c r="W22" s="61" t="s">
        <v>136</v>
      </c>
      <c r="X22" s="61"/>
      <c r="Y22" s="61" t="s">
        <v>135</v>
      </c>
      <c r="Z22" s="61" t="s">
        <v>135</v>
      </c>
      <c r="AA22" s="118">
        <f t="shared" si="0"/>
        <v>12</v>
      </c>
      <c r="AB22" s="303" t="str">
        <f t="shared" si="1"/>
        <v>00:12:00</v>
      </c>
      <c r="AC22" s="119">
        <v>0.0081712962962963</v>
      </c>
      <c r="AD22" s="120">
        <f t="shared" si="2"/>
        <v>720</v>
      </c>
      <c r="AE22" s="141">
        <v>169</v>
      </c>
      <c r="AF22" s="141"/>
    </row>
    <row r="23" customHeight="1" spans="1:32">
      <c r="A23" s="81">
        <v>19</v>
      </c>
      <c r="B23" s="29" t="s">
        <v>124</v>
      </c>
      <c r="C23" s="276"/>
      <c r="D23" s="277"/>
      <c r="E23" s="81">
        <v>19</v>
      </c>
      <c r="F23" s="278"/>
      <c r="G23" s="279" t="s">
        <v>1016</v>
      </c>
      <c r="H23" s="28" t="s">
        <v>1017</v>
      </c>
      <c r="I23" s="293" t="s">
        <v>128</v>
      </c>
      <c r="J23" s="293" t="s">
        <v>128</v>
      </c>
      <c r="K23" s="293" t="s">
        <v>128</v>
      </c>
      <c r="L23" s="294"/>
      <c r="M23" s="294"/>
      <c r="N23" s="294"/>
      <c r="O23" s="295" t="s">
        <v>1018</v>
      </c>
      <c r="P23" s="295"/>
      <c r="Q23" s="300"/>
      <c r="R23" s="300"/>
      <c r="S23" s="61" t="s">
        <v>136</v>
      </c>
      <c r="T23" s="61"/>
      <c r="U23" s="52"/>
      <c r="V23" s="52"/>
      <c r="W23" s="61" t="s">
        <v>136</v>
      </c>
      <c r="X23" s="61"/>
      <c r="Y23" s="61" t="s">
        <v>135</v>
      </c>
      <c r="Z23" s="61" t="s">
        <v>135</v>
      </c>
      <c r="AA23" s="118">
        <f t="shared" si="0"/>
        <v>8</v>
      </c>
      <c r="AB23" s="303" t="str">
        <f t="shared" si="1"/>
        <v>00:08:00</v>
      </c>
      <c r="AC23" s="119">
        <v>0.00576388888888889</v>
      </c>
      <c r="AD23" s="120">
        <f t="shared" si="2"/>
        <v>480</v>
      </c>
      <c r="AE23" s="141">
        <v>169</v>
      </c>
      <c r="AF23" s="141"/>
    </row>
    <row r="24" customHeight="1" spans="1:32">
      <c r="A24" s="81">
        <v>20</v>
      </c>
      <c r="B24" s="29" t="s">
        <v>124</v>
      </c>
      <c r="C24" s="276"/>
      <c r="D24" s="277"/>
      <c r="E24" s="81">
        <v>20</v>
      </c>
      <c r="F24" s="278"/>
      <c r="G24" s="279" t="s">
        <v>1019</v>
      </c>
      <c r="H24" s="28" t="s">
        <v>1020</v>
      </c>
      <c r="I24" s="293" t="s">
        <v>128</v>
      </c>
      <c r="J24" s="293" t="s">
        <v>128</v>
      </c>
      <c r="K24" s="293" t="s">
        <v>128</v>
      </c>
      <c r="L24" s="294"/>
      <c r="M24" s="294"/>
      <c r="N24" s="294"/>
      <c r="O24" s="295" t="s">
        <v>1021</v>
      </c>
      <c r="P24" s="295"/>
      <c r="Q24" s="300"/>
      <c r="R24" s="300"/>
      <c r="S24" s="61" t="s">
        <v>136</v>
      </c>
      <c r="T24" s="61"/>
      <c r="U24" s="52"/>
      <c r="V24" s="52"/>
      <c r="W24" s="61" t="s">
        <v>136</v>
      </c>
      <c r="X24" s="61"/>
      <c r="Y24" s="61" t="s">
        <v>135</v>
      </c>
      <c r="Z24" s="61" t="s">
        <v>135</v>
      </c>
      <c r="AA24" s="118">
        <f t="shared" si="0"/>
        <v>64</v>
      </c>
      <c r="AB24" s="303" t="str">
        <f t="shared" si="1"/>
        <v>01:04:00</v>
      </c>
      <c r="AC24" s="119">
        <v>0.0443171296296296</v>
      </c>
      <c r="AD24" s="120">
        <f t="shared" si="2"/>
        <v>3840</v>
      </c>
      <c r="AE24" s="141">
        <v>169</v>
      </c>
      <c r="AF24" s="141"/>
    </row>
    <row r="25" customHeight="1" spans="1:32">
      <c r="A25" s="81">
        <v>21</v>
      </c>
      <c r="B25" s="29" t="s">
        <v>124</v>
      </c>
      <c r="C25" s="276"/>
      <c r="D25" s="277"/>
      <c r="E25" s="81">
        <v>21</v>
      </c>
      <c r="F25" s="278" t="s">
        <v>1022</v>
      </c>
      <c r="G25" s="279" t="s">
        <v>1023</v>
      </c>
      <c r="H25" s="28" t="s">
        <v>1024</v>
      </c>
      <c r="I25" s="293" t="s">
        <v>128</v>
      </c>
      <c r="J25" s="293" t="s">
        <v>128</v>
      </c>
      <c r="K25" s="293" t="s">
        <v>128</v>
      </c>
      <c r="L25" s="294"/>
      <c r="M25" s="294"/>
      <c r="N25" s="294"/>
      <c r="O25" s="295" t="s">
        <v>1025</v>
      </c>
      <c r="P25" s="295"/>
      <c r="Q25" s="300"/>
      <c r="R25" s="300"/>
      <c r="S25" s="61" t="s">
        <v>136</v>
      </c>
      <c r="T25" s="61"/>
      <c r="U25" s="52"/>
      <c r="V25" s="52"/>
      <c r="W25" s="61" t="s">
        <v>136</v>
      </c>
      <c r="X25" s="61"/>
      <c r="Y25" s="61" t="s">
        <v>135</v>
      </c>
      <c r="Z25" s="61" t="s">
        <v>135</v>
      </c>
      <c r="AA25" s="118">
        <f t="shared" si="0"/>
        <v>8</v>
      </c>
      <c r="AB25" s="303" t="str">
        <f t="shared" si="1"/>
        <v>00:08:00</v>
      </c>
      <c r="AC25" s="119">
        <v>0.0055787037037037</v>
      </c>
      <c r="AD25" s="120">
        <f t="shared" si="2"/>
        <v>480</v>
      </c>
      <c r="AE25" s="141">
        <v>169</v>
      </c>
      <c r="AF25" s="141"/>
    </row>
    <row r="26" customHeight="1" spans="1:32">
      <c r="A26" s="81">
        <v>22</v>
      </c>
      <c r="B26" s="29" t="s">
        <v>124</v>
      </c>
      <c r="C26" s="276"/>
      <c r="D26" s="277"/>
      <c r="E26" s="81">
        <v>22</v>
      </c>
      <c r="F26" s="278"/>
      <c r="G26" s="279" t="s">
        <v>1026</v>
      </c>
      <c r="H26" s="28" t="s">
        <v>1027</v>
      </c>
      <c r="I26" s="293" t="s">
        <v>128</v>
      </c>
      <c r="J26" s="293" t="s">
        <v>128</v>
      </c>
      <c r="K26" s="293" t="s">
        <v>128</v>
      </c>
      <c r="L26" s="294"/>
      <c r="M26" s="294"/>
      <c r="N26" s="294"/>
      <c r="O26" s="295" t="s">
        <v>1028</v>
      </c>
      <c r="P26" s="295"/>
      <c r="Q26" s="300"/>
      <c r="R26" s="300"/>
      <c r="S26" s="61" t="s">
        <v>136</v>
      </c>
      <c r="T26" s="61"/>
      <c r="U26" s="52"/>
      <c r="V26" s="52"/>
      <c r="W26" s="61" t="s">
        <v>136</v>
      </c>
      <c r="X26" s="61"/>
      <c r="Y26" s="61" t="s">
        <v>135</v>
      </c>
      <c r="Z26" s="61" t="s">
        <v>135</v>
      </c>
      <c r="AA26" s="118">
        <f t="shared" si="0"/>
        <v>7</v>
      </c>
      <c r="AB26" s="303" t="str">
        <f t="shared" si="1"/>
        <v>00:07:00</v>
      </c>
      <c r="AC26" s="119">
        <v>0.00458333333333333</v>
      </c>
      <c r="AD26" s="120">
        <f t="shared" si="2"/>
        <v>420</v>
      </c>
      <c r="AE26" s="141">
        <v>169</v>
      </c>
      <c r="AF26" s="141"/>
    </row>
    <row r="27" customHeight="1" spans="1:32">
      <c r="A27" s="81">
        <v>23</v>
      </c>
      <c r="B27" s="29" t="s">
        <v>124</v>
      </c>
      <c r="C27" s="276"/>
      <c r="D27" s="277"/>
      <c r="E27" s="81">
        <v>23</v>
      </c>
      <c r="F27" s="278"/>
      <c r="G27" s="279" t="s">
        <v>1029</v>
      </c>
      <c r="H27" s="28" t="s">
        <v>1030</v>
      </c>
      <c r="I27" s="293" t="s">
        <v>128</v>
      </c>
      <c r="J27" s="293" t="s">
        <v>128</v>
      </c>
      <c r="K27" s="293" t="s">
        <v>128</v>
      </c>
      <c r="L27" s="294"/>
      <c r="M27" s="294"/>
      <c r="N27" s="294"/>
      <c r="O27" s="295" t="s">
        <v>1031</v>
      </c>
      <c r="P27" s="295"/>
      <c r="Q27" s="300"/>
      <c r="R27" s="300"/>
      <c r="S27" s="61" t="s">
        <v>136</v>
      </c>
      <c r="T27" s="61"/>
      <c r="U27" s="52"/>
      <c r="V27" s="52"/>
      <c r="W27" s="61" t="s">
        <v>136</v>
      </c>
      <c r="X27" s="61"/>
      <c r="Y27" s="61" t="s">
        <v>135</v>
      </c>
      <c r="Z27" s="61" t="s">
        <v>135</v>
      </c>
      <c r="AA27" s="118">
        <f t="shared" si="0"/>
        <v>7</v>
      </c>
      <c r="AB27" s="303" t="str">
        <f t="shared" si="1"/>
        <v>00:07:00</v>
      </c>
      <c r="AC27" s="119">
        <v>0.00476851851851852</v>
      </c>
      <c r="AD27" s="120">
        <f t="shared" si="2"/>
        <v>420</v>
      </c>
      <c r="AE27" s="141">
        <v>169</v>
      </c>
      <c r="AF27" s="141"/>
    </row>
    <row r="28" customHeight="1" spans="1:32">
      <c r="A28" s="81">
        <v>24</v>
      </c>
      <c r="B28" s="29" t="s">
        <v>124</v>
      </c>
      <c r="C28" s="276"/>
      <c r="D28" s="277"/>
      <c r="E28" s="81">
        <v>24</v>
      </c>
      <c r="F28" s="278"/>
      <c r="G28" s="279" t="s">
        <v>1032</v>
      </c>
      <c r="H28" s="28" t="s">
        <v>1033</v>
      </c>
      <c r="I28" s="293" t="s">
        <v>128</v>
      </c>
      <c r="J28" s="293" t="s">
        <v>128</v>
      </c>
      <c r="K28" s="293" t="s">
        <v>128</v>
      </c>
      <c r="L28" s="294"/>
      <c r="M28" s="294"/>
      <c r="N28" s="294"/>
      <c r="O28" s="295" t="s">
        <v>1034</v>
      </c>
      <c r="P28" s="295"/>
      <c r="Q28" s="300"/>
      <c r="R28" s="300"/>
      <c r="S28" s="61" t="s">
        <v>136</v>
      </c>
      <c r="T28" s="61"/>
      <c r="U28" s="52"/>
      <c r="V28" s="52"/>
      <c r="W28" s="61" t="s">
        <v>136</v>
      </c>
      <c r="X28" s="61"/>
      <c r="Y28" s="61" t="s">
        <v>135</v>
      </c>
      <c r="Z28" s="61" t="s">
        <v>135</v>
      </c>
      <c r="AA28" s="118">
        <f t="shared" si="0"/>
        <v>30</v>
      </c>
      <c r="AB28" s="303" t="str">
        <f t="shared" si="1"/>
        <v>00:30:00</v>
      </c>
      <c r="AC28" s="119">
        <v>0.0207407407407407</v>
      </c>
      <c r="AD28" s="120">
        <f t="shared" si="2"/>
        <v>1800</v>
      </c>
      <c r="AE28" s="141">
        <v>169</v>
      </c>
      <c r="AF28" s="141"/>
    </row>
    <row r="29" customHeight="1" spans="1:32">
      <c r="A29" s="81">
        <v>25</v>
      </c>
      <c r="B29" s="29" t="s">
        <v>124</v>
      </c>
      <c r="C29" s="276"/>
      <c r="D29" s="277"/>
      <c r="E29" s="81">
        <v>25</v>
      </c>
      <c r="F29" s="278" t="s">
        <v>1035</v>
      </c>
      <c r="G29" s="279" t="s">
        <v>1036</v>
      </c>
      <c r="H29" s="28" t="s">
        <v>1037</v>
      </c>
      <c r="I29" s="293" t="s">
        <v>128</v>
      </c>
      <c r="J29" s="293" t="s">
        <v>128</v>
      </c>
      <c r="K29" s="293" t="s">
        <v>128</v>
      </c>
      <c r="L29" s="294"/>
      <c r="M29" s="294"/>
      <c r="N29" s="294"/>
      <c r="O29" s="295" t="s">
        <v>1038</v>
      </c>
      <c r="P29" s="295"/>
      <c r="Q29" s="300"/>
      <c r="R29" s="300"/>
      <c r="S29" s="61" t="s">
        <v>136</v>
      </c>
      <c r="T29" s="61"/>
      <c r="U29" s="52"/>
      <c r="V29" s="52"/>
      <c r="W29" s="61" t="s">
        <v>136</v>
      </c>
      <c r="X29" s="61"/>
      <c r="Y29" s="61" t="s">
        <v>135</v>
      </c>
      <c r="Z29" s="61" t="s">
        <v>135</v>
      </c>
      <c r="AA29" s="118">
        <f t="shared" si="0"/>
        <v>9</v>
      </c>
      <c r="AB29" s="303" t="str">
        <f t="shared" si="1"/>
        <v>00:09:00</v>
      </c>
      <c r="AC29" s="119">
        <v>0.00605324074074074</v>
      </c>
      <c r="AD29" s="120">
        <f t="shared" si="2"/>
        <v>540</v>
      </c>
      <c r="AE29" s="141">
        <v>169</v>
      </c>
      <c r="AF29" s="141"/>
    </row>
    <row r="30" customHeight="1" spans="1:32">
      <c r="A30" s="81">
        <v>26</v>
      </c>
      <c r="B30" s="29" t="s">
        <v>124</v>
      </c>
      <c r="C30" s="276"/>
      <c r="D30" s="277"/>
      <c r="E30" s="81">
        <v>26</v>
      </c>
      <c r="F30" s="278"/>
      <c r="G30" s="279" t="s">
        <v>1039</v>
      </c>
      <c r="H30" s="28" t="s">
        <v>1040</v>
      </c>
      <c r="I30" s="293" t="s">
        <v>128</v>
      </c>
      <c r="J30" s="293" t="s">
        <v>128</v>
      </c>
      <c r="K30" s="293" t="s">
        <v>128</v>
      </c>
      <c r="L30" s="294"/>
      <c r="M30" s="294"/>
      <c r="N30" s="294"/>
      <c r="O30" s="295" t="s">
        <v>1041</v>
      </c>
      <c r="P30" s="295"/>
      <c r="Q30" s="300"/>
      <c r="R30" s="300"/>
      <c r="S30" s="61" t="s">
        <v>136</v>
      </c>
      <c r="T30" s="61"/>
      <c r="U30" s="52"/>
      <c r="V30" s="52"/>
      <c r="W30" s="61" t="s">
        <v>136</v>
      </c>
      <c r="X30" s="61"/>
      <c r="Y30" s="61" t="s">
        <v>135</v>
      </c>
      <c r="Z30" s="61" t="s">
        <v>135</v>
      </c>
      <c r="AA30" s="118">
        <f t="shared" si="0"/>
        <v>12</v>
      </c>
      <c r="AB30" s="303" t="str">
        <f t="shared" si="1"/>
        <v>00:12:00</v>
      </c>
      <c r="AC30" s="119">
        <v>0.00865740740740741</v>
      </c>
      <c r="AD30" s="120">
        <f t="shared" si="2"/>
        <v>720</v>
      </c>
      <c r="AE30" s="141">
        <v>169</v>
      </c>
      <c r="AF30" s="141"/>
    </row>
    <row r="31" customHeight="1" spans="1:32">
      <c r="A31" s="81">
        <v>27</v>
      </c>
      <c r="B31" s="29" t="s">
        <v>124</v>
      </c>
      <c r="C31" s="276"/>
      <c r="D31" s="277"/>
      <c r="E31" s="81">
        <v>27</v>
      </c>
      <c r="F31" s="278"/>
      <c r="G31" s="279" t="s">
        <v>1042</v>
      </c>
      <c r="H31" s="28" t="s">
        <v>1043</v>
      </c>
      <c r="I31" s="293" t="s">
        <v>128</v>
      </c>
      <c r="J31" s="293" t="s">
        <v>128</v>
      </c>
      <c r="K31" s="293" t="s">
        <v>128</v>
      </c>
      <c r="L31" s="294"/>
      <c r="M31" s="294"/>
      <c r="N31" s="294"/>
      <c r="O31" s="295" t="s">
        <v>1044</v>
      </c>
      <c r="P31" s="295"/>
      <c r="Q31" s="300"/>
      <c r="R31" s="300"/>
      <c r="S31" s="61" t="s">
        <v>136</v>
      </c>
      <c r="T31" s="61"/>
      <c r="U31" s="52"/>
      <c r="V31" s="52"/>
      <c r="W31" s="61" t="s">
        <v>136</v>
      </c>
      <c r="X31" s="61"/>
      <c r="Y31" s="61" t="s">
        <v>135</v>
      </c>
      <c r="Z31" s="61" t="s">
        <v>135</v>
      </c>
      <c r="AA31" s="118">
        <f t="shared" si="0"/>
        <v>8</v>
      </c>
      <c r="AB31" s="303" t="str">
        <f t="shared" si="1"/>
        <v>00:08:00</v>
      </c>
      <c r="AC31" s="119">
        <v>0.0055787037037037</v>
      </c>
      <c r="AD31" s="120">
        <f t="shared" si="2"/>
        <v>480</v>
      </c>
      <c r="AE31" s="141">
        <v>169</v>
      </c>
      <c r="AF31" s="141"/>
    </row>
    <row r="32" customHeight="1" spans="1:32">
      <c r="A32" s="81">
        <v>28</v>
      </c>
      <c r="B32" s="29" t="s">
        <v>124</v>
      </c>
      <c r="C32" s="276"/>
      <c r="D32" s="277"/>
      <c r="E32" s="81">
        <v>28</v>
      </c>
      <c r="F32" s="278"/>
      <c r="G32" s="279" t="s">
        <v>1045</v>
      </c>
      <c r="H32" s="28" t="s">
        <v>1046</v>
      </c>
      <c r="I32" s="293" t="s">
        <v>128</v>
      </c>
      <c r="J32" s="293" t="s">
        <v>128</v>
      </c>
      <c r="K32" s="293" t="s">
        <v>128</v>
      </c>
      <c r="L32" s="294"/>
      <c r="M32" s="294"/>
      <c r="N32" s="294"/>
      <c r="O32" s="295" t="s">
        <v>1047</v>
      </c>
      <c r="P32" s="295"/>
      <c r="Q32" s="300"/>
      <c r="R32" s="300"/>
      <c r="S32" s="61" t="s">
        <v>136</v>
      </c>
      <c r="T32" s="61"/>
      <c r="U32" s="52"/>
      <c r="V32" s="52"/>
      <c r="W32" s="61" t="s">
        <v>136</v>
      </c>
      <c r="X32" s="61"/>
      <c r="Y32" s="61" t="s">
        <v>135</v>
      </c>
      <c r="Z32" s="61" t="s">
        <v>135</v>
      </c>
      <c r="AA32" s="118">
        <f t="shared" si="0"/>
        <v>57</v>
      </c>
      <c r="AB32" s="303" t="str">
        <f t="shared" si="1"/>
        <v>00:57:00</v>
      </c>
      <c r="AC32" s="119">
        <v>0.0398726851851852</v>
      </c>
      <c r="AD32" s="120">
        <f t="shared" si="2"/>
        <v>3420</v>
      </c>
      <c r="AE32" s="141">
        <v>169</v>
      </c>
      <c r="AF32" s="141"/>
    </row>
    <row r="33" customHeight="1" spans="1:32">
      <c r="A33" s="81">
        <v>29</v>
      </c>
      <c r="B33" s="29" t="s">
        <v>124</v>
      </c>
      <c r="C33" s="276"/>
      <c r="D33" s="277"/>
      <c r="E33" s="81">
        <v>29</v>
      </c>
      <c r="F33" s="278" t="s">
        <v>1048</v>
      </c>
      <c r="G33" s="279" t="s">
        <v>1049</v>
      </c>
      <c r="H33" s="28" t="s">
        <v>1050</v>
      </c>
      <c r="I33" s="293" t="s">
        <v>128</v>
      </c>
      <c r="J33" s="293" t="s">
        <v>128</v>
      </c>
      <c r="K33" s="293" t="s">
        <v>128</v>
      </c>
      <c r="L33" s="294"/>
      <c r="M33" s="294"/>
      <c r="N33" s="294"/>
      <c r="O33" s="295" t="s">
        <v>1051</v>
      </c>
      <c r="P33" s="295"/>
      <c r="Q33" s="300"/>
      <c r="R33" s="300"/>
      <c r="S33" s="61" t="s">
        <v>136</v>
      </c>
      <c r="T33" s="61"/>
      <c r="U33" s="52"/>
      <c r="V33" s="52"/>
      <c r="W33" s="61" t="s">
        <v>136</v>
      </c>
      <c r="X33" s="61"/>
      <c r="Y33" s="61" t="s">
        <v>135</v>
      </c>
      <c r="Z33" s="61" t="s">
        <v>135</v>
      </c>
      <c r="AA33" s="118">
        <f t="shared" si="0"/>
        <v>9</v>
      </c>
      <c r="AB33" s="303" t="str">
        <f t="shared" si="1"/>
        <v>00:09:00</v>
      </c>
      <c r="AC33" s="119">
        <v>0.00626157407407407</v>
      </c>
      <c r="AD33" s="120">
        <f t="shared" si="2"/>
        <v>540</v>
      </c>
      <c r="AE33" s="141">
        <v>169</v>
      </c>
      <c r="AF33" s="141"/>
    </row>
    <row r="34" customHeight="1" spans="1:32">
      <c r="A34" s="81">
        <v>30</v>
      </c>
      <c r="B34" s="29" t="s">
        <v>124</v>
      </c>
      <c r="C34" s="276"/>
      <c r="D34" s="277"/>
      <c r="E34" s="81">
        <v>30</v>
      </c>
      <c r="F34" s="278"/>
      <c r="G34" s="279" t="s">
        <v>1052</v>
      </c>
      <c r="H34" s="28" t="s">
        <v>1053</v>
      </c>
      <c r="I34" s="293" t="s">
        <v>128</v>
      </c>
      <c r="J34" s="293" t="s">
        <v>128</v>
      </c>
      <c r="K34" s="293" t="s">
        <v>128</v>
      </c>
      <c r="L34" s="294"/>
      <c r="M34" s="294"/>
      <c r="N34" s="294"/>
      <c r="O34" s="295" t="s">
        <v>1054</v>
      </c>
      <c r="P34" s="295"/>
      <c r="Q34" s="300"/>
      <c r="R34" s="300"/>
      <c r="S34" s="61" t="s">
        <v>136</v>
      </c>
      <c r="T34" s="61"/>
      <c r="U34" s="52"/>
      <c r="V34" s="52"/>
      <c r="W34" s="61" t="s">
        <v>136</v>
      </c>
      <c r="X34" s="61"/>
      <c r="Y34" s="61" t="s">
        <v>135</v>
      </c>
      <c r="Z34" s="61" t="s">
        <v>135</v>
      </c>
      <c r="AA34" s="118">
        <f t="shared" si="0"/>
        <v>8</v>
      </c>
      <c r="AB34" s="303" t="str">
        <f t="shared" si="1"/>
        <v>00:08:00</v>
      </c>
      <c r="AC34" s="119">
        <v>0.00537037037037037</v>
      </c>
      <c r="AD34" s="120">
        <f t="shared" si="2"/>
        <v>480</v>
      </c>
      <c r="AE34" s="141">
        <v>169</v>
      </c>
      <c r="AF34" s="141"/>
    </row>
    <row r="35" customHeight="1" spans="1:32">
      <c r="A35" s="81">
        <v>31</v>
      </c>
      <c r="B35" s="29" t="s">
        <v>124</v>
      </c>
      <c r="C35" s="276"/>
      <c r="D35" s="277"/>
      <c r="E35" s="81">
        <v>31</v>
      </c>
      <c r="F35" s="278"/>
      <c r="G35" s="279" t="s">
        <v>1055</v>
      </c>
      <c r="H35" s="28" t="s">
        <v>1056</v>
      </c>
      <c r="I35" s="293" t="s">
        <v>128</v>
      </c>
      <c r="J35" s="293" t="s">
        <v>128</v>
      </c>
      <c r="K35" s="293" t="s">
        <v>128</v>
      </c>
      <c r="L35" s="294"/>
      <c r="M35" s="294"/>
      <c r="N35" s="294"/>
      <c r="O35" s="295" t="s">
        <v>1057</v>
      </c>
      <c r="P35" s="295"/>
      <c r="Q35" s="300"/>
      <c r="R35" s="300"/>
      <c r="S35" s="61" t="s">
        <v>136</v>
      </c>
      <c r="T35" s="61"/>
      <c r="U35" s="52"/>
      <c r="V35" s="52"/>
      <c r="W35" s="61" t="s">
        <v>136</v>
      </c>
      <c r="X35" s="61"/>
      <c r="Y35" s="61" t="s">
        <v>135</v>
      </c>
      <c r="Z35" s="61" t="s">
        <v>135</v>
      </c>
      <c r="AA35" s="118">
        <f t="shared" si="0"/>
        <v>7</v>
      </c>
      <c r="AB35" s="303" t="str">
        <f t="shared" si="1"/>
        <v>00:07:00</v>
      </c>
      <c r="AC35" s="119">
        <v>0.00508101851851852</v>
      </c>
      <c r="AD35" s="120">
        <f t="shared" si="2"/>
        <v>420</v>
      </c>
      <c r="AE35" s="141">
        <v>169</v>
      </c>
      <c r="AF35" s="141"/>
    </row>
    <row r="36" customHeight="1" spans="1:32">
      <c r="A36" s="81">
        <v>32</v>
      </c>
      <c r="B36" s="29" t="s">
        <v>124</v>
      </c>
      <c r="C36" s="276"/>
      <c r="D36" s="277"/>
      <c r="E36" s="81">
        <v>32</v>
      </c>
      <c r="F36" s="278"/>
      <c r="G36" s="279" t="s">
        <v>1058</v>
      </c>
      <c r="H36" s="28" t="s">
        <v>1059</v>
      </c>
      <c r="I36" s="293" t="s">
        <v>128</v>
      </c>
      <c r="J36" s="293" t="s">
        <v>128</v>
      </c>
      <c r="K36" s="293" t="s">
        <v>128</v>
      </c>
      <c r="L36" s="294"/>
      <c r="M36" s="294"/>
      <c r="N36" s="294"/>
      <c r="O36" s="295" t="s">
        <v>1060</v>
      </c>
      <c r="P36" s="295"/>
      <c r="Q36" s="300"/>
      <c r="R36" s="300"/>
      <c r="S36" s="61" t="s">
        <v>136</v>
      </c>
      <c r="T36" s="61"/>
      <c r="U36" s="52"/>
      <c r="V36" s="52"/>
      <c r="W36" s="61" t="s">
        <v>136</v>
      </c>
      <c r="X36" s="61"/>
      <c r="Y36" s="61" t="s">
        <v>135</v>
      </c>
      <c r="Z36" s="61" t="s">
        <v>135</v>
      </c>
      <c r="AA36" s="118">
        <f t="shared" si="0"/>
        <v>31</v>
      </c>
      <c r="AB36" s="303" t="str">
        <f t="shared" si="1"/>
        <v>00:31:00</v>
      </c>
      <c r="AC36" s="119">
        <v>0.0212037037037037</v>
      </c>
      <c r="AD36" s="120">
        <f t="shared" si="2"/>
        <v>1860</v>
      </c>
      <c r="AE36" s="141">
        <v>169</v>
      </c>
      <c r="AF36" s="141"/>
    </row>
    <row r="37" customHeight="1" spans="1:32">
      <c r="A37" s="81">
        <v>33</v>
      </c>
      <c r="B37" s="29" t="s">
        <v>124</v>
      </c>
      <c r="C37" s="276"/>
      <c r="D37" s="280"/>
      <c r="E37" s="81">
        <v>33</v>
      </c>
      <c r="F37" s="278" t="s">
        <v>957</v>
      </c>
      <c r="G37" s="279" t="s">
        <v>1061</v>
      </c>
      <c r="H37" s="28" t="s">
        <v>1062</v>
      </c>
      <c r="I37" s="293" t="s">
        <v>128</v>
      </c>
      <c r="J37" s="293" t="s">
        <v>128</v>
      </c>
      <c r="K37" s="294"/>
      <c r="L37" s="294"/>
      <c r="M37" s="294"/>
      <c r="N37" s="294"/>
      <c r="O37" s="295" t="s">
        <v>1063</v>
      </c>
      <c r="P37" s="295"/>
      <c r="Q37" s="300"/>
      <c r="R37" s="301"/>
      <c r="S37" s="61" t="s">
        <v>136</v>
      </c>
      <c r="T37" s="61"/>
      <c r="U37" s="52"/>
      <c r="V37" s="52"/>
      <c r="W37" s="61" t="s">
        <v>137</v>
      </c>
      <c r="X37" s="61" t="s">
        <v>136</v>
      </c>
      <c r="Y37" s="61" t="s">
        <v>135</v>
      </c>
      <c r="Z37" s="61" t="s">
        <v>135</v>
      </c>
      <c r="AA37" s="118">
        <f t="shared" si="0"/>
        <v>7</v>
      </c>
      <c r="AB37" s="303" t="str">
        <f t="shared" si="1"/>
        <v>00:07:00</v>
      </c>
      <c r="AC37" s="119">
        <v>0.00512731481481481</v>
      </c>
      <c r="AD37" s="120">
        <f t="shared" ref="AD37:AD74" si="3">AA37*60</f>
        <v>420</v>
      </c>
      <c r="AE37" s="141">
        <v>169</v>
      </c>
      <c r="AF37" s="141"/>
    </row>
    <row r="38" customHeight="1" spans="1:32">
      <c r="A38" s="81">
        <v>34</v>
      </c>
      <c r="B38" s="29" t="s">
        <v>124</v>
      </c>
      <c r="C38" s="276"/>
      <c r="D38" s="280"/>
      <c r="E38" s="81">
        <v>34</v>
      </c>
      <c r="F38" s="278"/>
      <c r="G38" s="279" t="s">
        <v>1064</v>
      </c>
      <c r="H38" s="28" t="s">
        <v>1065</v>
      </c>
      <c r="I38" s="293" t="s">
        <v>128</v>
      </c>
      <c r="J38" s="293" t="s">
        <v>128</v>
      </c>
      <c r="K38" s="294"/>
      <c r="L38" s="294"/>
      <c r="M38" s="294"/>
      <c r="N38" s="294"/>
      <c r="O38" s="295" t="s">
        <v>1066</v>
      </c>
      <c r="P38" s="295"/>
      <c r="Q38" s="300"/>
      <c r="R38" s="301"/>
      <c r="S38" s="61" t="s">
        <v>136</v>
      </c>
      <c r="T38" s="61"/>
      <c r="U38" s="52"/>
      <c r="V38" s="52"/>
      <c r="W38" s="61" t="s">
        <v>137</v>
      </c>
      <c r="X38" s="61" t="s">
        <v>136</v>
      </c>
      <c r="Y38" s="61" t="s">
        <v>135</v>
      </c>
      <c r="Z38" s="61" t="s">
        <v>135</v>
      </c>
      <c r="AA38" s="118">
        <f t="shared" ref="AA38:AA74" si="4">ROUNDUP(HOUR(AB38)*60+MINUTE(AB38)+SECOND(AB38)/60,0)</f>
        <v>10</v>
      </c>
      <c r="AB38" s="303" t="str">
        <f t="shared" ref="AB38:AB74" si="5">TEXT((HOUR(AC38)*60+MINUTE(AC38)+IF(SECOND(AC38)&lt;=29,0,1))*60/86400,"hh:mm:ss")</f>
        <v>00:10:00</v>
      </c>
      <c r="AC38" s="119">
        <v>0.00711805555555556</v>
      </c>
      <c r="AD38" s="120">
        <f t="shared" si="3"/>
        <v>600</v>
      </c>
      <c r="AE38" s="141">
        <v>169</v>
      </c>
      <c r="AF38" s="141"/>
    </row>
    <row r="39" customHeight="1" spans="1:32">
      <c r="A39" s="81">
        <v>35</v>
      </c>
      <c r="B39" s="29" t="s">
        <v>124</v>
      </c>
      <c r="C39" s="276"/>
      <c r="D39" s="280"/>
      <c r="E39" s="81">
        <v>35</v>
      </c>
      <c r="F39" s="278"/>
      <c r="G39" s="279" t="s">
        <v>1067</v>
      </c>
      <c r="H39" s="28" t="s">
        <v>1068</v>
      </c>
      <c r="I39" s="293" t="s">
        <v>128</v>
      </c>
      <c r="J39" s="293" t="s">
        <v>128</v>
      </c>
      <c r="K39" s="294"/>
      <c r="L39" s="294"/>
      <c r="M39" s="294"/>
      <c r="N39" s="294"/>
      <c r="O39" s="295" t="s">
        <v>1069</v>
      </c>
      <c r="P39" s="295"/>
      <c r="Q39" s="300"/>
      <c r="R39" s="301"/>
      <c r="S39" s="61" t="s">
        <v>136</v>
      </c>
      <c r="T39" s="61"/>
      <c r="U39" s="52"/>
      <c r="V39" s="52"/>
      <c r="W39" s="61" t="s">
        <v>137</v>
      </c>
      <c r="X39" s="61" t="s">
        <v>136</v>
      </c>
      <c r="Y39" s="61" t="s">
        <v>135</v>
      </c>
      <c r="Z39" s="61" t="s">
        <v>135</v>
      </c>
      <c r="AA39" s="118">
        <f t="shared" si="4"/>
        <v>11</v>
      </c>
      <c r="AB39" s="303" t="str">
        <f t="shared" si="5"/>
        <v>00:11:00</v>
      </c>
      <c r="AC39" s="119">
        <v>0.00766203703703704</v>
      </c>
      <c r="AD39" s="120">
        <f t="shared" si="3"/>
        <v>660</v>
      </c>
      <c r="AE39" s="141">
        <v>169</v>
      </c>
      <c r="AF39" s="141"/>
    </row>
    <row r="40" customHeight="1" spans="1:32">
      <c r="A40" s="81">
        <v>36</v>
      </c>
      <c r="B40" s="29" t="s">
        <v>124</v>
      </c>
      <c r="C40" s="276"/>
      <c r="D40" s="280"/>
      <c r="E40" s="81">
        <v>36</v>
      </c>
      <c r="F40" s="278"/>
      <c r="G40" s="279" t="s">
        <v>1070</v>
      </c>
      <c r="H40" s="28" t="s">
        <v>1071</v>
      </c>
      <c r="I40" s="293" t="s">
        <v>128</v>
      </c>
      <c r="J40" s="293" t="s">
        <v>128</v>
      </c>
      <c r="K40" s="294"/>
      <c r="L40" s="294"/>
      <c r="M40" s="294"/>
      <c r="N40" s="294"/>
      <c r="O40" s="295" t="s">
        <v>1072</v>
      </c>
      <c r="P40" s="295"/>
      <c r="Q40" s="300"/>
      <c r="R40" s="301"/>
      <c r="S40" s="61" t="s">
        <v>137</v>
      </c>
      <c r="T40" s="61" t="s">
        <v>136</v>
      </c>
      <c r="U40" s="52"/>
      <c r="V40" s="52"/>
      <c r="W40" s="61" t="s">
        <v>137</v>
      </c>
      <c r="X40" s="61" t="s">
        <v>136</v>
      </c>
      <c r="Y40" s="61" t="s">
        <v>135</v>
      </c>
      <c r="Z40" s="61" t="s">
        <v>135</v>
      </c>
      <c r="AA40" s="118">
        <f t="shared" si="4"/>
        <v>56</v>
      </c>
      <c r="AB40" s="303" t="str">
        <f t="shared" si="5"/>
        <v>00:56:00</v>
      </c>
      <c r="AC40" s="119">
        <v>0.0387152777777778</v>
      </c>
      <c r="AD40" s="120">
        <f t="shared" si="3"/>
        <v>3360</v>
      </c>
      <c r="AE40" s="141">
        <v>169</v>
      </c>
      <c r="AF40" s="141"/>
    </row>
    <row r="41" customHeight="1" spans="1:32">
      <c r="A41" s="81">
        <v>37</v>
      </c>
      <c r="B41" s="29" t="s">
        <v>124</v>
      </c>
      <c r="C41" s="276"/>
      <c r="D41" s="280"/>
      <c r="E41" s="81">
        <v>37</v>
      </c>
      <c r="F41" s="278" t="s">
        <v>970</v>
      </c>
      <c r="G41" s="279" t="s">
        <v>1073</v>
      </c>
      <c r="H41" s="28" t="s">
        <v>1074</v>
      </c>
      <c r="I41" s="293" t="s">
        <v>128</v>
      </c>
      <c r="J41" s="293" t="s">
        <v>128</v>
      </c>
      <c r="K41" s="294"/>
      <c r="L41" s="294"/>
      <c r="M41" s="294"/>
      <c r="N41" s="294"/>
      <c r="O41" s="295" t="s">
        <v>1075</v>
      </c>
      <c r="P41" s="295"/>
      <c r="Q41" s="300"/>
      <c r="R41" s="301"/>
      <c r="S41" s="61" t="s">
        <v>137</v>
      </c>
      <c r="T41" s="61" t="s">
        <v>136</v>
      </c>
      <c r="U41" s="52"/>
      <c r="V41" s="52"/>
      <c r="W41" s="61" t="s">
        <v>137</v>
      </c>
      <c r="X41" s="61" t="s">
        <v>136</v>
      </c>
      <c r="Y41" s="61" t="s">
        <v>135</v>
      </c>
      <c r="Z41" s="61" t="s">
        <v>135</v>
      </c>
      <c r="AA41" s="118">
        <f t="shared" si="4"/>
        <v>9</v>
      </c>
      <c r="AB41" s="303" t="str">
        <f t="shared" si="5"/>
        <v>00:09:00</v>
      </c>
      <c r="AC41" s="119">
        <v>0.00616898148148148</v>
      </c>
      <c r="AD41" s="120">
        <f t="shared" si="3"/>
        <v>540</v>
      </c>
      <c r="AE41" s="141">
        <v>169</v>
      </c>
      <c r="AF41" s="141"/>
    </row>
    <row r="42" customHeight="1" spans="1:32">
      <c r="A42" s="81">
        <v>38</v>
      </c>
      <c r="B42" s="29" t="s">
        <v>124</v>
      </c>
      <c r="C42" s="276"/>
      <c r="D42" s="280"/>
      <c r="E42" s="81">
        <v>38</v>
      </c>
      <c r="F42" s="278"/>
      <c r="G42" s="279" t="s">
        <v>1076</v>
      </c>
      <c r="H42" s="28" t="s">
        <v>1077</v>
      </c>
      <c r="I42" s="293" t="s">
        <v>128</v>
      </c>
      <c r="J42" s="293" t="s">
        <v>128</v>
      </c>
      <c r="K42" s="294"/>
      <c r="L42" s="294"/>
      <c r="M42" s="294"/>
      <c r="N42" s="294"/>
      <c r="O42" s="295" t="s">
        <v>1078</v>
      </c>
      <c r="P42" s="295"/>
      <c r="Q42" s="300"/>
      <c r="R42" s="301"/>
      <c r="S42" s="61" t="s">
        <v>137</v>
      </c>
      <c r="T42" s="61" t="s">
        <v>136</v>
      </c>
      <c r="U42" s="52"/>
      <c r="V42" s="52"/>
      <c r="W42" s="61" t="s">
        <v>137</v>
      </c>
      <c r="X42" s="61" t="s">
        <v>136</v>
      </c>
      <c r="Y42" s="61" t="s">
        <v>135</v>
      </c>
      <c r="Z42" s="61" t="s">
        <v>135</v>
      </c>
      <c r="AA42" s="118">
        <f t="shared" si="4"/>
        <v>9</v>
      </c>
      <c r="AB42" s="303" t="str">
        <f t="shared" si="5"/>
        <v>00:09:00</v>
      </c>
      <c r="AC42" s="119">
        <v>0.00600694444444444</v>
      </c>
      <c r="AD42" s="120">
        <f t="shared" si="3"/>
        <v>540</v>
      </c>
      <c r="AE42" s="141">
        <v>169</v>
      </c>
      <c r="AF42" s="141"/>
    </row>
    <row r="43" customHeight="1" spans="1:32">
      <c r="A43" s="81">
        <v>39</v>
      </c>
      <c r="B43" s="29" t="s">
        <v>124</v>
      </c>
      <c r="C43" s="276"/>
      <c r="D43" s="280"/>
      <c r="E43" s="81">
        <v>39</v>
      </c>
      <c r="F43" s="278"/>
      <c r="G43" s="279" t="s">
        <v>1079</v>
      </c>
      <c r="H43" s="28" t="s">
        <v>1080</v>
      </c>
      <c r="I43" s="293" t="s">
        <v>128</v>
      </c>
      <c r="J43" s="293" t="s">
        <v>128</v>
      </c>
      <c r="K43" s="294"/>
      <c r="L43" s="294"/>
      <c r="M43" s="294"/>
      <c r="N43" s="294"/>
      <c r="O43" s="295" t="s">
        <v>1081</v>
      </c>
      <c r="P43" s="295"/>
      <c r="Q43" s="300"/>
      <c r="R43" s="301"/>
      <c r="S43" s="61" t="s">
        <v>137</v>
      </c>
      <c r="T43" s="61" t="s">
        <v>136</v>
      </c>
      <c r="U43" s="52"/>
      <c r="V43" s="52"/>
      <c r="W43" s="52" t="s">
        <v>137</v>
      </c>
      <c r="X43" s="52" t="s">
        <v>136</v>
      </c>
      <c r="Y43" s="61" t="s">
        <v>135</v>
      </c>
      <c r="Z43" s="61" t="s">
        <v>135</v>
      </c>
      <c r="AA43" s="118">
        <f t="shared" si="4"/>
        <v>7</v>
      </c>
      <c r="AB43" s="303" t="str">
        <f t="shared" si="5"/>
        <v>00:07:00</v>
      </c>
      <c r="AC43" s="119">
        <v>0.00508101851851852</v>
      </c>
      <c r="AD43" s="120">
        <f t="shared" si="3"/>
        <v>420</v>
      </c>
      <c r="AE43" s="141">
        <v>169</v>
      </c>
      <c r="AF43" s="141"/>
    </row>
    <row r="44" customHeight="1" spans="1:32">
      <c r="A44" s="81">
        <v>40</v>
      </c>
      <c r="B44" s="29" t="s">
        <v>124</v>
      </c>
      <c r="C44" s="276"/>
      <c r="D44" s="280"/>
      <c r="E44" s="81">
        <v>40</v>
      </c>
      <c r="F44" s="278"/>
      <c r="G44" s="279" t="s">
        <v>1082</v>
      </c>
      <c r="H44" s="28" t="s">
        <v>1083</v>
      </c>
      <c r="I44" s="293" t="s">
        <v>128</v>
      </c>
      <c r="J44" s="293" t="s">
        <v>128</v>
      </c>
      <c r="K44" s="294"/>
      <c r="L44" s="294"/>
      <c r="M44" s="294"/>
      <c r="N44" s="294"/>
      <c r="O44" s="295" t="s">
        <v>1084</v>
      </c>
      <c r="P44" s="295"/>
      <c r="Q44" s="300"/>
      <c r="R44" s="301"/>
      <c r="S44" s="61" t="s">
        <v>137</v>
      </c>
      <c r="T44" s="61" t="s">
        <v>136</v>
      </c>
      <c r="U44" s="52"/>
      <c r="V44" s="52"/>
      <c r="W44" s="52" t="s">
        <v>137</v>
      </c>
      <c r="X44" s="52" t="s">
        <v>136</v>
      </c>
      <c r="Y44" s="61" t="s">
        <v>135</v>
      </c>
      <c r="Z44" s="61" t="s">
        <v>135</v>
      </c>
      <c r="AA44" s="118">
        <f t="shared" si="4"/>
        <v>34</v>
      </c>
      <c r="AB44" s="303" t="str">
        <f t="shared" si="5"/>
        <v>00:34:00</v>
      </c>
      <c r="AC44" s="119">
        <v>0.0236458333333333</v>
      </c>
      <c r="AD44" s="120">
        <f t="shared" si="3"/>
        <v>2040</v>
      </c>
      <c r="AE44" s="141">
        <v>169</v>
      </c>
      <c r="AF44" s="141"/>
    </row>
    <row r="45" customHeight="1" spans="1:32">
      <c r="A45" s="81">
        <v>41</v>
      </c>
      <c r="B45" s="29" t="s">
        <v>124</v>
      </c>
      <c r="C45" s="276"/>
      <c r="D45" s="280"/>
      <c r="E45" s="81">
        <v>41</v>
      </c>
      <c r="F45" s="278" t="s">
        <v>983</v>
      </c>
      <c r="G45" s="279" t="s">
        <v>1085</v>
      </c>
      <c r="H45" s="28" t="s">
        <v>1086</v>
      </c>
      <c r="I45" s="293" t="s">
        <v>128</v>
      </c>
      <c r="J45" s="293" t="s">
        <v>128</v>
      </c>
      <c r="K45" s="294"/>
      <c r="L45" s="294"/>
      <c r="M45" s="294"/>
      <c r="N45" s="294"/>
      <c r="O45" s="295" t="s">
        <v>1087</v>
      </c>
      <c r="P45" s="295"/>
      <c r="Q45" s="300"/>
      <c r="R45" s="301"/>
      <c r="S45" s="61" t="s">
        <v>136</v>
      </c>
      <c r="T45" s="61"/>
      <c r="U45" s="52"/>
      <c r="V45" s="52"/>
      <c r="W45" s="52" t="s">
        <v>137</v>
      </c>
      <c r="X45" s="52" t="s">
        <v>136</v>
      </c>
      <c r="Y45" s="61" t="s">
        <v>135</v>
      </c>
      <c r="Z45" s="61" t="s">
        <v>135</v>
      </c>
      <c r="AA45" s="118">
        <f t="shared" si="4"/>
        <v>4</v>
      </c>
      <c r="AB45" s="303" t="str">
        <f t="shared" si="5"/>
        <v>00:04:00</v>
      </c>
      <c r="AC45" s="119">
        <v>0.00309027777777778</v>
      </c>
      <c r="AD45" s="120">
        <f t="shared" si="3"/>
        <v>240</v>
      </c>
      <c r="AE45" s="141">
        <v>169</v>
      </c>
      <c r="AF45" s="141"/>
    </row>
    <row r="46" customHeight="1" spans="1:32">
      <c r="A46" s="81">
        <v>42</v>
      </c>
      <c r="B46" s="29" t="s">
        <v>124</v>
      </c>
      <c r="C46" s="276"/>
      <c r="D46" s="280"/>
      <c r="E46" s="81">
        <v>42</v>
      </c>
      <c r="F46" s="278"/>
      <c r="G46" s="279" t="s">
        <v>1088</v>
      </c>
      <c r="H46" s="28" t="s">
        <v>1089</v>
      </c>
      <c r="I46" s="293" t="s">
        <v>128</v>
      </c>
      <c r="J46" s="293" t="s">
        <v>128</v>
      </c>
      <c r="K46" s="294"/>
      <c r="L46" s="294"/>
      <c r="M46" s="294"/>
      <c r="N46" s="294"/>
      <c r="O46" s="295" t="s">
        <v>1090</v>
      </c>
      <c r="P46" s="295"/>
      <c r="Q46" s="300"/>
      <c r="R46" s="301"/>
      <c r="S46" s="61" t="s">
        <v>136</v>
      </c>
      <c r="T46" s="61"/>
      <c r="U46" s="52"/>
      <c r="V46" s="52"/>
      <c r="W46" s="52" t="s">
        <v>137</v>
      </c>
      <c r="X46" s="52" t="s">
        <v>136</v>
      </c>
      <c r="Y46" s="61" t="s">
        <v>135</v>
      </c>
      <c r="Z46" s="61" t="s">
        <v>135</v>
      </c>
      <c r="AA46" s="118">
        <f t="shared" si="4"/>
        <v>8</v>
      </c>
      <c r="AB46" s="303" t="str">
        <f t="shared" si="5"/>
        <v>00:08:00</v>
      </c>
      <c r="AC46" s="119">
        <v>0.00575231481481482</v>
      </c>
      <c r="AD46" s="120">
        <f t="shared" si="3"/>
        <v>480</v>
      </c>
      <c r="AE46" s="141">
        <v>169</v>
      </c>
      <c r="AF46" s="141"/>
    </row>
    <row r="47" customHeight="1" spans="1:32">
      <c r="A47" s="81">
        <v>43</v>
      </c>
      <c r="B47" s="29" t="s">
        <v>124</v>
      </c>
      <c r="C47" s="276"/>
      <c r="D47" s="280"/>
      <c r="E47" s="81">
        <v>43</v>
      </c>
      <c r="F47" s="278"/>
      <c r="G47" s="279" t="s">
        <v>1091</v>
      </c>
      <c r="H47" s="28" t="s">
        <v>1092</v>
      </c>
      <c r="I47" s="293" t="s">
        <v>128</v>
      </c>
      <c r="J47" s="293" t="s">
        <v>128</v>
      </c>
      <c r="K47" s="294"/>
      <c r="L47" s="294"/>
      <c r="M47" s="294"/>
      <c r="N47" s="294"/>
      <c r="O47" s="295" t="s">
        <v>1093</v>
      </c>
      <c r="P47" s="295"/>
      <c r="Q47" s="300"/>
      <c r="R47" s="301"/>
      <c r="S47" s="61" t="s">
        <v>136</v>
      </c>
      <c r="T47" s="61"/>
      <c r="U47" s="52"/>
      <c r="V47" s="52"/>
      <c r="W47" s="61" t="s">
        <v>137</v>
      </c>
      <c r="X47" s="61" t="s">
        <v>136</v>
      </c>
      <c r="Y47" s="61" t="s">
        <v>135</v>
      </c>
      <c r="Z47" s="61" t="s">
        <v>135</v>
      </c>
      <c r="AA47" s="118">
        <f t="shared" si="4"/>
        <v>14</v>
      </c>
      <c r="AB47" s="303" t="str">
        <f t="shared" si="5"/>
        <v>00:14:00</v>
      </c>
      <c r="AC47" s="119">
        <v>0.00978009259259259</v>
      </c>
      <c r="AD47" s="120">
        <f t="shared" si="3"/>
        <v>840</v>
      </c>
      <c r="AE47" s="141">
        <v>169</v>
      </c>
      <c r="AF47" s="141"/>
    </row>
    <row r="48" customHeight="1" spans="1:32">
      <c r="A48" s="81">
        <v>44</v>
      </c>
      <c r="B48" s="29" t="s">
        <v>124</v>
      </c>
      <c r="C48" s="276"/>
      <c r="D48" s="280"/>
      <c r="E48" s="81">
        <v>44</v>
      </c>
      <c r="F48" s="278"/>
      <c r="G48" s="279" t="s">
        <v>1094</v>
      </c>
      <c r="H48" s="28" t="s">
        <v>1095</v>
      </c>
      <c r="I48" s="293" t="s">
        <v>128</v>
      </c>
      <c r="J48" s="293" t="s">
        <v>128</v>
      </c>
      <c r="K48" s="294"/>
      <c r="L48" s="294"/>
      <c r="M48" s="294"/>
      <c r="N48" s="294"/>
      <c r="O48" s="295" t="s">
        <v>1096</v>
      </c>
      <c r="P48" s="295"/>
      <c r="Q48" s="300"/>
      <c r="R48" s="301"/>
      <c r="S48" s="61" t="s">
        <v>137</v>
      </c>
      <c r="T48" s="61" t="s">
        <v>136</v>
      </c>
      <c r="U48" s="52"/>
      <c r="V48" s="52"/>
      <c r="W48" s="61" t="s">
        <v>137</v>
      </c>
      <c r="X48" s="61" t="s">
        <v>136</v>
      </c>
      <c r="Y48" s="61" t="s">
        <v>135</v>
      </c>
      <c r="Z48" s="61" t="s">
        <v>135</v>
      </c>
      <c r="AA48" s="118">
        <f t="shared" si="4"/>
        <v>57</v>
      </c>
      <c r="AB48" s="303" t="str">
        <f t="shared" si="5"/>
        <v>00:57:00</v>
      </c>
      <c r="AC48" s="119">
        <v>0.0392824074074074</v>
      </c>
      <c r="AD48" s="120">
        <f t="shared" si="3"/>
        <v>3420</v>
      </c>
      <c r="AE48" s="141">
        <v>169</v>
      </c>
      <c r="AF48" s="141"/>
    </row>
    <row r="49" customHeight="1" spans="1:32">
      <c r="A49" s="81">
        <v>45</v>
      </c>
      <c r="B49" s="29" t="s">
        <v>124</v>
      </c>
      <c r="C49" s="276"/>
      <c r="D49" s="280"/>
      <c r="E49" s="81">
        <v>45</v>
      </c>
      <c r="F49" s="278" t="s">
        <v>996</v>
      </c>
      <c r="G49" s="279" t="s">
        <v>1097</v>
      </c>
      <c r="H49" s="28" t="s">
        <v>1098</v>
      </c>
      <c r="I49" s="293" t="s">
        <v>128</v>
      </c>
      <c r="J49" s="293" t="s">
        <v>128</v>
      </c>
      <c r="K49" s="294"/>
      <c r="L49" s="294"/>
      <c r="M49" s="294"/>
      <c r="N49" s="294"/>
      <c r="O49" s="295" t="s">
        <v>1099</v>
      </c>
      <c r="P49" s="295"/>
      <c r="Q49" s="300"/>
      <c r="R49" s="301"/>
      <c r="S49" s="61" t="s">
        <v>137</v>
      </c>
      <c r="T49" s="61" t="s">
        <v>136</v>
      </c>
      <c r="U49" s="52"/>
      <c r="V49" s="52"/>
      <c r="W49" s="61" t="s">
        <v>137</v>
      </c>
      <c r="X49" s="61" t="s">
        <v>136</v>
      </c>
      <c r="Y49" s="61" t="s">
        <v>135</v>
      </c>
      <c r="Z49" s="61" t="s">
        <v>135</v>
      </c>
      <c r="AA49" s="118">
        <f t="shared" si="4"/>
        <v>10</v>
      </c>
      <c r="AB49" s="303" t="str">
        <f t="shared" si="5"/>
        <v>00:10:00</v>
      </c>
      <c r="AC49" s="119">
        <v>0.00667824074074074</v>
      </c>
      <c r="AD49" s="120">
        <f t="shared" si="3"/>
        <v>600</v>
      </c>
      <c r="AE49" s="141">
        <v>169</v>
      </c>
      <c r="AF49" s="141"/>
    </row>
    <row r="50" customHeight="1" spans="1:32">
      <c r="A50" s="81">
        <v>46</v>
      </c>
      <c r="B50" s="29" t="s">
        <v>124</v>
      </c>
      <c r="C50" s="276"/>
      <c r="D50" s="280"/>
      <c r="E50" s="81">
        <v>46</v>
      </c>
      <c r="F50" s="278"/>
      <c r="G50" s="279" t="s">
        <v>1100</v>
      </c>
      <c r="H50" s="28" t="s">
        <v>1101</v>
      </c>
      <c r="I50" s="293" t="s">
        <v>128</v>
      </c>
      <c r="J50" s="293" t="s">
        <v>128</v>
      </c>
      <c r="K50" s="294"/>
      <c r="L50" s="294"/>
      <c r="M50" s="294"/>
      <c r="N50" s="294"/>
      <c r="O50" s="295" t="s">
        <v>1102</v>
      </c>
      <c r="P50" s="295"/>
      <c r="Q50" s="300"/>
      <c r="R50" s="301"/>
      <c r="S50" s="61" t="s">
        <v>137</v>
      </c>
      <c r="T50" s="61" t="s">
        <v>136</v>
      </c>
      <c r="U50" s="52"/>
      <c r="V50" s="52"/>
      <c r="W50" s="61" t="s">
        <v>137</v>
      </c>
      <c r="X50" s="61" t="s">
        <v>136</v>
      </c>
      <c r="Y50" s="61" t="s">
        <v>135</v>
      </c>
      <c r="Z50" s="61" t="s">
        <v>135</v>
      </c>
      <c r="AA50" s="118">
        <f t="shared" si="4"/>
        <v>7</v>
      </c>
      <c r="AB50" s="303" t="str">
        <f t="shared" si="5"/>
        <v>00:07:00</v>
      </c>
      <c r="AC50" s="119">
        <v>0.00453703703703704</v>
      </c>
      <c r="AD50" s="120">
        <f t="shared" si="3"/>
        <v>420</v>
      </c>
      <c r="AE50" s="141">
        <v>169</v>
      </c>
      <c r="AF50" s="141"/>
    </row>
    <row r="51" customHeight="1" spans="1:32">
      <c r="A51" s="81">
        <v>47</v>
      </c>
      <c r="B51" s="29" t="s">
        <v>124</v>
      </c>
      <c r="C51" s="276"/>
      <c r="D51" s="280"/>
      <c r="E51" s="81">
        <v>47</v>
      </c>
      <c r="F51" s="278"/>
      <c r="G51" s="279" t="s">
        <v>1103</v>
      </c>
      <c r="H51" s="28" t="s">
        <v>1104</v>
      </c>
      <c r="I51" s="293" t="s">
        <v>128</v>
      </c>
      <c r="J51" s="293" t="s">
        <v>128</v>
      </c>
      <c r="K51" s="294"/>
      <c r="L51" s="294"/>
      <c r="M51" s="294"/>
      <c r="N51" s="294"/>
      <c r="O51" s="295" t="s">
        <v>1105</v>
      </c>
      <c r="P51" s="295"/>
      <c r="Q51" s="300"/>
      <c r="R51" s="301"/>
      <c r="S51" s="61" t="s">
        <v>137</v>
      </c>
      <c r="T51" s="61" t="s">
        <v>136</v>
      </c>
      <c r="U51" s="52"/>
      <c r="V51" s="52"/>
      <c r="W51" s="61" t="s">
        <v>137</v>
      </c>
      <c r="X51" s="61" t="s">
        <v>136</v>
      </c>
      <c r="Y51" s="61" t="s">
        <v>135</v>
      </c>
      <c r="Z51" s="61" t="s">
        <v>135</v>
      </c>
      <c r="AA51" s="118">
        <f t="shared" si="4"/>
        <v>7</v>
      </c>
      <c r="AB51" s="303" t="str">
        <f t="shared" si="5"/>
        <v>00:07:00</v>
      </c>
      <c r="AC51" s="119">
        <v>0.00493055555555556</v>
      </c>
      <c r="AD51" s="120">
        <f t="shared" si="3"/>
        <v>420</v>
      </c>
      <c r="AE51" s="141">
        <v>169</v>
      </c>
      <c r="AF51" s="141"/>
    </row>
    <row r="52" customHeight="1" spans="1:32">
      <c r="A52" s="81">
        <v>48</v>
      </c>
      <c r="B52" s="29" t="s">
        <v>124</v>
      </c>
      <c r="C52" s="276"/>
      <c r="D52" s="280"/>
      <c r="E52" s="81">
        <v>48</v>
      </c>
      <c r="F52" s="278"/>
      <c r="G52" s="279" t="s">
        <v>1106</v>
      </c>
      <c r="H52" s="28" t="s">
        <v>1107</v>
      </c>
      <c r="I52" s="293" t="s">
        <v>128</v>
      </c>
      <c r="J52" s="293" t="s">
        <v>128</v>
      </c>
      <c r="K52" s="294"/>
      <c r="L52" s="294"/>
      <c r="M52" s="294"/>
      <c r="N52" s="294"/>
      <c r="O52" s="295" t="s">
        <v>1108</v>
      </c>
      <c r="P52" s="295"/>
      <c r="Q52" s="300"/>
      <c r="R52" s="301"/>
      <c r="S52" s="61" t="s">
        <v>137</v>
      </c>
      <c r="T52" s="61" t="s">
        <v>136</v>
      </c>
      <c r="U52" s="52"/>
      <c r="V52" s="52"/>
      <c r="W52" s="61" t="s">
        <v>137</v>
      </c>
      <c r="X52" s="61" t="s">
        <v>136</v>
      </c>
      <c r="Y52" s="61" t="s">
        <v>135</v>
      </c>
      <c r="Z52" s="61" t="s">
        <v>135</v>
      </c>
      <c r="AA52" s="118">
        <f t="shared" si="4"/>
        <v>31</v>
      </c>
      <c r="AB52" s="303" t="str">
        <f t="shared" si="5"/>
        <v>00:31:00</v>
      </c>
      <c r="AC52" s="119">
        <v>0.021724537037037</v>
      </c>
      <c r="AD52" s="120">
        <f t="shared" si="3"/>
        <v>1860</v>
      </c>
      <c r="AE52" s="141">
        <v>169</v>
      </c>
      <c r="AF52" s="141"/>
    </row>
    <row r="53" customHeight="1" spans="1:32">
      <c r="A53" s="81">
        <v>49</v>
      </c>
      <c r="B53" s="29" t="s">
        <v>124</v>
      </c>
      <c r="C53" s="276"/>
      <c r="D53" s="280"/>
      <c r="E53" s="81">
        <v>49</v>
      </c>
      <c r="F53" s="278" t="s">
        <v>1009</v>
      </c>
      <c r="G53" s="279" t="s">
        <v>1109</v>
      </c>
      <c r="H53" s="28" t="s">
        <v>1110</v>
      </c>
      <c r="I53" s="293" t="s">
        <v>128</v>
      </c>
      <c r="J53" s="293" t="s">
        <v>128</v>
      </c>
      <c r="K53" s="294"/>
      <c r="L53" s="294"/>
      <c r="M53" s="294"/>
      <c r="N53" s="294"/>
      <c r="O53" s="295" t="s">
        <v>1111</v>
      </c>
      <c r="P53" s="295"/>
      <c r="Q53" s="300"/>
      <c r="R53" s="301"/>
      <c r="S53" s="61" t="s">
        <v>136</v>
      </c>
      <c r="T53" s="61"/>
      <c r="U53" s="52"/>
      <c r="V53" s="52"/>
      <c r="W53" s="61" t="s">
        <v>136</v>
      </c>
      <c r="X53" s="61"/>
      <c r="Y53" s="61" t="s">
        <v>135</v>
      </c>
      <c r="Z53" s="61" t="s">
        <v>135</v>
      </c>
      <c r="AA53" s="118">
        <f t="shared" si="4"/>
        <v>7</v>
      </c>
      <c r="AB53" s="303" t="str">
        <f t="shared" si="5"/>
        <v>00:07:00</v>
      </c>
      <c r="AC53" s="119">
        <v>0.00510416666666667</v>
      </c>
      <c r="AD53" s="120">
        <f t="shared" si="3"/>
        <v>420</v>
      </c>
      <c r="AE53" s="141">
        <v>169</v>
      </c>
      <c r="AF53" s="141"/>
    </row>
    <row r="54" customHeight="1" spans="1:32">
      <c r="A54" s="81">
        <v>50</v>
      </c>
      <c r="B54" s="29" t="s">
        <v>124</v>
      </c>
      <c r="C54" s="276"/>
      <c r="D54" s="280"/>
      <c r="E54" s="81">
        <v>50</v>
      </c>
      <c r="F54" s="278"/>
      <c r="G54" s="279" t="s">
        <v>1112</v>
      </c>
      <c r="H54" s="28" t="s">
        <v>1113</v>
      </c>
      <c r="I54" s="293" t="s">
        <v>128</v>
      </c>
      <c r="J54" s="293" t="s">
        <v>128</v>
      </c>
      <c r="K54" s="294"/>
      <c r="L54" s="294"/>
      <c r="M54" s="294"/>
      <c r="N54" s="294"/>
      <c r="O54" s="295" t="s">
        <v>1114</v>
      </c>
      <c r="P54" s="295"/>
      <c r="Q54" s="300"/>
      <c r="R54" s="301"/>
      <c r="S54" s="61" t="s">
        <v>136</v>
      </c>
      <c r="T54" s="61"/>
      <c r="U54" s="52"/>
      <c r="V54" s="52"/>
      <c r="W54" s="61" t="s">
        <v>136</v>
      </c>
      <c r="X54" s="61"/>
      <c r="Y54" s="61" t="s">
        <v>135</v>
      </c>
      <c r="Z54" s="61" t="s">
        <v>135</v>
      </c>
      <c r="AA54" s="118">
        <f t="shared" si="4"/>
        <v>12</v>
      </c>
      <c r="AB54" s="303" t="str">
        <f t="shared" si="5"/>
        <v>00:12:00</v>
      </c>
      <c r="AC54" s="119">
        <v>0.0081712962962963</v>
      </c>
      <c r="AD54" s="120">
        <f t="shared" si="3"/>
        <v>720</v>
      </c>
      <c r="AE54" s="141">
        <v>169</v>
      </c>
      <c r="AF54" s="141"/>
    </row>
    <row r="55" customHeight="1" spans="1:32">
      <c r="A55" s="81">
        <v>51</v>
      </c>
      <c r="B55" s="29" t="s">
        <v>124</v>
      </c>
      <c r="C55" s="276"/>
      <c r="D55" s="280"/>
      <c r="E55" s="81">
        <v>51</v>
      </c>
      <c r="F55" s="278"/>
      <c r="G55" s="279" t="s">
        <v>1115</v>
      </c>
      <c r="H55" s="28" t="s">
        <v>1116</v>
      </c>
      <c r="I55" s="293" t="s">
        <v>128</v>
      </c>
      <c r="J55" s="293" t="s">
        <v>128</v>
      </c>
      <c r="K55" s="294"/>
      <c r="L55" s="294"/>
      <c r="M55" s="294"/>
      <c r="N55" s="294"/>
      <c r="O55" s="295" t="s">
        <v>1117</v>
      </c>
      <c r="P55" s="295"/>
      <c r="Q55" s="300"/>
      <c r="R55" s="301"/>
      <c r="S55" s="61" t="s">
        <v>136</v>
      </c>
      <c r="T55" s="61"/>
      <c r="U55" s="52"/>
      <c r="V55" s="52"/>
      <c r="W55" s="61" t="s">
        <v>136</v>
      </c>
      <c r="X55" s="61"/>
      <c r="Y55" s="61" t="s">
        <v>135</v>
      </c>
      <c r="Z55" s="61" t="s">
        <v>135</v>
      </c>
      <c r="AA55" s="118">
        <f t="shared" si="4"/>
        <v>8</v>
      </c>
      <c r="AB55" s="303" t="str">
        <f t="shared" si="5"/>
        <v>00:08:00</v>
      </c>
      <c r="AC55" s="119">
        <v>0.00576388888888889</v>
      </c>
      <c r="AD55" s="120">
        <f t="shared" si="3"/>
        <v>480</v>
      </c>
      <c r="AE55" s="141">
        <v>169</v>
      </c>
      <c r="AF55" s="141"/>
    </row>
    <row r="56" customHeight="1" spans="1:32">
      <c r="A56" s="81">
        <v>52</v>
      </c>
      <c r="B56" s="29" t="s">
        <v>124</v>
      </c>
      <c r="C56" s="276"/>
      <c r="D56" s="280"/>
      <c r="E56" s="81">
        <v>52</v>
      </c>
      <c r="F56" s="278"/>
      <c r="G56" s="279" t="s">
        <v>1118</v>
      </c>
      <c r="H56" s="28" t="s">
        <v>1119</v>
      </c>
      <c r="I56" s="293" t="s">
        <v>128</v>
      </c>
      <c r="J56" s="293" t="s">
        <v>128</v>
      </c>
      <c r="K56" s="294"/>
      <c r="L56" s="294"/>
      <c r="M56" s="294"/>
      <c r="N56" s="294"/>
      <c r="O56" s="295" t="s">
        <v>1120</v>
      </c>
      <c r="P56" s="295"/>
      <c r="Q56" s="300"/>
      <c r="R56" s="301"/>
      <c r="S56" s="61" t="s">
        <v>136</v>
      </c>
      <c r="T56" s="61"/>
      <c r="U56" s="52"/>
      <c r="V56" s="52"/>
      <c r="W56" s="61" t="s">
        <v>136</v>
      </c>
      <c r="X56" s="61"/>
      <c r="Y56" s="61" t="s">
        <v>135</v>
      </c>
      <c r="Z56" s="61" t="s">
        <v>135</v>
      </c>
      <c r="AA56" s="118">
        <f t="shared" si="4"/>
        <v>64</v>
      </c>
      <c r="AB56" s="303" t="str">
        <f t="shared" si="5"/>
        <v>01:04:00</v>
      </c>
      <c r="AC56" s="119">
        <v>0.0443171296296296</v>
      </c>
      <c r="AD56" s="120">
        <f t="shared" si="3"/>
        <v>3840</v>
      </c>
      <c r="AE56" s="141">
        <v>169</v>
      </c>
      <c r="AF56" s="141"/>
    </row>
    <row r="57" customHeight="1" spans="1:32">
      <c r="A57" s="81">
        <v>53</v>
      </c>
      <c r="B57" s="29" t="s">
        <v>124</v>
      </c>
      <c r="C57" s="276"/>
      <c r="D57" s="280"/>
      <c r="E57" s="81">
        <v>53</v>
      </c>
      <c r="F57" s="278" t="s">
        <v>1022</v>
      </c>
      <c r="G57" s="279" t="s">
        <v>1121</v>
      </c>
      <c r="H57" s="28" t="s">
        <v>1122</v>
      </c>
      <c r="I57" s="293" t="s">
        <v>128</v>
      </c>
      <c r="J57" s="293" t="s">
        <v>128</v>
      </c>
      <c r="K57" s="294"/>
      <c r="L57" s="294"/>
      <c r="M57" s="294"/>
      <c r="N57" s="294"/>
      <c r="O57" s="295" t="s">
        <v>1123</v>
      </c>
      <c r="P57" s="295"/>
      <c r="Q57" s="300"/>
      <c r="R57" s="301"/>
      <c r="S57" s="61" t="s">
        <v>136</v>
      </c>
      <c r="T57" s="61"/>
      <c r="U57" s="52"/>
      <c r="V57" s="52"/>
      <c r="W57" s="61" t="s">
        <v>136</v>
      </c>
      <c r="X57" s="61"/>
      <c r="Y57" s="61" t="s">
        <v>135</v>
      </c>
      <c r="Z57" s="61" t="s">
        <v>135</v>
      </c>
      <c r="AA57" s="118">
        <f t="shared" si="4"/>
        <v>8</v>
      </c>
      <c r="AB57" s="303" t="str">
        <f t="shared" si="5"/>
        <v>00:08:00</v>
      </c>
      <c r="AC57" s="119">
        <v>0.00550925925925926</v>
      </c>
      <c r="AD57" s="120">
        <f t="shared" si="3"/>
        <v>480</v>
      </c>
      <c r="AE57" s="141">
        <v>169</v>
      </c>
      <c r="AF57" s="141"/>
    </row>
    <row r="58" customHeight="1" spans="1:32">
      <c r="A58" s="81">
        <v>54</v>
      </c>
      <c r="B58" s="29" t="s">
        <v>124</v>
      </c>
      <c r="C58" s="276"/>
      <c r="D58" s="280"/>
      <c r="E58" s="81">
        <v>54</v>
      </c>
      <c r="F58" s="278"/>
      <c r="G58" s="279" t="s">
        <v>1124</v>
      </c>
      <c r="H58" s="28" t="s">
        <v>1125</v>
      </c>
      <c r="I58" s="293" t="s">
        <v>128</v>
      </c>
      <c r="J58" s="293" t="s">
        <v>128</v>
      </c>
      <c r="K58" s="294"/>
      <c r="L58" s="294"/>
      <c r="M58" s="294"/>
      <c r="N58" s="294"/>
      <c r="O58" s="295" t="s">
        <v>1126</v>
      </c>
      <c r="P58" s="295"/>
      <c r="Q58" s="300"/>
      <c r="R58" s="301"/>
      <c r="S58" s="61" t="s">
        <v>136</v>
      </c>
      <c r="T58" s="61"/>
      <c r="U58" s="52"/>
      <c r="V58" s="52"/>
      <c r="W58" s="61" t="s">
        <v>136</v>
      </c>
      <c r="X58" s="61"/>
      <c r="Y58" s="61" t="s">
        <v>135</v>
      </c>
      <c r="Z58" s="61" t="s">
        <v>135</v>
      </c>
      <c r="AA58" s="118">
        <f t="shared" si="4"/>
        <v>7</v>
      </c>
      <c r="AB58" s="303" t="str">
        <f t="shared" si="5"/>
        <v>00:07:00</v>
      </c>
      <c r="AC58" s="119">
        <v>0.00458333333333333</v>
      </c>
      <c r="AD58" s="120">
        <f t="shared" si="3"/>
        <v>420</v>
      </c>
      <c r="AE58" s="141">
        <v>169</v>
      </c>
      <c r="AF58" s="141"/>
    </row>
    <row r="59" customHeight="1" spans="1:32">
      <c r="A59" s="81">
        <v>55</v>
      </c>
      <c r="B59" s="29" t="s">
        <v>124</v>
      </c>
      <c r="C59" s="276"/>
      <c r="D59" s="280"/>
      <c r="E59" s="81">
        <v>55</v>
      </c>
      <c r="F59" s="278"/>
      <c r="G59" s="279" t="s">
        <v>1127</v>
      </c>
      <c r="H59" s="28" t="s">
        <v>1128</v>
      </c>
      <c r="I59" s="293" t="s">
        <v>128</v>
      </c>
      <c r="J59" s="293" t="s">
        <v>128</v>
      </c>
      <c r="K59" s="294"/>
      <c r="L59" s="294"/>
      <c r="M59" s="294"/>
      <c r="N59" s="294"/>
      <c r="O59" s="295" t="s">
        <v>1129</v>
      </c>
      <c r="P59" s="295"/>
      <c r="Q59" s="300"/>
      <c r="R59" s="301"/>
      <c r="S59" s="61" t="s">
        <v>136</v>
      </c>
      <c r="T59" s="61"/>
      <c r="U59" s="52"/>
      <c r="V59" s="52"/>
      <c r="W59" s="61" t="s">
        <v>136</v>
      </c>
      <c r="X59" s="61"/>
      <c r="Y59" s="61" t="s">
        <v>135</v>
      </c>
      <c r="Z59" s="61" t="s">
        <v>135</v>
      </c>
      <c r="AA59" s="118">
        <f t="shared" si="4"/>
        <v>7</v>
      </c>
      <c r="AB59" s="303" t="str">
        <f t="shared" si="5"/>
        <v>00:07:00</v>
      </c>
      <c r="AC59" s="119">
        <v>0.00476851851851852</v>
      </c>
      <c r="AD59" s="120">
        <f t="shared" si="3"/>
        <v>420</v>
      </c>
      <c r="AE59" s="141">
        <v>169</v>
      </c>
      <c r="AF59" s="141"/>
    </row>
    <row r="60" customHeight="1" spans="1:32">
      <c r="A60" s="81">
        <v>56</v>
      </c>
      <c r="B60" s="29" t="s">
        <v>124</v>
      </c>
      <c r="C60" s="276"/>
      <c r="D60" s="280"/>
      <c r="E60" s="81">
        <v>56</v>
      </c>
      <c r="F60" s="278"/>
      <c r="G60" s="279" t="s">
        <v>1130</v>
      </c>
      <c r="H60" s="28" t="s">
        <v>1131</v>
      </c>
      <c r="I60" s="293" t="s">
        <v>128</v>
      </c>
      <c r="J60" s="293" t="s">
        <v>128</v>
      </c>
      <c r="K60" s="294"/>
      <c r="L60" s="294"/>
      <c r="M60" s="294"/>
      <c r="N60" s="294"/>
      <c r="O60" s="295" t="s">
        <v>1132</v>
      </c>
      <c r="P60" s="295"/>
      <c r="Q60" s="300"/>
      <c r="R60" s="301"/>
      <c r="S60" s="61" t="s">
        <v>136</v>
      </c>
      <c r="T60" s="61"/>
      <c r="U60" s="52"/>
      <c r="V60" s="52"/>
      <c r="W60" s="61" t="s">
        <v>136</v>
      </c>
      <c r="X60" s="61"/>
      <c r="Y60" s="61" t="s">
        <v>135</v>
      </c>
      <c r="Z60" s="61" t="s">
        <v>135</v>
      </c>
      <c r="AA60" s="118">
        <f t="shared" si="4"/>
        <v>30</v>
      </c>
      <c r="AB60" s="303" t="str">
        <f t="shared" si="5"/>
        <v>00:30:00</v>
      </c>
      <c r="AC60" s="119">
        <v>0.0207407407407407</v>
      </c>
      <c r="AD60" s="120">
        <f t="shared" si="3"/>
        <v>1800</v>
      </c>
      <c r="AE60" s="141">
        <v>169</v>
      </c>
      <c r="AF60" s="141"/>
    </row>
    <row r="61" customHeight="1" spans="1:32">
      <c r="A61" s="81">
        <v>57</v>
      </c>
      <c r="B61" s="29" t="s">
        <v>124</v>
      </c>
      <c r="C61" s="276"/>
      <c r="D61" s="280"/>
      <c r="E61" s="81">
        <v>57</v>
      </c>
      <c r="F61" s="278" t="s">
        <v>1035</v>
      </c>
      <c r="G61" s="279" t="s">
        <v>1133</v>
      </c>
      <c r="H61" s="28" t="s">
        <v>1134</v>
      </c>
      <c r="I61" s="293" t="s">
        <v>128</v>
      </c>
      <c r="J61" s="293" t="s">
        <v>128</v>
      </c>
      <c r="K61" s="294"/>
      <c r="L61" s="294"/>
      <c r="M61" s="294"/>
      <c r="N61" s="294"/>
      <c r="O61" s="295" t="s">
        <v>1135</v>
      </c>
      <c r="P61" s="295"/>
      <c r="Q61" s="300"/>
      <c r="R61" s="301"/>
      <c r="S61" s="61" t="s">
        <v>136</v>
      </c>
      <c r="T61" s="61"/>
      <c r="U61" s="52"/>
      <c r="V61" s="52"/>
      <c r="W61" s="61" t="s">
        <v>136</v>
      </c>
      <c r="X61" s="61"/>
      <c r="Y61" s="61" t="s">
        <v>135</v>
      </c>
      <c r="Z61" s="61" t="s">
        <v>135</v>
      </c>
      <c r="AA61" s="118">
        <f t="shared" si="4"/>
        <v>9</v>
      </c>
      <c r="AB61" s="303" t="str">
        <f t="shared" si="5"/>
        <v>00:09:00</v>
      </c>
      <c r="AC61" s="119">
        <v>0.00599537037037037</v>
      </c>
      <c r="AD61" s="120">
        <f t="shared" si="3"/>
        <v>540</v>
      </c>
      <c r="AE61" s="141">
        <v>169</v>
      </c>
      <c r="AF61" s="141"/>
    </row>
    <row r="62" customHeight="1" spans="1:32">
      <c r="A62" s="81">
        <v>58</v>
      </c>
      <c r="B62" s="29" t="s">
        <v>124</v>
      </c>
      <c r="C62" s="276"/>
      <c r="D62" s="280"/>
      <c r="E62" s="81">
        <v>58</v>
      </c>
      <c r="F62" s="278"/>
      <c r="G62" s="279" t="s">
        <v>1136</v>
      </c>
      <c r="H62" s="28" t="s">
        <v>1137</v>
      </c>
      <c r="I62" s="293" t="s">
        <v>128</v>
      </c>
      <c r="J62" s="293" t="s">
        <v>128</v>
      </c>
      <c r="K62" s="294"/>
      <c r="L62" s="294"/>
      <c r="M62" s="294"/>
      <c r="N62" s="294"/>
      <c r="O62" s="295" t="s">
        <v>1138</v>
      </c>
      <c r="P62" s="295"/>
      <c r="Q62" s="300"/>
      <c r="R62" s="301"/>
      <c r="S62" s="61" t="s">
        <v>136</v>
      </c>
      <c r="T62" s="61"/>
      <c r="U62" s="52"/>
      <c r="V62" s="52"/>
      <c r="W62" s="61" t="s">
        <v>136</v>
      </c>
      <c r="X62" s="61"/>
      <c r="Y62" s="61" t="s">
        <v>135</v>
      </c>
      <c r="Z62" s="61" t="s">
        <v>135</v>
      </c>
      <c r="AA62" s="118">
        <f t="shared" si="4"/>
        <v>12</v>
      </c>
      <c r="AB62" s="303" t="str">
        <f t="shared" si="5"/>
        <v>00:12:00</v>
      </c>
      <c r="AC62" s="119">
        <v>0.00865740740740741</v>
      </c>
      <c r="AD62" s="120">
        <f t="shared" si="3"/>
        <v>720</v>
      </c>
      <c r="AE62" s="141">
        <v>169</v>
      </c>
      <c r="AF62" s="141"/>
    </row>
    <row r="63" customHeight="1" spans="1:32">
      <c r="A63" s="81">
        <v>59</v>
      </c>
      <c r="B63" s="29" t="s">
        <v>124</v>
      </c>
      <c r="C63" s="276"/>
      <c r="D63" s="280"/>
      <c r="E63" s="81">
        <v>59</v>
      </c>
      <c r="F63" s="278"/>
      <c r="G63" s="279" t="s">
        <v>1139</v>
      </c>
      <c r="H63" s="28" t="s">
        <v>1140</v>
      </c>
      <c r="I63" s="293" t="s">
        <v>128</v>
      </c>
      <c r="J63" s="293" t="s">
        <v>128</v>
      </c>
      <c r="K63" s="294"/>
      <c r="L63" s="294"/>
      <c r="M63" s="294"/>
      <c r="N63" s="294"/>
      <c r="O63" s="295" t="s">
        <v>1141</v>
      </c>
      <c r="P63" s="295"/>
      <c r="Q63" s="300"/>
      <c r="R63" s="301"/>
      <c r="S63" s="61" t="s">
        <v>136</v>
      </c>
      <c r="T63" s="61"/>
      <c r="U63" s="52"/>
      <c r="V63" s="52"/>
      <c r="W63" s="61" t="s">
        <v>136</v>
      </c>
      <c r="X63" s="61"/>
      <c r="Y63" s="61" t="s">
        <v>135</v>
      </c>
      <c r="Z63" s="61" t="s">
        <v>135</v>
      </c>
      <c r="AA63" s="118">
        <f t="shared" si="4"/>
        <v>8</v>
      </c>
      <c r="AB63" s="303" t="str">
        <f t="shared" si="5"/>
        <v>00:08:00</v>
      </c>
      <c r="AC63" s="119">
        <v>0.0055787037037037</v>
      </c>
      <c r="AD63" s="120">
        <f t="shared" si="3"/>
        <v>480</v>
      </c>
      <c r="AE63" s="141">
        <v>169</v>
      </c>
      <c r="AF63" s="141"/>
    </row>
    <row r="64" customHeight="1" spans="1:32">
      <c r="A64" s="81">
        <v>60</v>
      </c>
      <c r="B64" s="29" t="s">
        <v>124</v>
      </c>
      <c r="C64" s="276"/>
      <c r="D64" s="280"/>
      <c r="E64" s="81">
        <v>60</v>
      </c>
      <c r="F64" s="278"/>
      <c r="G64" s="279" t="s">
        <v>1142</v>
      </c>
      <c r="H64" s="28" t="s">
        <v>1143</v>
      </c>
      <c r="I64" s="293" t="s">
        <v>128</v>
      </c>
      <c r="J64" s="293" t="s">
        <v>128</v>
      </c>
      <c r="K64" s="294"/>
      <c r="L64" s="294"/>
      <c r="M64" s="294"/>
      <c r="N64" s="294"/>
      <c r="O64" s="295" t="s">
        <v>1144</v>
      </c>
      <c r="P64" s="295"/>
      <c r="Q64" s="300"/>
      <c r="R64" s="301"/>
      <c r="S64" s="61" t="s">
        <v>136</v>
      </c>
      <c r="T64" s="61"/>
      <c r="U64" s="52"/>
      <c r="V64" s="52"/>
      <c r="W64" s="61" t="s">
        <v>136</v>
      </c>
      <c r="X64" s="61"/>
      <c r="Y64" s="61" t="s">
        <v>135</v>
      </c>
      <c r="Z64" s="61" t="s">
        <v>135</v>
      </c>
      <c r="AA64" s="118">
        <f t="shared" si="4"/>
        <v>57</v>
      </c>
      <c r="AB64" s="303" t="str">
        <f t="shared" si="5"/>
        <v>00:57:00</v>
      </c>
      <c r="AC64" s="119">
        <v>0.0398726851851852</v>
      </c>
      <c r="AD64" s="120">
        <f t="shared" si="3"/>
        <v>3420</v>
      </c>
      <c r="AE64" s="141">
        <v>169</v>
      </c>
      <c r="AF64" s="141"/>
    </row>
    <row r="65" customHeight="1" spans="1:32">
      <c r="A65" s="81">
        <v>61</v>
      </c>
      <c r="B65" s="29" t="s">
        <v>124</v>
      </c>
      <c r="C65" s="276"/>
      <c r="D65" s="280"/>
      <c r="E65" s="81">
        <v>61</v>
      </c>
      <c r="F65" s="278" t="s">
        <v>1048</v>
      </c>
      <c r="G65" s="279" t="s">
        <v>1145</v>
      </c>
      <c r="H65" s="28" t="s">
        <v>1146</v>
      </c>
      <c r="I65" s="293" t="s">
        <v>128</v>
      </c>
      <c r="J65" s="293" t="s">
        <v>128</v>
      </c>
      <c r="K65" s="294"/>
      <c r="L65" s="294"/>
      <c r="M65" s="294"/>
      <c r="N65" s="294"/>
      <c r="O65" s="295" t="s">
        <v>1147</v>
      </c>
      <c r="P65" s="295"/>
      <c r="Q65" s="300"/>
      <c r="R65" s="301"/>
      <c r="S65" s="61" t="s">
        <v>136</v>
      </c>
      <c r="T65" s="61"/>
      <c r="U65" s="52"/>
      <c r="V65" s="52"/>
      <c r="W65" s="61" t="s">
        <v>136</v>
      </c>
      <c r="X65" s="61"/>
      <c r="Y65" s="61" t="s">
        <v>135</v>
      </c>
      <c r="Z65" s="61" t="s">
        <v>135</v>
      </c>
      <c r="AA65" s="118">
        <f t="shared" si="4"/>
        <v>9</v>
      </c>
      <c r="AB65" s="303" t="str">
        <f t="shared" si="5"/>
        <v>00:09:00</v>
      </c>
      <c r="AC65" s="119">
        <v>0.00619212962962963</v>
      </c>
      <c r="AD65" s="120">
        <f t="shared" si="3"/>
        <v>540</v>
      </c>
      <c r="AE65" s="141">
        <v>169</v>
      </c>
      <c r="AF65" s="141"/>
    </row>
    <row r="66" customHeight="1" spans="1:32">
      <c r="A66" s="81">
        <v>62</v>
      </c>
      <c r="B66" s="29" t="s">
        <v>124</v>
      </c>
      <c r="C66" s="276"/>
      <c r="D66" s="280"/>
      <c r="E66" s="81">
        <v>62</v>
      </c>
      <c r="F66" s="278"/>
      <c r="G66" s="279" t="s">
        <v>1148</v>
      </c>
      <c r="H66" s="28" t="s">
        <v>1149</v>
      </c>
      <c r="I66" s="293" t="s">
        <v>128</v>
      </c>
      <c r="J66" s="293" t="s">
        <v>128</v>
      </c>
      <c r="K66" s="294"/>
      <c r="L66" s="294"/>
      <c r="M66" s="294"/>
      <c r="N66" s="294"/>
      <c r="O66" s="295" t="s">
        <v>1150</v>
      </c>
      <c r="P66" s="295"/>
      <c r="Q66" s="300"/>
      <c r="R66" s="301"/>
      <c r="S66" s="61" t="s">
        <v>136</v>
      </c>
      <c r="T66" s="61"/>
      <c r="U66" s="52"/>
      <c r="V66" s="52"/>
      <c r="W66" s="61" t="s">
        <v>136</v>
      </c>
      <c r="X66" s="61"/>
      <c r="Y66" s="61" t="s">
        <v>135</v>
      </c>
      <c r="Z66" s="61" t="s">
        <v>135</v>
      </c>
      <c r="AA66" s="118">
        <f t="shared" si="4"/>
        <v>8</v>
      </c>
      <c r="AB66" s="303" t="str">
        <f t="shared" si="5"/>
        <v>00:08:00</v>
      </c>
      <c r="AC66" s="119">
        <v>0.00537037037037037</v>
      </c>
      <c r="AD66" s="120">
        <f t="shared" si="3"/>
        <v>480</v>
      </c>
      <c r="AE66" s="141">
        <v>169</v>
      </c>
      <c r="AF66" s="141"/>
    </row>
    <row r="67" customHeight="1" spans="1:32">
      <c r="A67" s="81">
        <v>63</v>
      </c>
      <c r="B67" s="29" t="s">
        <v>124</v>
      </c>
      <c r="C67" s="276"/>
      <c r="D67" s="280"/>
      <c r="E67" s="81">
        <v>63</v>
      </c>
      <c r="F67" s="278"/>
      <c r="G67" s="279" t="s">
        <v>1151</v>
      </c>
      <c r="H67" s="28" t="s">
        <v>1152</v>
      </c>
      <c r="I67" s="293" t="s">
        <v>128</v>
      </c>
      <c r="J67" s="293" t="s">
        <v>128</v>
      </c>
      <c r="K67" s="294"/>
      <c r="L67" s="294"/>
      <c r="M67" s="294"/>
      <c r="N67" s="294"/>
      <c r="O67" s="295" t="s">
        <v>1153</v>
      </c>
      <c r="P67" s="295"/>
      <c r="Q67" s="300"/>
      <c r="R67" s="301"/>
      <c r="S67" s="61" t="s">
        <v>136</v>
      </c>
      <c r="T67" s="61"/>
      <c r="U67" s="52"/>
      <c r="V67" s="52"/>
      <c r="W67" s="61" t="s">
        <v>136</v>
      </c>
      <c r="X67" s="61"/>
      <c r="Y67" s="61" t="s">
        <v>135</v>
      </c>
      <c r="Z67" s="61" t="s">
        <v>135</v>
      </c>
      <c r="AA67" s="118">
        <f t="shared" si="4"/>
        <v>7</v>
      </c>
      <c r="AB67" s="303" t="str">
        <f t="shared" si="5"/>
        <v>00:07:00</v>
      </c>
      <c r="AC67" s="119">
        <v>0.00508101851851852</v>
      </c>
      <c r="AD67" s="120">
        <f t="shared" si="3"/>
        <v>420</v>
      </c>
      <c r="AE67" s="141">
        <v>169</v>
      </c>
      <c r="AF67" s="141"/>
    </row>
    <row r="68" customHeight="1" spans="1:32">
      <c r="A68" s="81">
        <v>64</v>
      </c>
      <c r="B68" s="29" t="s">
        <v>124</v>
      </c>
      <c r="C68" s="276"/>
      <c r="D68" s="280"/>
      <c r="E68" s="81">
        <v>64</v>
      </c>
      <c r="F68" s="278"/>
      <c r="G68" s="279" t="s">
        <v>1154</v>
      </c>
      <c r="H68" s="28" t="s">
        <v>1155</v>
      </c>
      <c r="I68" s="293" t="s">
        <v>128</v>
      </c>
      <c r="J68" s="293" t="s">
        <v>128</v>
      </c>
      <c r="K68" s="294"/>
      <c r="L68" s="294"/>
      <c r="M68" s="294"/>
      <c r="N68" s="294"/>
      <c r="O68" s="295" t="s">
        <v>1156</v>
      </c>
      <c r="P68" s="295"/>
      <c r="Q68" s="300"/>
      <c r="R68" s="301"/>
      <c r="S68" s="61" t="s">
        <v>136</v>
      </c>
      <c r="T68" s="61"/>
      <c r="U68" s="52"/>
      <c r="V68" s="52"/>
      <c r="W68" s="61" t="s">
        <v>136</v>
      </c>
      <c r="X68" s="61"/>
      <c r="Y68" s="61" t="s">
        <v>135</v>
      </c>
      <c r="Z68" s="61" t="s">
        <v>135</v>
      </c>
      <c r="AA68" s="118">
        <f t="shared" si="4"/>
        <v>31</v>
      </c>
      <c r="AB68" s="303" t="str">
        <f t="shared" si="5"/>
        <v>00:31:00</v>
      </c>
      <c r="AC68" s="119">
        <v>0.0212037037037037</v>
      </c>
      <c r="AD68" s="120">
        <f t="shared" si="3"/>
        <v>1860</v>
      </c>
      <c r="AE68" s="141">
        <v>169</v>
      </c>
      <c r="AF68" s="141"/>
    </row>
    <row r="69" customHeight="1" spans="1:32">
      <c r="A69" s="81">
        <v>65</v>
      </c>
      <c r="B69" s="29" t="s">
        <v>124</v>
      </c>
      <c r="C69" s="276"/>
      <c r="D69" s="305"/>
      <c r="E69" s="81">
        <v>65</v>
      </c>
      <c r="F69" s="243" t="s">
        <v>946</v>
      </c>
      <c r="G69" s="28" t="s">
        <v>1157</v>
      </c>
      <c r="H69" s="28" t="s">
        <v>1157</v>
      </c>
      <c r="I69" s="293" t="s">
        <v>128</v>
      </c>
      <c r="J69" s="293" t="s">
        <v>128</v>
      </c>
      <c r="K69" s="293" t="s">
        <v>128</v>
      </c>
      <c r="L69" s="294"/>
      <c r="M69" s="294"/>
      <c r="N69" s="294"/>
      <c r="O69" s="307" t="s">
        <v>1158</v>
      </c>
      <c r="P69" s="308"/>
      <c r="Q69" s="300"/>
      <c r="R69" s="301"/>
      <c r="S69" s="61" t="s">
        <v>136</v>
      </c>
      <c r="T69" s="61"/>
      <c r="U69" s="52"/>
      <c r="V69" s="52"/>
      <c r="W69" s="61" t="s">
        <v>136</v>
      </c>
      <c r="X69" s="61"/>
      <c r="Y69" s="61" t="s">
        <v>135</v>
      </c>
      <c r="Z69" s="61" t="s">
        <v>135</v>
      </c>
      <c r="AA69" s="118">
        <f t="shared" si="4"/>
        <v>11</v>
      </c>
      <c r="AB69" s="303" t="str">
        <f t="shared" si="5"/>
        <v>00:11:00</v>
      </c>
      <c r="AC69" s="119">
        <v>0.00739583333333333</v>
      </c>
      <c r="AD69" s="120">
        <f t="shared" si="3"/>
        <v>660</v>
      </c>
      <c r="AE69" s="141">
        <v>169</v>
      </c>
      <c r="AF69" s="141"/>
    </row>
    <row r="70" customHeight="1" spans="1:32">
      <c r="A70" s="81">
        <v>66</v>
      </c>
      <c r="B70" s="29" t="s">
        <v>124</v>
      </c>
      <c r="C70" s="276"/>
      <c r="D70" s="305"/>
      <c r="E70" s="81">
        <v>66</v>
      </c>
      <c r="F70" s="243"/>
      <c r="G70" s="28" t="s">
        <v>1159</v>
      </c>
      <c r="H70" s="28" t="s">
        <v>1160</v>
      </c>
      <c r="I70" s="293" t="s">
        <v>128</v>
      </c>
      <c r="J70" s="293" t="s">
        <v>128</v>
      </c>
      <c r="K70" s="293" t="s">
        <v>128</v>
      </c>
      <c r="L70" s="294"/>
      <c r="M70" s="294"/>
      <c r="N70" s="294"/>
      <c r="O70" s="309"/>
      <c r="P70" s="295"/>
      <c r="Q70" s="300"/>
      <c r="R70" s="301"/>
      <c r="S70" s="61"/>
      <c r="T70" s="61"/>
      <c r="U70" s="52"/>
      <c r="V70" s="52"/>
      <c r="W70" s="61"/>
      <c r="X70" s="61"/>
      <c r="Y70" s="61" t="s">
        <v>135</v>
      </c>
      <c r="Z70" s="61" t="s">
        <v>135</v>
      </c>
      <c r="AA70" s="118">
        <f t="shared" si="4"/>
        <v>0</v>
      </c>
      <c r="AB70" s="303" t="str">
        <f t="shared" si="5"/>
        <v>00:00:00</v>
      </c>
      <c r="AC70" s="119"/>
      <c r="AD70" s="120">
        <f t="shared" si="3"/>
        <v>0</v>
      </c>
      <c r="AE70" s="141">
        <v>169</v>
      </c>
      <c r="AF70" s="141"/>
    </row>
    <row r="71" customHeight="1" spans="1:32">
      <c r="A71" s="81">
        <v>67</v>
      </c>
      <c r="B71" s="29" t="s">
        <v>124</v>
      </c>
      <c r="C71" s="276"/>
      <c r="D71" s="305"/>
      <c r="E71" s="81">
        <v>67</v>
      </c>
      <c r="F71" s="243"/>
      <c r="G71" s="28" t="s">
        <v>1161</v>
      </c>
      <c r="H71" s="28" t="s">
        <v>1162</v>
      </c>
      <c r="I71" s="293" t="s">
        <v>128</v>
      </c>
      <c r="J71" s="293" t="s">
        <v>128</v>
      </c>
      <c r="K71" s="293" t="s">
        <v>128</v>
      </c>
      <c r="L71" s="294"/>
      <c r="M71" s="294"/>
      <c r="N71" s="294"/>
      <c r="O71" s="309"/>
      <c r="P71" s="295"/>
      <c r="Q71" s="300"/>
      <c r="R71" s="301"/>
      <c r="S71" s="61"/>
      <c r="T71" s="61"/>
      <c r="U71" s="52"/>
      <c r="V71" s="52"/>
      <c r="W71" s="61"/>
      <c r="X71" s="61"/>
      <c r="Y71" s="61" t="s">
        <v>135</v>
      </c>
      <c r="Z71" s="61" t="s">
        <v>135</v>
      </c>
      <c r="AA71" s="118">
        <f t="shared" si="4"/>
        <v>0</v>
      </c>
      <c r="AB71" s="303" t="str">
        <f t="shared" si="5"/>
        <v>00:00:00</v>
      </c>
      <c r="AC71" s="119"/>
      <c r="AD71" s="120">
        <f t="shared" si="3"/>
        <v>0</v>
      </c>
      <c r="AE71" s="141">
        <v>169</v>
      </c>
      <c r="AF71" s="141"/>
    </row>
    <row r="72" customHeight="1" spans="1:32">
      <c r="A72" s="81">
        <v>68</v>
      </c>
      <c r="B72" s="29" t="s">
        <v>124</v>
      </c>
      <c r="C72" s="276"/>
      <c r="D72" s="305"/>
      <c r="E72" s="81">
        <v>68</v>
      </c>
      <c r="F72" s="243"/>
      <c r="G72" s="306" t="s">
        <v>1163</v>
      </c>
      <c r="H72" s="28" t="s">
        <v>1164</v>
      </c>
      <c r="I72" s="310" t="s">
        <v>128</v>
      </c>
      <c r="J72" s="310" t="s">
        <v>128</v>
      </c>
      <c r="K72" s="311" t="s">
        <v>128</v>
      </c>
      <c r="L72" s="31"/>
      <c r="M72" s="312"/>
      <c r="N72" s="312"/>
      <c r="O72" s="313"/>
      <c r="P72" s="295"/>
      <c r="Q72" s="300"/>
      <c r="R72" s="301"/>
      <c r="S72" s="61"/>
      <c r="T72" s="61"/>
      <c r="U72" s="52"/>
      <c r="V72" s="52"/>
      <c r="W72" s="61"/>
      <c r="X72" s="314"/>
      <c r="Y72" s="314" t="s">
        <v>135</v>
      </c>
      <c r="Z72" s="314" t="s">
        <v>135</v>
      </c>
      <c r="AA72" s="118">
        <f t="shared" si="4"/>
        <v>0</v>
      </c>
      <c r="AB72" s="303" t="str">
        <f t="shared" si="5"/>
        <v>00:00:00</v>
      </c>
      <c r="AC72" s="315"/>
      <c r="AD72" s="118">
        <f t="shared" si="3"/>
        <v>0</v>
      </c>
      <c r="AE72" s="179">
        <v>169</v>
      </c>
      <c r="AF72" s="179"/>
    </row>
    <row r="73" customHeight="1" spans="1:32">
      <c r="A73" s="81">
        <v>69</v>
      </c>
      <c r="B73" s="29" t="s">
        <v>124</v>
      </c>
      <c r="C73" s="276"/>
      <c r="D73" s="29"/>
      <c r="E73" s="81">
        <v>69</v>
      </c>
      <c r="F73" s="156"/>
      <c r="G73" s="28" t="s">
        <v>1165</v>
      </c>
      <c r="H73" s="28" t="s">
        <v>1166</v>
      </c>
      <c r="I73" s="31" t="s">
        <v>128</v>
      </c>
      <c r="J73" s="31" t="s">
        <v>128</v>
      </c>
      <c r="K73" s="311" t="s">
        <v>128</v>
      </c>
      <c r="L73" s="31"/>
      <c r="M73" s="31"/>
      <c r="N73" s="31"/>
      <c r="O73" s="309"/>
      <c r="P73" s="295"/>
      <c r="Q73" s="300"/>
      <c r="R73" s="301"/>
      <c r="S73" s="61"/>
      <c r="T73" s="61"/>
      <c r="U73" s="52"/>
      <c r="V73" s="52"/>
      <c r="W73" s="61"/>
      <c r="X73" s="61"/>
      <c r="Y73" s="61" t="s">
        <v>135</v>
      </c>
      <c r="Z73" s="61" t="s">
        <v>135</v>
      </c>
      <c r="AA73" s="118">
        <f t="shared" si="4"/>
        <v>0</v>
      </c>
      <c r="AB73" s="227" t="str">
        <f t="shared" si="5"/>
        <v>00:00:00</v>
      </c>
      <c r="AC73" s="119"/>
      <c r="AD73" s="118">
        <f t="shared" si="3"/>
        <v>0</v>
      </c>
      <c r="AE73" s="179">
        <v>169</v>
      </c>
      <c r="AF73" s="179"/>
    </row>
    <row r="74" customHeight="1" spans="28:28">
      <c r="AB74" s="231"/>
    </row>
    <row r="75" customHeight="1" spans="28:28">
      <c r="AB75" s="231"/>
    </row>
    <row r="76" customHeight="1" spans="28:28">
      <c r="AB76" s="231"/>
    </row>
    <row r="77" customHeight="1" spans="28:28">
      <c r="AB77" s="231"/>
    </row>
    <row r="78" customHeight="1" spans="28:28">
      <c r="AB78" s="231"/>
    </row>
    <row r="79" customHeight="1" spans="28:28">
      <c r="AB79" s="231"/>
    </row>
    <row r="80" customHeight="1" spans="28:28">
      <c r="AB80" s="231"/>
    </row>
    <row r="81" customHeight="1" spans="28:28">
      <c r="AB81" s="231"/>
    </row>
    <row r="82" customHeight="1" spans="28:28">
      <c r="AB82" s="231"/>
    </row>
    <row r="83" customHeight="1" spans="28:28">
      <c r="AB83" s="231"/>
    </row>
    <row r="84" customHeight="1" spans="28:28">
      <c r="AB84" s="231"/>
    </row>
    <row r="85" customHeight="1" spans="28:28">
      <c r="AB85" s="231"/>
    </row>
    <row r="86" customHeight="1" spans="28:28">
      <c r="AB86" s="231"/>
    </row>
    <row r="87" customHeight="1" spans="28:28">
      <c r="AB87" s="231"/>
    </row>
    <row r="88" customHeight="1" spans="28:28">
      <c r="AB88" s="231"/>
    </row>
    <row r="89" customHeight="1" spans="28:28">
      <c r="AB89" s="231"/>
    </row>
    <row r="90" customHeight="1" spans="28:28">
      <c r="AB90" s="231"/>
    </row>
    <row r="91" customHeight="1" spans="28:28">
      <c r="AB91" s="231"/>
    </row>
    <row r="92" customHeight="1" spans="28:28">
      <c r="AB92" s="231"/>
    </row>
    <row r="93" customHeight="1" spans="28:28">
      <c r="AB93" s="231"/>
    </row>
    <row r="94" customHeight="1" spans="28:28">
      <c r="AB94" s="231"/>
    </row>
    <row r="95" customHeight="1" spans="28:28">
      <c r="AB95" s="231"/>
    </row>
    <row r="96" customHeight="1" spans="28:28">
      <c r="AB96" s="231"/>
    </row>
    <row r="97" customHeight="1" spans="28:28">
      <c r="AB97" s="231"/>
    </row>
    <row r="98" customHeight="1" spans="28:28">
      <c r="AB98" s="231"/>
    </row>
    <row r="99" customHeight="1" spans="28:28">
      <c r="AB99" s="231"/>
    </row>
    <row r="100" customHeight="1" spans="28:28">
      <c r="AB100" s="231"/>
    </row>
    <row r="101" customHeight="1" spans="28:28">
      <c r="AB101" s="231"/>
    </row>
    <row r="102" customHeight="1" spans="28:28">
      <c r="AB102" s="231"/>
    </row>
    <row r="103" customHeight="1" spans="28:28">
      <c r="AB103" s="231"/>
    </row>
    <row r="104" customHeight="1" spans="28:28">
      <c r="AB104" s="231"/>
    </row>
    <row r="105" customHeight="1" spans="28:28">
      <c r="AB105" s="231"/>
    </row>
    <row r="106" customHeight="1" spans="28:28">
      <c r="AB106" s="231"/>
    </row>
    <row r="107" customHeight="1" spans="28:28">
      <c r="AB107" s="231"/>
    </row>
    <row r="108" customHeight="1" spans="28:28">
      <c r="AB108" s="231"/>
    </row>
    <row r="109" customHeight="1" spans="28:28">
      <c r="AB109" s="231"/>
    </row>
    <row r="110" customHeight="1" spans="28:28">
      <c r="AB110" s="231"/>
    </row>
    <row r="111" customHeight="1" spans="28:28">
      <c r="AB111" s="231"/>
    </row>
    <row r="112" customHeight="1" spans="28:28">
      <c r="AB112" s="231"/>
    </row>
    <row r="113" customHeight="1" spans="28:28">
      <c r="AB113" s="231"/>
    </row>
    <row r="114" customHeight="1" spans="28:28">
      <c r="AB114" s="231"/>
    </row>
    <row r="115" customHeight="1" spans="28:28">
      <c r="AB115" s="231"/>
    </row>
    <row r="116" customHeight="1" spans="28:28">
      <c r="AB116" s="231"/>
    </row>
    <row r="117" customHeight="1" spans="28:28">
      <c r="AB117" s="231"/>
    </row>
    <row r="118" customHeight="1" spans="28:28">
      <c r="AB118" s="231"/>
    </row>
    <row r="119" customHeight="1" spans="28:28">
      <c r="AB119" s="231"/>
    </row>
    <row r="120" customHeight="1" spans="28:28">
      <c r="AB120" s="231"/>
    </row>
    <row r="121" customHeight="1" spans="28:28">
      <c r="AB121" s="231"/>
    </row>
    <row r="122" customHeight="1" spans="28:28">
      <c r="AB122" s="231"/>
    </row>
    <row r="123" customHeight="1" spans="28:28">
      <c r="AB123" s="231"/>
    </row>
    <row r="124" customHeight="1" spans="28:28">
      <c r="AB124" s="231"/>
    </row>
    <row r="125" customHeight="1" spans="28:28">
      <c r="AB125" s="231"/>
    </row>
    <row r="126" customHeight="1" spans="28:28">
      <c r="AB126" s="231"/>
    </row>
    <row r="127" customHeight="1" spans="28:28">
      <c r="AB127" s="231"/>
    </row>
    <row r="128" customHeight="1" spans="28:28">
      <c r="AB128" s="231"/>
    </row>
    <row r="129" customHeight="1" spans="28:28">
      <c r="AB129" s="231"/>
    </row>
    <row r="130" customHeight="1" spans="28:28">
      <c r="AB130" s="231"/>
    </row>
    <row r="131" customHeight="1" spans="28:28">
      <c r="AB131" s="231"/>
    </row>
    <row r="132" customHeight="1" spans="28:28">
      <c r="AB132" s="231"/>
    </row>
    <row r="133" customHeight="1" spans="28:28">
      <c r="AB133" s="231"/>
    </row>
    <row r="134" customHeight="1" spans="28:28">
      <c r="AB134" s="231"/>
    </row>
    <row r="135" customHeight="1" spans="28:28">
      <c r="AB135" s="231"/>
    </row>
    <row r="136" customHeight="1" spans="28:28">
      <c r="AB136" s="231"/>
    </row>
    <row r="137" customHeight="1" spans="28:28">
      <c r="AB137" s="231"/>
    </row>
    <row r="138" customHeight="1" spans="28:28">
      <c r="AB138" s="231"/>
    </row>
    <row r="139" customHeight="1" spans="28:28">
      <c r="AB139" s="231"/>
    </row>
    <row r="140" customHeight="1" spans="28:28">
      <c r="AB140" s="231"/>
    </row>
    <row r="141" customHeight="1" spans="28:28">
      <c r="AB141" s="231"/>
    </row>
    <row r="142" customHeight="1" spans="28:28">
      <c r="AB142" s="231"/>
    </row>
    <row r="143" customHeight="1" spans="28:28">
      <c r="AB143" s="231"/>
    </row>
    <row r="144" customHeight="1" spans="28:28">
      <c r="AB144" s="231"/>
    </row>
    <row r="145" customHeight="1" spans="28:28">
      <c r="AB145" s="231"/>
    </row>
    <row r="146" customHeight="1" spans="28:28">
      <c r="AB146" s="231"/>
    </row>
    <row r="147" customHeight="1" spans="28:28">
      <c r="AB147" s="231"/>
    </row>
    <row r="148" customHeight="1" spans="28:28">
      <c r="AB148" s="231"/>
    </row>
    <row r="149" customHeight="1" spans="28:28">
      <c r="AB149" s="231"/>
    </row>
    <row r="150" customHeight="1" spans="28:28">
      <c r="AB150" s="231"/>
    </row>
    <row r="151" customHeight="1" spans="28:28">
      <c r="AB151" s="231"/>
    </row>
    <row r="152" customHeight="1" spans="28:28">
      <c r="AB152" s="231"/>
    </row>
    <row r="153" customHeight="1" spans="28:28">
      <c r="AB153" s="231"/>
    </row>
    <row r="154" customHeight="1" spans="28:28">
      <c r="AB154" s="231"/>
    </row>
    <row r="155" customHeight="1" spans="28:28">
      <c r="AB155" s="231"/>
    </row>
    <row r="156" customHeight="1" spans="28:28">
      <c r="AB156" s="231"/>
    </row>
    <row r="157" customHeight="1" spans="28:28">
      <c r="AB157" s="231"/>
    </row>
    <row r="158" customHeight="1" spans="28:28">
      <c r="AB158" s="231"/>
    </row>
    <row r="159" customHeight="1" spans="28:28">
      <c r="AB159" s="231"/>
    </row>
    <row r="160" customHeight="1" spans="28:28">
      <c r="AB160" s="231"/>
    </row>
    <row r="161" customHeight="1" spans="28:28">
      <c r="AB161" s="231"/>
    </row>
    <row r="162" customHeight="1" spans="28:28">
      <c r="AB162" s="231"/>
    </row>
    <row r="163" customHeight="1" spans="28:28">
      <c r="AB163" s="231"/>
    </row>
    <row r="164" customHeight="1" spans="28:28">
      <c r="AB164" s="231"/>
    </row>
    <row r="165" customHeight="1" spans="28:28">
      <c r="AB165" s="231"/>
    </row>
    <row r="166" customHeight="1" spans="28:28">
      <c r="AB166" s="231"/>
    </row>
    <row r="167" customHeight="1" spans="28:28">
      <c r="AB167" s="231"/>
    </row>
    <row r="168" customHeight="1" spans="28:28">
      <c r="AB168" s="231"/>
    </row>
    <row r="169" customHeight="1" spans="28:28">
      <c r="AB169" s="231"/>
    </row>
    <row r="170" customHeight="1" spans="28:28">
      <c r="AB170" s="231"/>
    </row>
    <row r="171" customHeight="1" spans="28:28">
      <c r="AB171" s="231"/>
    </row>
    <row r="172" customHeight="1" spans="28:28">
      <c r="AB172" s="231"/>
    </row>
    <row r="173" customHeight="1" spans="28:28">
      <c r="AB173" s="231"/>
    </row>
    <row r="174" customHeight="1" spans="28:28">
      <c r="AB174" s="231"/>
    </row>
    <row r="175" customHeight="1" spans="28:28">
      <c r="AB175" s="231"/>
    </row>
    <row r="176" customHeight="1" spans="28:28">
      <c r="AB176" s="231"/>
    </row>
    <row r="177" customHeight="1" spans="28:28">
      <c r="AB177" s="231"/>
    </row>
    <row r="178" customHeight="1" spans="28:28">
      <c r="AB178" s="231"/>
    </row>
    <row r="179" customHeight="1" spans="28:28">
      <c r="AB179" s="231"/>
    </row>
    <row r="180" customHeight="1" spans="28:28">
      <c r="AB180" s="231"/>
    </row>
    <row r="181" customHeight="1" spans="28:28">
      <c r="AB181" s="231"/>
    </row>
    <row r="182" customHeight="1" spans="28:28">
      <c r="AB182" s="231"/>
    </row>
    <row r="183" customHeight="1" spans="28:28">
      <c r="AB183" s="231"/>
    </row>
    <row r="184" customHeight="1" spans="28:28">
      <c r="AB184" s="231"/>
    </row>
    <row r="185" customHeight="1" spans="28:28">
      <c r="AB185" s="231"/>
    </row>
    <row r="186" customHeight="1" spans="28:28">
      <c r="AB186" s="231"/>
    </row>
    <row r="187" customHeight="1" spans="28:28">
      <c r="AB187" s="231"/>
    </row>
    <row r="188" customHeight="1" spans="28:28">
      <c r="AB188" s="231"/>
    </row>
    <row r="189" customHeight="1" spans="28:28">
      <c r="AB189" s="231"/>
    </row>
    <row r="190" customHeight="1" spans="28:28">
      <c r="AB190" s="231"/>
    </row>
    <row r="191" customHeight="1" spans="28:28">
      <c r="AB191" s="231"/>
    </row>
    <row r="192" customHeight="1" spans="28:28">
      <c r="AB192" s="231"/>
    </row>
    <row r="193" customHeight="1" spans="28:28">
      <c r="AB193" s="231"/>
    </row>
    <row r="194" customHeight="1" spans="28:28">
      <c r="AB194" s="231"/>
    </row>
    <row r="195" customHeight="1" spans="28:28">
      <c r="AB195" s="231"/>
    </row>
    <row r="196" customHeight="1" spans="28:28">
      <c r="AB196" s="231"/>
    </row>
    <row r="197" customHeight="1" spans="28:28">
      <c r="AB197" s="231"/>
    </row>
    <row r="198" customHeight="1" spans="28:28">
      <c r="AB198" s="231"/>
    </row>
    <row r="199" customHeight="1" spans="28:28">
      <c r="AB199" s="231"/>
    </row>
    <row r="200" customHeight="1" spans="28:28">
      <c r="AB200" s="231"/>
    </row>
    <row r="201" customHeight="1" spans="28:28">
      <c r="AB201" s="231"/>
    </row>
    <row r="202" customHeight="1" spans="28:28">
      <c r="AB202" s="231"/>
    </row>
    <row r="203" customHeight="1" spans="28:28">
      <c r="AB203" s="231"/>
    </row>
    <row r="204" customHeight="1" spans="28:28">
      <c r="AB204" s="231"/>
    </row>
    <row r="205" customHeight="1" spans="28:28">
      <c r="AB205" s="231"/>
    </row>
    <row r="206" customHeight="1" spans="28:28">
      <c r="AB206" s="231"/>
    </row>
    <row r="207" customHeight="1" spans="28:28">
      <c r="AB207" s="231"/>
    </row>
    <row r="208" customHeight="1" spans="28:28">
      <c r="AB208" s="231"/>
    </row>
    <row r="209" customHeight="1" spans="28:28">
      <c r="AB209" s="231"/>
    </row>
  </sheetData>
  <autoFilter xmlns:etc="http://www.wps.cn/officeDocument/2017/etCustomData" ref="A4:AQ73" etc:filterBottomFollowUsedRange="0">
    <extLst/>
  </autoFilter>
  <mergeCells count="56">
    <mergeCell ref="A2:H2"/>
    <mergeCell ref="I2:L2"/>
    <mergeCell ref="M2:N2"/>
    <mergeCell ref="Q2:R2"/>
    <mergeCell ref="S2:X2"/>
    <mergeCell ref="Y2:Z2"/>
    <mergeCell ref="AC2:AD2"/>
    <mergeCell ref="AE2:AF2"/>
    <mergeCell ref="Q3:R3"/>
    <mergeCell ref="A3:A4"/>
    <mergeCell ref="B3:B4"/>
    <mergeCell ref="C3:C4"/>
    <mergeCell ref="C5:C73"/>
    <mergeCell ref="D3:D4"/>
    <mergeCell ref="E3:E4"/>
    <mergeCell ref="F3:F4"/>
    <mergeCell ref="F5:F8"/>
    <mergeCell ref="F9:F12"/>
    <mergeCell ref="F13:F16"/>
    <mergeCell ref="F17:F20"/>
    <mergeCell ref="F21:F24"/>
    <mergeCell ref="F25:F28"/>
    <mergeCell ref="F29:F32"/>
    <mergeCell ref="F33:F36"/>
    <mergeCell ref="F37:F40"/>
    <mergeCell ref="F41:F44"/>
    <mergeCell ref="F45:F48"/>
    <mergeCell ref="F49:F52"/>
    <mergeCell ref="F53:F56"/>
    <mergeCell ref="F57:F60"/>
    <mergeCell ref="F61:F64"/>
    <mergeCell ref="F65:F68"/>
    <mergeCell ref="G3:G4"/>
    <mergeCell ref="H3:H4"/>
    <mergeCell ref="I3:I4"/>
    <mergeCell ref="J3:J4"/>
    <mergeCell ref="K3:K4"/>
    <mergeCell ref="L3:L4"/>
    <mergeCell ref="M3:M4"/>
    <mergeCell ref="N3:N4"/>
    <mergeCell ref="O2:O4"/>
    <mergeCell ref="P2:P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O36"/>
  <sheetViews>
    <sheetView zoomScale="90" zoomScaleNormal="90" workbookViewId="0">
      <selection activeCell="G22" sqref="G22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35.5583333333333" style="4" customWidth="1"/>
    <col min="7" max="7" width="36.5083333333333" style="3" customWidth="1"/>
    <col min="8" max="9" width="4" style="3" customWidth="1"/>
    <col min="10" max="10" width="4" style="3" hidden="1" customWidth="1"/>
    <col min="11" max="12" width="4" style="3" customWidth="1"/>
    <col min="13" max="14" width="20.3833333333333" style="3" customWidth="1"/>
    <col min="15" max="15" width="20.3833333333333" style="3" hidden="1" customWidth="1"/>
    <col min="16" max="16" width="52.9083333333333" style="3" customWidth="1"/>
    <col min="17" max="17" width="45.4166666666667" style="5" customWidth="1"/>
    <col min="18" max="18" width="4.14166666666667" style="3" customWidth="1"/>
    <col min="19" max="21" width="4.14166666666667" style="6" customWidth="1"/>
    <col min="22" max="23" width="4.14166666666667" style="3" customWidth="1"/>
    <col min="24" max="25" width="5.63333333333333" style="7" customWidth="1"/>
    <col min="26" max="26" width="8" style="7" customWidth="1"/>
    <col min="27" max="27" width="11.3833333333333" style="3" customWidth="1"/>
    <col min="28" max="28" width="11.2583333333333" style="3" customWidth="1"/>
    <col min="29" max="29" width="6.14166666666667" style="3" customWidth="1"/>
    <col min="30" max="30" width="7.63333333333333" style="215" customWidth="1"/>
    <col min="31" max="31" width="5.14166666666667" style="8" customWidth="1"/>
    <col min="32" max="32" width="17.6333333333333" style="9" customWidth="1"/>
    <col min="33" max="33" width="5.14166666666667" style="10" customWidth="1"/>
    <col min="34" max="34" width="5.14166666666667" style="8" customWidth="1"/>
    <col min="35" max="35" width="5.14166666666667" style="11" customWidth="1"/>
    <col min="36" max="37" width="5.14166666666667" style="8" customWidth="1"/>
    <col min="38" max="38" width="5.14166666666667" style="10" customWidth="1"/>
    <col min="39" max="41" width="4.14166666666667" style="12" hidden="1" customWidth="1"/>
    <col min="42" max="16384" width="8" style="2"/>
  </cols>
  <sheetData>
    <row r="1" ht="13.5"/>
    <row r="2" ht="18.95" customHeight="1" spans="1:41">
      <c r="A2" s="184" t="s">
        <v>350</v>
      </c>
      <c r="B2" s="185"/>
      <c r="C2" s="185"/>
      <c r="D2" s="185"/>
      <c r="E2" s="185"/>
      <c r="F2" s="185"/>
      <c r="G2" s="186"/>
      <c r="H2" s="15" t="s">
        <v>77</v>
      </c>
      <c r="I2" s="35"/>
      <c r="J2" s="36"/>
      <c r="K2" s="15" t="s">
        <v>78</v>
      </c>
      <c r="L2" s="36"/>
      <c r="M2" s="196" t="s">
        <v>79</v>
      </c>
      <c r="N2" s="197"/>
      <c r="O2" s="250"/>
      <c r="P2" s="250"/>
      <c r="Q2" s="260" t="s">
        <v>352</v>
      </c>
      <c r="R2" s="162" t="s">
        <v>84</v>
      </c>
      <c r="S2" s="40"/>
      <c r="T2" s="40"/>
      <c r="U2" s="40"/>
      <c r="V2" s="40"/>
      <c r="W2" s="40"/>
      <c r="X2" s="53" t="s">
        <v>353</v>
      </c>
      <c r="Y2" s="54"/>
      <c r="Z2" s="55"/>
      <c r="AA2" s="65" t="s">
        <v>85</v>
      </c>
      <c r="AB2" s="65"/>
      <c r="AC2" s="264" t="s">
        <v>86</v>
      </c>
      <c r="AD2" s="67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ht="18" customHeight="1" spans="1:41">
      <c r="A3" s="115" t="s">
        <v>89</v>
      </c>
      <c r="B3" s="23" t="s">
        <v>91</v>
      </c>
      <c r="C3" s="115" t="s">
        <v>354</v>
      </c>
      <c r="D3" s="23" t="s">
        <v>90</v>
      </c>
      <c r="E3" s="115" t="s">
        <v>93</v>
      </c>
      <c r="F3" s="115" t="s">
        <v>94</v>
      </c>
      <c r="G3" s="115" t="s">
        <v>95</v>
      </c>
      <c r="H3" s="21" t="s">
        <v>97</v>
      </c>
      <c r="I3" s="27" t="s">
        <v>944</v>
      </c>
      <c r="J3" s="27" t="s">
        <v>103</v>
      </c>
      <c r="K3" s="41" t="s">
        <v>100</v>
      </c>
      <c r="L3" s="42" t="s">
        <v>101</v>
      </c>
      <c r="M3" s="199" t="s">
        <v>1167</v>
      </c>
      <c r="N3" s="44" t="s">
        <v>944</v>
      </c>
      <c r="O3" s="44" t="s">
        <v>103</v>
      </c>
      <c r="P3" s="44"/>
      <c r="Q3" s="161" t="s">
        <v>1168</v>
      </c>
      <c r="R3" s="45" t="s">
        <v>113</v>
      </c>
      <c r="S3" s="56" t="s">
        <v>114</v>
      </c>
      <c r="T3" s="57" t="s">
        <v>115</v>
      </c>
      <c r="U3" s="57" t="s">
        <v>116</v>
      </c>
      <c r="V3" s="56" t="s">
        <v>117</v>
      </c>
      <c r="W3" s="56" t="s">
        <v>118</v>
      </c>
      <c r="X3" s="58" t="s">
        <v>111</v>
      </c>
      <c r="Y3" s="58" t="s">
        <v>112</v>
      </c>
      <c r="Z3" s="24" t="s">
        <v>119</v>
      </c>
      <c r="AA3" s="68" t="s">
        <v>120</v>
      </c>
      <c r="AB3" s="69" t="s">
        <v>121</v>
      </c>
      <c r="AC3" s="265" t="s">
        <v>122</v>
      </c>
      <c r="AD3" s="266" t="s">
        <v>955</v>
      </c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ht="111.95" customHeight="1" spans="1:30">
      <c r="A4" s="68"/>
      <c r="B4" s="79"/>
      <c r="C4" s="80"/>
      <c r="D4" s="79"/>
      <c r="E4" s="80"/>
      <c r="F4" s="80"/>
      <c r="G4" s="68"/>
      <c r="H4" s="242"/>
      <c r="I4" s="242"/>
      <c r="J4" s="242"/>
      <c r="K4" s="251"/>
      <c r="L4" s="251"/>
      <c r="M4" s="99"/>
      <c r="N4" s="99"/>
      <c r="O4" s="99"/>
      <c r="P4" s="99" t="s">
        <v>1169</v>
      </c>
      <c r="Q4" s="166"/>
      <c r="R4" s="45"/>
      <c r="S4" s="56"/>
      <c r="T4" s="136"/>
      <c r="U4" s="136"/>
      <c r="V4" s="56"/>
      <c r="W4" s="56"/>
      <c r="X4" s="137"/>
      <c r="Y4" s="137"/>
      <c r="Z4" s="115"/>
      <c r="AA4" s="68"/>
      <c r="AB4" s="113"/>
      <c r="AC4" s="267"/>
      <c r="AD4" s="268"/>
    </row>
    <row r="5" s="181" customFormat="1" ht="21" customHeight="1" spans="1:41">
      <c r="A5" s="243">
        <v>1</v>
      </c>
      <c r="B5" s="244" t="s">
        <v>1170</v>
      </c>
      <c r="C5" s="191" t="s">
        <v>1171</v>
      </c>
      <c r="D5" s="244"/>
      <c r="E5" s="243">
        <v>1</v>
      </c>
      <c r="F5" s="245" t="s">
        <v>1172</v>
      </c>
      <c r="G5" s="156" t="s">
        <v>1173</v>
      </c>
      <c r="H5" s="246"/>
      <c r="I5" s="246"/>
      <c r="J5" s="246"/>
      <c r="K5" s="248" t="s">
        <v>128</v>
      </c>
      <c r="L5" s="248" t="s">
        <v>128</v>
      </c>
      <c r="M5" s="252"/>
      <c r="N5" s="252"/>
      <c r="O5" s="253"/>
      <c r="P5" s="254" t="str">
        <f>CONCATENATE(SUBSTITUTE(SUBSTITUTE(SUBSTITUTE(SUBSTITUTE(SUBSTITUTE(SUBSTITUTE(SUBSTITUTE(SUBSTITUTE(SUBSTITUTE(SUBSTITUTE(SUBSTITUTE(SUBSTITUTE(SUBSTITUTE(SUBSTITUTE(SUBSTITUTE(SUBSTITUTE(SUBSTITUTE(SUBSTITUTE(SUBSTITUTE(SUBSTITUTE(SUBSTITUTE(SUBSTITUTE(G5,":","")," '",""),",",""),".",""),"&amp;",""),"(",""),")",""),"%",""),"/",""),"*",""),"？",""),"?",""),"！",""),"!",""),"-",""),"（",""),"）","")," ",""),"：",""),"'",""),"π","PI"),"，",""),"_",B5,"_",AD5,"_",PROPER(R5),IF(S5="",PROPER(R5),PROPER(S5)),PROPER(T5),PROPER(U5),PROPER(V5),IF(V5&lt;&gt;"","SUB",""),PROPER(W5),IF(W5&lt;&gt;"","SUB",""),"_","Ed","_","M1",".mpg")</f>
        <v>A330_200_Eng0622SafetyVideoOwg_0622_43__Ed_M1.mpg</v>
      </c>
      <c r="Q5" s="254" t="str">
        <f t="shared" ref="Q5:Q7" si="0">CONCATENATE(SUBSTITUTE(SUBSTITUTE(SUBSTITUTE(SUBSTITUTE(SUBSTITUTE(SUBSTITUTE(SUBSTITUTE(SUBSTITUTE(SUBSTITUTE(SUBSTITUTE(SUBSTITUTE(SUBSTITUTE(SUBSTITUTE(SUBSTITUTE(SUBSTITUTE(SUBSTITUTE(SUBSTITUTE(SUBSTITUTE(SUBSTITUTE(SUBSTITUTE(SUBSTITUTE(SUBSTITUTE(G5,":","")," '",""),",",""),".",""),"&amp;",""),"(",""),")",""),"%",""),"/",""),"*",""),"？",""),"?",""),"！",""),"!",""),"-",""),"（",""),"）","")," ",""),"：",""),"'",""),"π","PI"),"，",""),"_",B5,"_",AC5,"_",PROPER(R5),IF(S5="",PROPER(R5),PROPER(S5)),PROPER(T5),PROPER(U5),PROPER(V5),IF(V5&lt;&gt;"","SUB",""),PROPER(W5),IF(W5&lt;&gt;"","SUB",""),"_","Ed","_","M2",".mpg")</f>
        <v>A330_200_Eng0622SafetyVideoOwg_0622_169__Ed_M2.mpg</v>
      </c>
      <c r="R5" s="261"/>
      <c r="S5" s="262"/>
      <c r="T5" s="263"/>
      <c r="U5" s="263"/>
      <c r="V5" s="261"/>
      <c r="W5" s="261"/>
      <c r="X5" s="170" t="s">
        <v>135</v>
      </c>
      <c r="Y5" s="170" t="s">
        <v>135</v>
      </c>
      <c r="Z5" s="226">
        <f t="shared" ref="Z5:Z13" si="1">ROUNDUP(HOUR(AA5)*60+MINUTE(AA5)+SECOND(AA5)/60,0)</f>
        <v>0</v>
      </c>
      <c r="AA5" s="228"/>
      <c r="AB5" s="269">
        <f t="shared" ref="AB5:AB13" si="2">Z5*60</f>
        <v>0</v>
      </c>
      <c r="AC5" s="270">
        <v>169</v>
      </c>
      <c r="AD5" s="270">
        <v>43</v>
      </c>
      <c r="AE5" s="232"/>
      <c r="AF5" s="233"/>
      <c r="AG5" s="234"/>
      <c r="AH5" s="232"/>
      <c r="AI5" s="235"/>
      <c r="AJ5" s="232"/>
      <c r="AK5" s="232"/>
      <c r="AL5" s="234"/>
      <c r="AM5" s="240"/>
      <c r="AN5" s="240"/>
      <c r="AO5" s="240"/>
    </row>
    <row r="6" s="181" customFormat="1" ht="21" customHeight="1" spans="1:41">
      <c r="A6" s="243">
        <v>2</v>
      </c>
      <c r="B6" s="244" t="s">
        <v>1170</v>
      </c>
      <c r="C6" s="247" t="s">
        <v>1174</v>
      </c>
      <c r="D6" s="244"/>
      <c r="E6" s="243">
        <v>2</v>
      </c>
      <c r="F6" s="245" t="s">
        <v>1175</v>
      </c>
      <c r="G6" s="245" t="s">
        <v>1176</v>
      </c>
      <c r="H6" s="246"/>
      <c r="I6" s="246"/>
      <c r="J6" s="246"/>
      <c r="K6" s="248" t="s">
        <v>128</v>
      </c>
      <c r="L6" s="248" t="s">
        <v>128</v>
      </c>
      <c r="M6" s="49"/>
      <c r="N6" s="252"/>
      <c r="O6" s="253"/>
      <c r="P6" s="254" t="str">
        <f>CONCATENATE(SUBSTITUTE(SUBSTITUTE(SUBSTITUTE(SUBSTITUTE(SUBSTITUTE(SUBSTITUTE(SUBSTITUTE(SUBSTITUTE(SUBSTITUTE(SUBSTITUTE(SUBSTITUTE(SUBSTITUTE(SUBSTITUTE(SUBSTITUTE(SUBSTITUTE(SUBSTITUTE(SUBSTITUTE(SUBSTITUTE(SUBSTITUTE(SUBSTITUTE(SUBSTITUTE(SUBSTITUTE(G6,":","")," '",""),",",""),".",""),"&amp;",""),"(",""),")",""),"%",""),"/",""),"*",""),"？",""),"?",""),"！",""),"!",""),"-",""),"（",""),"）","")," ",""),"：",""),"'",""),"π","PI"),"，",""),"_",B6,"_",AD6,"_",PROPER(R6),IF(S6="",PROPER(R6),PROPER(S6)),PROPER(T6),PROPER(U6),PROPER(V6),IF(V6&lt;&gt;"","SUB",""),PROPER(W6),IF(W6&lt;&gt;"","SUB",""),"_","Ed","_","M1",".mpg")</f>
        <v>A330_300_Eng0622SafetyVideoOwg_0622_43__Ed_M1.mpg</v>
      </c>
      <c r="Q6" s="254" t="str">
        <f t="shared" si="0"/>
        <v>A330_300_Eng0622SafetyVideoOwg_0622_169__Ed_M2.mpg</v>
      </c>
      <c r="R6" s="261"/>
      <c r="S6" s="262"/>
      <c r="T6" s="263"/>
      <c r="U6" s="263"/>
      <c r="V6" s="261"/>
      <c r="W6" s="261"/>
      <c r="X6" s="170" t="s">
        <v>135</v>
      </c>
      <c r="Y6" s="170" t="s">
        <v>135</v>
      </c>
      <c r="Z6" s="226">
        <f t="shared" si="1"/>
        <v>0</v>
      </c>
      <c r="AA6" s="228"/>
      <c r="AB6" s="269">
        <f t="shared" si="2"/>
        <v>0</v>
      </c>
      <c r="AC6" s="270">
        <v>169</v>
      </c>
      <c r="AD6" s="270">
        <v>43</v>
      </c>
      <c r="AE6" s="232"/>
      <c r="AF6" s="233"/>
      <c r="AG6" s="234"/>
      <c r="AH6" s="232"/>
      <c r="AI6" s="235"/>
      <c r="AJ6" s="232"/>
      <c r="AK6" s="232"/>
      <c r="AL6" s="234"/>
      <c r="AM6" s="240"/>
      <c r="AN6" s="240"/>
      <c r="AO6" s="240"/>
    </row>
    <row r="7" s="181" customFormat="1" ht="21" customHeight="1" spans="1:41">
      <c r="A7" s="243">
        <v>3</v>
      </c>
      <c r="B7" s="244" t="s">
        <v>1170</v>
      </c>
      <c r="C7" s="247" t="s">
        <v>1177</v>
      </c>
      <c r="D7" s="244"/>
      <c r="E7" s="243">
        <v>3</v>
      </c>
      <c r="F7" s="245" t="s">
        <v>1178</v>
      </c>
      <c r="G7" s="245" t="s">
        <v>1179</v>
      </c>
      <c r="H7" s="246"/>
      <c r="I7" s="246"/>
      <c r="J7" s="246"/>
      <c r="K7" s="248" t="s">
        <v>128</v>
      </c>
      <c r="L7" s="255"/>
      <c r="M7" s="49"/>
      <c r="N7" s="252"/>
      <c r="O7" s="253"/>
      <c r="P7" s="254"/>
      <c r="Q7" s="254" t="str">
        <f t="shared" si="0"/>
        <v>B777300_Eng0622SafetyVideoOwg_0622_169__Ed_M2.mpg</v>
      </c>
      <c r="R7" s="261"/>
      <c r="S7" s="262"/>
      <c r="T7" s="263"/>
      <c r="U7" s="263"/>
      <c r="V7" s="261"/>
      <c r="W7" s="261"/>
      <c r="X7" s="170" t="s">
        <v>135</v>
      </c>
      <c r="Y7" s="170" t="s">
        <v>135</v>
      </c>
      <c r="Z7" s="226">
        <f t="shared" si="1"/>
        <v>0</v>
      </c>
      <c r="AA7" s="228"/>
      <c r="AB7" s="269">
        <f t="shared" si="2"/>
        <v>0</v>
      </c>
      <c r="AC7" s="270">
        <v>169</v>
      </c>
      <c r="AD7" s="270">
        <v>43</v>
      </c>
      <c r="AE7" s="232"/>
      <c r="AF7" s="233"/>
      <c r="AG7" s="234"/>
      <c r="AH7" s="232"/>
      <c r="AI7" s="235"/>
      <c r="AJ7" s="232"/>
      <c r="AK7" s="232"/>
      <c r="AL7" s="234"/>
      <c r="AM7" s="240"/>
      <c r="AN7" s="240"/>
      <c r="AO7" s="240"/>
    </row>
    <row r="8" s="181" customFormat="1" ht="21" customHeight="1" spans="1:41">
      <c r="A8" s="243">
        <v>4</v>
      </c>
      <c r="B8" s="244" t="s">
        <v>1170</v>
      </c>
      <c r="C8" s="247" t="s">
        <v>1177</v>
      </c>
      <c r="D8" s="244"/>
      <c r="E8" s="243">
        <v>4</v>
      </c>
      <c r="F8" s="245" t="s">
        <v>1180</v>
      </c>
      <c r="G8" s="245" t="s">
        <v>1181</v>
      </c>
      <c r="H8" s="248" t="s">
        <v>128</v>
      </c>
      <c r="I8" s="246"/>
      <c r="J8" s="246"/>
      <c r="K8" s="256"/>
      <c r="L8" s="257"/>
      <c r="M8" s="49" t="s">
        <v>1182</v>
      </c>
      <c r="N8" s="252"/>
      <c r="O8" s="253"/>
      <c r="P8" s="254"/>
      <c r="Q8" s="254"/>
      <c r="R8" s="261"/>
      <c r="S8" s="262"/>
      <c r="T8" s="263"/>
      <c r="U8" s="263"/>
      <c r="V8" s="261"/>
      <c r="W8" s="261"/>
      <c r="X8" s="170" t="s">
        <v>135</v>
      </c>
      <c r="Y8" s="170" t="s">
        <v>135</v>
      </c>
      <c r="Z8" s="226">
        <f t="shared" si="1"/>
        <v>0</v>
      </c>
      <c r="AA8" s="228"/>
      <c r="AB8" s="269">
        <f t="shared" si="2"/>
        <v>0</v>
      </c>
      <c r="AC8" s="270">
        <v>169</v>
      </c>
      <c r="AD8" s="270">
        <v>43</v>
      </c>
      <c r="AE8" s="232"/>
      <c r="AF8" s="233"/>
      <c r="AG8" s="234"/>
      <c r="AH8" s="232"/>
      <c r="AI8" s="235"/>
      <c r="AJ8" s="232"/>
      <c r="AK8" s="232"/>
      <c r="AL8" s="234"/>
      <c r="AM8" s="240"/>
      <c r="AN8" s="240"/>
      <c r="AO8" s="240"/>
    </row>
    <row r="9" s="181" customFormat="1" ht="21" customHeight="1" spans="1:41">
      <c r="A9" s="243">
        <v>5</v>
      </c>
      <c r="B9" s="244" t="s">
        <v>1170</v>
      </c>
      <c r="C9" s="247" t="s">
        <v>1177</v>
      </c>
      <c r="D9" s="244"/>
      <c r="E9" s="243">
        <v>5</v>
      </c>
      <c r="F9" s="245" t="s">
        <v>1183</v>
      </c>
      <c r="G9" s="245" t="s">
        <v>1184</v>
      </c>
      <c r="H9" s="248" t="s">
        <v>128</v>
      </c>
      <c r="I9" s="246"/>
      <c r="J9" s="246"/>
      <c r="K9" s="256"/>
      <c r="L9" s="257"/>
      <c r="M9" s="49" t="s">
        <v>1185</v>
      </c>
      <c r="N9" s="252"/>
      <c r="O9" s="253"/>
      <c r="P9" s="254"/>
      <c r="Q9" s="254"/>
      <c r="R9" s="261"/>
      <c r="S9" s="262"/>
      <c r="T9" s="263"/>
      <c r="U9" s="263"/>
      <c r="V9" s="261"/>
      <c r="W9" s="261"/>
      <c r="X9" s="170" t="s">
        <v>135</v>
      </c>
      <c r="Y9" s="170" t="s">
        <v>135</v>
      </c>
      <c r="Z9" s="226">
        <f t="shared" si="1"/>
        <v>0</v>
      </c>
      <c r="AA9" s="228"/>
      <c r="AB9" s="269">
        <f t="shared" si="2"/>
        <v>0</v>
      </c>
      <c r="AC9" s="270">
        <v>169</v>
      </c>
      <c r="AD9" s="270">
        <v>43</v>
      </c>
      <c r="AE9" s="232"/>
      <c r="AF9" s="233"/>
      <c r="AG9" s="234"/>
      <c r="AH9" s="232"/>
      <c r="AI9" s="235"/>
      <c r="AJ9" s="232"/>
      <c r="AK9" s="232"/>
      <c r="AL9" s="234"/>
      <c r="AM9" s="240"/>
      <c r="AN9" s="240"/>
      <c r="AO9" s="240"/>
    </row>
    <row r="10" s="181" customFormat="1" ht="21" customHeight="1" spans="1:41">
      <c r="A10" s="243">
        <v>6</v>
      </c>
      <c r="B10" s="244" t="s">
        <v>1170</v>
      </c>
      <c r="C10" s="247" t="s">
        <v>1177</v>
      </c>
      <c r="D10" s="244"/>
      <c r="E10" s="243">
        <v>6</v>
      </c>
      <c r="F10" s="245" t="s">
        <v>1186</v>
      </c>
      <c r="G10" s="245" t="s">
        <v>1187</v>
      </c>
      <c r="H10" s="248" t="s">
        <v>128</v>
      </c>
      <c r="I10" s="246"/>
      <c r="J10" s="246"/>
      <c r="K10" s="256"/>
      <c r="L10" s="257"/>
      <c r="M10" s="49" t="s">
        <v>1188</v>
      </c>
      <c r="N10" s="252"/>
      <c r="O10" s="253"/>
      <c r="P10" s="254"/>
      <c r="Q10" s="254"/>
      <c r="R10" s="261"/>
      <c r="S10" s="262"/>
      <c r="T10" s="263"/>
      <c r="U10" s="263"/>
      <c r="V10" s="261"/>
      <c r="W10" s="261"/>
      <c r="X10" s="170" t="s">
        <v>135</v>
      </c>
      <c r="Y10" s="170" t="s">
        <v>135</v>
      </c>
      <c r="Z10" s="226">
        <f t="shared" si="1"/>
        <v>0</v>
      </c>
      <c r="AA10" s="228"/>
      <c r="AB10" s="269">
        <f t="shared" si="2"/>
        <v>0</v>
      </c>
      <c r="AC10" s="270">
        <v>169</v>
      </c>
      <c r="AD10" s="270">
        <v>43</v>
      </c>
      <c r="AE10" s="232"/>
      <c r="AF10" s="233"/>
      <c r="AG10" s="234"/>
      <c r="AH10" s="232"/>
      <c r="AI10" s="235"/>
      <c r="AJ10" s="232"/>
      <c r="AK10" s="232"/>
      <c r="AL10" s="234"/>
      <c r="AM10" s="240"/>
      <c r="AN10" s="240"/>
      <c r="AO10" s="240"/>
    </row>
    <row r="11" s="181" customFormat="1" ht="21" customHeight="1" spans="1:41">
      <c r="A11" s="243">
        <v>7</v>
      </c>
      <c r="B11" s="244" t="s">
        <v>1170</v>
      </c>
      <c r="C11" s="247" t="s">
        <v>1189</v>
      </c>
      <c r="D11" s="244"/>
      <c r="E11" s="243">
        <v>7</v>
      </c>
      <c r="F11" s="249" t="s">
        <v>1190</v>
      </c>
      <c r="G11" s="245" t="s">
        <v>1191</v>
      </c>
      <c r="H11" s="248" t="s">
        <v>128</v>
      </c>
      <c r="I11" s="248" t="s">
        <v>128</v>
      </c>
      <c r="J11" s="248"/>
      <c r="K11" s="248" t="s">
        <v>128</v>
      </c>
      <c r="L11" s="248" t="s">
        <v>128</v>
      </c>
      <c r="M11" s="49" t="s">
        <v>1192</v>
      </c>
      <c r="N11" s="49" t="s">
        <v>1193</v>
      </c>
      <c r="O11" s="253" t="s">
        <v>1194</v>
      </c>
      <c r="P11" s="254" t="s">
        <v>1195</v>
      </c>
      <c r="Q11" s="254" t="s">
        <v>1195</v>
      </c>
      <c r="R11" s="261"/>
      <c r="S11" s="262"/>
      <c r="T11" s="263"/>
      <c r="U11" s="263"/>
      <c r="V11" s="261"/>
      <c r="W11" s="261"/>
      <c r="X11" s="170" t="s">
        <v>135</v>
      </c>
      <c r="Y11" s="170" t="s">
        <v>135</v>
      </c>
      <c r="Z11" s="226">
        <f t="shared" si="1"/>
        <v>0</v>
      </c>
      <c r="AA11" s="228"/>
      <c r="AB11" s="269">
        <f t="shared" si="2"/>
        <v>0</v>
      </c>
      <c r="AC11" s="270">
        <v>169</v>
      </c>
      <c r="AD11" s="270">
        <v>43</v>
      </c>
      <c r="AE11" s="232"/>
      <c r="AF11" s="233"/>
      <c r="AG11" s="234"/>
      <c r="AH11" s="232"/>
      <c r="AI11" s="235"/>
      <c r="AJ11" s="232"/>
      <c r="AK11" s="232"/>
      <c r="AL11" s="234"/>
      <c r="AM11" s="240"/>
      <c r="AN11" s="240"/>
      <c r="AO11" s="240"/>
    </row>
    <row r="12" s="181" customFormat="1" ht="21" customHeight="1" spans="1:41">
      <c r="A12" s="243">
        <v>8</v>
      </c>
      <c r="B12" s="244" t="s">
        <v>1170</v>
      </c>
      <c r="C12" s="247" t="s">
        <v>1177</v>
      </c>
      <c r="D12" s="244"/>
      <c r="E12" s="243">
        <v>8</v>
      </c>
      <c r="F12" s="245" t="s">
        <v>1196</v>
      </c>
      <c r="G12" s="156" t="s">
        <v>1197</v>
      </c>
      <c r="H12" s="246"/>
      <c r="I12" s="248" t="s">
        <v>128</v>
      </c>
      <c r="J12" s="246"/>
      <c r="K12" s="246"/>
      <c r="L12" s="256"/>
      <c r="M12" s="49"/>
      <c r="N12" s="49" t="s">
        <v>1198</v>
      </c>
      <c r="O12" s="258"/>
      <c r="P12" s="254"/>
      <c r="Q12" s="254"/>
      <c r="R12" s="261"/>
      <c r="S12" s="262"/>
      <c r="T12" s="263"/>
      <c r="U12" s="263"/>
      <c r="V12" s="261"/>
      <c r="W12" s="261"/>
      <c r="X12" s="170" t="s">
        <v>135</v>
      </c>
      <c r="Y12" s="170" t="s">
        <v>135</v>
      </c>
      <c r="Z12" s="226">
        <f t="shared" si="1"/>
        <v>0</v>
      </c>
      <c r="AA12" s="228"/>
      <c r="AB12" s="269">
        <f t="shared" si="2"/>
        <v>0</v>
      </c>
      <c r="AC12" s="270">
        <v>169</v>
      </c>
      <c r="AD12" s="270">
        <v>43</v>
      </c>
      <c r="AE12" s="232"/>
      <c r="AF12" s="233"/>
      <c r="AG12" s="234"/>
      <c r="AH12" s="232"/>
      <c r="AI12" s="235"/>
      <c r="AJ12" s="232"/>
      <c r="AK12" s="232"/>
      <c r="AL12" s="234"/>
      <c r="AM12" s="240"/>
      <c r="AN12" s="240"/>
      <c r="AO12" s="240"/>
    </row>
    <row r="13" s="181" customFormat="1" ht="21" customHeight="1" spans="1:41">
      <c r="A13" s="243">
        <v>9</v>
      </c>
      <c r="B13" s="244" t="s">
        <v>1170</v>
      </c>
      <c r="C13" s="247" t="s">
        <v>1177</v>
      </c>
      <c r="D13" s="244"/>
      <c r="E13" s="243">
        <v>9</v>
      </c>
      <c r="F13" s="156" t="s">
        <v>1199</v>
      </c>
      <c r="G13" s="156" t="s">
        <v>1200</v>
      </c>
      <c r="H13" s="246"/>
      <c r="I13" s="246" t="s">
        <v>128</v>
      </c>
      <c r="J13" s="246"/>
      <c r="K13" s="246"/>
      <c r="L13" s="256"/>
      <c r="M13" s="49"/>
      <c r="N13" s="49" t="s">
        <v>1201</v>
      </c>
      <c r="O13" s="258"/>
      <c r="P13" s="254"/>
      <c r="Q13" s="254"/>
      <c r="R13" s="261"/>
      <c r="S13" s="262"/>
      <c r="T13" s="263"/>
      <c r="U13" s="263"/>
      <c r="V13" s="261"/>
      <c r="W13" s="261"/>
      <c r="X13" s="170" t="s">
        <v>135</v>
      </c>
      <c r="Y13" s="170" t="s">
        <v>135</v>
      </c>
      <c r="Z13" s="226">
        <f t="shared" si="1"/>
        <v>0</v>
      </c>
      <c r="AA13" s="228"/>
      <c r="AB13" s="269">
        <f t="shared" si="2"/>
        <v>0</v>
      </c>
      <c r="AC13" s="270">
        <v>169</v>
      </c>
      <c r="AD13" s="270">
        <v>43</v>
      </c>
      <c r="AE13" s="232"/>
      <c r="AF13" s="233"/>
      <c r="AG13" s="234"/>
      <c r="AH13" s="232"/>
      <c r="AI13" s="235"/>
      <c r="AJ13" s="232"/>
      <c r="AK13" s="232"/>
      <c r="AL13" s="234"/>
      <c r="AM13" s="240"/>
      <c r="AN13" s="240"/>
      <c r="AO13" s="240"/>
    </row>
    <row r="14" spans="15:26">
      <c r="O14" s="259"/>
      <c r="P14" s="259"/>
      <c r="X14" s="3"/>
      <c r="Y14" s="3"/>
      <c r="Z14" s="3"/>
    </row>
    <row r="15" spans="15:26">
      <c r="O15" s="259"/>
      <c r="P15" s="259"/>
      <c r="X15" s="3"/>
      <c r="Y15" s="3"/>
      <c r="Z15" s="3"/>
    </row>
    <row r="16" spans="15:26">
      <c r="O16" s="259"/>
      <c r="P16" s="259"/>
      <c r="X16" s="3"/>
      <c r="Y16" s="3"/>
      <c r="Z16" s="3"/>
    </row>
    <row r="17" spans="15:26">
      <c r="O17" s="259"/>
      <c r="P17" s="259"/>
      <c r="X17" s="3"/>
      <c r="Y17" s="3"/>
      <c r="Z17" s="3"/>
    </row>
    <row r="18" spans="15:26">
      <c r="O18" s="259"/>
      <c r="P18" s="259"/>
      <c r="X18" s="3"/>
      <c r="Y18" s="3"/>
      <c r="Z18" s="3"/>
    </row>
    <row r="19" spans="15:26">
      <c r="O19" s="259"/>
      <c r="P19" s="259"/>
      <c r="X19" s="3"/>
      <c r="Y19" s="3"/>
      <c r="Z19" s="3"/>
    </row>
    <row r="20" spans="15:26">
      <c r="O20" s="259"/>
      <c r="P20" s="259"/>
      <c r="X20" s="3"/>
      <c r="Y20" s="3"/>
      <c r="Z20" s="3"/>
    </row>
    <row r="21" spans="15:26">
      <c r="O21" s="259"/>
      <c r="P21" s="259"/>
      <c r="X21" s="3"/>
      <c r="Y21" s="3"/>
      <c r="Z21" s="3"/>
    </row>
    <row r="22" spans="15:26">
      <c r="O22" s="259"/>
      <c r="P22" s="259"/>
      <c r="X22" s="3"/>
      <c r="Y22" s="3"/>
      <c r="Z22" s="3"/>
    </row>
    <row r="23" spans="15:26">
      <c r="O23" s="259"/>
      <c r="P23" s="259"/>
      <c r="X23" s="3"/>
      <c r="Y23" s="3"/>
      <c r="Z23" s="3"/>
    </row>
    <row r="24" spans="15:26">
      <c r="O24" s="259"/>
      <c r="P24" s="259"/>
      <c r="X24" s="3"/>
      <c r="Y24" s="3"/>
      <c r="Z24" s="3"/>
    </row>
    <row r="25" spans="15:26">
      <c r="O25" s="259"/>
      <c r="P25" s="259"/>
      <c r="X25" s="3"/>
      <c r="Y25" s="3"/>
      <c r="Z25" s="3"/>
    </row>
    <row r="26" spans="15:26">
      <c r="O26" s="259"/>
      <c r="P26" s="259"/>
      <c r="X26" s="3"/>
      <c r="Y26" s="3"/>
      <c r="Z26" s="3"/>
    </row>
    <row r="27" ht="15.75" spans="15:26">
      <c r="O27" s="259"/>
      <c r="P27" s="259"/>
      <c r="X27" s="63"/>
      <c r="Y27" s="63"/>
      <c r="Z27" s="63"/>
    </row>
    <row r="28" ht="15.75" spans="15:26">
      <c r="O28" s="259"/>
      <c r="P28" s="259"/>
      <c r="X28" s="63"/>
      <c r="Y28" s="63"/>
      <c r="Z28" s="63"/>
    </row>
    <row r="29" ht="15.75" spans="15:26">
      <c r="O29" s="7"/>
      <c r="P29" s="7"/>
      <c r="X29" s="64"/>
      <c r="Y29" s="64"/>
      <c r="Z29" s="64"/>
    </row>
    <row r="30" ht="15.75" spans="15:26">
      <c r="O30" s="7"/>
      <c r="P30" s="7"/>
      <c r="X30" s="64"/>
      <c r="Y30" s="64"/>
      <c r="Z30" s="64"/>
    </row>
    <row r="31" spans="15:16">
      <c r="O31" s="7"/>
      <c r="P31" s="7"/>
    </row>
    <row r="32" spans="15:16">
      <c r="O32" s="7"/>
      <c r="P32" s="7"/>
    </row>
    <row r="33" spans="15:16">
      <c r="O33" s="7"/>
      <c r="P33" s="7"/>
    </row>
    <row r="34" spans="15:16">
      <c r="O34" s="7"/>
      <c r="P34" s="7"/>
    </row>
    <row r="35" spans="15:16">
      <c r="O35" s="7"/>
      <c r="P35" s="7"/>
    </row>
    <row r="36" spans="15:16">
      <c r="O36" s="7"/>
      <c r="P36" s="7"/>
    </row>
  </sheetData>
  <mergeCells count="37">
    <mergeCell ref="A2:G2"/>
    <mergeCell ref="H2:J2"/>
    <mergeCell ref="K2:L2"/>
    <mergeCell ref="M2:O2"/>
    <mergeCell ref="R2:W2"/>
    <mergeCell ref="X2:Y2"/>
    <mergeCell ref="AA2:AB2"/>
    <mergeCell ref="AC2:AD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DM184"/>
  <sheetViews>
    <sheetView zoomScale="85" zoomScaleNormal="85" workbookViewId="0">
      <pane ySplit="4" topLeftCell="A5" activePane="bottomLeft" state="frozen"/>
      <selection/>
      <selection pane="bottomLeft" activeCell="O12" sqref="O12"/>
    </sheetView>
  </sheetViews>
  <sheetFormatPr defaultColWidth="9" defaultRowHeight="19" customHeight="1"/>
  <cols>
    <col min="1" max="1" width="4.625" customWidth="1"/>
    <col min="2" max="2" width="6.25833333333333" customWidth="1"/>
    <col min="3" max="3" width="6.875" customWidth="1"/>
    <col min="4" max="4" width="7.375" customWidth="1"/>
    <col min="5" max="5" width="4.75833333333333" customWidth="1"/>
    <col min="6" max="6" width="43.125" customWidth="1"/>
    <col min="7" max="7" width="41.25" customWidth="1"/>
    <col min="8" max="10" width="4.00833333333333" customWidth="1"/>
    <col min="11" max="11" width="4.00833333333333" hidden="1" customWidth="1"/>
    <col min="12" max="13" width="4.00833333333333" customWidth="1"/>
    <col min="14" max="14" width="36.0916666666667" customWidth="1"/>
    <col min="15" max="15" width="27.4916666666667" customWidth="1"/>
    <col min="16" max="16" width="21.875" hidden="1" customWidth="1"/>
    <col min="17" max="17" width="85.775" customWidth="1"/>
    <col min="18" max="18" width="83.125" customWidth="1"/>
    <col min="19" max="24" width="5.30833333333333" customWidth="1"/>
    <col min="25" max="26" width="6.4" customWidth="1"/>
    <col min="28" max="28" width="11.5083333333333" style="3" customWidth="1"/>
  </cols>
  <sheetData>
    <row r="1" s="2" customFormat="1" customHeight="1" spans="3:43">
      <c r="C1" s="3"/>
      <c r="D1" s="3"/>
      <c r="E1" s="3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5"/>
      <c r="S1" s="3"/>
      <c r="T1" s="6"/>
      <c r="U1" s="6"/>
      <c r="V1" s="6"/>
      <c r="W1" s="3"/>
      <c r="X1" s="3"/>
      <c r="Y1" s="7"/>
      <c r="Z1" s="7"/>
      <c r="AA1" s="7"/>
      <c r="AB1" s="3"/>
      <c r="AC1" s="3"/>
      <c r="AD1" s="3"/>
      <c r="AE1" s="3"/>
      <c r="AF1" s="215"/>
      <c r="AG1" s="8"/>
      <c r="AH1" s="9"/>
      <c r="AI1" s="10"/>
      <c r="AJ1" s="8"/>
      <c r="AK1" s="11"/>
      <c r="AL1" s="8"/>
      <c r="AM1" s="8"/>
      <c r="AN1" s="10"/>
      <c r="AO1" s="12"/>
      <c r="AP1" s="12"/>
      <c r="AQ1" s="12"/>
    </row>
    <row r="2" s="2" customFormat="1" customHeight="1" spans="1:32">
      <c r="A2" s="184" t="s">
        <v>350</v>
      </c>
      <c r="B2" s="185"/>
      <c r="C2" s="185"/>
      <c r="D2" s="185"/>
      <c r="E2" s="185"/>
      <c r="F2" s="185"/>
      <c r="G2" s="186"/>
      <c r="H2" s="187" t="s">
        <v>77</v>
      </c>
      <c r="I2" s="194"/>
      <c r="J2" s="194"/>
      <c r="K2" s="195"/>
      <c r="L2" s="187" t="s">
        <v>78</v>
      </c>
      <c r="M2" s="195"/>
      <c r="N2" s="196" t="s">
        <v>79</v>
      </c>
      <c r="O2" s="197"/>
      <c r="P2" s="197"/>
      <c r="Q2" s="202" t="s">
        <v>352</v>
      </c>
      <c r="R2" s="203"/>
      <c r="S2" s="162" t="s">
        <v>84</v>
      </c>
      <c r="T2" s="40"/>
      <c r="U2" s="40"/>
      <c r="V2" s="40"/>
      <c r="W2" s="40"/>
      <c r="X2" s="40"/>
      <c r="Y2" s="53" t="s">
        <v>353</v>
      </c>
      <c r="Z2" s="54"/>
      <c r="AA2" s="55"/>
      <c r="AB2" s="216" t="s">
        <v>85</v>
      </c>
      <c r="AC2" s="65" t="s">
        <v>85</v>
      </c>
      <c r="AD2" s="65"/>
      <c r="AE2" s="217" t="s">
        <v>86</v>
      </c>
      <c r="AF2" s="218"/>
    </row>
    <row r="3" s="2" customFormat="1" ht="53" customHeight="1" spans="1:32">
      <c r="A3" s="115" t="s">
        <v>89</v>
      </c>
      <c r="B3" s="23" t="s">
        <v>91</v>
      </c>
      <c r="C3" s="115" t="s">
        <v>354</v>
      </c>
      <c r="D3" s="23" t="s">
        <v>90</v>
      </c>
      <c r="E3" s="115" t="s">
        <v>93</v>
      </c>
      <c r="F3" s="115" t="s">
        <v>94</v>
      </c>
      <c r="G3" s="115" t="s">
        <v>95</v>
      </c>
      <c r="H3" s="188" t="s">
        <v>1202</v>
      </c>
      <c r="I3" s="188"/>
      <c r="J3" s="188" t="s">
        <v>944</v>
      </c>
      <c r="K3" s="188" t="s">
        <v>103</v>
      </c>
      <c r="L3" s="198" t="s">
        <v>100</v>
      </c>
      <c r="M3" s="198" t="s">
        <v>101</v>
      </c>
      <c r="N3" s="199" t="s">
        <v>1203</v>
      </c>
      <c r="O3" s="44" t="s">
        <v>944</v>
      </c>
      <c r="P3" s="199" t="s">
        <v>103</v>
      </c>
      <c r="Q3" s="47"/>
      <c r="R3" s="204" t="s">
        <v>1168</v>
      </c>
      <c r="S3" s="205" t="s">
        <v>113</v>
      </c>
      <c r="T3" s="206" t="s">
        <v>114</v>
      </c>
      <c r="U3" s="207" t="s">
        <v>115</v>
      </c>
      <c r="V3" s="207" t="s">
        <v>116</v>
      </c>
      <c r="W3" s="206" t="s">
        <v>117</v>
      </c>
      <c r="X3" s="206" t="s">
        <v>118</v>
      </c>
      <c r="Y3" s="219" t="s">
        <v>111</v>
      </c>
      <c r="Z3" s="219" t="s">
        <v>112</v>
      </c>
      <c r="AA3" s="24" t="s">
        <v>119</v>
      </c>
      <c r="AB3" s="220" t="s">
        <v>359</v>
      </c>
      <c r="AC3" s="68" t="s">
        <v>120</v>
      </c>
      <c r="AD3" s="69" t="s">
        <v>121</v>
      </c>
      <c r="AE3" s="221" t="s">
        <v>954</v>
      </c>
      <c r="AF3" s="222" t="s">
        <v>955</v>
      </c>
    </row>
    <row r="4" s="2" customFormat="1" ht="53" customHeight="1" spans="1:43">
      <c r="A4" s="24"/>
      <c r="B4" s="23"/>
      <c r="C4" s="24"/>
      <c r="D4" s="23"/>
      <c r="E4" s="24"/>
      <c r="F4" s="24"/>
      <c r="G4" s="24"/>
      <c r="H4" s="189"/>
      <c r="I4" s="189" t="s">
        <v>953</v>
      </c>
      <c r="J4" s="189"/>
      <c r="K4" s="189"/>
      <c r="L4" s="200"/>
      <c r="M4" s="200"/>
      <c r="N4" s="47"/>
      <c r="O4" s="47"/>
      <c r="P4" s="47"/>
      <c r="Q4" s="47" t="s">
        <v>1169</v>
      </c>
      <c r="R4" s="208"/>
      <c r="S4" s="209"/>
      <c r="T4" s="207"/>
      <c r="U4" s="210"/>
      <c r="V4" s="210"/>
      <c r="W4" s="207"/>
      <c r="X4" s="207"/>
      <c r="Y4" s="223"/>
      <c r="Z4" s="223"/>
      <c r="AA4" s="23"/>
      <c r="AB4" s="224"/>
      <c r="AC4" s="24"/>
      <c r="AD4" s="71"/>
      <c r="AE4" s="221"/>
      <c r="AF4" s="222"/>
      <c r="AG4" s="8"/>
      <c r="AH4" s="9"/>
      <c r="AI4" s="10"/>
      <c r="AJ4" s="8"/>
      <c r="AK4" s="11"/>
      <c r="AL4" s="8"/>
      <c r="AM4" s="8"/>
      <c r="AN4" s="10"/>
      <c r="AO4" s="12"/>
      <c r="AP4" s="12"/>
      <c r="AQ4" s="12"/>
    </row>
    <row r="5" s="181" customFormat="1" ht="22" customHeight="1" spans="1:44">
      <c r="A5" s="156">
        <v>1</v>
      </c>
      <c r="B5" s="190" t="s">
        <v>124</v>
      </c>
      <c r="C5" s="191" t="s">
        <v>1177</v>
      </c>
      <c r="D5" s="190"/>
      <c r="E5" s="156">
        <v>1</v>
      </c>
      <c r="F5" s="156" t="s">
        <v>1204</v>
      </c>
      <c r="G5" s="156" t="s">
        <v>1205</v>
      </c>
      <c r="H5" s="192" t="s">
        <v>128</v>
      </c>
      <c r="I5" s="192" t="s">
        <v>128</v>
      </c>
      <c r="J5" s="192"/>
      <c r="K5" s="192"/>
      <c r="L5" s="192"/>
      <c r="M5" s="192"/>
      <c r="N5" s="49" t="s">
        <v>1206</v>
      </c>
      <c r="O5" s="49"/>
      <c r="P5" s="50"/>
      <c r="Q5" s="211"/>
      <c r="R5" s="211"/>
      <c r="S5" s="212" t="s">
        <v>136</v>
      </c>
      <c r="T5" s="212"/>
      <c r="U5" s="213"/>
      <c r="V5" s="213"/>
      <c r="W5" s="213" t="s">
        <v>137</v>
      </c>
      <c r="X5" s="212" t="s">
        <v>136</v>
      </c>
      <c r="Y5" s="225" t="s">
        <v>135</v>
      </c>
      <c r="Z5" s="225" t="s">
        <v>135</v>
      </c>
      <c r="AA5" s="226">
        <f>ROUNDUP(HOUR(AB5)*60+MINUTE(AB5)+SECOND(AB5)/60,0)</f>
        <v>0</v>
      </c>
      <c r="AB5" s="227" t="str">
        <f t="shared" ref="AB5:AB37" si="0">TEXT((HOUR(AC5)*60+MINUTE(AC5)+IF(SECOND(AC5)&lt;=29,0,1))*60/86400,"hh:mm:ss")</f>
        <v>00:00:00</v>
      </c>
      <c r="AC5" s="228"/>
      <c r="AD5" s="226">
        <f>AA5*60</f>
        <v>0</v>
      </c>
      <c r="AE5" s="229">
        <v>169</v>
      </c>
      <c r="AF5" s="229">
        <v>43</v>
      </c>
      <c r="AH5" s="232"/>
      <c r="AI5" s="233"/>
      <c r="AJ5" s="234"/>
      <c r="AK5" s="232"/>
      <c r="AL5" s="235"/>
      <c r="AM5" s="232"/>
      <c r="AN5" s="232"/>
      <c r="AO5" s="234"/>
      <c r="AP5" s="240"/>
      <c r="AQ5" s="240"/>
      <c r="AR5" s="240"/>
    </row>
    <row r="6" s="181" customFormat="1" ht="22" customHeight="1" spans="1:44">
      <c r="A6" s="156">
        <v>2</v>
      </c>
      <c r="B6" s="190" t="s">
        <v>124</v>
      </c>
      <c r="C6" s="191" t="s">
        <v>1177</v>
      </c>
      <c r="D6" s="190"/>
      <c r="E6" s="156">
        <v>2</v>
      </c>
      <c r="F6" s="156" t="s">
        <v>1207</v>
      </c>
      <c r="G6" s="156" t="s">
        <v>1208</v>
      </c>
      <c r="H6" s="192" t="s">
        <v>128</v>
      </c>
      <c r="I6" s="192" t="s">
        <v>128</v>
      </c>
      <c r="J6" s="192"/>
      <c r="K6" s="192"/>
      <c r="L6" s="192"/>
      <c r="M6" s="192"/>
      <c r="N6" s="49" t="s">
        <v>1209</v>
      </c>
      <c r="O6" s="49"/>
      <c r="P6" s="50"/>
      <c r="Q6" s="211"/>
      <c r="R6" s="211"/>
      <c r="S6" s="212" t="s">
        <v>136</v>
      </c>
      <c r="T6" s="212"/>
      <c r="U6" s="213"/>
      <c r="V6" s="213"/>
      <c r="W6" s="213" t="s">
        <v>137</v>
      </c>
      <c r="X6" s="212" t="s">
        <v>136</v>
      </c>
      <c r="Y6" s="225" t="s">
        <v>135</v>
      </c>
      <c r="Z6" s="225" t="s">
        <v>135</v>
      </c>
      <c r="AA6" s="226">
        <f t="shared" ref="AA6:AA36" si="1">ROUNDUP(HOUR(AB6)*60+MINUTE(AB6)+SECOND(AB6)/60,0)</f>
        <v>0</v>
      </c>
      <c r="AB6" s="227" t="str">
        <f t="shared" si="0"/>
        <v>00:00:00</v>
      </c>
      <c r="AC6" s="228"/>
      <c r="AD6" s="226">
        <f>AA6*60</f>
        <v>0</v>
      </c>
      <c r="AE6" s="229">
        <v>169</v>
      </c>
      <c r="AF6" s="229">
        <v>43</v>
      </c>
      <c r="AH6" s="232"/>
      <c r="AI6" s="233"/>
      <c r="AJ6" s="234"/>
      <c r="AK6" s="232"/>
      <c r="AL6" s="235"/>
      <c r="AM6" s="232"/>
      <c r="AN6" s="232"/>
      <c r="AO6" s="234"/>
      <c r="AP6" s="240"/>
      <c r="AQ6" s="240"/>
      <c r="AR6" s="240"/>
    </row>
    <row r="7" s="182" customFormat="1" ht="22" customHeight="1" spans="1:117">
      <c r="A7" s="156">
        <v>3</v>
      </c>
      <c r="B7" s="190" t="s">
        <v>124</v>
      </c>
      <c r="C7" s="191" t="s">
        <v>1177</v>
      </c>
      <c r="D7" s="190"/>
      <c r="E7" s="156">
        <v>3</v>
      </c>
      <c r="F7" s="156" t="s">
        <v>1210</v>
      </c>
      <c r="G7" s="156" t="s">
        <v>1211</v>
      </c>
      <c r="H7" s="192" t="s">
        <v>128</v>
      </c>
      <c r="I7" s="192" t="s">
        <v>128</v>
      </c>
      <c r="J7" s="192"/>
      <c r="K7" s="192"/>
      <c r="L7" s="192"/>
      <c r="M7" s="192"/>
      <c r="N7" s="49" t="s">
        <v>1212</v>
      </c>
      <c r="O7" s="49"/>
      <c r="P7" s="50"/>
      <c r="Q7" s="214"/>
      <c r="R7" s="214"/>
      <c r="S7" s="212" t="s">
        <v>136</v>
      </c>
      <c r="T7" s="212"/>
      <c r="U7" s="213"/>
      <c r="V7" s="213"/>
      <c r="W7" s="212" t="s">
        <v>136</v>
      </c>
      <c r="X7" s="212" t="s">
        <v>1213</v>
      </c>
      <c r="Y7" s="225" t="s">
        <v>135</v>
      </c>
      <c r="Z7" s="225" t="s">
        <v>135</v>
      </c>
      <c r="AA7" s="226">
        <f t="shared" si="1"/>
        <v>0</v>
      </c>
      <c r="AB7" s="227" t="str">
        <f t="shared" si="0"/>
        <v>00:00:00</v>
      </c>
      <c r="AC7" s="228"/>
      <c r="AD7" s="226">
        <f>AA7*60</f>
        <v>0</v>
      </c>
      <c r="AE7" s="229">
        <v>169</v>
      </c>
      <c r="AF7" s="229">
        <v>43</v>
      </c>
      <c r="AG7" s="233"/>
      <c r="AH7" s="233"/>
      <c r="AI7" s="233"/>
      <c r="AJ7" s="233"/>
      <c r="AK7" s="233"/>
      <c r="AL7" s="233"/>
      <c r="AM7" s="233"/>
      <c r="AN7" s="233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3"/>
      <c r="BB7" s="233"/>
      <c r="BC7" s="233"/>
      <c r="BD7" s="233"/>
      <c r="BE7" s="233"/>
      <c r="BF7" s="233"/>
      <c r="BG7" s="233"/>
      <c r="BH7" s="233"/>
      <c r="BI7" s="233"/>
      <c r="BJ7" s="233"/>
      <c r="BK7" s="233"/>
      <c r="BL7" s="233"/>
      <c r="BM7" s="233"/>
      <c r="BN7" s="233"/>
      <c r="BO7" s="233"/>
      <c r="BP7" s="233"/>
      <c r="BQ7" s="233"/>
      <c r="BR7" s="233"/>
      <c r="BS7" s="233"/>
      <c r="BT7" s="233"/>
      <c r="BU7" s="233"/>
      <c r="BV7" s="233"/>
      <c r="BW7" s="233"/>
      <c r="BX7" s="233"/>
      <c r="BY7" s="233"/>
      <c r="BZ7" s="233"/>
      <c r="CA7" s="233"/>
      <c r="CB7" s="233"/>
      <c r="CC7" s="233"/>
      <c r="CD7" s="233"/>
      <c r="CE7" s="233"/>
      <c r="CF7" s="233"/>
      <c r="CG7" s="233"/>
      <c r="CH7" s="233"/>
      <c r="CI7" s="233"/>
      <c r="CJ7" s="233"/>
      <c r="CK7" s="233"/>
      <c r="CL7" s="233"/>
      <c r="CM7" s="233"/>
      <c r="CN7" s="233"/>
      <c r="CO7" s="233"/>
      <c r="CP7" s="233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3"/>
      <c r="DH7" s="233"/>
      <c r="DI7" s="233"/>
      <c r="DJ7" s="233"/>
      <c r="DK7" s="233"/>
      <c r="DL7" s="233"/>
      <c r="DM7" s="233"/>
    </row>
    <row r="8" s="183" customFormat="1" ht="22" customHeight="1" spans="1:117">
      <c r="A8" s="156">
        <v>4</v>
      </c>
      <c r="B8" s="190" t="s">
        <v>124</v>
      </c>
      <c r="C8" s="191" t="s">
        <v>1177</v>
      </c>
      <c r="D8" s="190"/>
      <c r="E8" s="156">
        <v>4</v>
      </c>
      <c r="F8" s="156" t="s">
        <v>1214</v>
      </c>
      <c r="G8" s="156" t="s">
        <v>1215</v>
      </c>
      <c r="H8" s="193" t="s">
        <v>128</v>
      </c>
      <c r="I8" s="192" t="s">
        <v>128</v>
      </c>
      <c r="J8" s="193"/>
      <c r="K8" s="193"/>
      <c r="L8" s="193"/>
      <c r="M8" s="201"/>
      <c r="N8" s="49" t="s">
        <v>1216</v>
      </c>
      <c r="O8" s="49"/>
      <c r="P8" s="50"/>
      <c r="Q8" s="214"/>
      <c r="R8" s="214"/>
      <c r="S8" s="212" t="s">
        <v>136</v>
      </c>
      <c r="T8" s="212"/>
      <c r="U8" s="213"/>
      <c r="V8" s="213"/>
      <c r="W8" s="212" t="s">
        <v>137</v>
      </c>
      <c r="X8" s="212" t="s">
        <v>136</v>
      </c>
      <c r="Y8" s="225" t="s">
        <v>135</v>
      </c>
      <c r="Z8" s="225" t="s">
        <v>135</v>
      </c>
      <c r="AA8" s="226">
        <f t="shared" si="1"/>
        <v>0</v>
      </c>
      <c r="AB8" s="227" t="str">
        <f t="shared" si="0"/>
        <v>00:00:00</v>
      </c>
      <c r="AC8" s="228"/>
      <c r="AD8" s="226">
        <f t="shared" ref="AD8:AD37" si="2">AA8*60</f>
        <v>0</v>
      </c>
      <c r="AE8" s="229">
        <v>169</v>
      </c>
      <c r="AF8" s="229">
        <v>43</v>
      </c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36"/>
      <c r="BJ8" s="236"/>
      <c r="BK8" s="236"/>
      <c r="BL8" s="236"/>
      <c r="BM8" s="236"/>
      <c r="BN8" s="236"/>
      <c r="BO8" s="236"/>
      <c r="BP8" s="236"/>
      <c r="BQ8" s="236"/>
      <c r="BR8" s="236"/>
      <c r="BS8" s="236"/>
      <c r="BT8" s="236"/>
      <c r="BU8" s="236"/>
      <c r="BV8" s="236"/>
      <c r="BW8" s="236"/>
      <c r="BX8" s="236"/>
      <c r="BY8" s="236"/>
      <c r="BZ8" s="236"/>
      <c r="CA8" s="236"/>
      <c r="CB8" s="236"/>
      <c r="CC8" s="236"/>
      <c r="CD8" s="236"/>
      <c r="CE8" s="236"/>
      <c r="CF8" s="236"/>
      <c r="CG8" s="236"/>
      <c r="CH8" s="236"/>
      <c r="CI8" s="236"/>
      <c r="CJ8" s="236"/>
      <c r="CK8" s="236"/>
      <c r="CL8" s="236"/>
      <c r="CM8" s="236"/>
      <c r="CN8" s="236"/>
      <c r="CO8" s="236"/>
      <c r="CP8" s="236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6"/>
      <c r="DH8" s="236"/>
      <c r="DI8" s="236"/>
      <c r="DJ8" s="236"/>
      <c r="DK8" s="236"/>
      <c r="DL8" s="236"/>
      <c r="DM8" s="236"/>
    </row>
    <row r="9" s="183" customFormat="1" ht="22" customHeight="1" spans="1:117">
      <c r="A9" s="156">
        <v>5</v>
      </c>
      <c r="B9" s="190" t="s">
        <v>124</v>
      </c>
      <c r="C9" s="191" t="s">
        <v>1177</v>
      </c>
      <c r="D9" s="190"/>
      <c r="E9" s="156">
        <v>5</v>
      </c>
      <c r="F9" s="156" t="s">
        <v>1217</v>
      </c>
      <c r="G9" s="156" t="s">
        <v>1218</v>
      </c>
      <c r="H9" s="193" t="s">
        <v>128</v>
      </c>
      <c r="I9" s="193" t="s">
        <v>128</v>
      </c>
      <c r="J9" s="193"/>
      <c r="K9" s="193"/>
      <c r="L9" s="193"/>
      <c r="M9" s="192"/>
      <c r="N9" s="49" t="s">
        <v>1219</v>
      </c>
      <c r="O9" s="49"/>
      <c r="P9" s="50"/>
      <c r="Q9" s="214"/>
      <c r="R9" s="214"/>
      <c r="S9" s="212" t="s">
        <v>136</v>
      </c>
      <c r="T9" s="212"/>
      <c r="U9" s="213"/>
      <c r="V9" s="213"/>
      <c r="W9" s="212" t="s">
        <v>137</v>
      </c>
      <c r="X9" s="212" t="s">
        <v>136</v>
      </c>
      <c r="Y9" s="225" t="s">
        <v>135</v>
      </c>
      <c r="Z9" s="225" t="s">
        <v>135</v>
      </c>
      <c r="AA9" s="226">
        <f t="shared" si="1"/>
        <v>0</v>
      </c>
      <c r="AB9" s="227" t="str">
        <f t="shared" si="0"/>
        <v>00:00:00</v>
      </c>
      <c r="AC9" s="228"/>
      <c r="AD9" s="226">
        <f t="shared" si="2"/>
        <v>0</v>
      </c>
      <c r="AE9" s="229">
        <v>169</v>
      </c>
      <c r="AF9" s="229">
        <v>43</v>
      </c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  <c r="BN9" s="236"/>
      <c r="BO9" s="236"/>
      <c r="BP9" s="236"/>
      <c r="BQ9" s="236"/>
      <c r="BR9" s="236"/>
      <c r="BS9" s="236"/>
      <c r="BT9" s="236"/>
      <c r="BU9" s="236"/>
      <c r="BV9" s="236"/>
      <c r="BW9" s="236"/>
      <c r="BX9" s="236"/>
      <c r="BY9" s="236"/>
      <c r="BZ9" s="236"/>
      <c r="CA9" s="236"/>
      <c r="CB9" s="236"/>
      <c r="CC9" s="236"/>
      <c r="CD9" s="236"/>
      <c r="CE9" s="236"/>
      <c r="CF9" s="236"/>
      <c r="CG9" s="236"/>
      <c r="CH9" s="236"/>
      <c r="CI9" s="236"/>
      <c r="CJ9" s="236"/>
      <c r="CK9" s="236"/>
      <c r="CL9" s="236"/>
      <c r="CM9" s="236"/>
      <c r="CN9" s="236"/>
      <c r="CO9" s="236"/>
      <c r="CP9" s="236"/>
      <c r="CQ9" s="236"/>
      <c r="CR9" s="236"/>
      <c r="CS9" s="236"/>
      <c r="CT9" s="236"/>
      <c r="CU9" s="236"/>
      <c r="CV9" s="236"/>
      <c r="CW9" s="236"/>
      <c r="CX9" s="236"/>
      <c r="CY9" s="236"/>
      <c r="CZ9" s="236"/>
      <c r="DA9" s="236"/>
      <c r="DB9" s="236"/>
      <c r="DC9" s="236"/>
      <c r="DD9" s="236"/>
      <c r="DE9" s="236"/>
      <c r="DF9" s="236"/>
      <c r="DG9" s="236"/>
      <c r="DH9" s="236"/>
      <c r="DI9" s="236"/>
      <c r="DJ9" s="236"/>
      <c r="DK9" s="236"/>
      <c r="DL9" s="236"/>
      <c r="DM9" s="236"/>
    </row>
    <row r="10" s="183" customFormat="1" ht="22" customHeight="1" spans="1:117">
      <c r="A10" s="156">
        <v>6</v>
      </c>
      <c r="B10" s="190" t="s">
        <v>124</v>
      </c>
      <c r="C10" s="191" t="s">
        <v>1177</v>
      </c>
      <c r="D10" s="190"/>
      <c r="E10" s="156">
        <v>6</v>
      </c>
      <c r="F10" s="156" t="s">
        <v>1220</v>
      </c>
      <c r="G10" s="156" t="s">
        <v>1221</v>
      </c>
      <c r="H10" s="192" t="s">
        <v>128</v>
      </c>
      <c r="I10" s="192" t="s">
        <v>128</v>
      </c>
      <c r="J10" s="192"/>
      <c r="K10" s="192"/>
      <c r="L10" s="192"/>
      <c r="M10" s="192"/>
      <c r="N10" s="49" t="s">
        <v>1222</v>
      </c>
      <c r="O10" s="49"/>
      <c r="P10" s="50"/>
      <c r="Q10" s="214"/>
      <c r="R10" s="214"/>
      <c r="S10" s="212" t="s">
        <v>136</v>
      </c>
      <c r="T10" s="212"/>
      <c r="U10" s="213"/>
      <c r="V10" s="213"/>
      <c r="W10" s="212" t="s">
        <v>136</v>
      </c>
      <c r="X10" s="212" t="s">
        <v>1213</v>
      </c>
      <c r="Y10" s="225" t="s">
        <v>135</v>
      </c>
      <c r="Z10" s="225" t="s">
        <v>135</v>
      </c>
      <c r="AA10" s="226">
        <f t="shared" si="1"/>
        <v>0</v>
      </c>
      <c r="AB10" s="227" t="str">
        <f t="shared" si="0"/>
        <v>00:00:00</v>
      </c>
      <c r="AC10" s="228"/>
      <c r="AD10" s="226">
        <f t="shared" si="2"/>
        <v>0</v>
      </c>
      <c r="AE10" s="229">
        <v>169</v>
      </c>
      <c r="AF10" s="229">
        <v>43</v>
      </c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  <c r="BN10" s="236"/>
      <c r="BO10" s="236"/>
      <c r="BP10" s="236"/>
      <c r="BQ10" s="236"/>
      <c r="BR10" s="236"/>
      <c r="BS10" s="236"/>
      <c r="BT10" s="236"/>
      <c r="BU10" s="236"/>
      <c r="BV10" s="236"/>
      <c r="BW10" s="236"/>
      <c r="BX10" s="236"/>
      <c r="BY10" s="236"/>
      <c r="BZ10" s="236"/>
      <c r="CA10" s="236"/>
      <c r="CB10" s="236"/>
      <c r="CC10" s="236"/>
      <c r="CD10" s="236"/>
      <c r="CE10" s="236"/>
      <c r="CF10" s="236"/>
      <c r="CG10" s="236"/>
      <c r="CH10" s="236"/>
      <c r="CI10" s="236"/>
      <c r="CJ10" s="236"/>
      <c r="CK10" s="236"/>
      <c r="CL10" s="236"/>
      <c r="CM10" s="236"/>
      <c r="CN10" s="236"/>
      <c r="CO10" s="236"/>
      <c r="CP10" s="236"/>
      <c r="CQ10" s="236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</row>
    <row r="11" s="183" customFormat="1" ht="22" customHeight="1" spans="1:117">
      <c r="A11" s="156">
        <v>7</v>
      </c>
      <c r="B11" s="190" t="s">
        <v>124</v>
      </c>
      <c r="C11" s="191" t="s">
        <v>1177</v>
      </c>
      <c r="D11" s="190"/>
      <c r="E11" s="156">
        <v>7</v>
      </c>
      <c r="F11" s="156" t="s">
        <v>1223</v>
      </c>
      <c r="G11" s="156" t="s">
        <v>1224</v>
      </c>
      <c r="H11" s="192" t="s">
        <v>128</v>
      </c>
      <c r="I11" s="193" t="s">
        <v>128</v>
      </c>
      <c r="J11" s="193"/>
      <c r="K11" s="193"/>
      <c r="L11" s="193"/>
      <c r="M11" s="201"/>
      <c r="N11" s="49" t="s">
        <v>1225</v>
      </c>
      <c r="O11" s="49"/>
      <c r="P11" s="50"/>
      <c r="Q11" s="214"/>
      <c r="R11" s="214"/>
      <c r="S11" s="212" t="s">
        <v>136</v>
      </c>
      <c r="T11" s="212"/>
      <c r="U11" s="213"/>
      <c r="V11" s="213"/>
      <c r="W11" s="212" t="s">
        <v>137</v>
      </c>
      <c r="X11" s="212" t="s">
        <v>136</v>
      </c>
      <c r="Y11" s="225" t="s">
        <v>135</v>
      </c>
      <c r="Z11" s="225" t="s">
        <v>135</v>
      </c>
      <c r="AA11" s="226">
        <f t="shared" si="1"/>
        <v>0</v>
      </c>
      <c r="AB11" s="227" t="str">
        <f t="shared" si="0"/>
        <v>00:00:00</v>
      </c>
      <c r="AC11" s="228"/>
      <c r="AD11" s="226">
        <f t="shared" si="2"/>
        <v>0</v>
      </c>
      <c r="AE11" s="229">
        <v>169</v>
      </c>
      <c r="AF11" s="229">
        <v>43</v>
      </c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/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</row>
    <row r="12" s="183" customFormat="1" ht="22" customHeight="1" spans="1:117">
      <c r="A12" s="156">
        <v>8</v>
      </c>
      <c r="B12" s="190" t="s">
        <v>124</v>
      </c>
      <c r="C12" s="191" t="s">
        <v>1177</v>
      </c>
      <c r="D12" s="190"/>
      <c r="E12" s="156">
        <v>8</v>
      </c>
      <c r="F12" s="156" t="s">
        <v>1226</v>
      </c>
      <c r="G12" s="156" t="s">
        <v>1227</v>
      </c>
      <c r="H12" s="192" t="s">
        <v>128</v>
      </c>
      <c r="I12" s="192" t="s">
        <v>128</v>
      </c>
      <c r="J12" s="192"/>
      <c r="K12" s="192"/>
      <c r="L12" s="192"/>
      <c r="M12" s="192"/>
      <c r="N12" s="49" t="s">
        <v>1228</v>
      </c>
      <c r="O12" s="49"/>
      <c r="P12" s="50"/>
      <c r="Q12" s="214"/>
      <c r="R12" s="214"/>
      <c r="S12" s="212" t="s">
        <v>136</v>
      </c>
      <c r="T12" s="212"/>
      <c r="U12" s="213"/>
      <c r="V12" s="213"/>
      <c r="W12" s="212" t="s">
        <v>137</v>
      </c>
      <c r="X12" s="212" t="s">
        <v>136</v>
      </c>
      <c r="Y12" s="225" t="s">
        <v>135</v>
      </c>
      <c r="Z12" s="225" t="s">
        <v>135</v>
      </c>
      <c r="AA12" s="226">
        <f t="shared" si="1"/>
        <v>0</v>
      </c>
      <c r="AB12" s="227" t="str">
        <f t="shared" si="0"/>
        <v>00:00:00</v>
      </c>
      <c r="AC12" s="228"/>
      <c r="AD12" s="226">
        <f t="shared" si="2"/>
        <v>0</v>
      </c>
      <c r="AE12" s="229">
        <v>169</v>
      </c>
      <c r="AF12" s="229">
        <v>43</v>
      </c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/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</row>
    <row r="13" s="183" customFormat="1" ht="22" customHeight="1" spans="1:117">
      <c r="A13" s="156">
        <v>9</v>
      </c>
      <c r="B13" s="190" t="s">
        <v>124</v>
      </c>
      <c r="C13" s="191" t="s">
        <v>1177</v>
      </c>
      <c r="D13" s="190"/>
      <c r="E13" s="156">
        <v>9</v>
      </c>
      <c r="F13" s="156" t="s">
        <v>1229</v>
      </c>
      <c r="G13" s="156" t="s">
        <v>1230</v>
      </c>
      <c r="H13" s="192" t="s">
        <v>128</v>
      </c>
      <c r="I13" s="192" t="s">
        <v>128</v>
      </c>
      <c r="J13" s="192"/>
      <c r="K13" s="192"/>
      <c r="L13" s="192"/>
      <c r="M13" s="192"/>
      <c r="N13" s="49" t="s">
        <v>1231</v>
      </c>
      <c r="O13" s="49"/>
      <c r="P13" s="50"/>
      <c r="Q13" s="214"/>
      <c r="R13" s="214"/>
      <c r="S13" s="212" t="s">
        <v>136</v>
      </c>
      <c r="T13" s="212"/>
      <c r="U13" s="213"/>
      <c r="V13" s="213"/>
      <c r="W13" s="212" t="s">
        <v>136</v>
      </c>
      <c r="X13" s="212" t="s">
        <v>1213</v>
      </c>
      <c r="Y13" s="225" t="s">
        <v>135</v>
      </c>
      <c r="Z13" s="225" t="s">
        <v>135</v>
      </c>
      <c r="AA13" s="226">
        <f t="shared" si="1"/>
        <v>0</v>
      </c>
      <c r="AB13" s="227" t="str">
        <f t="shared" si="0"/>
        <v>00:00:00</v>
      </c>
      <c r="AC13" s="228"/>
      <c r="AD13" s="226">
        <f t="shared" si="2"/>
        <v>0</v>
      </c>
      <c r="AE13" s="229">
        <v>169</v>
      </c>
      <c r="AF13" s="229">
        <v>43</v>
      </c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36"/>
      <c r="CB13" s="236"/>
      <c r="CC13" s="236"/>
      <c r="CD13" s="236"/>
      <c r="CE13" s="236"/>
      <c r="CF13" s="236"/>
      <c r="CG13" s="236"/>
      <c r="CH13" s="236"/>
      <c r="CI13" s="236"/>
      <c r="CJ13" s="236"/>
      <c r="CK13" s="236"/>
      <c r="CL13" s="236"/>
      <c r="CM13" s="236"/>
      <c r="CN13" s="236"/>
      <c r="CO13" s="236"/>
      <c r="CP13" s="236"/>
      <c r="CQ13" s="236"/>
      <c r="CR13" s="236"/>
      <c r="CS13" s="236"/>
      <c r="CT13" s="236"/>
      <c r="CU13" s="236"/>
      <c r="CV13" s="236"/>
      <c r="CW13" s="236"/>
      <c r="CX13" s="236"/>
      <c r="CY13" s="236"/>
      <c r="CZ13" s="236"/>
      <c r="DA13" s="236"/>
      <c r="DB13" s="236"/>
      <c r="DC13" s="236"/>
      <c r="DD13" s="236"/>
      <c r="DE13" s="236"/>
      <c r="DF13" s="236"/>
      <c r="DG13" s="236"/>
      <c r="DH13" s="236"/>
      <c r="DI13" s="236"/>
      <c r="DJ13" s="236"/>
      <c r="DK13" s="236"/>
      <c r="DL13" s="236"/>
      <c r="DM13" s="236"/>
    </row>
    <row r="14" s="1" customFormat="1" ht="22" customHeight="1" spans="1:44">
      <c r="A14" s="156">
        <v>10</v>
      </c>
      <c r="B14" s="190" t="s">
        <v>124</v>
      </c>
      <c r="C14" s="191" t="s">
        <v>1177</v>
      </c>
      <c r="D14" s="190"/>
      <c r="E14" s="156">
        <v>10</v>
      </c>
      <c r="F14" s="156" t="s">
        <v>1232</v>
      </c>
      <c r="G14" s="156" t="s">
        <v>1233</v>
      </c>
      <c r="H14" s="192"/>
      <c r="I14" s="192"/>
      <c r="J14" s="192"/>
      <c r="K14" s="192"/>
      <c r="L14" s="192" t="s">
        <v>128</v>
      </c>
      <c r="M14" s="192" t="s">
        <v>128</v>
      </c>
      <c r="N14" s="49"/>
      <c r="O14" s="49"/>
      <c r="P14" s="50"/>
      <c r="Q14" s="214" t="str">
        <f t="shared" ref="Q14:Q19" si="3">CONCATENATE(SUBSTITUTE(SUBSTITUTE(SUBSTITUTE(SUBSTITUTE(SUBSTITUTE(SUBSTITUTE(SUBSTITUTE(SUBSTITUTE(SUBSTITUTE(SUBSTITUTE(SUBSTITUTE(SUBSTITUTE(SUBSTITUTE(SUBSTITUTE(SUBSTITUTE(SUBSTITUTE(SUBSTITUTE(SUBSTITUTE(SUBSTITUTE(SUBSTITUTE(SUBSTITUTE(SUBSTITUTE(G14,":","")," '",""),",",""),".",""),"&amp;",""),"(",""),")",""),"%",""),"/",""),"*",""),"？",""),"?",""),"！",""),"!",""),"-",""),"（",""),"）","")," ",""),"：",""),"'",""),"π","PI"),"，",""),"_CA",B14,"_i4K_",AF14,"_",PROPER(S14),IF(T14="",PROPER(S14),PROPER(T14)),PROPER(U14),PROPER(V14),PROPER(W14),IF(W14&lt;&gt;"","SUB",""),PROPER(X14),IF(X14&lt;&gt;"","SUB",""),"_","Ed","_","M1",".mpg")</f>
        <v>A330200_Eng0325SafetyVideo2023_CA0325_i4K_43_ZhoZhoEngSUBZhoSUB_Ed_M1.mpg</v>
      </c>
      <c r="R14" s="214" t="str">
        <f>CONCATENATE(SUBSTITUTE(SUBSTITUTE(SUBSTITUTE(SUBSTITUTE(SUBSTITUTE(SUBSTITUTE(SUBSTITUTE(SUBSTITUTE(SUBSTITUTE(SUBSTITUTE(SUBSTITUTE(SUBSTITUTE(SUBSTITUTE(SUBSTITUTE(SUBSTITUTE(SUBSTITUTE(SUBSTITUTE(SUBSTITUTE(SUBSTITUTE(SUBSTITUTE(SUBSTITUTE(SUBSTITUTE(G14,":","")," '",""),",",""),".",""),"&amp;",""),"(",""),")",""),"%",""),"/",""),"*",""),"？",""),"?",""),"！",""),"!",""),"-",""),"（",""),"）","")," ",""),"：",""),"'",""),"π","PI"),"，",""),"_CA",B14,"_i5K_",AE14,"_",PROPER(S14),IF(T14="",PROPER(S14),PROPER(T14)),PROPER(U14),PROPER(V14),PROPER(W14),IF(W14&lt;&gt;"","SUB",""),PROPER(X14),IF(X14&lt;&gt;"","SUB",""),"_","Ed","_","M2",".mpg")</f>
        <v>A330200_Eng0325SafetyVideo2023_CA0325_i5K_169_ZhoZhoEngSUBZhoSUB_Ed_M2.mpg</v>
      </c>
      <c r="S14" s="212" t="s">
        <v>136</v>
      </c>
      <c r="T14" s="212"/>
      <c r="U14" s="213"/>
      <c r="V14" s="213"/>
      <c r="W14" s="213" t="s">
        <v>137</v>
      </c>
      <c r="X14" s="212" t="s">
        <v>136</v>
      </c>
      <c r="Y14" s="225" t="s">
        <v>135</v>
      </c>
      <c r="Z14" s="225" t="s">
        <v>135</v>
      </c>
      <c r="AA14" s="226">
        <f t="shared" si="1"/>
        <v>0</v>
      </c>
      <c r="AB14" s="227" t="str">
        <f t="shared" si="0"/>
        <v>00:00:00</v>
      </c>
      <c r="AC14" s="228"/>
      <c r="AD14" s="226">
        <f t="shared" si="2"/>
        <v>0</v>
      </c>
      <c r="AE14" s="229">
        <v>169</v>
      </c>
      <c r="AF14" s="229">
        <v>43</v>
      </c>
      <c r="AH14" s="74"/>
      <c r="AI14" s="75"/>
      <c r="AJ14" s="3"/>
      <c r="AK14" s="74"/>
      <c r="AL14" s="76"/>
      <c r="AM14" s="74"/>
      <c r="AN14" s="74"/>
      <c r="AO14" s="3"/>
      <c r="AP14" s="5"/>
      <c r="AQ14" s="5"/>
      <c r="AR14" s="5"/>
    </row>
    <row r="15" s="1" customFormat="1" ht="22" customHeight="1" spans="1:44">
      <c r="A15" s="156">
        <v>11</v>
      </c>
      <c r="B15" s="190" t="s">
        <v>124</v>
      </c>
      <c r="C15" s="191" t="s">
        <v>1177</v>
      </c>
      <c r="D15" s="190"/>
      <c r="E15" s="156">
        <v>11</v>
      </c>
      <c r="F15" s="156" t="s">
        <v>1234</v>
      </c>
      <c r="G15" s="156" t="s">
        <v>1235</v>
      </c>
      <c r="H15" s="192"/>
      <c r="I15" s="192"/>
      <c r="J15" s="192"/>
      <c r="K15" s="192"/>
      <c r="L15" s="192" t="s">
        <v>128</v>
      </c>
      <c r="M15" s="192" t="s">
        <v>128</v>
      </c>
      <c r="N15" s="49"/>
      <c r="O15" s="49"/>
      <c r="P15" s="50"/>
      <c r="Q15" s="214" t="str">
        <f t="shared" si="3"/>
        <v>A330200_Zho0325SafetyVideo2023_CA0325_i4K_43_ZhoZhoEngSUBZhoSUB_Ed_M1.mpg</v>
      </c>
      <c r="R15" s="214" t="str">
        <f t="shared" ref="R15:R22" si="4">CONCATENATE(SUBSTITUTE(SUBSTITUTE(SUBSTITUTE(SUBSTITUTE(SUBSTITUTE(SUBSTITUTE(SUBSTITUTE(SUBSTITUTE(SUBSTITUTE(SUBSTITUTE(SUBSTITUTE(SUBSTITUTE(SUBSTITUTE(SUBSTITUTE(SUBSTITUTE(SUBSTITUTE(SUBSTITUTE(SUBSTITUTE(SUBSTITUTE(SUBSTITUTE(SUBSTITUTE(SUBSTITUTE(G15,":","")," '",""),",",""),".",""),"&amp;",""),"(",""),")",""),"%",""),"/",""),"*",""),"？",""),"?",""),"！",""),"!",""),"-",""),"（",""),"）","")," ",""),"：",""),"'",""),"π","PI"),"，",""),"_CA",B15,"_i5K_",AE15,"_",PROPER(S15),IF(T15="",PROPER(S15),PROPER(T15)),PROPER(U15),PROPER(V15),PROPER(W15),IF(W15&lt;&gt;"","SUB",""),PROPER(X15),IF(X15&lt;&gt;"","SUB",""),"_","Ed","_","M2",".mpg")</f>
        <v>A330200_Zho0325SafetyVideo2023_CA0325_i5K_169_ZhoZhoEngSUBZhoSUB_Ed_M2.mpg</v>
      </c>
      <c r="S15" s="212" t="s">
        <v>136</v>
      </c>
      <c r="T15" s="212"/>
      <c r="U15" s="213"/>
      <c r="V15" s="213"/>
      <c r="W15" s="213" t="s">
        <v>137</v>
      </c>
      <c r="X15" s="212" t="s">
        <v>136</v>
      </c>
      <c r="Y15" s="225" t="s">
        <v>135</v>
      </c>
      <c r="Z15" s="225" t="s">
        <v>135</v>
      </c>
      <c r="AA15" s="226">
        <f t="shared" si="1"/>
        <v>0</v>
      </c>
      <c r="AB15" s="227" t="str">
        <f t="shared" si="0"/>
        <v>00:00:00</v>
      </c>
      <c r="AC15" s="228"/>
      <c r="AD15" s="226">
        <f t="shared" si="2"/>
        <v>0</v>
      </c>
      <c r="AE15" s="229">
        <v>169</v>
      </c>
      <c r="AF15" s="229">
        <v>43</v>
      </c>
      <c r="AH15" s="74"/>
      <c r="AI15" s="75"/>
      <c r="AJ15" s="3"/>
      <c r="AK15" s="74"/>
      <c r="AL15" s="76"/>
      <c r="AM15" s="74"/>
      <c r="AN15" s="74"/>
      <c r="AO15" s="3"/>
      <c r="AP15" s="5"/>
      <c r="AQ15" s="5"/>
      <c r="AR15" s="5"/>
    </row>
    <row r="16" s="1" customFormat="1" ht="22" customHeight="1" spans="1:44">
      <c r="A16" s="156">
        <v>12</v>
      </c>
      <c r="B16" s="190" t="s">
        <v>124</v>
      </c>
      <c r="C16" s="191" t="s">
        <v>1177</v>
      </c>
      <c r="D16" s="190"/>
      <c r="E16" s="156">
        <v>12</v>
      </c>
      <c r="F16" s="156"/>
      <c r="G16" s="156" t="s">
        <v>1236</v>
      </c>
      <c r="H16" s="192"/>
      <c r="I16" s="192"/>
      <c r="J16" s="192"/>
      <c r="K16" s="192"/>
      <c r="L16" s="192" t="s">
        <v>128</v>
      </c>
      <c r="M16" s="192" t="s">
        <v>128</v>
      </c>
      <c r="N16" s="49"/>
      <c r="O16" s="49"/>
      <c r="P16" s="50"/>
      <c r="Q16" s="214" t="str">
        <f t="shared" si="3"/>
        <v>A330200_Can0325SafetyVideo2023_CA0325_i4K_43_ZhoZhoZhoSUBCanSUB_Ed_M1.mpg</v>
      </c>
      <c r="R16" s="214" t="str">
        <f t="shared" si="4"/>
        <v>A330200_Can0325SafetyVideo2023_CA0325_i5K_169_ZhoZhoZhoSUBCanSUB_Ed_M2.mpg</v>
      </c>
      <c r="S16" s="212" t="s">
        <v>136</v>
      </c>
      <c r="T16" s="212"/>
      <c r="U16" s="213"/>
      <c r="V16" s="213"/>
      <c r="W16" s="213" t="s">
        <v>136</v>
      </c>
      <c r="X16" s="212" t="s">
        <v>1213</v>
      </c>
      <c r="Y16" s="225" t="s">
        <v>135</v>
      </c>
      <c r="Z16" s="225" t="s">
        <v>135</v>
      </c>
      <c r="AA16" s="226">
        <f t="shared" si="1"/>
        <v>0</v>
      </c>
      <c r="AB16" s="227" t="str">
        <f t="shared" si="0"/>
        <v>00:00:00</v>
      </c>
      <c r="AC16" s="228"/>
      <c r="AD16" s="226">
        <f t="shared" si="2"/>
        <v>0</v>
      </c>
      <c r="AE16" s="229">
        <v>169</v>
      </c>
      <c r="AF16" s="229">
        <v>43</v>
      </c>
      <c r="AH16" s="74"/>
      <c r="AI16" s="75"/>
      <c r="AJ16" s="3"/>
      <c r="AK16" s="74"/>
      <c r="AL16" s="76"/>
      <c r="AM16" s="74"/>
      <c r="AN16" s="74"/>
      <c r="AO16" s="3"/>
      <c r="AP16" s="5"/>
      <c r="AQ16" s="5"/>
      <c r="AR16" s="5"/>
    </row>
    <row r="17" s="1" customFormat="1" ht="22" customHeight="1" spans="1:44">
      <c r="A17" s="156">
        <v>13</v>
      </c>
      <c r="B17" s="190" t="s">
        <v>124</v>
      </c>
      <c r="C17" s="191" t="s">
        <v>1177</v>
      </c>
      <c r="D17" s="190"/>
      <c r="E17" s="156">
        <v>13</v>
      </c>
      <c r="F17" s="156" t="s">
        <v>1237</v>
      </c>
      <c r="G17" s="156" t="s">
        <v>1238</v>
      </c>
      <c r="H17" s="192"/>
      <c r="I17" s="192"/>
      <c r="J17" s="192"/>
      <c r="K17" s="192"/>
      <c r="L17" s="192" t="s">
        <v>128</v>
      </c>
      <c r="M17" s="192" t="s">
        <v>128</v>
      </c>
      <c r="N17" s="49"/>
      <c r="O17" s="49"/>
      <c r="P17" s="50"/>
      <c r="Q17" s="214" t="str">
        <f t="shared" si="3"/>
        <v>A330300_Eng0325SafetyVideo2023_CA0325_i4K_43_ZhoZhoEngSUBZhoSUB_Ed_M1.mpg</v>
      </c>
      <c r="R17" s="214" t="str">
        <f t="shared" si="4"/>
        <v>A330300_Eng0325SafetyVideo2023_CA0325_i5K_169_ZhoZhoEngSUBZhoSUB_Ed_M2.mpg</v>
      </c>
      <c r="S17" s="212" t="s">
        <v>136</v>
      </c>
      <c r="T17" s="212"/>
      <c r="U17" s="213"/>
      <c r="V17" s="213"/>
      <c r="W17" s="213" t="s">
        <v>137</v>
      </c>
      <c r="X17" s="212" t="s">
        <v>136</v>
      </c>
      <c r="Y17" s="225" t="s">
        <v>135</v>
      </c>
      <c r="Z17" s="225" t="s">
        <v>135</v>
      </c>
      <c r="AA17" s="226">
        <f t="shared" si="1"/>
        <v>0</v>
      </c>
      <c r="AB17" s="227" t="str">
        <f t="shared" si="0"/>
        <v>00:00:00</v>
      </c>
      <c r="AC17" s="228"/>
      <c r="AD17" s="226">
        <f t="shared" si="2"/>
        <v>0</v>
      </c>
      <c r="AE17" s="229">
        <v>169</v>
      </c>
      <c r="AF17" s="229">
        <v>43</v>
      </c>
      <c r="AH17" s="74"/>
      <c r="AI17" s="75"/>
      <c r="AJ17" s="3"/>
      <c r="AK17" s="74"/>
      <c r="AL17" s="76"/>
      <c r="AM17" s="74"/>
      <c r="AN17" s="74"/>
      <c r="AO17" s="3"/>
      <c r="AP17" s="5"/>
      <c r="AQ17" s="5"/>
      <c r="AR17" s="5"/>
    </row>
    <row r="18" s="1" customFormat="1" ht="22" customHeight="1" spans="1:44">
      <c r="A18" s="156">
        <v>14</v>
      </c>
      <c r="B18" s="190" t="s">
        <v>124</v>
      </c>
      <c r="C18" s="191" t="s">
        <v>1177</v>
      </c>
      <c r="D18" s="190"/>
      <c r="E18" s="156">
        <v>14</v>
      </c>
      <c r="F18" s="156" t="s">
        <v>1239</v>
      </c>
      <c r="G18" s="156" t="s">
        <v>1240</v>
      </c>
      <c r="H18" s="192"/>
      <c r="I18" s="192"/>
      <c r="J18" s="192"/>
      <c r="K18" s="192"/>
      <c r="L18" s="192" t="s">
        <v>128</v>
      </c>
      <c r="M18" s="192" t="s">
        <v>128</v>
      </c>
      <c r="N18" s="49"/>
      <c r="O18" s="49"/>
      <c r="P18" s="50"/>
      <c r="Q18" s="214" t="str">
        <f t="shared" si="3"/>
        <v>A330300_Zho0325SafetyVideo2023_CA0325_i4K_43_ZhoZhoEngSUBZhoSUB_Ed_M1.mpg</v>
      </c>
      <c r="R18" s="214" t="str">
        <f t="shared" si="4"/>
        <v>A330300_Zho0325SafetyVideo2023_CA0325_i5K_169_ZhoZhoEngSUBZhoSUB_Ed_M2.mpg</v>
      </c>
      <c r="S18" s="212" t="s">
        <v>136</v>
      </c>
      <c r="T18" s="212"/>
      <c r="U18" s="213"/>
      <c r="V18" s="213"/>
      <c r="W18" s="213" t="s">
        <v>137</v>
      </c>
      <c r="X18" s="212" t="s">
        <v>136</v>
      </c>
      <c r="Y18" s="225" t="s">
        <v>135</v>
      </c>
      <c r="Z18" s="225" t="s">
        <v>135</v>
      </c>
      <c r="AA18" s="226">
        <f t="shared" si="1"/>
        <v>0</v>
      </c>
      <c r="AB18" s="227" t="str">
        <f t="shared" si="0"/>
        <v>00:00:00</v>
      </c>
      <c r="AC18" s="228"/>
      <c r="AD18" s="226">
        <f t="shared" si="2"/>
        <v>0</v>
      </c>
      <c r="AE18" s="229">
        <v>169</v>
      </c>
      <c r="AF18" s="229">
        <v>43</v>
      </c>
      <c r="AH18" s="74"/>
      <c r="AI18" s="75"/>
      <c r="AJ18" s="3"/>
      <c r="AK18" s="74"/>
      <c r="AL18" s="76"/>
      <c r="AM18" s="74"/>
      <c r="AN18" s="74"/>
      <c r="AO18" s="3"/>
      <c r="AP18" s="5"/>
      <c r="AQ18" s="5"/>
      <c r="AR18" s="5"/>
    </row>
    <row r="19" s="1" customFormat="1" ht="22" customHeight="1" spans="1:44">
      <c r="A19" s="156">
        <v>15</v>
      </c>
      <c r="B19" s="190" t="s">
        <v>124</v>
      </c>
      <c r="C19" s="191" t="s">
        <v>1177</v>
      </c>
      <c r="D19" s="190"/>
      <c r="E19" s="156">
        <v>15</v>
      </c>
      <c r="F19" s="156"/>
      <c r="G19" s="156" t="s">
        <v>1241</v>
      </c>
      <c r="H19" s="192"/>
      <c r="I19" s="192"/>
      <c r="J19" s="192"/>
      <c r="K19" s="192"/>
      <c r="L19" s="192" t="s">
        <v>128</v>
      </c>
      <c r="M19" s="192" t="s">
        <v>128</v>
      </c>
      <c r="N19" s="49"/>
      <c r="O19" s="49"/>
      <c r="P19" s="50"/>
      <c r="Q19" s="214" t="str">
        <f t="shared" si="3"/>
        <v>A330300_Can0325SafetyVideo2023_CA0325_i4K_43_ZhoZhoZhoSUBCanSUB_Ed_M1.mpg</v>
      </c>
      <c r="R19" s="214" t="str">
        <f t="shared" si="4"/>
        <v>A330300_Can0325SafetyVideo2023_CA0325_i5K_169_ZhoZhoZhoSUBCanSUB_Ed_M2.mpg</v>
      </c>
      <c r="S19" s="212" t="s">
        <v>136</v>
      </c>
      <c r="T19" s="212"/>
      <c r="U19" s="213"/>
      <c r="V19" s="213"/>
      <c r="W19" s="213" t="s">
        <v>136</v>
      </c>
      <c r="X19" s="212" t="s">
        <v>1213</v>
      </c>
      <c r="Y19" s="225" t="s">
        <v>135</v>
      </c>
      <c r="Z19" s="225" t="s">
        <v>135</v>
      </c>
      <c r="AA19" s="226">
        <f t="shared" si="1"/>
        <v>0</v>
      </c>
      <c r="AB19" s="227" t="str">
        <f t="shared" si="0"/>
        <v>00:00:00</v>
      </c>
      <c r="AC19" s="228"/>
      <c r="AD19" s="226">
        <f t="shared" si="2"/>
        <v>0</v>
      </c>
      <c r="AE19" s="229">
        <v>169</v>
      </c>
      <c r="AF19" s="229">
        <v>43</v>
      </c>
      <c r="AH19" s="74"/>
      <c r="AI19" s="75"/>
      <c r="AJ19" s="3"/>
      <c r="AK19" s="74"/>
      <c r="AL19" s="76"/>
      <c r="AM19" s="74"/>
      <c r="AN19" s="74"/>
      <c r="AO19" s="3"/>
      <c r="AP19" s="5"/>
      <c r="AQ19" s="5"/>
      <c r="AR19" s="5"/>
    </row>
    <row r="20" s="1" customFormat="1" ht="22" customHeight="1" spans="1:44">
      <c r="A20" s="156">
        <v>16</v>
      </c>
      <c r="B20" s="190" t="s">
        <v>124</v>
      </c>
      <c r="C20" s="191" t="s">
        <v>1177</v>
      </c>
      <c r="D20" s="190"/>
      <c r="E20" s="156">
        <v>16</v>
      </c>
      <c r="F20" s="156" t="s">
        <v>1242</v>
      </c>
      <c r="G20" s="156" t="s">
        <v>1243</v>
      </c>
      <c r="H20" s="192"/>
      <c r="I20" s="192"/>
      <c r="J20" s="192"/>
      <c r="K20" s="192"/>
      <c r="L20" s="192" t="s">
        <v>128</v>
      </c>
      <c r="M20" s="192"/>
      <c r="N20" s="49"/>
      <c r="O20" s="49"/>
      <c r="P20" s="50"/>
      <c r="Q20" s="214"/>
      <c r="R20" s="214" t="str">
        <f t="shared" si="4"/>
        <v>B777300_Eng0325SafetyVideo2023_CA0325_i5K_169_ZhoZhoEngSUBZhoSUB_Ed_M2.mpg</v>
      </c>
      <c r="S20" s="212" t="s">
        <v>136</v>
      </c>
      <c r="T20" s="212"/>
      <c r="U20" s="213"/>
      <c r="V20" s="213"/>
      <c r="W20" s="213" t="s">
        <v>137</v>
      </c>
      <c r="X20" s="212" t="s">
        <v>136</v>
      </c>
      <c r="Y20" s="225" t="s">
        <v>135</v>
      </c>
      <c r="Z20" s="225" t="s">
        <v>135</v>
      </c>
      <c r="AA20" s="226">
        <f t="shared" si="1"/>
        <v>0</v>
      </c>
      <c r="AB20" s="227" t="str">
        <f t="shared" si="0"/>
        <v>00:00:00</v>
      </c>
      <c r="AC20" s="228"/>
      <c r="AD20" s="226">
        <f t="shared" si="2"/>
        <v>0</v>
      </c>
      <c r="AE20" s="229">
        <v>169</v>
      </c>
      <c r="AF20" s="229">
        <v>43</v>
      </c>
      <c r="AH20" s="74"/>
      <c r="AI20" s="75"/>
      <c r="AJ20" s="3"/>
      <c r="AK20" s="74"/>
      <c r="AL20" s="76"/>
      <c r="AM20" s="74"/>
      <c r="AN20" s="74"/>
      <c r="AO20" s="3"/>
      <c r="AP20" s="5"/>
      <c r="AQ20" s="5"/>
      <c r="AR20" s="5"/>
    </row>
    <row r="21" s="1" customFormat="1" ht="22" customHeight="1" spans="1:44">
      <c r="A21" s="156">
        <v>17</v>
      </c>
      <c r="B21" s="190" t="s">
        <v>124</v>
      </c>
      <c r="C21" s="191" t="s">
        <v>1177</v>
      </c>
      <c r="D21" s="190"/>
      <c r="E21" s="156">
        <v>17</v>
      </c>
      <c r="F21" s="156" t="s">
        <v>1244</v>
      </c>
      <c r="G21" s="156" t="s">
        <v>1245</v>
      </c>
      <c r="H21" s="192"/>
      <c r="I21" s="192"/>
      <c r="J21" s="192"/>
      <c r="K21" s="192"/>
      <c r="L21" s="192" t="s">
        <v>128</v>
      </c>
      <c r="M21" s="192"/>
      <c r="N21" s="49"/>
      <c r="O21" s="49"/>
      <c r="P21" s="50"/>
      <c r="Q21" s="214"/>
      <c r="R21" s="214" t="str">
        <f t="shared" si="4"/>
        <v>B777300_Zho0325SafetyVideo2023_CA0325_i5K_169_ZhoZhoEngSUBZhoSUB_Ed_M2.mpg</v>
      </c>
      <c r="S21" s="212" t="s">
        <v>136</v>
      </c>
      <c r="T21" s="212"/>
      <c r="U21" s="213"/>
      <c r="V21" s="213"/>
      <c r="W21" s="213" t="s">
        <v>137</v>
      </c>
      <c r="X21" s="212" t="s">
        <v>136</v>
      </c>
      <c r="Y21" s="225" t="s">
        <v>135</v>
      </c>
      <c r="Z21" s="225" t="s">
        <v>135</v>
      </c>
      <c r="AA21" s="226">
        <f t="shared" si="1"/>
        <v>0</v>
      </c>
      <c r="AB21" s="227" t="str">
        <f t="shared" si="0"/>
        <v>00:00:00</v>
      </c>
      <c r="AC21" s="228"/>
      <c r="AD21" s="226">
        <f t="shared" si="2"/>
        <v>0</v>
      </c>
      <c r="AE21" s="229">
        <v>169</v>
      </c>
      <c r="AF21" s="229">
        <v>43</v>
      </c>
      <c r="AH21" s="74"/>
      <c r="AI21" s="75"/>
      <c r="AJ21" s="3"/>
      <c r="AK21" s="74"/>
      <c r="AL21" s="76"/>
      <c r="AM21" s="74"/>
      <c r="AN21" s="74"/>
      <c r="AO21" s="3"/>
      <c r="AP21" s="5"/>
      <c r="AQ21" s="5"/>
      <c r="AR21" s="5"/>
    </row>
    <row r="22" s="1" customFormat="1" ht="22" customHeight="1" spans="1:44">
      <c r="A22" s="156">
        <v>18</v>
      </c>
      <c r="B22" s="190" t="s">
        <v>124</v>
      </c>
      <c r="C22" s="191" t="s">
        <v>1177</v>
      </c>
      <c r="D22" s="190"/>
      <c r="E22" s="156">
        <v>18</v>
      </c>
      <c r="F22" s="156"/>
      <c r="G22" s="156" t="s">
        <v>1246</v>
      </c>
      <c r="H22" s="192"/>
      <c r="I22" s="192"/>
      <c r="J22" s="192"/>
      <c r="K22" s="192"/>
      <c r="L22" s="192" t="s">
        <v>128</v>
      </c>
      <c r="M22" s="192"/>
      <c r="N22" s="49"/>
      <c r="O22" s="49"/>
      <c r="P22" s="50"/>
      <c r="Q22" s="214"/>
      <c r="R22" s="214" t="str">
        <f t="shared" si="4"/>
        <v>B777300_Can0325SafetyVideo2023_CA0325_i5K_169_ZhoZhoZhoSUBCanSUB_Ed_M2.mpg</v>
      </c>
      <c r="S22" s="212" t="s">
        <v>136</v>
      </c>
      <c r="T22" s="212"/>
      <c r="U22" s="213"/>
      <c r="V22" s="213"/>
      <c r="W22" s="213" t="s">
        <v>136</v>
      </c>
      <c r="X22" s="212" t="s">
        <v>1213</v>
      </c>
      <c r="Y22" s="225" t="s">
        <v>135</v>
      </c>
      <c r="Z22" s="225" t="s">
        <v>135</v>
      </c>
      <c r="AA22" s="226">
        <f t="shared" si="1"/>
        <v>0</v>
      </c>
      <c r="AB22" s="227" t="str">
        <f t="shared" si="0"/>
        <v>00:00:00</v>
      </c>
      <c r="AC22" s="228"/>
      <c r="AD22" s="226">
        <f t="shared" si="2"/>
        <v>0</v>
      </c>
      <c r="AE22" s="229">
        <v>169</v>
      </c>
      <c r="AF22" s="229">
        <v>43</v>
      </c>
      <c r="AH22" s="74"/>
      <c r="AI22" s="75"/>
      <c r="AJ22" s="3"/>
      <c r="AK22" s="74"/>
      <c r="AL22" s="76"/>
      <c r="AM22" s="74"/>
      <c r="AN22" s="74"/>
      <c r="AO22" s="3"/>
      <c r="AP22" s="5"/>
      <c r="AQ22" s="5"/>
      <c r="AR22" s="5"/>
    </row>
    <row r="23" s="1" customFormat="1" ht="22" customHeight="1" spans="1:44">
      <c r="A23" s="156">
        <v>19</v>
      </c>
      <c r="B23" s="190" t="s">
        <v>124</v>
      </c>
      <c r="C23" s="191" t="s">
        <v>1177</v>
      </c>
      <c r="D23" s="190"/>
      <c r="E23" s="156">
        <v>19</v>
      </c>
      <c r="F23" s="156" t="s">
        <v>1247</v>
      </c>
      <c r="G23" s="156" t="s">
        <v>1248</v>
      </c>
      <c r="H23" s="192"/>
      <c r="I23" s="192"/>
      <c r="J23" s="192" t="s">
        <v>128</v>
      </c>
      <c r="K23" s="192"/>
      <c r="L23" s="192"/>
      <c r="M23" s="192"/>
      <c r="N23" s="49"/>
      <c r="O23" s="49" t="s">
        <v>1249</v>
      </c>
      <c r="P23" s="50"/>
      <c r="Q23" s="214"/>
      <c r="R23" s="214"/>
      <c r="S23" s="212" t="s">
        <v>136</v>
      </c>
      <c r="T23" s="212"/>
      <c r="U23" s="213"/>
      <c r="V23" s="213"/>
      <c r="W23" s="213" t="s">
        <v>137</v>
      </c>
      <c r="X23" s="212" t="s">
        <v>136</v>
      </c>
      <c r="Y23" s="225" t="s">
        <v>135</v>
      </c>
      <c r="Z23" s="225" t="s">
        <v>135</v>
      </c>
      <c r="AA23" s="226">
        <f t="shared" si="1"/>
        <v>0</v>
      </c>
      <c r="AB23" s="227" t="str">
        <f t="shared" si="0"/>
        <v>00:00:00</v>
      </c>
      <c r="AC23" s="228"/>
      <c r="AD23" s="226">
        <f t="shared" si="2"/>
        <v>0</v>
      </c>
      <c r="AE23" s="229">
        <v>169</v>
      </c>
      <c r="AF23" s="229">
        <v>43</v>
      </c>
      <c r="AH23" s="74"/>
      <c r="AI23" s="75"/>
      <c r="AJ23" s="3"/>
      <c r="AK23" s="74"/>
      <c r="AL23" s="76"/>
      <c r="AM23" s="74"/>
      <c r="AN23" s="74"/>
      <c r="AO23" s="3"/>
      <c r="AP23" s="5"/>
      <c r="AQ23" s="5"/>
      <c r="AR23" s="5"/>
    </row>
    <row r="24" s="1" customFormat="1" ht="22" customHeight="1" spans="1:44">
      <c r="A24" s="156">
        <v>20</v>
      </c>
      <c r="B24" s="190" t="s">
        <v>124</v>
      </c>
      <c r="C24" s="191" t="s">
        <v>1177</v>
      </c>
      <c r="D24" s="190"/>
      <c r="E24" s="156">
        <v>20</v>
      </c>
      <c r="F24" s="156" t="s">
        <v>1250</v>
      </c>
      <c r="G24" s="156" t="s">
        <v>1251</v>
      </c>
      <c r="H24" s="192"/>
      <c r="I24" s="192"/>
      <c r="J24" s="192" t="s">
        <v>128</v>
      </c>
      <c r="K24" s="192"/>
      <c r="L24" s="192"/>
      <c r="M24" s="192"/>
      <c r="N24" s="49"/>
      <c r="O24" s="49" t="s">
        <v>1252</v>
      </c>
      <c r="P24" s="50"/>
      <c r="Q24" s="214"/>
      <c r="R24" s="214"/>
      <c r="S24" s="212" t="s">
        <v>136</v>
      </c>
      <c r="T24" s="212"/>
      <c r="U24" s="213"/>
      <c r="V24" s="213"/>
      <c r="W24" s="213" t="s">
        <v>137</v>
      </c>
      <c r="X24" s="212" t="s">
        <v>136</v>
      </c>
      <c r="Y24" s="225" t="s">
        <v>135</v>
      </c>
      <c r="Z24" s="225" t="s">
        <v>135</v>
      </c>
      <c r="AA24" s="226">
        <f t="shared" si="1"/>
        <v>0</v>
      </c>
      <c r="AB24" s="227" t="str">
        <f t="shared" si="0"/>
        <v>00:00:00</v>
      </c>
      <c r="AC24" s="228"/>
      <c r="AD24" s="226">
        <f t="shared" si="2"/>
        <v>0</v>
      </c>
      <c r="AE24" s="229">
        <v>169</v>
      </c>
      <c r="AF24" s="229">
        <v>43</v>
      </c>
      <c r="AH24" s="74"/>
      <c r="AI24" s="75"/>
      <c r="AJ24" s="3"/>
      <c r="AK24" s="74"/>
      <c r="AL24" s="76"/>
      <c r="AM24" s="74"/>
      <c r="AN24" s="74"/>
      <c r="AO24" s="3"/>
      <c r="AP24" s="5"/>
      <c r="AQ24" s="5"/>
      <c r="AR24" s="5"/>
    </row>
    <row r="25" s="1" customFormat="1" ht="22" customHeight="1" spans="1:44">
      <c r="A25" s="156">
        <v>21</v>
      </c>
      <c r="B25" s="190" t="s">
        <v>124</v>
      </c>
      <c r="C25" s="191" t="s">
        <v>1177</v>
      </c>
      <c r="D25" s="190"/>
      <c r="E25" s="156">
        <v>21</v>
      </c>
      <c r="F25" s="156" t="s">
        <v>1253</v>
      </c>
      <c r="G25" s="156" t="s">
        <v>1254</v>
      </c>
      <c r="H25" s="192"/>
      <c r="I25" s="192"/>
      <c r="J25" s="192" t="s">
        <v>128</v>
      </c>
      <c r="K25" s="192"/>
      <c r="L25" s="192"/>
      <c r="M25" s="192"/>
      <c r="N25" s="49"/>
      <c r="O25" s="49" t="s">
        <v>1255</v>
      </c>
      <c r="P25" s="50"/>
      <c r="Q25" s="214"/>
      <c r="R25" s="214"/>
      <c r="S25" s="212" t="s">
        <v>136</v>
      </c>
      <c r="T25" s="212"/>
      <c r="U25" s="213"/>
      <c r="V25" s="213"/>
      <c r="W25" s="213" t="s">
        <v>137</v>
      </c>
      <c r="X25" s="212" t="s">
        <v>136</v>
      </c>
      <c r="Y25" s="225" t="s">
        <v>135</v>
      </c>
      <c r="Z25" s="225" t="s">
        <v>135</v>
      </c>
      <c r="AA25" s="226">
        <f t="shared" si="1"/>
        <v>0</v>
      </c>
      <c r="AB25" s="227" t="str">
        <f t="shared" si="0"/>
        <v>00:00:00</v>
      </c>
      <c r="AC25" s="228"/>
      <c r="AD25" s="226">
        <f t="shared" si="2"/>
        <v>0</v>
      </c>
      <c r="AE25" s="229">
        <v>169</v>
      </c>
      <c r="AF25" s="229">
        <v>43</v>
      </c>
      <c r="AH25" s="74"/>
      <c r="AI25" s="75"/>
      <c r="AJ25" s="3"/>
      <c r="AK25" s="74"/>
      <c r="AL25" s="76"/>
      <c r="AM25" s="74"/>
      <c r="AN25" s="74"/>
      <c r="AO25" s="3"/>
      <c r="AP25" s="5"/>
      <c r="AQ25" s="5"/>
      <c r="AR25" s="5"/>
    </row>
    <row r="26" s="1" customFormat="1" ht="22" customHeight="1" spans="1:44">
      <c r="A26" s="156">
        <v>22</v>
      </c>
      <c r="B26" s="190" t="s">
        <v>124</v>
      </c>
      <c r="C26" s="191" t="s">
        <v>1177</v>
      </c>
      <c r="D26" s="190"/>
      <c r="E26" s="156">
        <v>22</v>
      </c>
      <c r="F26" s="156" t="s">
        <v>1256</v>
      </c>
      <c r="G26" s="156" t="s">
        <v>1257</v>
      </c>
      <c r="H26" s="192"/>
      <c r="I26" s="192"/>
      <c r="J26" s="192" t="s">
        <v>128</v>
      </c>
      <c r="K26" s="192"/>
      <c r="L26" s="192"/>
      <c r="M26" s="192"/>
      <c r="N26" s="49"/>
      <c r="O26" s="49" t="s">
        <v>1258</v>
      </c>
      <c r="P26" s="50"/>
      <c r="Q26" s="214"/>
      <c r="R26" s="214"/>
      <c r="S26" s="212" t="s">
        <v>136</v>
      </c>
      <c r="T26" s="212"/>
      <c r="U26" s="213"/>
      <c r="V26" s="213"/>
      <c r="W26" s="213" t="s">
        <v>137</v>
      </c>
      <c r="X26" s="212" t="s">
        <v>136</v>
      </c>
      <c r="Y26" s="225" t="s">
        <v>135</v>
      </c>
      <c r="Z26" s="225" t="s">
        <v>135</v>
      </c>
      <c r="AA26" s="226">
        <f t="shared" si="1"/>
        <v>0</v>
      </c>
      <c r="AB26" s="227" t="str">
        <f t="shared" si="0"/>
        <v>00:00:00</v>
      </c>
      <c r="AC26" s="228"/>
      <c r="AD26" s="226">
        <f t="shared" si="2"/>
        <v>0</v>
      </c>
      <c r="AE26" s="229">
        <v>169</v>
      </c>
      <c r="AF26" s="229">
        <v>43</v>
      </c>
      <c r="AH26" s="74"/>
      <c r="AI26" s="75"/>
      <c r="AJ26" s="3"/>
      <c r="AK26" s="74"/>
      <c r="AL26" s="76"/>
      <c r="AM26" s="74"/>
      <c r="AN26" s="74"/>
      <c r="AO26" s="3"/>
      <c r="AP26" s="5"/>
      <c r="AQ26" s="5"/>
      <c r="AR26" s="5"/>
    </row>
    <row r="27" s="1" customFormat="1" ht="22" customHeight="1" spans="1:44">
      <c r="A27" s="156">
        <v>23</v>
      </c>
      <c r="B27" s="190" t="s">
        <v>124</v>
      </c>
      <c r="C27" s="191" t="s">
        <v>1177</v>
      </c>
      <c r="D27" s="190"/>
      <c r="E27" s="156">
        <v>23</v>
      </c>
      <c r="F27" s="156" t="s">
        <v>1259</v>
      </c>
      <c r="G27" s="156" t="s">
        <v>1260</v>
      </c>
      <c r="H27" s="192"/>
      <c r="I27" s="192"/>
      <c r="J27" s="192" t="s">
        <v>128</v>
      </c>
      <c r="K27" s="192"/>
      <c r="L27" s="192"/>
      <c r="M27" s="192"/>
      <c r="N27" s="49"/>
      <c r="O27" s="49" t="s">
        <v>1261</v>
      </c>
      <c r="P27" s="50"/>
      <c r="Q27" s="214"/>
      <c r="R27" s="214"/>
      <c r="S27" s="212" t="s">
        <v>136</v>
      </c>
      <c r="T27" s="212"/>
      <c r="U27" s="213"/>
      <c r="V27" s="213"/>
      <c r="W27" s="213" t="s">
        <v>136</v>
      </c>
      <c r="X27" s="212" t="s">
        <v>1213</v>
      </c>
      <c r="Y27" s="225" t="s">
        <v>135</v>
      </c>
      <c r="Z27" s="225" t="s">
        <v>135</v>
      </c>
      <c r="AA27" s="226">
        <f t="shared" si="1"/>
        <v>0</v>
      </c>
      <c r="AB27" s="227" t="str">
        <f t="shared" si="0"/>
        <v>00:00:00</v>
      </c>
      <c r="AC27" s="228"/>
      <c r="AD27" s="226">
        <f t="shared" si="2"/>
        <v>0</v>
      </c>
      <c r="AE27" s="229">
        <v>169</v>
      </c>
      <c r="AF27" s="229">
        <v>43</v>
      </c>
      <c r="AH27" s="74"/>
      <c r="AI27" s="75"/>
      <c r="AJ27" s="3"/>
      <c r="AK27" s="74"/>
      <c r="AL27" s="76"/>
      <c r="AM27" s="74"/>
      <c r="AN27" s="74"/>
      <c r="AO27" s="3"/>
      <c r="AP27" s="5"/>
      <c r="AQ27" s="5"/>
      <c r="AR27" s="5"/>
    </row>
    <row r="28" s="183" customFormat="1" ht="22" customHeight="1" spans="1:44">
      <c r="A28" s="156">
        <v>24</v>
      </c>
      <c r="B28" s="190" t="s">
        <v>124</v>
      </c>
      <c r="C28" s="191" t="s">
        <v>1177</v>
      </c>
      <c r="D28" s="190"/>
      <c r="E28" s="156">
        <v>24</v>
      </c>
      <c r="F28" s="156" t="s">
        <v>1262</v>
      </c>
      <c r="G28" s="156" t="s">
        <v>1263</v>
      </c>
      <c r="H28" s="192"/>
      <c r="I28" s="192"/>
      <c r="J28" s="192" t="s">
        <v>128</v>
      </c>
      <c r="K28" s="192"/>
      <c r="L28" s="192"/>
      <c r="M28" s="192"/>
      <c r="N28" s="49"/>
      <c r="O28" s="49" t="s">
        <v>1264</v>
      </c>
      <c r="P28" s="50"/>
      <c r="Q28" s="214"/>
      <c r="R28" s="214"/>
      <c r="S28" s="212" t="s">
        <v>136</v>
      </c>
      <c r="T28" s="212"/>
      <c r="U28" s="213"/>
      <c r="V28" s="213"/>
      <c r="W28" s="212" t="s">
        <v>136</v>
      </c>
      <c r="X28" s="212" t="s">
        <v>1213</v>
      </c>
      <c r="Y28" s="225" t="s">
        <v>135</v>
      </c>
      <c r="Z28" s="225" t="s">
        <v>135</v>
      </c>
      <c r="AA28" s="226">
        <f t="shared" si="1"/>
        <v>0</v>
      </c>
      <c r="AB28" s="227" t="str">
        <f t="shared" si="0"/>
        <v>00:00:00</v>
      </c>
      <c r="AC28" s="228"/>
      <c r="AD28" s="226">
        <f t="shared" si="2"/>
        <v>0</v>
      </c>
      <c r="AE28" s="229">
        <v>169</v>
      </c>
      <c r="AF28" s="229">
        <v>43</v>
      </c>
      <c r="AH28" s="237"/>
      <c r="AI28" s="236"/>
      <c r="AJ28" s="238"/>
      <c r="AK28" s="237"/>
      <c r="AL28" s="239"/>
      <c r="AM28" s="237"/>
      <c r="AN28" s="237"/>
      <c r="AO28" s="238"/>
      <c r="AP28" s="241"/>
      <c r="AQ28" s="241"/>
      <c r="AR28" s="241"/>
    </row>
    <row r="29" customHeight="1" spans="1:32">
      <c r="A29" s="156">
        <v>25</v>
      </c>
      <c r="B29" s="190" t="s">
        <v>124</v>
      </c>
      <c r="C29" s="191" t="s">
        <v>1177</v>
      </c>
      <c r="D29" s="190"/>
      <c r="E29" s="156">
        <v>25</v>
      </c>
      <c r="F29" s="156" t="s">
        <v>1265</v>
      </c>
      <c r="G29" s="156" t="s">
        <v>1265</v>
      </c>
      <c r="H29" s="192"/>
      <c r="I29" s="192"/>
      <c r="J29" s="192" t="s">
        <v>128</v>
      </c>
      <c r="K29" s="192"/>
      <c r="L29" s="192"/>
      <c r="M29" s="192"/>
      <c r="N29" s="49"/>
      <c r="O29" s="49" t="s">
        <v>1266</v>
      </c>
      <c r="P29" s="50"/>
      <c r="Q29" s="214"/>
      <c r="R29" s="214"/>
      <c r="S29" s="212" t="s">
        <v>136</v>
      </c>
      <c r="T29" s="212"/>
      <c r="U29" s="212"/>
      <c r="V29" s="212"/>
      <c r="W29" s="213" t="s">
        <v>137</v>
      </c>
      <c r="X29" s="212" t="s">
        <v>136</v>
      </c>
      <c r="Y29" s="230" t="s">
        <v>135</v>
      </c>
      <c r="Z29" s="230" t="s">
        <v>135</v>
      </c>
      <c r="AA29" s="226">
        <f t="shared" si="1"/>
        <v>0</v>
      </c>
      <c r="AB29" s="227" t="str">
        <f t="shared" si="0"/>
        <v>00:00:00</v>
      </c>
      <c r="AC29" s="228"/>
      <c r="AD29" s="226">
        <f t="shared" si="2"/>
        <v>0</v>
      </c>
      <c r="AE29" s="229">
        <v>169</v>
      </c>
      <c r="AF29" s="229">
        <v>43</v>
      </c>
    </row>
    <row r="30" customHeight="1" spans="1:32">
      <c r="A30" s="156">
        <v>26</v>
      </c>
      <c r="B30" s="190" t="s">
        <v>124</v>
      </c>
      <c r="C30" s="191" t="s">
        <v>1177</v>
      </c>
      <c r="D30" s="190"/>
      <c r="E30" s="156">
        <v>26</v>
      </c>
      <c r="F30" s="156" t="s">
        <v>1267</v>
      </c>
      <c r="G30" s="156" t="s">
        <v>1267</v>
      </c>
      <c r="H30" s="192"/>
      <c r="I30" s="192"/>
      <c r="J30" s="192" t="s">
        <v>128</v>
      </c>
      <c r="K30" s="192"/>
      <c r="L30" s="192"/>
      <c r="M30" s="192"/>
      <c r="N30" s="49"/>
      <c r="O30" s="49" t="s">
        <v>1268</v>
      </c>
      <c r="P30" s="50"/>
      <c r="Q30" s="214"/>
      <c r="R30" s="214"/>
      <c r="S30" s="212" t="s">
        <v>136</v>
      </c>
      <c r="T30" s="212"/>
      <c r="U30" s="212"/>
      <c r="V30" s="212"/>
      <c r="W30" s="213" t="s">
        <v>137</v>
      </c>
      <c r="X30" s="212" t="s">
        <v>136</v>
      </c>
      <c r="Y30" s="230" t="s">
        <v>135</v>
      </c>
      <c r="Z30" s="230" t="s">
        <v>135</v>
      </c>
      <c r="AA30" s="226">
        <f t="shared" si="1"/>
        <v>0</v>
      </c>
      <c r="AB30" s="227" t="str">
        <f t="shared" si="0"/>
        <v>00:00:00</v>
      </c>
      <c r="AC30" s="228"/>
      <c r="AD30" s="226">
        <f t="shared" si="2"/>
        <v>0</v>
      </c>
      <c r="AE30" s="229">
        <v>169</v>
      </c>
      <c r="AF30" s="229">
        <v>43</v>
      </c>
    </row>
    <row r="31" s="183" customFormat="1" ht="22" customHeight="1" spans="1:44">
      <c r="A31" s="156">
        <v>27</v>
      </c>
      <c r="B31" s="190" t="s">
        <v>124</v>
      </c>
      <c r="C31" s="191" t="s">
        <v>1269</v>
      </c>
      <c r="D31" s="190"/>
      <c r="E31" s="156">
        <v>27</v>
      </c>
      <c r="F31" s="153" t="s">
        <v>1270</v>
      </c>
      <c r="G31" s="156" t="s">
        <v>1271</v>
      </c>
      <c r="H31" s="192" t="s">
        <v>128</v>
      </c>
      <c r="I31" s="192" t="s">
        <v>128</v>
      </c>
      <c r="J31" s="192" t="s">
        <v>128</v>
      </c>
      <c r="K31" s="192" t="s">
        <v>128</v>
      </c>
      <c r="L31" s="192" t="s">
        <v>128</v>
      </c>
      <c r="M31" s="192" t="s">
        <v>128</v>
      </c>
      <c r="N31" s="49" t="s">
        <v>1272</v>
      </c>
      <c r="O31" s="49" t="s">
        <v>1273</v>
      </c>
      <c r="P31" s="50" t="s">
        <v>1274</v>
      </c>
      <c r="Q31" s="214"/>
      <c r="R31" s="214"/>
      <c r="S31" s="212" t="s">
        <v>136</v>
      </c>
      <c r="T31" s="212"/>
      <c r="U31" s="212"/>
      <c r="V31" s="212"/>
      <c r="W31" s="213" t="s">
        <v>137</v>
      </c>
      <c r="X31" s="212" t="s">
        <v>136</v>
      </c>
      <c r="Y31" s="225" t="s">
        <v>135</v>
      </c>
      <c r="Z31" s="225" t="s">
        <v>135</v>
      </c>
      <c r="AA31" s="226">
        <f t="shared" si="1"/>
        <v>0</v>
      </c>
      <c r="AB31" s="227" t="str">
        <f t="shared" si="0"/>
        <v>00:00:00</v>
      </c>
      <c r="AC31" s="228"/>
      <c r="AD31" s="226">
        <f t="shared" si="2"/>
        <v>0</v>
      </c>
      <c r="AE31" s="229">
        <v>169</v>
      </c>
      <c r="AF31" s="229">
        <v>43</v>
      </c>
      <c r="AH31" s="237"/>
      <c r="AI31" s="236"/>
      <c r="AJ31" s="238"/>
      <c r="AK31" s="237"/>
      <c r="AL31" s="239"/>
      <c r="AM31" s="237"/>
      <c r="AN31" s="237"/>
      <c r="AO31" s="238"/>
      <c r="AP31" s="241"/>
      <c r="AQ31" s="241"/>
      <c r="AR31" s="241"/>
    </row>
    <row r="32" s="183" customFormat="1" ht="22" customHeight="1" spans="1:44">
      <c r="A32" s="156">
        <v>28</v>
      </c>
      <c r="B32" s="190" t="s">
        <v>124</v>
      </c>
      <c r="C32" s="191" t="s">
        <v>1269</v>
      </c>
      <c r="D32" s="190"/>
      <c r="E32" s="156">
        <v>28</v>
      </c>
      <c r="F32" s="153" t="s">
        <v>1275</v>
      </c>
      <c r="G32" s="156" t="s">
        <v>1276</v>
      </c>
      <c r="H32" s="192"/>
      <c r="I32" s="192"/>
      <c r="J32" s="192" t="s">
        <v>128</v>
      </c>
      <c r="K32" s="192"/>
      <c r="L32" s="192"/>
      <c r="M32" s="192"/>
      <c r="N32" s="49"/>
      <c r="O32" s="49" t="s">
        <v>1277</v>
      </c>
      <c r="P32" s="50"/>
      <c r="Q32" s="214"/>
      <c r="R32" s="214"/>
      <c r="S32" s="212" t="s">
        <v>136</v>
      </c>
      <c r="T32" s="212"/>
      <c r="U32" s="212"/>
      <c r="V32" s="212"/>
      <c r="W32" s="213" t="s">
        <v>137</v>
      </c>
      <c r="X32" s="212" t="s">
        <v>136</v>
      </c>
      <c r="Y32" s="225" t="s">
        <v>135</v>
      </c>
      <c r="Z32" s="225" t="s">
        <v>135</v>
      </c>
      <c r="AA32" s="226">
        <f t="shared" si="1"/>
        <v>0</v>
      </c>
      <c r="AB32" s="227" t="str">
        <f t="shared" si="0"/>
        <v>00:00:00</v>
      </c>
      <c r="AC32" s="228"/>
      <c r="AD32" s="226">
        <f t="shared" si="2"/>
        <v>0</v>
      </c>
      <c r="AE32" s="229">
        <v>169</v>
      </c>
      <c r="AF32" s="229">
        <v>43</v>
      </c>
      <c r="AH32" s="237"/>
      <c r="AI32" s="236"/>
      <c r="AJ32" s="238"/>
      <c r="AK32" s="237"/>
      <c r="AL32" s="239"/>
      <c r="AM32" s="237"/>
      <c r="AN32" s="237"/>
      <c r="AO32" s="238"/>
      <c r="AP32" s="241"/>
      <c r="AQ32" s="241"/>
      <c r="AR32" s="241"/>
    </row>
    <row r="33" customHeight="1" spans="28:28">
      <c r="AB33" s="231"/>
    </row>
    <row r="34" customHeight="1" spans="28:28">
      <c r="AB34" s="231"/>
    </row>
    <row r="35" customHeight="1" spans="28:28">
      <c r="AB35" s="231"/>
    </row>
    <row r="36" customHeight="1" spans="28:28">
      <c r="AB36" s="231"/>
    </row>
    <row r="37" customHeight="1" spans="28:28">
      <c r="AB37" s="231"/>
    </row>
    <row r="38" customHeight="1" spans="28:28">
      <c r="AB38" s="231"/>
    </row>
    <row r="39" customHeight="1" spans="28:28">
      <c r="AB39" s="231"/>
    </row>
    <row r="40" customHeight="1" spans="28:28">
      <c r="AB40" s="231"/>
    </row>
    <row r="41" customHeight="1" spans="28:28">
      <c r="AB41" s="231"/>
    </row>
    <row r="42" customHeight="1" spans="28:28">
      <c r="AB42" s="231"/>
    </row>
    <row r="43" customHeight="1" spans="28:28">
      <c r="AB43" s="231"/>
    </row>
    <row r="44" customHeight="1" spans="28:28">
      <c r="AB44" s="231"/>
    </row>
    <row r="45" customHeight="1" spans="28:28">
      <c r="AB45" s="231"/>
    </row>
    <row r="46" customHeight="1" spans="28:28">
      <c r="AB46" s="231"/>
    </row>
    <row r="47" customHeight="1" spans="28:28">
      <c r="AB47" s="231"/>
    </row>
    <row r="48" customHeight="1" spans="28:28">
      <c r="AB48" s="231"/>
    </row>
    <row r="49" customHeight="1" spans="28:28">
      <c r="AB49" s="231"/>
    </row>
    <row r="50" customHeight="1" spans="28:28">
      <c r="AB50" s="231"/>
    </row>
    <row r="51" customHeight="1" spans="28:28">
      <c r="AB51" s="231"/>
    </row>
    <row r="52" customHeight="1" spans="28:28">
      <c r="AB52" s="231"/>
    </row>
    <row r="53" customHeight="1" spans="28:28">
      <c r="AB53" s="231"/>
    </row>
    <row r="54" customHeight="1" spans="28:28">
      <c r="AB54" s="231"/>
    </row>
    <row r="55" customHeight="1" spans="28:28">
      <c r="AB55" s="231"/>
    </row>
    <row r="56" customHeight="1" spans="28:28">
      <c r="AB56" s="231"/>
    </row>
    <row r="57" customHeight="1" spans="28:28">
      <c r="AB57" s="231"/>
    </row>
    <row r="58" customHeight="1" spans="28:28">
      <c r="AB58" s="231"/>
    </row>
    <row r="59" customHeight="1" spans="28:28">
      <c r="AB59" s="231"/>
    </row>
    <row r="60" customHeight="1" spans="28:28">
      <c r="AB60" s="231"/>
    </row>
    <row r="61" customHeight="1" spans="28:28">
      <c r="AB61" s="231"/>
    </row>
    <row r="62" customHeight="1" spans="28:28">
      <c r="AB62" s="231"/>
    </row>
    <row r="63" customHeight="1" spans="28:28">
      <c r="AB63" s="231"/>
    </row>
    <row r="64" customHeight="1" spans="28:28">
      <c r="AB64" s="231"/>
    </row>
    <row r="65" customHeight="1" spans="28:28">
      <c r="AB65" s="231"/>
    </row>
    <row r="66" customHeight="1" spans="28:28">
      <c r="AB66" s="231"/>
    </row>
    <row r="67" customHeight="1" spans="28:28">
      <c r="AB67" s="231"/>
    </row>
    <row r="68" customHeight="1" spans="28:28">
      <c r="AB68" s="231"/>
    </row>
    <row r="69" customHeight="1" spans="28:28">
      <c r="AB69" s="231"/>
    </row>
    <row r="70" customHeight="1" spans="28:28">
      <c r="AB70" s="231"/>
    </row>
    <row r="71" customHeight="1" spans="28:28">
      <c r="AB71" s="231"/>
    </row>
    <row r="72" customHeight="1" spans="28:28">
      <c r="AB72" s="231"/>
    </row>
    <row r="73" customHeight="1" spans="28:28">
      <c r="AB73" s="231"/>
    </row>
    <row r="74" customHeight="1" spans="28:28">
      <c r="AB74" s="231"/>
    </row>
    <row r="75" customHeight="1" spans="28:28">
      <c r="AB75" s="231"/>
    </row>
    <row r="76" customHeight="1" spans="28:28">
      <c r="AB76" s="231"/>
    </row>
    <row r="77" customHeight="1" spans="28:28">
      <c r="AB77" s="231"/>
    </row>
    <row r="78" customHeight="1" spans="28:28">
      <c r="AB78" s="231"/>
    </row>
    <row r="79" customHeight="1" spans="28:28">
      <c r="AB79" s="231"/>
    </row>
    <row r="80" customHeight="1" spans="28:28">
      <c r="AB80" s="231"/>
    </row>
    <row r="81" customHeight="1" spans="28:28">
      <c r="AB81" s="231"/>
    </row>
    <row r="82" customHeight="1" spans="28:28">
      <c r="AB82" s="231"/>
    </row>
    <row r="83" customHeight="1" spans="28:28">
      <c r="AB83" s="231"/>
    </row>
    <row r="84" customHeight="1" spans="28:28">
      <c r="AB84" s="231"/>
    </row>
    <row r="85" customHeight="1" spans="28:28">
      <c r="AB85" s="231"/>
    </row>
    <row r="86" customHeight="1" spans="28:28">
      <c r="AB86" s="231"/>
    </row>
    <row r="87" customHeight="1" spans="28:28">
      <c r="AB87" s="231"/>
    </row>
    <row r="88" customHeight="1" spans="28:28">
      <c r="AB88" s="231"/>
    </row>
    <row r="89" customHeight="1" spans="28:28">
      <c r="AB89" s="231"/>
    </row>
    <row r="90" customHeight="1" spans="28:28">
      <c r="AB90" s="231"/>
    </row>
    <row r="91" customHeight="1" spans="28:28">
      <c r="AB91" s="231"/>
    </row>
    <row r="92" customHeight="1" spans="28:28">
      <c r="AB92" s="231"/>
    </row>
    <row r="93" customHeight="1" spans="28:28">
      <c r="AB93" s="231"/>
    </row>
    <row r="94" customHeight="1" spans="28:28">
      <c r="AB94" s="231"/>
    </row>
    <row r="95" customHeight="1" spans="28:28">
      <c r="AB95" s="231"/>
    </row>
    <row r="96" customHeight="1" spans="28:28">
      <c r="AB96" s="231"/>
    </row>
    <row r="97" customHeight="1" spans="28:28">
      <c r="AB97" s="231"/>
    </row>
    <row r="98" customHeight="1" spans="28:28">
      <c r="AB98" s="231"/>
    </row>
    <row r="99" customHeight="1" spans="28:28">
      <c r="AB99" s="231"/>
    </row>
    <row r="100" customHeight="1" spans="28:28">
      <c r="AB100" s="231"/>
    </row>
    <row r="101" customHeight="1" spans="28:28">
      <c r="AB101" s="231"/>
    </row>
    <row r="102" customHeight="1" spans="28:28">
      <c r="AB102" s="231"/>
    </row>
    <row r="103" customHeight="1" spans="28:28">
      <c r="AB103" s="231"/>
    </row>
    <row r="104" customHeight="1" spans="28:28">
      <c r="AB104" s="231"/>
    </row>
    <row r="105" customHeight="1" spans="28:28">
      <c r="AB105" s="231"/>
    </row>
    <row r="106" customHeight="1" spans="28:28">
      <c r="AB106" s="231"/>
    </row>
    <row r="107" customHeight="1" spans="28:28">
      <c r="AB107" s="231"/>
    </row>
    <row r="108" customHeight="1" spans="28:28">
      <c r="AB108" s="231"/>
    </row>
    <row r="109" customHeight="1" spans="28:28">
      <c r="AB109" s="231"/>
    </row>
    <row r="110" customHeight="1" spans="28:28">
      <c r="AB110" s="231"/>
    </row>
    <row r="111" customHeight="1" spans="28:28">
      <c r="AB111" s="231"/>
    </row>
    <row r="112" customHeight="1" spans="28:28">
      <c r="AB112" s="231"/>
    </row>
    <row r="113" customHeight="1" spans="28:28">
      <c r="AB113" s="231"/>
    </row>
    <row r="114" customHeight="1" spans="28:28">
      <c r="AB114" s="231"/>
    </row>
    <row r="115" customHeight="1" spans="28:28">
      <c r="AB115" s="231"/>
    </row>
    <row r="116" customHeight="1" spans="28:28">
      <c r="AB116" s="231"/>
    </row>
    <row r="117" customHeight="1" spans="28:28">
      <c r="AB117" s="231"/>
    </row>
    <row r="118" customHeight="1" spans="28:28">
      <c r="AB118" s="231"/>
    </row>
    <row r="119" customHeight="1" spans="28:28">
      <c r="AB119" s="231"/>
    </row>
    <row r="120" customHeight="1" spans="28:28">
      <c r="AB120" s="231"/>
    </row>
    <row r="121" customHeight="1" spans="28:28">
      <c r="AB121" s="231"/>
    </row>
    <row r="122" customHeight="1" spans="28:28">
      <c r="AB122" s="231"/>
    </row>
    <row r="123" customHeight="1" spans="28:28">
      <c r="AB123" s="231"/>
    </row>
    <row r="124" customHeight="1" spans="28:28">
      <c r="AB124" s="231"/>
    </row>
    <row r="125" customHeight="1" spans="28:28">
      <c r="AB125" s="231"/>
    </row>
    <row r="126" customHeight="1" spans="28:28">
      <c r="AB126" s="231"/>
    </row>
    <row r="127" customHeight="1" spans="28:28">
      <c r="AB127" s="231"/>
    </row>
    <row r="128" customHeight="1" spans="28:28">
      <c r="AB128" s="231"/>
    </row>
    <row r="129" customHeight="1" spans="28:28">
      <c r="AB129" s="231"/>
    </row>
    <row r="130" customHeight="1" spans="28:28">
      <c r="AB130" s="231"/>
    </row>
    <row r="131" customHeight="1" spans="28:28">
      <c r="AB131" s="231"/>
    </row>
    <row r="132" customHeight="1" spans="28:28">
      <c r="AB132" s="231"/>
    </row>
    <row r="133" customHeight="1" spans="28:28">
      <c r="AB133" s="231"/>
    </row>
    <row r="134" customHeight="1" spans="28:28">
      <c r="AB134" s="231"/>
    </row>
    <row r="135" customHeight="1" spans="28:28">
      <c r="AB135" s="231"/>
    </row>
    <row r="136" customHeight="1" spans="28:28">
      <c r="AB136" s="231"/>
    </row>
    <row r="137" customHeight="1" spans="28:28">
      <c r="AB137" s="231"/>
    </row>
    <row r="138" customHeight="1" spans="28:28">
      <c r="AB138" s="231"/>
    </row>
    <row r="139" customHeight="1" spans="28:28">
      <c r="AB139" s="231"/>
    </row>
    <row r="140" customHeight="1" spans="28:28">
      <c r="AB140" s="231"/>
    </row>
    <row r="141" customHeight="1" spans="28:28">
      <c r="AB141" s="231"/>
    </row>
    <row r="142" customHeight="1" spans="28:28">
      <c r="AB142" s="231"/>
    </row>
    <row r="143" customHeight="1" spans="28:28">
      <c r="AB143" s="231"/>
    </row>
    <row r="144" customHeight="1" spans="28:28">
      <c r="AB144" s="231"/>
    </row>
    <row r="145" customHeight="1" spans="28:28">
      <c r="AB145" s="231"/>
    </row>
    <row r="146" customHeight="1" spans="28:28">
      <c r="AB146" s="231"/>
    </row>
    <row r="147" customHeight="1" spans="28:28">
      <c r="AB147" s="231"/>
    </row>
    <row r="148" customHeight="1" spans="28:28">
      <c r="AB148" s="231"/>
    </row>
    <row r="149" customHeight="1" spans="28:28">
      <c r="AB149" s="231"/>
    </row>
    <row r="150" customHeight="1" spans="28:28">
      <c r="AB150" s="231"/>
    </row>
    <row r="151" customHeight="1" spans="28:28">
      <c r="AB151" s="231"/>
    </row>
    <row r="152" customHeight="1" spans="28:28">
      <c r="AB152" s="231"/>
    </row>
    <row r="153" customHeight="1" spans="28:28">
      <c r="AB153" s="231"/>
    </row>
    <row r="154" customHeight="1" spans="28:28">
      <c r="AB154" s="231"/>
    </row>
    <row r="155" customHeight="1" spans="28:28">
      <c r="AB155" s="231"/>
    </row>
    <row r="156" customHeight="1" spans="28:28">
      <c r="AB156" s="231"/>
    </row>
    <row r="157" customHeight="1" spans="28:28">
      <c r="AB157" s="231"/>
    </row>
    <row r="158" customHeight="1" spans="28:28">
      <c r="AB158" s="231"/>
    </row>
    <row r="159" customHeight="1" spans="28:28">
      <c r="AB159" s="231"/>
    </row>
    <row r="160" customHeight="1" spans="28:28">
      <c r="AB160" s="231"/>
    </row>
    <row r="161" customHeight="1" spans="28:28">
      <c r="AB161" s="231"/>
    </row>
    <row r="162" customHeight="1" spans="28:28">
      <c r="AB162" s="231"/>
    </row>
    <row r="163" customHeight="1" spans="28:28">
      <c r="AB163" s="231"/>
    </row>
    <row r="164" customHeight="1" spans="28:28">
      <c r="AB164" s="231"/>
    </row>
    <row r="165" customHeight="1" spans="28:28">
      <c r="AB165" s="231"/>
    </row>
    <row r="166" customHeight="1" spans="28:28">
      <c r="AB166" s="231"/>
    </row>
    <row r="167" customHeight="1" spans="28:28">
      <c r="AB167" s="231"/>
    </row>
    <row r="168" customHeight="1" spans="28:28">
      <c r="AB168" s="231"/>
    </row>
    <row r="169" customHeight="1" spans="28:28">
      <c r="AB169" s="231"/>
    </row>
    <row r="170" customHeight="1" spans="28:28">
      <c r="AB170" s="231"/>
    </row>
    <row r="171" customHeight="1" spans="28:28">
      <c r="AB171" s="231"/>
    </row>
    <row r="172" customHeight="1" spans="28:28">
      <c r="AB172" s="231"/>
    </row>
    <row r="173" customHeight="1" spans="28:28">
      <c r="AB173" s="231"/>
    </row>
    <row r="174" customHeight="1" spans="28:28">
      <c r="AB174" s="231"/>
    </row>
    <row r="175" customHeight="1" spans="28:28">
      <c r="AB175" s="231"/>
    </row>
    <row r="176" customHeight="1" spans="28:28">
      <c r="AB176" s="231"/>
    </row>
    <row r="177" customHeight="1" spans="28:28">
      <c r="AB177" s="231"/>
    </row>
    <row r="178" customHeight="1" spans="28:28">
      <c r="AB178" s="231"/>
    </row>
    <row r="179" customHeight="1" spans="28:28">
      <c r="AB179" s="231"/>
    </row>
    <row r="180" customHeight="1" spans="28:28">
      <c r="AB180" s="231"/>
    </row>
    <row r="181" customHeight="1" spans="28:28">
      <c r="AB181" s="231"/>
    </row>
    <row r="182" customHeight="1" spans="28:28">
      <c r="AB182" s="231"/>
    </row>
    <row r="183" customHeight="1" spans="28:28">
      <c r="AB183" s="231"/>
    </row>
    <row r="184" customHeight="1" spans="28:28">
      <c r="AB184" s="231"/>
    </row>
  </sheetData>
  <autoFilter xmlns:etc="http://www.wps.cn/officeDocument/2017/etCustomData" ref="A4:DM32" etc:filterBottomFollowUsedRange="0">
    <extLst/>
  </autoFilter>
  <mergeCells count="39">
    <mergeCell ref="A2:G2"/>
    <mergeCell ref="H2:K2"/>
    <mergeCell ref="L2:M2"/>
    <mergeCell ref="N2:P2"/>
    <mergeCell ref="Q2:R2"/>
    <mergeCell ref="S2:X2"/>
    <mergeCell ref="Y2:Z2"/>
    <mergeCell ref="AC2:AD2"/>
    <mergeCell ref="AE2:AF2"/>
    <mergeCell ref="A3:A4"/>
    <mergeCell ref="B3:B4"/>
    <mergeCell ref="C3:C4"/>
    <mergeCell ref="D3:D4"/>
    <mergeCell ref="E3:E4"/>
    <mergeCell ref="F3:F4"/>
    <mergeCell ref="G3:G4"/>
    <mergeCell ref="H3:H4"/>
    <mergeCell ref="J3:J4"/>
    <mergeCell ref="K3:K4"/>
    <mergeCell ref="L3:L4"/>
    <mergeCell ref="M3:M4"/>
    <mergeCell ref="N3:N4"/>
    <mergeCell ref="O3:O4"/>
    <mergeCell ref="P3:P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16"/>
  <sheetViews>
    <sheetView tabSelected="1" zoomScale="90" zoomScaleNormal="90" topLeftCell="G1" workbookViewId="0">
      <selection activeCell="P34" sqref="P34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4" width="4.38333333333333" style="3" customWidth="1"/>
    <col min="5" max="5" width="5.88333333333333" style="3" customWidth="1"/>
    <col min="6" max="6" width="28.3833333333333" style="4" customWidth="1"/>
    <col min="7" max="7" width="39.3" style="3" customWidth="1"/>
    <col min="8" max="8" width="5" style="3" hidden="1" customWidth="1"/>
    <col min="9" max="9" width="4.50833333333333" style="3" customWidth="1"/>
    <col min="10" max="10" width="86.6666666666667" style="3" customWidth="1"/>
    <col min="11" max="19" width="4.63333333333333" style="121" customWidth="1"/>
    <col min="20" max="20" width="9.75833333333333" style="121" customWidth="1"/>
    <col min="21" max="21" width="6.75833333333333" style="121" customWidth="1"/>
    <col min="22" max="22" width="4.63333333333333" style="121" customWidth="1"/>
    <col min="23" max="16384" width="8" style="121"/>
  </cols>
  <sheetData>
    <row r="1" ht="13.5"/>
    <row r="2" ht="17.25" spans="1:22">
      <c r="A2" s="14" t="s">
        <v>350</v>
      </c>
      <c r="B2" s="13"/>
      <c r="C2" s="13"/>
      <c r="D2" s="13"/>
      <c r="E2" s="13"/>
      <c r="F2" s="13"/>
      <c r="G2" s="143"/>
      <c r="H2" s="15" t="s">
        <v>1278</v>
      </c>
      <c r="I2" s="35"/>
      <c r="J2" s="161" t="s">
        <v>1279</v>
      </c>
      <c r="K2" s="162" t="s">
        <v>84</v>
      </c>
      <c r="L2" s="40"/>
      <c r="M2" s="40"/>
      <c r="N2" s="40"/>
      <c r="O2" s="40"/>
      <c r="P2" s="40"/>
      <c r="Q2" s="53" t="s">
        <v>353</v>
      </c>
      <c r="R2" s="54"/>
      <c r="S2" s="55"/>
      <c r="T2" s="65" t="s">
        <v>85</v>
      </c>
      <c r="U2" s="65"/>
      <c r="V2" s="175" t="s">
        <v>86</v>
      </c>
    </row>
    <row r="3" ht="14.25" spans="1:22">
      <c r="A3" s="116" t="s">
        <v>89</v>
      </c>
      <c r="B3" s="123" t="s">
        <v>91</v>
      </c>
      <c r="C3" s="144" t="s">
        <v>354</v>
      </c>
      <c r="D3" s="144" t="s">
        <v>1280</v>
      </c>
      <c r="E3" s="124" t="s">
        <v>93</v>
      </c>
      <c r="F3" s="124" t="s">
        <v>94</v>
      </c>
      <c r="G3" s="145" t="s">
        <v>95</v>
      </c>
      <c r="H3" s="146" t="s">
        <v>1281</v>
      </c>
      <c r="I3" s="163" t="s">
        <v>358</v>
      </c>
      <c r="J3" s="164"/>
      <c r="K3" s="45" t="s">
        <v>113</v>
      </c>
      <c r="L3" s="56" t="s">
        <v>114</v>
      </c>
      <c r="M3" s="57" t="s">
        <v>115</v>
      </c>
      <c r="N3" s="57" t="s">
        <v>116</v>
      </c>
      <c r="O3" s="56" t="s">
        <v>117</v>
      </c>
      <c r="P3" s="56" t="s">
        <v>118</v>
      </c>
      <c r="Q3" s="58" t="s">
        <v>111</v>
      </c>
      <c r="R3" s="58" t="s">
        <v>112</v>
      </c>
      <c r="S3" s="24" t="s">
        <v>119</v>
      </c>
      <c r="T3" s="68" t="s">
        <v>120</v>
      </c>
      <c r="U3" s="69" t="s">
        <v>121</v>
      </c>
      <c r="V3" s="176"/>
    </row>
    <row r="4" ht="90.95" customHeight="1" spans="1:35">
      <c r="A4" s="69"/>
      <c r="B4" s="147"/>
      <c r="C4" s="69"/>
      <c r="D4" s="69"/>
      <c r="E4" s="130"/>
      <c r="F4" s="130"/>
      <c r="G4" s="148"/>
      <c r="H4" s="149"/>
      <c r="I4" s="165"/>
      <c r="J4" s="166"/>
      <c r="K4" s="45"/>
      <c r="L4" s="56"/>
      <c r="M4" s="136"/>
      <c r="N4" s="136"/>
      <c r="O4" s="56"/>
      <c r="P4" s="56"/>
      <c r="Q4" s="137"/>
      <c r="R4" s="137"/>
      <c r="S4" s="115"/>
      <c r="T4" s="68"/>
      <c r="U4" s="113"/>
      <c r="V4" s="177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</row>
    <row r="5" s="142" customFormat="1" ht="27" customHeight="1" spans="1:36">
      <c r="A5" s="28">
        <v>1</v>
      </c>
      <c r="B5" s="150" t="s">
        <v>124</v>
      </c>
      <c r="C5" s="151" t="s">
        <v>1282</v>
      </c>
      <c r="D5" s="151" t="s">
        <v>1283</v>
      </c>
      <c r="E5" s="152">
        <v>1</v>
      </c>
      <c r="F5" s="153" t="s">
        <v>563</v>
      </c>
      <c r="G5" s="81" t="s">
        <v>1284</v>
      </c>
      <c r="H5" s="154"/>
      <c r="I5" s="157" t="s">
        <v>128</v>
      </c>
      <c r="J5" s="167" t="str">
        <f>CONCATENATE(RemovePunctuation(G5),"_",B5,"_","i4K","_",V5,"_",PROPER(K5),IF(L5="",PROPER(K5),PROPER(L5)),PROPER(M5),PROPER(N5),PROPER(O5),IF(O5&lt;&gt;"","SUB",""),PROPER(P5),IF(P5&lt;&gt;"","SUB",""),"_","Ed","_","M1",".mpg")</f>
        <v>AirPanoramaDomesticOutboundWithAd_0325_i4K_43_ZhoZhoZhoSUB_Ed_M1.mpg</v>
      </c>
      <c r="K5" s="168" t="s">
        <v>136</v>
      </c>
      <c r="L5" s="168"/>
      <c r="M5" s="169"/>
      <c r="N5" s="169"/>
      <c r="O5" s="168" t="s">
        <v>136</v>
      </c>
      <c r="P5" s="170"/>
      <c r="Q5" s="61" t="s">
        <v>135</v>
      </c>
      <c r="R5" s="61" t="s">
        <v>135</v>
      </c>
      <c r="S5" s="118">
        <f t="shared" ref="S5:S10" si="0">ROUNDUP(HOUR(T5)*60+MINUTE(T5)+SECOND(T5)/60,0)</f>
        <v>158</v>
      </c>
      <c r="T5" s="119">
        <v>0.109548611111111</v>
      </c>
      <c r="U5" s="120">
        <f t="shared" ref="U5:U10" si="1">S5*60</f>
        <v>9480</v>
      </c>
      <c r="V5" s="141">
        <v>43</v>
      </c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80"/>
    </row>
    <row r="6" s="142" customFormat="1" ht="21.95" customHeight="1" spans="1:36">
      <c r="A6" s="28">
        <v>2</v>
      </c>
      <c r="B6" s="150" t="s">
        <v>124</v>
      </c>
      <c r="C6" s="151"/>
      <c r="D6" s="151"/>
      <c r="E6" s="155">
        <v>2</v>
      </c>
      <c r="F6" s="153" t="s">
        <v>567</v>
      </c>
      <c r="G6" s="28" t="s">
        <v>1285</v>
      </c>
      <c r="H6" s="154"/>
      <c r="I6" s="157" t="s">
        <v>128</v>
      </c>
      <c r="J6" s="167" t="str">
        <f>CONCATENATE(RemovePunctuation(G6),"_",B6,"_","i4K","_",V6,"_",PROPER(K6),IF(L6="",PROPER(K6),PROPER(L6)),PROPER(M6),PROPER(N6),PROPER(O6),IF(O6&lt;&gt;"","SUB",""),PROPER(P6),IF(P6&lt;&gt;"","SUB",""),"_","Ed","_","M1",".mpg")</f>
        <v>AirPanoramaDomesticInboundWithAd_0325_i4K_43_ZhoZhoZhoSUB_Ed_M1.mpg</v>
      </c>
      <c r="K6" s="168" t="s">
        <v>136</v>
      </c>
      <c r="L6" s="169"/>
      <c r="M6" s="169"/>
      <c r="N6" s="169"/>
      <c r="O6" s="168" t="s">
        <v>136</v>
      </c>
      <c r="P6" s="170"/>
      <c r="Q6" s="61" t="s">
        <v>135</v>
      </c>
      <c r="R6" s="61" t="s">
        <v>135</v>
      </c>
      <c r="S6" s="118">
        <f t="shared" si="0"/>
        <v>157</v>
      </c>
      <c r="T6" s="119">
        <v>0.108564814814815</v>
      </c>
      <c r="U6" s="120">
        <f t="shared" si="1"/>
        <v>9420</v>
      </c>
      <c r="V6" s="141">
        <v>43</v>
      </c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80"/>
    </row>
    <row r="7" ht="18" customHeight="1" spans="1:33">
      <c r="A7" s="28">
        <v>3</v>
      </c>
      <c r="B7" s="150" t="s">
        <v>124</v>
      </c>
      <c r="C7" s="151"/>
      <c r="D7" s="151"/>
      <c r="E7" s="152">
        <v>3</v>
      </c>
      <c r="F7" s="153" t="s">
        <v>553</v>
      </c>
      <c r="G7" s="156" t="s">
        <v>1286</v>
      </c>
      <c r="H7" s="157"/>
      <c r="I7" s="157" t="s">
        <v>128</v>
      </c>
      <c r="J7" s="167" t="str">
        <f>CONCATENATE(RemovePunctuation(G7),"_",B7,"_","i4K","_",V7,"_",PROPER(K7),IF(L7="",PROPER(K7),PROPER(L7)),PROPER(M7),PROPER(N7),PROPER(O7),IF(O7&lt;&gt;"","SUB",""),PROPER(P7),IF(P7&lt;&gt;"","SUB",""),"_","Ed","_","M1",".mpg")</f>
        <v>AirPanoramaInternationalOutboundWithAd_0325_i4K_43_EngZhoEngSUBZhoSUB_Ed_M1.mpg</v>
      </c>
      <c r="K7" s="171" t="s">
        <v>137</v>
      </c>
      <c r="L7" s="171" t="s">
        <v>136</v>
      </c>
      <c r="M7" s="171"/>
      <c r="N7" s="171"/>
      <c r="O7" s="171" t="s">
        <v>137</v>
      </c>
      <c r="P7" s="171" t="s">
        <v>136</v>
      </c>
      <c r="Q7" s="61" t="s">
        <v>135</v>
      </c>
      <c r="R7" s="61" t="s">
        <v>135</v>
      </c>
      <c r="S7" s="118">
        <f t="shared" si="0"/>
        <v>152</v>
      </c>
      <c r="T7" s="119">
        <v>0.104930555555556</v>
      </c>
      <c r="U7" s="120">
        <f t="shared" si="1"/>
        <v>9120</v>
      </c>
      <c r="V7" s="141">
        <v>43</v>
      </c>
      <c r="W7" s="178"/>
      <c r="X7" s="178"/>
      <c r="Y7" s="178"/>
      <c r="Z7" s="178"/>
      <c r="AA7" s="178"/>
      <c r="AB7" s="178"/>
      <c r="AC7" s="178"/>
      <c r="AD7" s="178"/>
      <c r="AE7" s="178"/>
      <c r="AF7" s="178"/>
      <c r="AG7" s="178"/>
    </row>
    <row r="8" ht="18" customHeight="1" spans="1:33">
      <c r="A8" s="28">
        <v>4</v>
      </c>
      <c r="B8" s="150" t="s">
        <v>124</v>
      </c>
      <c r="C8" s="151"/>
      <c r="D8" s="151"/>
      <c r="E8" s="152">
        <v>4</v>
      </c>
      <c r="F8" s="153" t="s">
        <v>1287</v>
      </c>
      <c r="G8" s="156" t="s">
        <v>1288</v>
      </c>
      <c r="H8" s="157"/>
      <c r="I8" s="157" t="s">
        <v>128</v>
      </c>
      <c r="J8" s="167" t="str">
        <f>CONCATENATE(RemovePunctuation(G8),"_",B8,"_","i4K","_",V8,"_",PROPER(K8),IF(L8="",PROPER(K8),PROPER(L8)),PROPER(M8),PROPER(N8),PROPER(O8),IF(O8&lt;&gt;"","SUB",""),PROPER(P8),IF(P8&lt;&gt;"","SUB",""),"_","Ed","_","M1",".mpg")</f>
        <v>AirPanoramaInternationalInboundWithAd_0325_i4K_43_EngZhoEngSUBZhoSUB_Ed_M1.mpg</v>
      </c>
      <c r="K8" s="171" t="s">
        <v>137</v>
      </c>
      <c r="L8" s="171" t="s">
        <v>136</v>
      </c>
      <c r="M8" s="171"/>
      <c r="N8" s="171"/>
      <c r="O8" s="171" t="s">
        <v>137</v>
      </c>
      <c r="P8" s="171" t="s">
        <v>136</v>
      </c>
      <c r="Q8" s="61" t="s">
        <v>135</v>
      </c>
      <c r="R8" s="61" t="s">
        <v>135</v>
      </c>
      <c r="S8" s="118">
        <f t="shared" si="0"/>
        <v>146</v>
      </c>
      <c r="T8" s="119">
        <v>0.101388888888889</v>
      </c>
      <c r="U8" s="120">
        <f t="shared" si="1"/>
        <v>8760</v>
      </c>
      <c r="V8" s="141">
        <v>43</v>
      </c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</row>
    <row r="9" ht="18" customHeight="1" spans="1:22">
      <c r="A9" s="28">
        <v>5</v>
      </c>
      <c r="B9" s="150" t="s">
        <v>124</v>
      </c>
      <c r="C9" s="151"/>
      <c r="D9" s="151" t="s">
        <v>1289</v>
      </c>
      <c r="E9" s="152">
        <v>5</v>
      </c>
      <c r="F9" s="153" t="s">
        <v>1290</v>
      </c>
      <c r="G9" s="156" t="s">
        <v>1291</v>
      </c>
      <c r="H9" s="157"/>
      <c r="I9" s="157" t="s">
        <v>128</v>
      </c>
      <c r="J9" s="172" t="s">
        <v>1292</v>
      </c>
      <c r="K9" s="171" t="s">
        <v>137</v>
      </c>
      <c r="L9" s="171" t="s">
        <v>136</v>
      </c>
      <c r="M9" s="173"/>
      <c r="N9" s="173"/>
      <c r="O9" s="173"/>
      <c r="P9" s="173"/>
      <c r="Q9" s="61" t="s">
        <v>135</v>
      </c>
      <c r="R9" s="61" t="s">
        <v>135</v>
      </c>
      <c r="S9" s="118">
        <f t="shared" si="0"/>
        <v>0</v>
      </c>
      <c r="T9" s="119"/>
      <c r="U9" s="120">
        <f t="shared" si="1"/>
        <v>0</v>
      </c>
      <c r="V9" s="141">
        <v>43</v>
      </c>
    </row>
    <row r="10" ht="18" customHeight="1" spans="1:22">
      <c r="A10" s="28">
        <v>6</v>
      </c>
      <c r="B10" s="150" t="s">
        <v>124</v>
      </c>
      <c r="C10" s="151"/>
      <c r="D10" s="151" t="s">
        <v>1283</v>
      </c>
      <c r="E10" s="155">
        <v>6</v>
      </c>
      <c r="F10" s="153" t="s">
        <v>401</v>
      </c>
      <c r="G10" s="156" t="s">
        <v>402</v>
      </c>
      <c r="H10" s="157"/>
      <c r="I10" s="157" t="s">
        <v>128</v>
      </c>
      <c r="J10" s="174" t="s">
        <v>1293</v>
      </c>
      <c r="K10" s="173"/>
      <c r="L10" s="173"/>
      <c r="M10" s="173"/>
      <c r="N10" s="173"/>
      <c r="O10" s="173"/>
      <c r="P10" s="173"/>
      <c r="Q10" s="61" t="s">
        <v>135</v>
      </c>
      <c r="R10" s="61" t="s">
        <v>135</v>
      </c>
      <c r="S10" s="118">
        <f t="shared" si="0"/>
        <v>0</v>
      </c>
      <c r="T10" s="119"/>
      <c r="U10" s="118">
        <f t="shared" si="1"/>
        <v>0</v>
      </c>
      <c r="V10" s="179">
        <v>43</v>
      </c>
    </row>
    <row r="11" ht="18" hidden="1" customHeight="1" spans="1:22">
      <c r="A11" s="28">
        <v>1</v>
      </c>
      <c r="B11" s="150" t="s">
        <v>1294</v>
      </c>
      <c r="C11" s="158" t="s">
        <v>1282</v>
      </c>
      <c r="D11" s="158" t="s">
        <v>1295</v>
      </c>
      <c r="E11" s="155">
        <v>1</v>
      </c>
      <c r="F11" s="153" t="s">
        <v>1296</v>
      </c>
      <c r="G11" s="156" t="s">
        <v>1297</v>
      </c>
      <c r="H11" s="157" t="s">
        <v>128</v>
      </c>
      <c r="I11" s="157"/>
      <c r="J11" s="174" t="s">
        <v>1298</v>
      </c>
      <c r="K11" s="173"/>
      <c r="L11" s="173"/>
      <c r="M11" s="173"/>
      <c r="N11" s="173"/>
      <c r="O11" s="173"/>
      <c r="P11" s="173"/>
      <c r="Q11" s="61" t="s">
        <v>135</v>
      </c>
      <c r="R11" s="61" t="s">
        <v>135</v>
      </c>
      <c r="S11" s="118">
        <f t="shared" ref="S11:S16" si="2">ROUNDUP(HOUR(T11)*60+MINUTE(T11)+SECOND(T11)/60,0)</f>
        <v>0</v>
      </c>
      <c r="T11" s="119"/>
      <c r="U11" s="118">
        <f t="shared" ref="U11:U16" si="3">S11*60</f>
        <v>0</v>
      </c>
      <c r="V11" s="179">
        <v>43</v>
      </c>
    </row>
    <row r="12" ht="18" hidden="1" customHeight="1" spans="1:22">
      <c r="A12" s="28">
        <v>2</v>
      </c>
      <c r="B12" s="150" t="s">
        <v>1294</v>
      </c>
      <c r="C12" s="159"/>
      <c r="D12" s="159"/>
      <c r="E12" s="155">
        <v>2</v>
      </c>
      <c r="F12" s="153" t="s">
        <v>1299</v>
      </c>
      <c r="G12" s="156" t="s">
        <v>1300</v>
      </c>
      <c r="H12" s="157" t="s">
        <v>128</v>
      </c>
      <c r="I12" s="157"/>
      <c r="J12" s="174" t="s">
        <v>1298</v>
      </c>
      <c r="K12" s="173"/>
      <c r="L12" s="173"/>
      <c r="M12" s="173"/>
      <c r="N12" s="173"/>
      <c r="O12" s="173"/>
      <c r="P12" s="173"/>
      <c r="Q12" s="61" t="s">
        <v>135</v>
      </c>
      <c r="R12" s="61" t="s">
        <v>135</v>
      </c>
      <c r="S12" s="118">
        <f t="shared" si="2"/>
        <v>0</v>
      </c>
      <c r="T12" s="119"/>
      <c r="U12" s="118">
        <f t="shared" si="3"/>
        <v>0</v>
      </c>
      <c r="V12" s="179">
        <v>43</v>
      </c>
    </row>
    <row r="13" ht="18" hidden="1" customHeight="1" spans="1:22">
      <c r="A13" s="28">
        <v>3</v>
      </c>
      <c r="B13" s="150" t="s">
        <v>1294</v>
      </c>
      <c r="C13" s="159"/>
      <c r="D13" s="159"/>
      <c r="E13" s="155">
        <v>3</v>
      </c>
      <c r="F13" s="153" t="s">
        <v>1301</v>
      </c>
      <c r="G13" s="156" t="s">
        <v>1302</v>
      </c>
      <c r="H13" s="157" t="s">
        <v>128</v>
      </c>
      <c r="I13" s="157"/>
      <c r="J13" s="174" t="s">
        <v>1298</v>
      </c>
      <c r="K13" s="173"/>
      <c r="L13" s="173"/>
      <c r="M13" s="173"/>
      <c r="N13" s="173"/>
      <c r="O13" s="173"/>
      <c r="P13" s="173"/>
      <c r="Q13" s="61" t="s">
        <v>135</v>
      </c>
      <c r="R13" s="61" t="s">
        <v>135</v>
      </c>
      <c r="S13" s="118">
        <f t="shared" si="2"/>
        <v>0</v>
      </c>
      <c r="T13" s="119"/>
      <c r="U13" s="118">
        <f t="shared" si="3"/>
        <v>0</v>
      </c>
      <c r="V13" s="179">
        <v>43</v>
      </c>
    </row>
    <row r="14" ht="18" hidden="1" customHeight="1" spans="1:22">
      <c r="A14" s="28">
        <v>4</v>
      </c>
      <c r="B14" s="150" t="s">
        <v>1294</v>
      </c>
      <c r="C14" s="159"/>
      <c r="D14" s="159"/>
      <c r="E14" s="155">
        <v>4</v>
      </c>
      <c r="F14" s="153" t="s">
        <v>1303</v>
      </c>
      <c r="G14" s="156" t="s">
        <v>1304</v>
      </c>
      <c r="H14" s="157" t="s">
        <v>128</v>
      </c>
      <c r="I14" s="157"/>
      <c r="J14" s="174" t="s">
        <v>1298</v>
      </c>
      <c r="K14" s="173"/>
      <c r="L14" s="173"/>
      <c r="M14" s="173"/>
      <c r="N14" s="173"/>
      <c r="O14" s="173"/>
      <c r="P14" s="173"/>
      <c r="Q14" s="61" t="s">
        <v>135</v>
      </c>
      <c r="R14" s="61" t="s">
        <v>135</v>
      </c>
      <c r="S14" s="118">
        <f t="shared" si="2"/>
        <v>0</v>
      </c>
      <c r="T14" s="119"/>
      <c r="U14" s="118">
        <f t="shared" si="3"/>
        <v>0</v>
      </c>
      <c r="V14" s="179">
        <v>43</v>
      </c>
    </row>
    <row r="15" ht="18" hidden="1" customHeight="1" spans="1:22">
      <c r="A15" s="28">
        <v>5</v>
      </c>
      <c r="B15" s="150" t="s">
        <v>1294</v>
      </c>
      <c r="C15" s="159"/>
      <c r="D15" s="159"/>
      <c r="E15" s="155">
        <v>5</v>
      </c>
      <c r="F15" s="153" t="s">
        <v>1305</v>
      </c>
      <c r="G15" s="156" t="s">
        <v>1306</v>
      </c>
      <c r="H15" s="157" t="s">
        <v>128</v>
      </c>
      <c r="I15" s="157"/>
      <c r="J15" s="174" t="s">
        <v>1298</v>
      </c>
      <c r="K15" s="173"/>
      <c r="L15" s="173"/>
      <c r="M15" s="173"/>
      <c r="N15" s="173"/>
      <c r="O15" s="173"/>
      <c r="P15" s="173"/>
      <c r="Q15" s="61" t="s">
        <v>135</v>
      </c>
      <c r="R15" s="61" t="s">
        <v>135</v>
      </c>
      <c r="S15" s="118">
        <f t="shared" si="2"/>
        <v>0</v>
      </c>
      <c r="T15" s="119"/>
      <c r="U15" s="118">
        <f t="shared" si="3"/>
        <v>0</v>
      </c>
      <c r="V15" s="179">
        <v>43</v>
      </c>
    </row>
    <row r="16" ht="18" hidden="1" customHeight="1" spans="1:22">
      <c r="A16" s="28">
        <v>6</v>
      </c>
      <c r="B16" s="150" t="s">
        <v>1294</v>
      </c>
      <c r="C16" s="160"/>
      <c r="D16" s="160"/>
      <c r="E16" s="155">
        <v>6</v>
      </c>
      <c r="F16" s="153" t="s">
        <v>1307</v>
      </c>
      <c r="G16" s="156" t="s">
        <v>1308</v>
      </c>
      <c r="H16" s="157" t="s">
        <v>128</v>
      </c>
      <c r="I16" s="157"/>
      <c r="J16" s="174" t="s">
        <v>1298</v>
      </c>
      <c r="K16" s="173"/>
      <c r="L16" s="173"/>
      <c r="M16" s="173"/>
      <c r="N16" s="173"/>
      <c r="O16" s="173"/>
      <c r="P16" s="173"/>
      <c r="Q16" s="61" t="s">
        <v>135</v>
      </c>
      <c r="R16" s="61" t="s">
        <v>135</v>
      </c>
      <c r="S16" s="118">
        <f t="shared" si="2"/>
        <v>0</v>
      </c>
      <c r="T16" s="119"/>
      <c r="U16" s="118">
        <f t="shared" si="3"/>
        <v>0</v>
      </c>
      <c r="V16" s="179">
        <v>43</v>
      </c>
    </row>
  </sheetData>
  <mergeCells count="31">
    <mergeCell ref="A2:G2"/>
    <mergeCell ref="H2:I2"/>
    <mergeCell ref="K2:P2"/>
    <mergeCell ref="Q2:R2"/>
    <mergeCell ref="T2:U2"/>
    <mergeCell ref="A3:A4"/>
    <mergeCell ref="B3:B4"/>
    <mergeCell ref="C3:C4"/>
    <mergeCell ref="C5:C10"/>
    <mergeCell ref="C11:C16"/>
    <mergeCell ref="D3:D4"/>
    <mergeCell ref="D5:D8"/>
    <mergeCell ref="D11:D16"/>
    <mergeCell ref="E3:E4"/>
    <mergeCell ref="F3:F4"/>
    <mergeCell ref="G3:G4"/>
    <mergeCell ref="H3:H4"/>
    <mergeCell ref="I3:I4"/>
    <mergeCell ref="J2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2:V4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G31"/>
  <sheetViews>
    <sheetView zoomScale="80" zoomScaleNormal="80" topLeftCell="J1" workbookViewId="0">
      <selection activeCell="S5" sqref="S5:S8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26.5083333333333" style="4" customWidth="1"/>
    <col min="7" max="7" width="48.2" style="3" customWidth="1"/>
    <col min="8" max="8" width="4.50833333333333" style="3" customWidth="1"/>
    <col min="9" max="9" width="85.6166666666667" style="5" customWidth="1"/>
    <col min="10" max="10" width="4.14166666666667" style="3" customWidth="1"/>
    <col min="11" max="13" width="4.14166666666667" style="6" customWidth="1"/>
    <col min="14" max="15" width="4.14166666666667" style="3" customWidth="1"/>
    <col min="16" max="17" width="5.63333333333333" style="7" customWidth="1"/>
    <col min="18" max="18" width="8" style="7" customWidth="1"/>
    <col min="19" max="19" width="11.3833333333333" style="3" customWidth="1"/>
    <col min="20" max="20" width="11.2583333333333" style="3" customWidth="1"/>
    <col min="21" max="21" width="6.14166666666667" style="3" customWidth="1"/>
    <col min="22" max="23" width="5.14166666666667" style="8" customWidth="1"/>
    <col min="24" max="24" width="17.6333333333333" style="9" customWidth="1"/>
    <col min="25" max="25" width="5.14166666666667" style="10" customWidth="1"/>
    <col min="26" max="26" width="5.14166666666667" style="8" customWidth="1"/>
    <col min="27" max="27" width="5.14166666666667" style="11" customWidth="1"/>
    <col min="28" max="29" width="5.14166666666667" style="8" customWidth="1"/>
    <col min="30" max="30" width="5.14166666666667" style="10" customWidth="1"/>
    <col min="31" max="33" width="4.14166666666667" style="12" hidden="1" customWidth="1"/>
    <col min="34" max="16382" width="8" style="2"/>
    <col min="16383" max="16384" width="8" style="121"/>
  </cols>
  <sheetData>
    <row r="1" s="2" customFormat="1" ht="13.5" spans="3:33">
      <c r="C1" s="3"/>
      <c r="D1" s="3"/>
      <c r="E1" s="3"/>
      <c r="F1" s="4"/>
      <c r="G1" s="3"/>
      <c r="H1" s="3"/>
      <c r="I1" s="5"/>
      <c r="J1" s="3"/>
      <c r="K1" s="6"/>
      <c r="L1" s="6"/>
      <c r="M1" s="6"/>
      <c r="N1" s="3"/>
      <c r="O1" s="3"/>
      <c r="P1" s="7"/>
      <c r="Q1" s="7"/>
      <c r="R1" s="7"/>
      <c r="S1" s="3"/>
      <c r="T1" s="3"/>
      <c r="U1" s="3"/>
      <c r="V1" s="8"/>
      <c r="W1" s="8"/>
      <c r="X1" s="9"/>
      <c r="Y1" s="10"/>
      <c r="Z1" s="8"/>
      <c r="AA1" s="11"/>
      <c r="AB1" s="8"/>
      <c r="AC1" s="8"/>
      <c r="AD1" s="10"/>
      <c r="AE1" s="12"/>
      <c r="AF1" s="12"/>
      <c r="AG1" s="12"/>
    </row>
    <row r="2" s="2" customFormat="1" ht="18.95" customHeight="1" spans="1:21">
      <c r="A2" s="14" t="s">
        <v>350</v>
      </c>
      <c r="B2" s="13"/>
      <c r="C2" s="13"/>
      <c r="D2" s="13"/>
      <c r="E2" s="13"/>
      <c r="F2" s="13"/>
      <c r="G2" s="14"/>
      <c r="H2" s="122" t="s">
        <v>78</v>
      </c>
      <c r="I2" s="133" t="s">
        <v>352</v>
      </c>
      <c r="J2" s="40" t="s">
        <v>84</v>
      </c>
      <c r="K2" s="40"/>
      <c r="L2" s="40"/>
      <c r="M2" s="40"/>
      <c r="N2" s="40"/>
      <c r="O2" s="40"/>
      <c r="P2" s="53" t="s">
        <v>353</v>
      </c>
      <c r="Q2" s="54"/>
      <c r="R2" s="55"/>
      <c r="S2" s="65" t="s">
        <v>85</v>
      </c>
      <c r="T2" s="65"/>
      <c r="U2" s="139" t="s">
        <v>86</v>
      </c>
    </row>
    <row r="3" s="2" customFormat="1" ht="18" customHeight="1" spans="1:21">
      <c r="A3" s="116" t="s">
        <v>89</v>
      </c>
      <c r="B3" s="123" t="s">
        <v>91</v>
      </c>
      <c r="C3" s="18" t="s">
        <v>354</v>
      </c>
      <c r="D3" s="17" t="s">
        <v>90</v>
      </c>
      <c r="E3" s="19" t="s">
        <v>93</v>
      </c>
      <c r="F3" s="124" t="s">
        <v>94</v>
      </c>
      <c r="G3" s="20" t="s">
        <v>95</v>
      </c>
      <c r="H3" s="125" t="s">
        <v>100</v>
      </c>
      <c r="I3" s="134"/>
      <c r="J3" s="56" t="s">
        <v>113</v>
      </c>
      <c r="K3" s="56" t="s">
        <v>114</v>
      </c>
      <c r="L3" s="57" t="s">
        <v>115</v>
      </c>
      <c r="M3" s="57" t="s">
        <v>116</v>
      </c>
      <c r="N3" s="56" t="s">
        <v>117</v>
      </c>
      <c r="O3" s="56" t="s">
        <v>118</v>
      </c>
      <c r="P3" s="58" t="s">
        <v>111</v>
      </c>
      <c r="Q3" s="58" t="s">
        <v>112</v>
      </c>
      <c r="R3" s="24" t="s">
        <v>119</v>
      </c>
      <c r="S3" s="68" t="s">
        <v>120</v>
      </c>
      <c r="T3" s="69" t="s">
        <v>121</v>
      </c>
      <c r="U3" s="70"/>
    </row>
    <row r="4" s="2" customFormat="1" ht="111.95" customHeight="1" spans="1:33">
      <c r="A4" s="116"/>
      <c r="B4" s="126"/>
      <c r="C4" s="127"/>
      <c r="D4" s="128"/>
      <c r="E4" s="129"/>
      <c r="F4" s="130"/>
      <c r="G4" s="20"/>
      <c r="H4" s="131"/>
      <c r="I4" s="135"/>
      <c r="J4" s="56"/>
      <c r="K4" s="56"/>
      <c r="L4" s="136"/>
      <c r="M4" s="136"/>
      <c r="N4" s="56"/>
      <c r="O4" s="56"/>
      <c r="P4" s="137"/>
      <c r="Q4" s="137"/>
      <c r="R4" s="115"/>
      <c r="S4" s="68"/>
      <c r="T4" s="113"/>
      <c r="U4" s="140"/>
      <c r="V4" s="8"/>
      <c r="W4" s="8"/>
      <c r="X4" s="9"/>
      <c r="Y4" s="10"/>
      <c r="Z4" s="8"/>
      <c r="AA4" s="11"/>
      <c r="AB4" s="8"/>
      <c r="AC4" s="8"/>
      <c r="AD4" s="10"/>
      <c r="AE4" s="12"/>
      <c r="AF4" s="12"/>
      <c r="AG4" s="12"/>
    </row>
    <row r="5" s="2" customFormat="1" ht="26.1" customHeight="1" spans="1:33">
      <c r="A5" s="81">
        <v>1</v>
      </c>
      <c r="B5" s="82" t="s">
        <v>124</v>
      </c>
      <c r="C5" s="32" t="s">
        <v>1309</v>
      </c>
      <c r="D5" s="82"/>
      <c r="E5" s="81">
        <v>1</v>
      </c>
      <c r="F5" s="84" t="s">
        <v>563</v>
      </c>
      <c r="G5" s="28" t="s">
        <v>1310</v>
      </c>
      <c r="H5" s="132" t="s">
        <v>128</v>
      </c>
      <c r="I5" s="138" t="str">
        <f>CONCATENATE(RemovePunctuation(G5),"_",B5,"_",U5,"_",PROPER(J5),IF(K5="",PROPER(J5),PROPER(K5)),PROPER(L5),PROPER(M5),PROPER(N5),IF(N5&lt;&gt;"","SUB",""),PROPER(O5),IF(O5&lt;&gt;"","SUB",""),"_","Ed","_","M1",".mpg")</f>
        <v>AirPanoramaDomesticOutboundWithAd1_0325_169_EngZhoZhoSUB_Ed_M1.mpg</v>
      </c>
      <c r="J5" s="61" t="s">
        <v>137</v>
      </c>
      <c r="K5" s="61" t="s">
        <v>136</v>
      </c>
      <c r="L5" s="52"/>
      <c r="M5" s="52"/>
      <c r="N5" s="61" t="s">
        <v>136</v>
      </c>
      <c r="O5" s="52"/>
      <c r="P5" s="61" t="s">
        <v>135</v>
      </c>
      <c r="Q5" s="61" t="s">
        <v>135</v>
      </c>
      <c r="R5" s="118">
        <f>ROUNDUP(HOUR(S5)*60+MINUTE(S5)+SECOND(S5)/60,0)</f>
        <v>158</v>
      </c>
      <c r="S5" s="119">
        <v>0.109548611111111</v>
      </c>
      <c r="T5" s="120">
        <f>R5*60</f>
        <v>9480</v>
      </c>
      <c r="U5" s="141">
        <v>169</v>
      </c>
      <c r="V5" s="8"/>
      <c r="W5" s="8"/>
      <c r="X5" s="9"/>
      <c r="Y5" s="10"/>
      <c r="Z5" s="8"/>
      <c r="AA5" s="11"/>
      <c r="AB5" s="8"/>
      <c r="AC5" s="8"/>
      <c r="AD5" s="10"/>
      <c r="AE5" s="12"/>
      <c r="AF5" s="12"/>
      <c r="AG5" s="12"/>
    </row>
    <row r="6" s="2" customFormat="1" ht="26.1" customHeight="1" spans="1:33">
      <c r="A6" s="81">
        <v>2</v>
      </c>
      <c r="B6" s="82" t="s">
        <v>124</v>
      </c>
      <c r="C6" s="32" t="s">
        <v>1309</v>
      </c>
      <c r="D6" s="82"/>
      <c r="E6" s="81">
        <v>2</v>
      </c>
      <c r="F6" s="84" t="s">
        <v>567</v>
      </c>
      <c r="G6" s="28" t="s">
        <v>1311</v>
      </c>
      <c r="H6" s="132" t="s">
        <v>128</v>
      </c>
      <c r="I6" s="138" t="str">
        <f>CONCATENATE(RemovePunctuation(G6),"_",B6,"_",U6,"_",PROPER(J6),IF(K6="",PROPER(J6),PROPER(K6)),PROPER(L6),PROPER(M6),PROPER(N6),IF(N6&lt;&gt;"","SUB",""),PROPER(O6),IF(O6&lt;&gt;"","SUB",""),"_","Ed","_","M1",".mpg")</f>
        <v>AirPanoramaDomesticInboundWithAd1_0325_169_EngZhoZhoSUB_Ed_M1.mpg</v>
      </c>
      <c r="J6" s="61" t="s">
        <v>137</v>
      </c>
      <c r="K6" s="61" t="s">
        <v>136</v>
      </c>
      <c r="L6" s="52"/>
      <c r="M6" s="52"/>
      <c r="N6" s="61" t="s">
        <v>136</v>
      </c>
      <c r="O6" s="52"/>
      <c r="P6" s="61" t="s">
        <v>135</v>
      </c>
      <c r="Q6" s="61" t="s">
        <v>135</v>
      </c>
      <c r="R6" s="118">
        <f>ROUNDUP(HOUR(S6)*60+MINUTE(S6)+SECOND(S6)/60,0)</f>
        <v>157</v>
      </c>
      <c r="S6" s="119">
        <v>0.108564814814815</v>
      </c>
      <c r="T6" s="120">
        <f>R6*60</f>
        <v>9420</v>
      </c>
      <c r="U6" s="141">
        <v>169</v>
      </c>
      <c r="V6" s="8"/>
      <c r="W6" s="8"/>
      <c r="X6" s="9"/>
      <c r="Y6" s="10"/>
      <c r="Z6" s="8"/>
      <c r="AA6" s="11"/>
      <c r="AB6" s="8"/>
      <c r="AC6" s="8"/>
      <c r="AD6" s="10"/>
      <c r="AE6" s="12"/>
      <c r="AF6" s="12"/>
      <c r="AG6" s="12"/>
    </row>
    <row r="7" s="2" customFormat="1" ht="26.1" customHeight="1" spans="1:33">
      <c r="A7" s="81">
        <v>3</v>
      </c>
      <c r="B7" s="82" t="s">
        <v>124</v>
      </c>
      <c r="C7" s="32" t="s">
        <v>1309</v>
      </c>
      <c r="D7" s="82"/>
      <c r="E7" s="81">
        <v>3</v>
      </c>
      <c r="F7" s="84" t="s">
        <v>553</v>
      </c>
      <c r="G7" s="28" t="s">
        <v>1312</v>
      </c>
      <c r="H7" s="132" t="s">
        <v>128</v>
      </c>
      <c r="I7" s="138" t="str">
        <f>CONCATENATE(RemovePunctuation(G7),"_",B7,"_",U7,"_",PROPER(J7),IF(K7="",PROPER(J7),PROPER(K7)),PROPER(L7),PROPER(M7),PROPER(N7),IF(N7&lt;&gt;"","SUB",""),PROPER(O7),IF(O7&lt;&gt;"","SUB",""),"_","Ed","_","M1",".mpg")</f>
        <v>AirPanoramaInternationalOutboundWithAd1_0325_169_EngZhoEngSUBZhoSUB_Ed_M1.mpg</v>
      </c>
      <c r="J7" s="61" t="s">
        <v>137</v>
      </c>
      <c r="K7" s="61" t="s">
        <v>136</v>
      </c>
      <c r="L7" s="52"/>
      <c r="M7" s="52"/>
      <c r="N7" s="61" t="s">
        <v>137</v>
      </c>
      <c r="O7" s="61" t="s">
        <v>136</v>
      </c>
      <c r="P7" s="61" t="s">
        <v>135</v>
      </c>
      <c r="Q7" s="61" t="s">
        <v>135</v>
      </c>
      <c r="R7" s="118">
        <f>ROUNDUP(HOUR(S7)*60+MINUTE(S7)+SECOND(S7)/60,0)</f>
        <v>152</v>
      </c>
      <c r="S7" s="119">
        <v>0.104930555555556</v>
      </c>
      <c r="T7" s="120">
        <f>R7*60</f>
        <v>9120</v>
      </c>
      <c r="U7" s="141">
        <v>169</v>
      </c>
      <c r="V7" s="8"/>
      <c r="W7" s="8"/>
      <c r="X7" s="9"/>
      <c r="Y7" s="10"/>
      <c r="Z7" s="8"/>
      <c r="AA7" s="11"/>
      <c r="AB7" s="8"/>
      <c r="AC7" s="8"/>
      <c r="AD7" s="10"/>
      <c r="AE7" s="12"/>
      <c r="AF7" s="12"/>
      <c r="AG7" s="12"/>
    </row>
    <row r="8" s="2" customFormat="1" ht="20.1" customHeight="1" spans="1:33">
      <c r="A8" s="81">
        <v>4</v>
      </c>
      <c r="B8" s="82" t="s">
        <v>124</v>
      </c>
      <c r="C8" s="32" t="s">
        <v>1309</v>
      </c>
      <c r="D8" s="82"/>
      <c r="E8" s="81">
        <v>4</v>
      </c>
      <c r="F8" s="84" t="s">
        <v>1287</v>
      </c>
      <c r="G8" s="28" t="s">
        <v>1313</v>
      </c>
      <c r="H8" s="132" t="s">
        <v>128</v>
      </c>
      <c r="I8" s="138" t="str">
        <f>CONCATENATE(RemovePunctuation(G8),"_",B8,"_",U8,"_",PROPER(J8),IF(K8="",PROPER(J8),PROPER(K8)),PROPER(L8),PROPER(M8),PROPER(N8),IF(N8&lt;&gt;"","SUB",""),PROPER(O8),IF(O8&lt;&gt;"","SUB",""),"_","Ed","_","M1",".mpg")</f>
        <v>AirPanoramaInternationalInboundWithAd1_0325_169_EngZhoEngSUBZhoSUB_Ed_M1.mpg</v>
      </c>
      <c r="J8" s="61" t="s">
        <v>137</v>
      </c>
      <c r="K8" s="61" t="s">
        <v>136</v>
      </c>
      <c r="L8" s="52"/>
      <c r="M8" s="52"/>
      <c r="N8" s="61" t="s">
        <v>137</v>
      </c>
      <c r="O8" s="61" t="s">
        <v>136</v>
      </c>
      <c r="P8" s="61" t="s">
        <v>135</v>
      </c>
      <c r="Q8" s="61" t="s">
        <v>135</v>
      </c>
      <c r="R8" s="118">
        <f>ROUNDUP(HOUR(S8)*60+MINUTE(S8)+SECOND(S8)/60,0)</f>
        <v>146</v>
      </c>
      <c r="S8" s="119">
        <v>0.101388888888889</v>
      </c>
      <c r="T8" s="120">
        <f>R8*60</f>
        <v>8760</v>
      </c>
      <c r="U8" s="141">
        <v>169</v>
      </c>
      <c r="V8" s="8"/>
      <c r="W8" s="8"/>
      <c r="X8" s="9"/>
      <c r="Y8" s="10"/>
      <c r="Z8" s="8"/>
      <c r="AA8" s="11"/>
      <c r="AB8" s="8"/>
      <c r="AC8" s="8"/>
      <c r="AD8" s="10"/>
      <c r="AE8" s="12"/>
      <c r="AF8" s="12"/>
      <c r="AG8" s="12"/>
    </row>
    <row r="9" s="2" customFormat="1" ht="20.25" spans="3:33">
      <c r="C9" s="34"/>
      <c r="D9" s="34"/>
      <c r="E9" s="3"/>
      <c r="F9" s="4"/>
      <c r="G9" s="3"/>
      <c r="H9" s="3"/>
      <c r="I9" s="5"/>
      <c r="J9" s="3"/>
      <c r="K9" s="6"/>
      <c r="L9" s="6"/>
      <c r="M9" s="6"/>
      <c r="N9" s="3"/>
      <c r="O9" s="3"/>
      <c r="P9" s="3"/>
      <c r="Q9" s="3"/>
      <c r="R9" s="3"/>
      <c r="S9" s="3"/>
      <c r="T9" s="3"/>
      <c r="U9" s="3"/>
      <c r="V9" s="8"/>
      <c r="W9" s="8"/>
      <c r="X9" s="9"/>
      <c r="Y9" s="10"/>
      <c r="Z9" s="8"/>
      <c r="AA9" s="11"/>
      <c r="AB9" s="8"/>
      <c r="AC9" s="8"/>
      <c r="AD9" s="10"/>
      <c r="AE9" s="12"/>
      <c r="AF9" s="12"/>
      <c r="AG9" s="12"/>
    </row>
    <row r="10" s="2" customFormat="1" ht="20.25" spans="3:33">
      <c r="C10" s="34"/>
      <c r="D10" s="34"/>
      <c r="E10" s="3"/>
      <c r="F10" s="4"/>
      <c r="G10" s="3"/>
      <c r="H10" s="3"/>
      <c r="I10" s="5"/>
      <c r="J10" s="3"/>
      <c r="K10" s="6"/>
      <c r="L10" s="6"/>
      <c r="M10" s="6"/>
      <c r="N10" s="3"/>
      <c r="O10" s="3"/>
      <c r="P10" s="3"/>
      <c r="Q10" s="3"/>
      <c r="R10" s="3"/>
      <c r="S10" s="3"/>
      <c r="T10" s="3"/>
      <c r="U10" s="3"/>
      <c r="V10" s="8"/>
      <c r="W10" s="8"/>
      <c r="X10" s="9"/>
      <c r="Y10" s="10"/>
      <c r="Z10" s="8"/>
      <c r="AA10" s="11"/>
      <c r="AB10" s="8"/>
      <c r="AC10" s="8"/>
      <c r="AD10" s="10"/>
      <c r="AE10" s="12"/>
      <c r="AF10" s="12"/>
      <c r="AG10" s="12"/>
    </row>
    <row r="11" s="2" customFormat="1" spans="3:33">
      <c r="C11" s="3"/>
      <c r="D11" s="3"/>
      <c r="E11" s="3"/>
      <c r="F11" s="4"/>
      <c r="G11" s="3"/>
      <c r="H11" s="3"/>
      <c r="I11" s="5"/>
      <c r="J11" s="3"/>
      <c r="K11" s="6"/>
      <c r="L11" s="6"/>
      <c r="M11" s="6"/>
      <c r="N11" s="3"/>
      <c r="O11" s="3"/>
      <c r="P11" s="3"/>
      <c r="Q11" s="3"/>
      <c r="R11" s="3"/>
      <c r="S11" s="3"/>
      <c r="T11" s="3"/>
      <c r="U11" s="3"/>
      <c r="V11" s="8"/>
      <c r="W11" s="8"/>
      <c r="X11" s="9"/>
      <c r="Y11" s="10"/>
      <c r="Z11" s="8"/>
      <c r="AA11" s="11"/>
      <c r="AB11" s="8"/>
      <c r="AC11" s="8"/>
      <c r="AD11" s="10"/>
      <c r="AE11" s="12"/>
      <c r="AF11" s="12"/>
      <c r="AG11" s="12"/>
    </row>
    <row r="12" s="2" customFormat="1" spans="3:33">
      <c r="C12" s="3"/>
      <c r="D12" s="3"/>
      <c r="E12" s="3"/>
      <c r="F12" s="4"/>
      <c r="G12" s="3"/>
      <c r="H12" s="3"/>
      <c r="I12" s="5"/>
      <c r="J12" s="3"/>
      <c r="K12" s="6"/>
      <c r="L12" s="6"/>
      <c r="M12" s="6"/>
      <c r="N12" s="3"/>
      <c r="O12" s="3"/>
      <c r="P12" s="3"/>
      <c r="Q12" s="3"/>
      <c r="R12" s="3"/>
      <c r="S12" s="3"/>
      <c r="T12" s="3"/>
      <c r="U12" s="3"/>
      <c r="V12" s="8"/>
      <c r="W12" s="8"/>
      <c r="X12" s="9"/>
      <c r="Y12" s="10"/>
      <c r="Z12" s="8"/>
      <c r="AA12" s="11"/>
      <c r="AB12" s="8"/>
      <c r="AC12" s="8"/>
      <c r="AD12" s="10"/>
      <c r="AE12" s="12"/>
      <c r="AF12" s="12"/>
      <c r="AG12" s="12"/>
    </row>
    <row r="13" s="2" customFormat="1" spans="3:33">
      <c r="C13" s="3"/>
      <c r="D13" s="3"/>
      <c r="E13" s="3"/>
      <c r="F13" s="4"/>
      <c r="G13" s="3"/>
      <c r="H13" s="3"/>
      <c r="I13" s="5"/>
      <c r="J13" s="3"/>
      <c r="K13" s="6"/>
      <c r="L13" s="6"/>
      <c r="M13" s="6"/>
      <c r="N13" s="3"/>
      <c r="O13" s="3"/>
      <c r="P13" s="3"/>
      <c r="Q13" s="3"/>
      <c r="R13" s="3"/>
      <c r="S13" s="3"/>
      <c r="T13" s="3"/>
      <c r="U13" s="3"/>
      <c r="V13" s="8"/>
      <c r="W13" s="8"/>
      <c r="X13" s="9"/>
      <c r="Y13" s="10"/>
      <c r="Z13" s="8"/>
      <c r="AA13" s="11"/>
      <c r="AB13" s="8"/>
      <c r="AC13" s="8"/>
      <c r="AD13" s="10"/>
      <c r="AE13" s="12"/>
      <c r="AF13" s="12"/>
      <c r="AG13" s="12"/>
    </row>
    <row r="14" s="2" customFormat="1" spans="3:33">
      <c r="C14" s="3"/>
      <c r="D14" s="3"/>
      <c r="E14" s="3"/>
      <c r="F14" s="4"/>
      <c r="G14" s="3"/>
      <c r="H14" s="3"/>
      <c r="I14" s="5"/>
      <c r="J14" s="3"/>
      <c r="K14" s="6"/>
      <c r="L14" s="6"/>
      <c r="M14" s="6"/>
      <c r="N14" s="3"/>
      <c r="O14" s="3"/>
      <c r="P14" s="3"/>
      <c r="Q14" s="3"/>
      <c r="R14" s="3"/>
      <c r="S14" s="3"/>
      <c r="T14" s="3"/>
      <c r="U14" s="3"/>
      <c r="V14" s="8"/>
      <c r="W14" s="8"/>
      <c r="X14" s="9"/>
      <c r="Y14" s="10"/>
      <c r="Z14" s="8"/>
      <c r="AA14" s="11"/>
      <c r="AB14" s="8"/>
      <c r="AC14" s="8"/>
      <c r="AD14" s="10"/>
      <c r="AE14" s="12"/>
      <c r="AF14" s="12"/>
      <c r="AG14" s="12"/>
    </row>
    <row r="15" s="2" customFormat="1" spans="3:33">
      <c r="C15" s="3"/>
      <c r="D15" s="3"/>
      <c r="E15" s="3"/>
      <c r="F15" s="4"/>
      <c r="G15" s="3"/>
      <c r="H15" s="3"/>
      <c r="I15" s="5"/>
      <c r="J15" s="3"/>
      <c r="K15" s="6"/>
      <c r="L15" s="6"/>
      <c r="M15" s="6"/>
      <c r="N15" s="3"/>
      <c r="O15" s="3"/>
      <c r="P15" s="3"/>
      <c r="Q15" s="3"/>
      <c r="R15" s="3"/>
      <c r="S15" s="3"/>
      <c r="T15" s="3"/>
      <c r="U15" s="3"/>
      <c r="V15" s="8"/>
      <c r="W15" s="8"/>
      <c r="X15" s="9"/>
      <c r="Y15" s="10"/>
      <c r="Z15" s="8"/>
      <c r="AA15" s="11"/>
      <c r="AB15" s="8"/>
      <c r="AC15" s="8"/>
      <c r="AD15" s="10"/>
      <c r="AE15" s="12"/>
      <c r="AF15" s="12"/>
      <c r="AG15" s="12"/>
    </row>
    <row r="16" s="2" customFormat="1" spans="3:33">
      <c r="C16" s="3"/>
      <c r="D16" s="3"/>
      <c r="E16" s="3"/>
      <c r="F16" s="4"/>
      <c r="G16" s="3"/>
      <c r="H16" s="3"/>
      <c r="I16" s="5"/>
      <c r="J16" s="3"/>
      <c r="K16" s="6"/>
      <c r="L16" s="6"/>
      <c r="M16" s="6"/>
      <c r="N16" s="3"/>
      <c r="O16" s="3"/>
      <c r="P16" s="3"/>
      <c r="Q16" s="3"/>
      <c r="R16" s="3"/>
      <c r="S16" s="3"/>
      <c r="T16" s="3"/>
      <c r="U16" s="3"/>
      <c r="V16" s="8"/>
      <c r="W16" s="8"/>
      <c r="X16" s="9"/>
      <c r="Y16" s="10"/>
      <c r="Z16" s="8"/>
      <c r="AA16" s="11"/>
      <c r="AB16" s="8"/>
      <c r="AC16" s="8"/>
      <c r="AD16" s="10"/>
      <c r="AE16" s="12"/>
      <c r="AF16" s="12"/>
      <c r="AG16" s="12"/>
    </row>
    <row r="17" s="2" customFormat="1" spans="3:33">
      <c r="C17" s="3"/>
      <c r="D17" s="3"/>
      <c r="E17" s="3"/>
      <c r="F17" s="4"/>
      <c r="G17" s="3"/>
      <c r="H17" s="3"/>
      <c r="I17" s="5"/>
      <c r="J17" s="3"/>
      <c r="K17" s="6"/>
      <c r="L17" s="6"/>
      <c r="M17" s="6"/>
      <c r="N17" s="3"/>
      <c r="O17" s="3"/>
      <c r="P17" s="3"/>
      <c r="Q17" s="3"/>
      <c r="R17" s="3"/>
      <c r="S17" s="3"/>
      <c r="T17" s="3"/>
      <c r="U17" s="3"/>
      <c r="V17" s="8"/>
      <c r="W17" s="8"/>
      <c r="X17" s="9"/>
      <c r="Y17" s="10"/>
      <c r="Z17" s="8"/>
      <c r="AA17" s="11"/>
      <c r="AB17" s="8"/>
      <c r="AC17" s="8"/>
      <c r="AD17" s="10"/>
      <c r="AE17" s="12"/>
      <c r="AF17" s="12"/>
      <c r="AG17" s="12"/>
    </row>
    <row r="18" s="2" customFormat="1" spans="3:33">
      <c r="C18" s="3"/>
      <c r="D18" s="3"/>
      <c r="E18" s="3"/>
      <c r="F18" s="4"/>
      <c r="G18" s="3"/>
      <c r="H18" s="3"/>
      <c r="I18" s="5"/>
      <c r="J18" s="3"/>
      <c r="K18" s="6"/>
      <c r="L18" s="6"/>
      <c r="M18" s="6"/>
      <c r="N18" s="3"/>
      <c r="O18" s="3"/>
      <c r="P18" s="3"/>
      <c r="Q18" s="3"/>
      <c r="R18" s="3"/>
      <c r="S18" s="3"/>
      <c r="T18" s="3"/>
      <c r="U18" s="3"/>
      <c r="V18" s="8"/>
      <c r="W18" s="8"/>
      <c r="X18" s="9"/>
      <c r="Y18" s="10"/>
      <c r="Z18" s="8"/>
      <c r="AA18" s="11"/>
      <c r="AB18" s="8"/>
      <c r="AC18" s="8"/>
      <c r="AD18" s="10"/>
      <c r="AE18" s="12"/>
      <c r="AF18" s="12"/>
      <c r="AG18" s="12"/>
    </row>
    <row r="19" s="2" customFormat="1" spans="3:33">
      <c r="C19" s="3"/>
      <c r="D19" s="3"/>
      <c r="E19" s="3"/>
      <c r="F19" s="4"/>
      <c r="G19" s="3"/>
      <c r="H19" s="3"/>
      <c r="I19" s="5"/>
      <c r="J19" s="3"/>
      <c r="K19" s="6"/>
      <c r="L19" s="6"/>
      <c r="M19" s="6"/>
      <c r="N19" s="3"/>
      <c r="O19" s="3"/>
      <c r="P19" s="3"/>
      <c r="Q19" s="3"/>
      <c r="R19" s="3"/>
      <c r="S19" s="3"/>
      <c r="T19" s="3"/>
      <c r="U19" s="3"/>
      <c r="V19" s="8"/>
      <c r="W19" s="8"/>
      <c r="X19" s="9"/>
      <c r="Y19" s="10"/>
      <c r="Z19" s="8"/>
      <c r="AA19" s="11"/>
      <c r="AB19" s="8"/>
      <c r="AC19" s="8"/>
      <c r="AD19" s="10"/>
      <c r="AE19" s="12"/>
      <c r="AF19" s="12"/>
      <c r="AG19" s="12"/>
    </row>
    <row r="20" s="2" customFormat="1" spans="3:33">
      <c r="C20" s="3"/>
      <c r="D20" s="3"/>
      <c r="E20" s="3"/>
      <c r="F20" s="4"/>
      <c r="G20" s="3"/>
      <c r="H20" s="3"/>
      <c r="I20" s="5"/>
      <c r="J20" s="3"/>
      <c r="K20" s="6"/>
      <c r="L20" s="6"/>
      <c r="M20" s="6"/>
      <c r="N20" s="3"/>
      <c r="O20" s="3"/>
      <c r="P20" s="3"/>
      <c r="Q20" s="3"/>
      <c r="R20" s="3"/>
      <c r="S20" s="3"/>
      <c r="T20" s="3"/>
      <c r="U20" s="3"/>
      <c r="V20" s="8"/>
      <c r="W20" s="8"/>
      <c r="X20" s="9"/>
      <c r="Y20" s="10"/>
      <c r="Z20" s="8"/>
      <c r="AA20" s="11"/>
      <c r="AB20" s="8"/>
      <c r="AC20" s="8"/>
      <c r="AD20" s="10"/>
      <c r="AE20" s="12"/>
      <c r="AF20" s="12"/>
      <c r="AG20" s="12"/>
    </row>
    <row r="21" s="2" customFormat="1" spans="3:33">
      <c r="C21" s="3"/>
      <c r="D21" s="3"/>
      <c r="E21" s="3"/>
      <c r="F21" s="4"/>
      <c r="G21" s="3"/>
      <c r="H21" s="3"/>
      <c r="I21" s="5"/>
      <c r="J21" s="3"/>
      <c r="K21" s="6"/>
      <c r="L21" s="6"/>
      <c r="M21" s="6"/>
      <c r="N21" s="3"/>
      <c r="O21" s="3"/>
      <c r="P21" s="3"/>
      <c r="Q21" s="3"/>
      <c r="R21" s="3"/>
      <c r="S21" s="3"/>
      <c r="T21" s="3"/>
      <c r="U21" s="3"/>
      <c r="V21" s="8"/>
      <c r="W21" s="8"/>
      <c r="X21" s="9"/>
      <c r="Y21" s="10"/>
      <c r="Z21" s="8"/>
      <c r="AA21" s="11"/>
      <c r="AB21" s="8"/>
      <c r="AC21" s="8"/>
      <c r="AD21" s="10"/>
      <c r="AE21" s="12"/>
      <c r="AF21" s="12"/>
      <c r="AG21" s="12"/>
    </row>
    <row r="22" s="2" customFormat="1" spans="3:33">
      <c r="C22" s="3"/>
      <c r="D22" s="3"/>
      <c r="E22" s="3"/>
      <c r="F22" s="4"/>
      <c r="G22" s="3"/>
      <c r="H22" s="3"/>
      <c r="I22" s="5"/>
      <c r="J22" s="3"/>
      <c r="K22" s="6"/>
      <c r="L22" s="6"/>
      <c r="M22" s="6"/>
      <c r="N22" s="3"/>
      <c r="O22" s="3"/>
      <c r="P22" s="3"/>
      <c r="Q22" s="3"/>
      <c r="R22" s="3"/>
      <c r="S22" s="3"/>
      <c r="T22" s="3"/>
      <c r="U22" s="3"/>
      <c r="V22" s="8"/>
      <c r="W22" s="8"/>
      <c r="X22" s="9"/>
      <c r="Y22" s="10"/>
      <c r="Z22" s="8"/>
      <c r="AA22" s="11"/>
      <c r="AB22" s="8"/>
      <c r="AC22" s="8"/>
      <c r="AD22" s="10"/>
      <c r="AE22" s="12"/>
      <c r="AF22" s="12"/>
      <c r="AG22" s="12"/>
    </row>
    <row r="23" s="2" customFormat="1" spans="3:33">
      <c r="C23" s="3"/>
      <c r="D23" s="3"/>
      <c r="E23" s="3"/>
      <c r="F23" s="4"/>
      <c r="G23" s="3"/>
      <c r="H23" s="3"/>
      <c r="I23" s="5"/>
      <c r="J23" s="3"/>
      <c r="K23" s="6"/>
      <c r="L23" s="6"/>
      <c r="M23" s="6"/>
      <c r="N23" s="3"/>
      <c r="O23" s="3"/>
      <c r="P23" s="3"/>
      <c r="Q23" s="3"/>
      <c r="R23" s="3"/>
      <c r="S23" s="3"/>
      <c r="T23" s="3"/>
      <c r="U23" s="3"/>
      <c r="V23" s="8"/>
      <c r="W23" s="8"/>
      <c r="X23" s="9"/>
      <c r="Y23" s="10"/>
      <c r="Z23" s="8"/>
      <c r="AA23" s="11"/>
      <c r="AB23" s="8"/>
      <c r="AC23" s="8"/>
      <c r="AD23" s="10"/>
      <c r="AE23" s="12"/>
      <c r="AF23" s="12"/>
      <c r="AG23" s="12"/>
    </row>
    <row r="24" s="2" customFormat="1" spans="3:33">
      <c r="C24" s="3"/>
      <c r="D24" s="3"/>
      <c r="E24" s="3"/>
      <c r="F24" s="4"/>
      <c r="G24" s="3"/>
      <c r="H24" s="3"/>
      <c r="I24" s="5"/>
      <c r="J24" s="3"/>
      <c r="K24" s="6"/>
      <c r="L24" s="6"/>
      <c r="M24" s="6"/>
      <c r="N24" s="3"/>
      <c r="O24" s="3"/>
      <c r="P24" s="3"/>
      <c r="Q24" s="3"/>
      <c r="R24" s="3"/>
      <c r="S24" s="3"/>
      <c r="T24" s="3"/>
      <c r="U24" s="3"/>
      <c r="V24" s="8"/>
      <c r="W24" s="8"/>
      <c r="X24" s="9"/>
      <c r="Y24" s="10"/>
      <c r="Z24" s="8"/>
      <c r="AA24" s="11"/>
      <c r="AB24" s="8"/>
      <c r="AC24" s="8"/>
      <c r="AD24" s="10"/>
      <c r="AE24" s="12"/>
      <c r="AF24" s="12"/>
      <c r="AG24" s="12"/>
    </row>
    <row r="25" s="2" customFormat="1" spans="3:33">
      <c r="C25" s="3"/>
      <c r="D25" s="3"/>
      <c r="E25" s="3"/>
      <c r="F25" s="4"/>
      <c r="G25" s="3"/>
      <c r="H25" s="3"/>
      <c r="I25" s="5"/>
      <c r="J25" s="3"/>
      <c r="K25" s="6"/>
      <c r="L25" s="6"/>
      <c r="M25" s="6"/>
      <c r="N25" s="3"/>
      <c r="O25" s="3"/>
      <c r="P25" s="3"/>
      <c r="Q25" s="3"/>
      <c r="R25" s="3"/>
      <c r="S25" s="3"/>
      <c r="T25" s="3"/>
      <c r="U25" s="3"/>
      <c r="V25" s="8"/>
      <c r="W25" s="8"/>
      <c r="X25" s="9"/>
      <c r="Y25" s="10"/>
      <c r="Z25" s="8"/>
      <c r="AA25" s="11"/>
      <c r="AB25" s="8"/>
      <c r="AC25" s="8"/>
      <c r="AD25" s="10"/>
      <c r="AE25" s="12"/>
      <c r="AF25" s="12"/>
      <c r="AG25" s="12"/>
    </row>
    <row r="26" s="2" customFormat="1" spans="3:33">
      <c r="C26" s="3"/>
      <c r="D26" s="3"/>
      <c r="E26" s="3"/>
      <c r="F26" s="4"/>
      <c r="G26" s="3"/>
      <c r="H26" s="3"/>
      <c r="I26" s="5"/>
      <c r="J26" s="3"/>
      <c r="K26" s="6"/>
      <c r="L26" s="6"/>
      <c r="M26" s="6"/>
      <c r="N26" s="3"/>
      <c r="O26" s="3"/>
      <c r="P26" s="3"/>
      <c r="Q26" s="3"/>
      <c r="R26" s="3"/>
      <c r="S26" s="3"/>
      <c r="T26" s="3"/>
      <c r="U26" s="3"/>
      <c r="V26" s="8"/>
      <c r="W26" s="8"/>
      <c r="X26" s="9"/>
      <c r="Y26" s="10"/>
      <c r="Z26" s="8"/>
      <c r="AA26" s="11"/>
      <c r="AB26" s="8"/>
      <c r="AC26" s="8"/>
      <c r="AD26" s="10"/>
      <c r="AE26" s="12"/>
      <c r="AF26" s="12"/>
      <c r="AG26" s="12"/>
    </row>
    <row r="27" s="2" customFormat="1" spans="3:33">
      <c r="C27" s="3"/>
      <c r="D27" s="3"/>
      <c r="E27" s="3"/>
      <c r="F27" s="4"/>
      <c r="G27" s="3"/>
      <c r="H27" s="3"/>
      <c r="I27" s="5"/>
      <c r="J27" s="3"/>
      <c r="K27" s="6"/>
      <c r="L27" s="6"/>
      <c r="M27" s="6"/>
      <c r="N27" s="3"/>
      <c r="O27" s="3"/>
      <c r="P27" s="3"/>
      <c r="Q27" s="3"/>
      <c r="R27" s="3"/>
      <c r="S27" s="3"/>
      <c r="T27" s="3"/>
      <c r="U27" s="3"/>
      <c r="V27" s="8"/>
      <c r="W27" s="8"/>
      <c r="X27" s="9"/>
      <c r="Y27" s="10"/>
      <c r="Z27" s="8"/>
      <c r="AA27" s="11"/>
      <c r="AB27" s="8"/>
      <c r="AC27" s="8"/>
      <c r="AD27" s="10"/>
      <c r="AE27" s="12"/>
      <c r="AF27" s="12"/>
      <c r="AG27" s="12"/>
    </row>
    <row r="28" s="2" customFormat="1" ht="15.75" spans="3:33">
      <c r="C28" s="3"/>
      <c r="D28" s="3"/>
      <c r="E28" s="3"/>
      <c r="F28" s="4"/>
      <c r="G28" s="3"/>
      <c r="H28" s="3"/>
      <c r="I28" s="5"/>
      <c r="J28" s="3"/>
      <c r="K28" s="6"/>
      <c r="L28" s="6"/>
      <c r="M28" s="6"/>
      <c r="N28" s="3"/>
      <c r="O28" s="3"/>
      <c r="P28" s="63"/>
      <c r="Q28" s="63"/>
      <c r="R28" s="63"/>
      <c r="S28" s="3"/>
      <c r="T28" s="3"/>
      <c r="U28" s="3"/>
      <c r="V28" s="8"/>
      <c r="W28" s="8"/>
      <c r="X28" s="9"/>
      <c r="Y28" s="10"/>
      <c r="Z28" s="8"/>
      <c r="AA28" s="11"/>
      <c r="AB28" s="8"/>
      <c r="AC28" s="8"/>
      <c r="AD28" s="10"/>
      <c r="AE28" s="12"/>
      <c r="AF28" s="12"/>
      <c r="AG28" s="12"/>
    </row>
    <row r="29" s="2" customFormat="1" ht="15.75" spans="3:33">
      <c r="C29" s="3"/>
      <c r="D29" s="3"/>
      <c r="E29" s="3"/>
      <c r="F29" s="4"/>
      <c r="G29" s="3"/>
      <c r="H29" s="3"/>
      <c r="I29" s="5"/>
      <c r="J29" s="3"/>
      <c r="K29" s="6"/>
      <c r="L29" s="6"/>
      <c r="M29" s="6"/>
      <c r="N29" s="3"/>
      <c r="O29" s="3"/>
      <c r="P29" s="63"/>
      <c r="Q29" s="63"/>
      <c r="R29" s="63"/>
      <c r="S29" s="3"/>
      <c r="T29" s="3"/>
      <c r="U29" s="3"/>
      <c r="V29" s="8"/>
      <c r="W29" s="8"/>
      <c r="X29" s="9"/>
      <c r="Y29" s="10"/>
      <c r="Z29" s="8"/>
      <c r="AA29" s="11"/>
      <c r="AB29" s="8"/>
      <c r="AC29" s="8"/>
      <c r="AD29" s="10"/>
      <c r="AE29" s="12"/>
      <c r="AF29" s="12"/>
      <c r="AG29" s="12"/>
    </row>
    <row r="30" s="2" customFormat="1" ht="15.75" spans="3:33">
      <c r="C30" s="3"/>
      <c r="D30" s="3"/>
      <c r="E30" s="3"/>
      <c r="F30" s="4"/>
      <c r="G30" s="3"/>
      <c r="H30" s="3"/>
      <c r="I30" s="5"/>
      <c r="J30" s="3"/>
      <c r="K30" s="6"/>
      <c r="L30" s="6"/>
      <c r="M30" s="6"/>
      <c r="N30" s="3"/>
      <c r="O30" s="3"/>
      <c r="P30" s="64"/>
      <c r="Q30" s="64"/>
      <c r="R30" s="64"/>
      <c r="S30" s="3"/>
      <c r="T30" s="3"/>
      <c r="U30" s="3"/>
      <c r="V30" s="8"/>
      <c r="W30" s="8"/>
      <c r="X30" s="9"/>
      <c r="Y30" s="10"/>
      <c r="Z30" s="8"/>
      <c r="AA30" s="11"/>
      <c r="AB30" s="8"/>
      <c r="AC30" s="8"/>
      <c r="AD30" s="10"/>
      <c r="AE30" s="12"/>
      <c r="AF30" s="12"/>
      <c r="AG30" s="12"/>
    </row>
    <row r="31" s="2" customFormat="1" ht="15.75" spans="3:33">
      <c r="C31" s="3"/>
      <c r="D31" s="3"/>
      <c r="E31" s="3"/>
      <c r="F31" s="4"/>
      <c r="G31" s="3"/>
      <c r="H31" s="3"/>
      <c r="I31" s="5"/>
      <c r="J31" s="3"/>
      <c r="K31" s="6"/>
      <c r="L31" s="6"/>
      <c r="M31" s="6"/>
      <c r="N31" s="3"/>
      <c r="O31" s="3"/>
      <c r="P31" s="64"/>
      <c r="Q31" s="64"/>
      <c r="R31" s="64"/>
      <c r="S31" s="3"/>
      <c r="T31" s="3"/>
      <c r="U31" s="3"/>
      <c r="V31" s="8"/>
      <c r="W31" s="8"/>
      <c r="X31" s="9"/>
      <c r="Y31" s="10"/>
      <c r="Z31" s="8"/>
      <c r="AA31" s="11"/>
      <c r="AB31" s="8"/>
      <c r="AC31" s="8"/>
      <c r="AD31" s="10"/>
      <c r="AE31" s="12"/>
      <c r="AF31" s="12"/>
      <c r="AG31" s="12"/>
    </row>
  </sheetData>
  <mergeCells count="25">
    <mergeCell ref="A2:G2"/>
    <mergeCell ref="J2:O2"/>
    <mergeCell ref="P2:Q2"/>
    <mergeCell ref="S2:T2"/>
    <mergeCell ref="A3:A4"/>
    <mergeCell ref="B3:B4"/>
    <mergeCell ref="C3:C4"/>
    <mergeCell ref="D3:D4"/>
    <mergeCell ref="E3:E4"/>
    <mergeCell ref="F3:F4"/>
    <mergeCell ref="G3:G4"/>
    <mergeCell ref="H3:H4"/>
    <mergeCell ref="I2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2:U4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N28"/>
  <sheetViews>
    <sheetView zoomScale="80" zoomScaleNormal="80" workbookViewId="0">
      <selection activeCell="S26" sqref="S26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8.44166666666667" style="3" customWidth="1"/>
    <col min="4" max="4" width="11.1416666666667" style="3" customWidth="1"/>
    <col min="5" max="5" width="3.25833333333333" style="3" customWidth="1"/>
    <col min="6" max="6" width="5.15" style="4" customWidth="1"/>
    <col min="7" max="7" width="25.7833333333333" style="3" customWidth="1"/>
    <col min="8" max="8" width="39.8416666666667" style="3" customWidth="1"/>
    <col min="9" max="9" width="4.14166666666667" style="3" customWidth="1"/>
    <col min="10" max="10" width="4.14166666666667" style="3" hidden="1" customWidth="1"/>
    <col min="11" max="11" width="4.99166666666667" style="3" hidden="1" customWidth="1"/>
    <col min="12" max="12" width="4.14166666666667" style="3" hidden="1" customWidth="1"/>
    <col min="13" max="13" width="5.93333333333333" style="3" hidden="1" customWidth="1"/>
    <col min="14" max="14" width="20.625" style="3" customWidth="1"/>
    <col min="15" max="15" width="27.3416666666667" style="3" hidden="1" customWidth="1"/>
    <col min="16" max="16" width="56.5583333333333" style="5" hidden="1" customWidth="1"/>
    <col min="17" max="17" width="56.5583333333333" style="3" hidden="1" customWidth="1"/>
    <col min="18" max="20" width="4.14166666666667" style="6" customWidth="1"/>
    <col min="21" max="22" width="4.14166666666667" style="3" customWidth="1"/>
    <col min="23" max="24" width="5.63333333333333" style="7" customWidth="1"/>
    <col min="25" max="25" width="8" style="7" customWidth="1"/>
    <col min="26" max="26" width="11.3833333333333" style="3" customWidth="1"/>
    <col min="27" max="27" width="11.2583333333333" style="3" customWidth="1"/>
    <col min="28" max="28" width="6.14166666666667" style="3" customWidth="1"/>
    <col min="29" max="29" width="5.88333333333333" style="8" customWidth="1"/>
    <col min="30" max="30" width="5.14166666666667" style="8" customWidth="1"/>
    <col min="31" max="31" width="17.6333333333333" style="9" customWidth="1"/>
    <col min="32" max="32" width="5.14166666666667" style="10" customWidth="1"/>
    <col min="33" max="33" width="5.14166666666667" style="8" customWidth="1"/>
    <col min="34" max="34" width="5.14166666666667" style="11" customWidth="1"/>
    <col min="35" max="36" width="5.14166666666667" style="8" customWidth="1"/>
    <col min="37" max="37" width="5.14166666666667" style="10" customWidth="1"/>
    <col min="38" max="40" width="4.14166666666667" style="12" hidden="1" customWidth="1"/>
    <col min="41" max="16384" width="8" style="2"/>
  </cols>
  <sheetData>
    <row r="1" s="2" customFormat="1" ht="13.5" spans="3:39"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5"/>
      <c r="Q1" s="5"/>
      <c r="R1" s="3"/>
      <c r="S1" s="6"/>
      <c r="T1" s="6"/>
      <c r="U1" s="6"/>
      <c r="V1" s="3"/>
      <c r="W1" s="3"/>
      <c r="X1" s="7"/>
      <c r="Y1" s="7"/>
      <c r="Z1" s="7"/>
      <c r="AA1" s="3"/>
      <c r="AB1" s="3"/>
      <c r="AC1" s="8"/>
      <c r="AD1" s="9"/>
      <c r="AE1" s="10"/>
      <c r="AF1" s="8"/>
      <c r="AG1" s="11"/>
      <c r="AH1" s="8"/>
      <c r="AI1" s="8"/>
      <c r="AJ1" s="10"/>
      <c r="AK1" s="12"/>
      <c r="AL1" s="12"/>
      <c r="AM1" s="12"/>
    </row>
    <row r="2" s="2" customFormat="1" ht="18.95" customHeight="1" spans="1:28">
      <c r="A2" s="14" t="s">
        <v>350</v>
      </c>
      <c r="B2" s="13"/>
      <c r="C2" s="13"/>
      <c r="D2" s="13"/>
      <c r="E2" s="13"/>
      <c r="F2" s="13"/>
      <c r="G2" s="13"/>
      <c r="H2" s="14"/>
      <c r="I2" s="87" t="s">
        <v>77</v>
      </c>
      <c r="J2" s="88"/>
      <c r="K2" s="89"/>
      <c r="L2" s="87" t="s">
        <v>78</v>
      </c>
      <c r="M2" s="89"/>
      <c r="N2" s="37" t="s">
        <v>351</v>
      </c>
      <c r="O2" s="38"/>
      <c r="P2" s="90" t="s">
        <v>81</v>
      </c>
      <c r="Q2" s="39"/>
      <c r="R2" s="102" t="s">
        <v>84</v>
      </c>
      <c r="S2" s="102"/>
      <c r="T2" s="102"/>
      <c r="U2" s="102"/>
      <c r="V2" s="102"/>
      <c r="W2" s="102"/>
      <c r="X2" s="103" t="s">
        <v>353</v>
      </c>
      <c r="Y2" s="112"/>
      <c r="Z2" s="55"/>
      <c r="AA2" s="37" t="s">
        <v>85</v>
      </c>
      <c r="AB2" s="38"/>
    </row>
    <row r="3" s="2" customFormat="1" ht="18" customHeight="1" spans="1:28">
      <c r="A3" s="68" t="s">
        <v>89</v>
      </c>
      <c r="B3" s="77" t="s">
        <v>91</v>
      </c>
      <c r="C3" s="78" t="s">
        <v>354</v>
      </c>
      <c r="D3" s="77" t="s">
        <v>90</v>
      </c>
      <c r="E3" s="78" t="s">
        <v>93</v>
      </c>
      <c r="F3" s="78" t="s">
        <v>1314</v>
      </c>
      <c r="G3" s="78" t="s">
        <v>94</v>
      </c>
      <c r="H3" s="68" t="s">
        <v>95</v>
      </c>
      <c r="I3" s="91" t="s">
        <v>97</v>
      </c>
      <c r="J3" s="92" t="s">
        <v>944</v>
      </c>
      <c r="K3" s="92" t="s">
        <v>103</v>
      </c>
      <c r="L3" s="93" t="s">
        <v>100</v>
      </c>
      <c r="M3" s="94" t="s">
        <v>101</v>
      </c>
      <c r="N3" s="43" t="s">
        <v>1315</v>
      </c>
      <c r="O3" s="43" t="s">
        <v>103</v>
      </c>
      <c r="P3" s="44" t="s">
        <v>358</v>
      </c>
      <c r="Q3" s="44" t="s">
        <v>1168</v>
      </c>
      <c r="R3" s="104" t="s">
        <v>113</v>
      </c>
      <c r="S3" s="105" t="s">
        <v>114</v>
      </c>
      <c r="T3" s="106" t="s">
        <v>115</v>
      </c>
      <c r="U3" s="106" t="s">
        <v>116</v>
      </c>
      <c r="V3" s="105" t="s">
        <v>117</v>
      </c>
      <c r="W3" s="105" t="s">
        <v>118</v>
      </c>
      <c r="X3" s="107" t="s">
        <v>111</v>
      </c>
      <c r="Y3" s="107" t="s">
        <v>112</v>
      </c>
      <c r="Z3" s="24" t="s">
        <v>119</v>
      </c>
      <c r="AA3" s="113" t="s">
        <v>120</v>
      </c>
      <c r="AB3" s="114" t="s">
        <v>121</v>
      </c>
    </row>
    <row r="4" s="2" customFormat="1" ht="111.95" customHeight="1" spans="1:39">
      <c r="A4" s="68"/>
      <c r="B4" s="79"/>
      <c r="C4" s="80"/>
      <c r="D4" s="79"/>
      <c r="E4" s="80"/>
      <c r="F4" s="24"/>
      <c r="G4" s="80"/>
      <c r="H4" s="68"/>
      <c r="I4" s="95"/>
      <c r="J4" s="96"/>
      <c r="K4" s="96"/>
      <c r="L4" s="97"/>
      <c r="M4" s="97"/>
      <c r="N4" s="98"/>
      <c r="O4" s="98"/>
      <c r="P4" s="99"/>
      <c r="Q4" s="99"/>
      <c r="R4" s="104"/>
      <c r="S4" s="105"/>
      <c r="T4" s="108"/>
      <c r="U4" s="108"/>
      <c r="V4" s="105"/>
      <c r="W4" s="105"/>
      <c r="X4" s="109"/>
      <c r="Y4" s="109"/>
      <c r="Z4" s="115"/>
      <c r="AA4" s="116"/>
      <c r="AB4" s="117"/>
      <c r="AC4" s="8"/>
      <c r="AD4" s="9"/>
      <c r="AE4" s="10"/>
      <c r="AF4" s="8"/>
      <c r="AG4" s="11"/>
      <c r="AH4" s="8"/>
      <c r="AI4" s="8"/>
      <c r="AJ4" s="10"/>
      <c r="AK4" s="12"/>
      <c r="AL4" s="12"/>
      <c r="AM4" s="12"/>
    </row>
    <row r="5" s="2" customFormat="1" ht="24" hidden="1" customHeight="1" spans="1:39">
      <c r="A5" s="81">
        <v>1</v>
      </c>
      <c r="B5" s="82" t="s">
        <v>1316</v>
      </c>
      <c r="C5" s="32" t="s">
        <v>1317</v>
      </c>
      <c r="D5" s="82"/>
      <c r="E5" s="81">
        <v>1</v>
      </c>
      <c r="F5" s="83" t="s">
        <v>1318</v>
      </c>
      <c r="G5" s="84" t="s">
        <v>1319</v>
      </c>
      <c r="H5" s="28" t="s">
        <v>1320</v>
      </c>
      <c r="I5" s="100" t="s">
        <v>128</v>
      </c>
      <c r="J5" s="100" t="s">
        <v>128</v>
      </c>
      <c r="K5" s="100" t="s">
        <v>128</v>
      </c>
      <c r="L5" s="100" t="s">
        <v>128</v>
      </c>
      <c r="M5" s="100" t="s">
        <v>128</v>
      </c>
      <c r="N5" s="101" t="s">
        <v>1321</v>
      </c>
      <c r="O5" s="101" t="s">
        <v>1322</v>
      </c>
      <c r="P5" s="81" t="str">
        <f>CONCATENATE("VariousArtists_"&amp;RemovePunctuation(H5)&amp;"_i4K_"&amp;B5&amp;"_001.mp3")</f>
        <v>VariousArtists_ONBOARDLOVE_i4K_0624_001.mp3</v>
      </c>
      <c r="Q5" s="81" t="str">
        <f>CONCATENATE("VariousArtists_"&amp;RemovePunctuation(H5)&amp;"_i5K_"&amp;B5&amp;"_001.mpg")</f>
        <v>VariousArtists_ONBOARDLOVE_i5K_0624_001.mpg</v>
      </c>
      <c r="R5" s="110" t="s">
        <v>136</v>
      </c>
      <c r="S5" s="110"/>
      <c r="T5" s="110"/>
      <c r="U5" s="110"/>
      <c r="V5" s="110"/>
      <c r="W5" s="110"/>
      <c r="X5" s="111" t="s">
        <v>135</v>
      </c>
      <c r="Y5" s="111" t="s">
        <v>135</v>
      </c>
      <c r="Z5" s="118">
        <f>ROUNDUP(HOUR(AA5)*60+MINUTE(AA5)+SECOND(AA5)/60,0)</f>
        <v>40</v>
      </c>
      <c r="AA5" s="119">
        <v>0.0277199074074074</v>
      </c>
      <c r="AB5" s="120">
        <f>Z5*60</f>
        <v>2400</v>
      </c>
      <c r="AC5" s="8"/>
      <c r="AD5" s="9"/>
      <c r="AE5" s="10"/>
      <c r="AF5" s="8"/>
      <c r="AG5" s="11"/>
      <c r="AH5" s="8"/>
      <c r="AI5" s="8"/>
      <c r="AJ5" s="10"/>
      <c r="AK5" s="12"/>
      <c r="AL5" s="12"/>
      <c r="AM5" s="12"/>
    </row>
    <row r="6" s="2" customFormat="1" ht="24" hidden="1" customHeight="1" spans="1:39">
      <c r="A6" s="81">
        <v>2</v>
      </c>
      <c r="B6" s="82" t="s">
        <v>1316</v>
      </c>
      <c r="C6" s="32" t="s">
        <v>1317</v>
      </c>
      <c r="D6" s="82"/>
      <c r="E6" s="81">
        <v>2</v>
      </c>
      <c r="F6" s="85"/>
      <c r="G6" s="84" t="s">
        <v>1323</v>
      </c>
      <c r="H6" s="28" t="s">
        <v>1324</v>
      </c>
      <c r="I6" s="100" t="s">
        <v>128</v>
      </c>
      <c r="J6" s="100" t="s">
        <v>128</v>
      </c>
      <c r="K6" s="100" t="s">
        <v>128</v>
      </c>
      <c r="L6" s="100" t="s">
        <v>128</v>
      </c>
      <c r="M6" s="100" t="s">
        <v>128</v>
      </c>
      <c r="N6" s="101" t="s">
        <v>1325</v>
      </c>
      <c r="O6" s="101" t="s">
        <v>1326</v>
      </c>
      <c r="P6" s="81" t="str">
        <f>CONCATENATE("VariousArtists_"&amp;RemovePunctuation(H6)&amp;"_i4K_"&amp;B6&amp;"_001.mp3")</f>
        <v>VariousArtists_DEBOARDLOVE_i4K_0624_001.mp3</v>
      </c>
      <c r="Q6" s="81" t="str">
        <f>CONCATENATE("VariousArtists_"&amp;RemovePunctuation(H6)&amp;"_i5K_"&amp;B6&amp;"_001.mpg")</f>
        <v>VariousArtists_DEBOARDLOVE_i5K_0624_001.mpg</v>
      </c>
      <c r="R6" s="110" t="s">
        <v>136</v>
      </c>
      <c r="S6" s="110"/>
      <c r="T6" s="110"/>
      <c r="U6" s="110"/>
      <c r="V6" s="110"/>
      <c r="W6" s="110"/>
      <c r="X6" s="111" t="s">
        <v>135</v>
      </c>
      <c r="Y6" s="111" t="s">
        <v>135</v>
      </c>
      <c r="Z6" s="118">
        <f>ROUNDUP(HOUR(AA6)*60+MINUTE(AA6)+SECOND(AA6)/60,0)</f>
        <v>43</v>
      </c>
      <c r="AA6" s="119">
        <v>0.0294444444444444</v>
      </c>
      <c r="AB6" s="120">
        <f>Z6*60</f>
        <v>2580</v>
      </c>
      <c r="AC6" s="8"/>
      <c r="AD6" s="9"/>
      <c r="AE6" s="10"/>
      <c r="AF6" s="8"/>
      <c r="AG6" s="11"/>
      <c r="AH6" s="8"/>
      <c r="AI6" s="8"/>
      <c r="AJ6" s="10"/>
      <c r="AK6" s="12"/>
      <c r="AL6" s="12"/>
      <c r="AM6" s="12"/>
    </row>
    <row r="7" s="2" customFormat="1" ht="24" hidden="1" customHeight="1" spans="1:39">
      <c r="A7" s="81">
        <v>3</v>
      </c>
      <c r="B7" s="81" t="s">
        <v>1327</v>
      </c>
      <c r="C7" s="32" t="s">
        <v>1317</v>
      </c>
      <c r="D7" s="82"/>
      <c r="E7" s="81">
        <v>3</v>
      </c>
      <c r="F7" s="86"/>
      <c r="G7" s="84" t="s">
        <v>1328</v>
      </c>
      <c r="H7" s="28" t="s">
        <v>1329</v>
      </c>
      <c r="I7" s="100" t="s">
        <v>128</v>
      </c>
      <c r="J7" s="100" t="s">
        <v>128</v>
      </c>
      <c r="K7" s="100" t="s">
        <v>128</v>
      </c>
      <c r="L7" s="100" t="s">
        <v>128</v>
      </c>
      <c r="M7" s="100" t="s">
        <v>128</v>
      </c>
      <c r="N7" s="101" t="s">
        <v>1330</v>
      </c>
      <c r="O7" s="101" t="s">
        <v>1331</v>
      </c>
      <c r="P7" s="81" t="str">
        <f>CONCATENATE("VariousArtists_"&amp;RemovePunctuation(H7)&amp;"_i4K_"&amp;B7&amp;"_001.mp3")</f>
        <v>VariousArtists_BACKUP_i4K_0424_001.mp3</v>
      </c>
      <c r="Q7" s="81" t="str">
        <f>CONCATENATE("VariousArtists_"&amp;RemovePunctuation(H7)&amp;"_i5K_"&amp;B7&amp;"_001.mpg")</f>
        <v>VariousArtists_BACKUP_i5K_0424_001.mpg</v>
      </c>
      <c r="R7" s="110" t="s">
        <v>136</v>
      </c>
      <c r="S7" s="110"/>
      <c r="T7" s="110"/>
      <c r="U7" s="110"/>
      <c r="V7" s="110"/>
      <c r="W7" s="110"/>
      <c r="X7" s="111" t="s">
        <v>135</v>
      </c>
      <c r="Y7" s="111" t="s">
        <v>135</v>
      </c>
      <c r="Z7" s="118">
        <f>ROUNDUP(HOUR(AA7)*60+MINUTE(AA7)+SECOND(AA7)/60,0)</f>
        <v>46</v>
      </c>
      <c r="AA7" s="119">
        <v>0.0316898148148148</v>
      </c>
      <c r="AB7" s="120">
        <f>Z7*60</f>
        <v>2760</v>
      </c>
      <c r="AC7" s="8"/>
      <c r="AD7" s="9"/>
      <c r="AE7" s="10"/>
      <c r="AF7" s="8"/>
      <c r="AG7" s="11"/>
      <c r="AH7" s="8"/>
      <c r="AI7" s="8"/>
      <c r="AJ7" s="10"/>
      <c r="AK7" s="12"/>
      <c r="AL7" s="12"/>
      <c r="AM7" s="12"/>
    </row>
    <row r="8" s="1" customFormat="1" ht="13.5" spans="23:40">
      <c r="W8" s="3"/>
      <c r="X8" s="3"/>
      <c r="Y8" s="3"/>
      <c r="AC8" s="74"/>
      <c r="AD8" s="74"/>
      <c r="AE8" s="75"/>
      <c r="AF8" s="3"/>
      <c r="AG8" s="74"/>
      <c r="AH8" s="76"/>
      <c r="AI8" s="74"/>
      <c r="AJ8" s="74"/>
      <c r="AK8" s="3"/>
      <c r="AL8" s="5"/>
      <c r="AM8" s="5"/>
      <c r="AN8" s="5"/>
    </row>
    <row r="9" s="2" customFormat="1" spans="3:40">
      <c r="C9" s="3"/>
      <c r="D9" s="3"/>
      <c r="E9" s="3"/>
      <c r="F9" s="4"/>
      <c r="G9" s="3"/>
      <c r="H9" s="3"/>
      <c r="I9" s="3"/>
      <c r="J9" s="3"/>
      <c r="K9" s="3"/>
      <c r="L9" s="3"/>
      <c r="M9" s="3"/>
      <c r="N9" s="3"/>
      <c r="O9" s="3"/>
      <c r="P9" s="5"/>
      <c r="Q9" s="3"/>
      <c r="R9" s="6"/>
      <c r="S9" s="6"/>
      <c r="T9" s="6"/>
      <c r="U9" s="3"/>
      <c r="V9" s="3"/>
      <c r="W9" s="3"/>
      <c r="X9" s="3"/>
      <c r="Y9" s="3"/>
      <c r="Z9" s="3"/>
      <c r="AA9" s="3"/>
      <c r="AB9" s="3"/>
      <c r="AC9" s="8"/>
      <c r="AD9" s="8"/>
      <c r="AE9" s="9"/>
      <c r="AF9" s="10"/>
      <c r="AG9" s="8"/>
      <c r="AH9" s="11"/>
      <c r="AI9" s="8"/>
      <c r="AJ9" s="8"/>
      <c r="AK9" s="10"/>
      <c r="AL9" s="12"/>
      <c r="AM9" s="12"/>
      <c r="AN9" s="12"/>
    </row>
    <row r="10" s="2" customFormat="1" spans="3:40">
      <c r="C10" s="3"/>
      <c r="D10" s="3"/>
      <c r="E10" s="3"/>
      <c r="F10" s="4"/>
      <c r="G10" s="3"/>
      <c r="H10" s="3"/>
      <c r="I10" s="3"/>
      <c r="J10" s="3"/>
      <c r="K10" s="3"/>
      <c r="L10" s="3"/>
      <c r="M10" s="3"/>
      <c r="N10" s="3"/>
      <c r="O10" s="3"/>
      <c r="P10" s="5"/>
      <c r="Q10" s="3"/>
      <c r="R10" s="6"/>
      <c r="S10" s="6"/>
      <c r="T10" s="6"/>
      <c r="U10" s="3"/>
      <c r="V10" s="3"/>
      <c r="W10" s="3"/>
      <c r="X10" s="3"/>
      <c r="Y10" s="3"/>
      <c r="Z10" s="3"/>
      <c r="AA10" s="3"/>
      <c r="AB10" s="3"/>
      <c r="AC10" s="8"/>
      <c r="AD10" s="8"/>
      <c r="AE10" s="9"/>
      <c r="AF10" s="10"/>
      <c r="AG10" s="8"/>
      <c r="AH10" s="11"/>
      <c r="AI10" s="8"/>
      <c r="AJ10" s="8"/>
      <c r="AK10" s="10"/>
      <c r="AL10" s="12"/>
      <c r="AM10" s="12"/>
      <c r="AN10" s="12"/>
    </row>
    <row r="11" s="2" customFormat="1" spans="3:40">
      <c r="C11" s="3"/>
      <c r="D11" s="3"/>
      <c r="E11" s="3"/>
      <c r="F11" s="4"/>
      <c r="G11" s="3"/>
      <c r="H11" s="3"/>
      <c r="I11" s="3"/>
      <c r="J11" s="3"/>
      <c r="K11" s="3"/>
      <c r="L11" s="3"/>
      <c r="M11" s="3"/>
      <c r="N11" s="3"/>
      <c r="O11" s="3"/>
      <c r="P11" s="5"/>
      <c r="Q11" s="3"/>
      <c r="R11" s="6"/>
      <c r="S11" s="6"/>
      <c r="T11" s="6"/>
      <c r="U11" s="3"/>
      <c r="V11" s="3"/>
      <c r="W11" s="3"/>
      <c r="X11" s="3"/>
      <c r="Y11" s="3"/>
      <c r="Z11" s="3"/>
      <c r="AA11" s="3"/>
      <c r="AB11" s="3"/>
      <c r="AC11" s="8"/>
      <c r="AD11" s="8"/>
      <c r="AE11" s="9"/>
      <c r="AF11" s="10"/>
      <c r="AG11" s="8"/>
      <c r="AH11" s="11"/>
      <c r="AI11" s="8"/>
      <c r="AJ11" s="8"/>
      <c r="AK11" s="10"/>
      <c r="AL11" s="12"/>
      <c r="AM11" s="12"/>
      <c r="AN11" s="12"/>
    </row>
    <row r="12" s="2" customFormat="1" spans="3:40">
      <c r="C12" s="3"/>
      <c r="D12" s="3"/>
      <c r="E12" s="3"/>
      <c r="F12" s="4"/>
      <c r="G12" s="3"/>
      <c r="H12" s="3"/>
      <c r="I12" s="3"/>
      <c r="J12" s="3"/>
      <c r="K12" s="3"/>
      <c r="L12" s="3"/>
      <c r="M12" s="3"/>
      <c r="N12" s="3"/>
      <c r="O12" s="3"/>
      <c r="P12" s="5"/>
      <c r="Q12" s="3"/>
      <c r="R12" s="6"/>
      <c r="S12" s="6"/>
      <c r="T12" s="6"/>
      <c r="U12" s="3"/>
      <c r="V12" s="3"/>
      <c r="W12" s="3"/>
      <c r="X12" s="3"/>
      <c r="Y12" s="3"/>
      <c r="Z12" s="3"/>
      <c r="AA12" s="3"/>
      <c r="AB12" s="3"/>
      <c r="AC12" s="8"/>
      <c r="AD12" s="8"/>
      <c r="AE12" s="9"/>
      <c r="AF12" s="10"/>
      <c r="AG12" s="8"/>
      <c r="AH12" s="11"/>
      <c r="AI12" s="8"/>
      <c r="AJ12" s="8"/>
      <c r="AK12" s="10"/>
      <c r="AL12" s="12"/>
      <c r="AM12" s="12"/>
      <c r="AN12" s="12"/>
    </row>
    <row r="13" s="2" customFormat="1" spans="3:40">
      <c r="C13" s="3"/>
      <c r="D13" s="3"/>
      <c r="E13" s="3"/>
      <c r="F13" s="4"/>
      <c r="G13" s="3"/>
      <c r="H13" s="3"/>
      <c r="I13" s="3"/>
      <c r="J13" s="3"/>
      <c r="K13" s="3"/>
      <c r="L13" s="3"/>
      <c r="M13" s="3"/>
      <c r="N13" s="3"/>
      <c r="O13" s="3"/>
      <c r="P13" s="5"/>
      <c r="Q13" s="3"/>
      <c r="R13" s="6"/>
      <c r="S13" s="6"/>
      <c r="T13" s="6"/>
      <c r="U13" s="3"/>
      <c r="V13" s="3"/>
      <c r="W13" s="3"/>
      <c r="X13" s="3"/>
      <c r="Y13" s="3"/>
      <c r="Z13" s="3"/>
      <c r="AA13" s="3"/>
      <c r="AB13" s="3"/>
      <c r="AC13" s="8"/>
      <c r="AD13" s="8"/>
      <c r="AE13" s="9"/>
      <c r="AF13" s="10"/>
      <c r="AG13" s="8"/>
      <c r="AH13" s="11"/>
      <c r="AI13" s="8"/>
      <c r="AJ13" s="8"/>
      <c r="AK13" s="10"/>
      <c r="AL13" s="12"/>
      <c r="AM13" s="12"/>
      <c r="AN13" s="12"/>
    </row>
    <row r="14" s="2" customFormat="1" spans="3:40">
      <c r="C14" s="3"/>
      <c r="D14" s="3"/>
      <c r="E14" s="3"/>
      <c r="F14" s="4"/>
      <c r="G14" s="3"/>
      <c r="H14" s="3"/>
      <c r="I14" s="3"/>
      <c r="J14" s="3"/>
      <c r="K14" s="3"/>
      <c r="L14" s="3"/>
      <c r="M14" s="3"/>
      <c r="N14" s="3"/>
      <c r="O14" s="3"/>
      <c r="P14" s="5"/>
      <c r="Q14" s="3"/>
      <c r="R14" s="6"/>
      <c r="S14" s="6"/>
      <c r="T14" s="6"/>
      <c r="U14" s="3"/>
      <c r="V14" s="3"/>
      <c r="W14" s="3"/>
      <c r="X14" s="3"/>
      <c r="Y14" s="3"/>
      <c r="Z14" s="3"/>
      <c r="AA14" s="3"/>
      <c r="AB14" s="3"/>
      <c r="AC14" s="8"/>
      <c r="AD14" s="8"/>
      <c r="AE14" s="9"/>
      <c r="AF14" s="10"/>
      <c r="AG14" s="8"/>
      <c r="AH14" s="11"/>
      <c r="AI14" s="8"/>
      <c r="AJ14" s="8"/>
      <c r="AK14" s="10"/>
      <c r="AL14" s="12"/>
      <c r="AM14" s="12"/>
      <c r="AN14" s="12"/>
    </row>
    <row r="15" s="2" customFormat="1" spans="3:40">
      <c r="C15" s="3"/>
      <c r="D15" s="3"/>
      <c r="E15" s="3"/>
      <c r="F15" s="4"/>
      <c r="G15" s="3"/>
      <c r="H15" s="3"/>
      <c r="I15" s="3"/>
      <c r="J15" s="3"/>
      <c r="K15" s="3"/>
      <c r="L15" s="3"/>
      <c r="M15" s="3"/>
      <c r="N15" s="3"/>
      <c r="O15" s="3"/>
      <c r="P15" s="5"/>
      <c r="Q15" s="3"/>
      <c r="R15" s="6"/>
      <c r="S15" s="6"/>
      <c r="T15" s="6"/>
      <c r="U15" s="3"/>
      <c r="V15" s="3"/>
      <c r="W15" s="3"/>
      <c r="X15" s="3"/>
      <c r="Y15" s="3"/>
      <c r="Z15" s="3"/>
      <c r="AA15" s="3"/>
      <c r="AB15" s="3"/>
      <c r="AC15" s="8"/>
      <c r="AD15" s="8"/>
      <c r="AE15" s="9"/>
      <c r="AF15" s="10"/>
      <c r="AG15" s="8"/>
      <c r="AH15" s="11"/>
      <c r="AI15" s="8"/>
      <c r="AJ15" s="8"/>
      <c r="AK15" s="10"/>
      <c r="AL15" s="12"/>
      <c r="AM15" s="12"/>
      <c r="AN15" s="12"/>
    </row>
    <row r="16" s="2" customFormat="1" spans="3:40">
      <c r="C16" s="3"/>
      <c r="D16" s="3"/>
      <c r="E16" s="3"/>
      <c r="F16" s="4"/>
      <c r="G16" s="3"/>
      <c r="H16" s="3"/>
      <c r="I16" s="3"/>
      <c r="J16" s="3"/>
      <c r="K16" s="3"/>
      <c r="L16" s="3"/>
      <c r="M16" s="3"/>
      <c r="N16" s="3"/>
      <c r="O16" s="3"/>
      <c r="P16" s="5"/>
      <c r="Q16" s="3"/>
      <c r="R16" s="6"/>
      <c r="S16" s="6"/>
      <c r="T16" s="6"/>
      <c r="U16" s="3"/>
      <c r="V16" s="3"/>
      <c r="W16" s="3"/>
      <c r="X16" s="3"/>
      <c r="Y16" s="3"/>
      <c r="Z16" s="3"/>
      <c r="AA16" s="3"/>
      <c r="AB16" s="3"/>
      <c r="AC16" s="8"/>
      <c r="AD16" s="8"/>
      <c r="AE16" s="9"/>
      <c r="AF16" s="10"/>
      <c r="AG16" s="8"/>
      <c r="AH16" s="11"/>
      <c r="AI16" s="8"/>
      <c r="AJ16" s="8"/>
      <c r="AK16" s="10"/>
      <c r="AL16" s="12"/>
      <c r="AM16" s="12"/>
      <c r="AN16" s="12"/>
    </row>
    <row r="17" s="2" customFormat="1" spans="3:40">
      <c r="C17" s="3"/>
      <c r="D17" s="3"/>
      <c r="E17" s="3"/>
      <c r="F17" s="4"/>
      <c r="G17" s="3"/>
      <c r="H17" s="3"/>
      <c r="I17" s="3"/>
      <c r="J17" s="3"/>
      <c r="K17" s="3"/>
      <c r="L17" s="3"/>
      <c r="M17" s="3"/>
      <c r="N17" s="3"/>
      <c r="O17" s="3"/>
      <c r="P17" s="5"/>
      <c r="Q17" s="3"/>
      <c r="R17" s="6"/>
      <c r="S17" s="6"/>
      <c r="T17" s="6"/>
      <c r="U17" s="3"/>
      <c r="V17" s="3"/>
      <c r="W17" s="3"/>
      <c r="X17" s="3"/>
      <c r="Y17" s="3"/>
      <c r="Z17" s="3"/>
      <c r="AA17" s="3"/>
      <c r="AB17" s="3"/>
      <c r="AC17" s="8"/>
      <c r="AD17" s="8"/>
      <c r="AE17" s="9"/>
      <c r="AF17" s="10"/>
      <c r="AG17" s="8"/>
      <c r="AH17" s="11"/>
      <c r="AI17" s="8"/>
      <c r="AJ17" s="8"/>
      <c r="AK17" s="10"/>
      <c r="AL17" s="12"/>
      <c r="AM17" s="12"/>
      <c r="AN17" s="12"/>
    </row>
    <row r="18" s="2" customFormat="1" spans="3:40">
      <c r="C18" s="3"/>
      <c r="D18" s="3"/>
      <c r="E18" s="3"/>
      <c r="F18" s="4"/>
      <c r="G18" s="3"/>
      <c r="H18" s="3"/>
      <c r="I18" s="3"/>
      <c r="J18" s="3"/>
      <c r="K18" s="3"/>
      <c r="L18" s="3"/>
      <c r="M18" s="3"/>
      <c r="N18" s="3"/>
      <c r="O18" s="3"/>
      <c r="P18" s="5"/>
      <c r="Q18" s="3"/>
      <c r="R18" s="6"/>
      <c r="S18" s="6"/>
      <c r="T18" s="6"/>
      <c r="U18" s="3"/>
      <c r="V18" s="3"/>
      <c r="W18" s="3"/>
      <c r="X18" s="3"/>
      <c r="Y18" s="3"/>
      <c r="Z18" s="3"/>
      <c r="AA18" s="3"/>
      <c r="AB18" s="3"/>
      <c r="AC18" s="8"/>
      <c r="AD18" s="8"/>
      <c r="AE18" s="9"/>
      <c r="AF18" s="10"/>
      <c r="AG18" s="8"/>
      <c r="AH18" s="11"/>
      <c r="AI18" s="8"/>
      <c r="AJ18" s="8"/>
      <c r="AK18" s="10"/>
      <c r="AL18" s="12"/>
      <c r="AM18" s="12"/>
      <c r="AN18" s="12"/>
    </row>
    <row r="19" s="2" customFormat="1" spans="3:40">
      <c r="C19" s="3"/>
      <c r="D19" s="3"/>
      <c r="E19" s="3"/>
      <c r="F19" s="4"/>
      <c r="G19" s="3"/>
      <c r="H19" s="3"/>
      <c r="I19" s="3"/>
      <c r="J19" s="3"/>
      <c r="K19" s="3"/>
      <c r="L19" s="3"/>
      <c r="M19" s="3"/>
      <c r="N19" s="3"/>
      <c r="O19" s="3"/>
      <c r="P19" s="5"/>
      <c r="Q19" s="3"/>
      <c r="R19" s="6"/>
      <c r="S19" s="6"/>
      <c r="T19" s="6"/>
      <c r="U19" s="3"/>
      <c r="V19" s="3"/>
      <c r="W19" s="3"/>
      <c r="X19" s="3"/>
      <c r="Y19" s="3"/>
      <c r="Z19" s="3"/>
      <c r="AA19" s="3"/>
      <c r="AB19" s="3"/>
      <c r="AC19" s="8"/>
      <c r="AD19" s="8"/>
      <c r="AE19" s="9"/>
      <c r="AF19" s="10"/>
      <c r="AG19" s="8"/>
      <c r="AH19" s="11"/>
      <c r="AI19" s="8"/>
      <c r="AJ19" s="8"/>
      <c r="AK19" s="10"/>
      <c r="AL19" s="12"/>
      <c r="AM19" s="12"/>
      <c r="AN19" s="12"/>
    </row>
    <row r="20" s="2" customFormat="1" spans="3:40">
      <c r="C20" s="3"/>
      <c r="D20" s="3"/>
      <c r="E20" s="3"/>
      <c r="F20" s="4"/>
      <c r="G20" s="3"/>
      <c r="H20" s="3"/>
      <c r="I20" s="3"/>
      <c r="J20" s="3"/>
      <c r="K20" s="3"/>
      <c r="L20" s="3"/>
      <c r="M20" s="3"/>
      <c r="N20" s="3"/>
      <c r="O20" s="3"/>
      <c r="P20" s="5"/>
      <c r="Q20" s="3"/>
      <c r="R20" s="6"/>
      <c r="S20" s="6"/>
      <c r="T20" s="6"/>
      <c r="U20" s="3"/>
      <c r="V20" s="3"/>
      <c r="W20" s="3"/>
      <c r="X20" s="3"/>
      <c r="Y20" s="3"/>
      <c r="Z20" s="3"/>
      <c r="AA20" s="3"/>
      <c r="AB20" s="3"/>
      <c r="AC20" s="8"/>
      <c r="AD20" s="8"/>
      <c r="AE20" s="9"/>
      <c r="AF20" s="10"/>
      <c r="AG20" s="8"/>
      <c r="AH20" s="11"/>
      <c r="AI20" s="8"/>
      <c r="AJ20" s="8"/>
      <c r="AK20" s="10"/>
      <c r="AL20" s="12"/>
      <c r="AM20" s="12"/>
      <c r="AN20" s="12"/>
    </row>
    <row r="21" s="2" customFormat="1" spans="3:40">
      <c r="C21" s="3"/>
      <c r="D21" s="3"/>
      <c r="E21" s="3"/>
      <c r="F21" s="4"/>
      <c r="G21" s="3"/>
      <c r="H21" s="3"/>
      <c r="I21" s="3"/>
      <c r="J21" s="3"/>
      <c r="K21" s="3"/>
      <c r="L21" s="3"/>
      <c r="M21" s="3"/>
      <c r="N21" s="3"/>
      <c r="O21" s="3"/>
      <c r="P21" s="5"/>
      <c r="Q21" s="3"/>
      <c r="R21" s="6"/>
      <c r="S21" s="6"/>
      <c r="T21" s="6"/>
      <c r="U21" s="3"/>
      <c r="V21" s="3"/>
      <c r="W21" s="3"/>
      <c r="X21" s="3"/>
      <c r="Y21" s="3"/>
      <c r="Z21" s="3"/>
      <c r="AA21" s="3"/>
      <c r="AB21" s="3"/>
      <c r="AC21" s="8"/>
      <c r="AD21" s="8"/>
      <c r="AE21" s="9"/>
      <c r="AF21" s="10"/>
      <c r="AG21" s="8"/>
      <c r="AH21" s="11"/>
      <c r="AI21" s="8"/>
      <c r="AJ21" s="8"/>
      <c r="AK21" s="10"/>
      <c r="AL21" s="12"/>
      <c r="AM21" s="12"/>
      <c r="AN21" s="12"/>
    </row>
    <row r="22" s="2" customFormat="1" spans="3:40">
      <c r="C22" s="3"/>
      <c r="D22" s="3"/>
      <c r="E22" s="3"/>
      <c r="F22" s="4"/>
      <c r="G22" s="3"/>
      <c r="H22" s="3"/>
      <c r="I22" s="3"/>
      <c r="J22" s="3"/>
      <c r="K22" s="3"/>
      <c r="L22" s="3"/>
      <c r="M22" s="3"/>
      <c r="N22" s="3"/>
      <c r="O22" s="3"/>
      <c r="P22" s="5"/>
      <c r="Q22" s="3"/>
      <c r="R22" s="6"/>
      <c r="S22" s="6"/>
      <c r="T22" s="6"/>
      <c r="U22" s="3"/>
      <c r="V22" s="3"/>
      <c r="W22" s="3"/>
      <c r="X22" s="3"/>
      <c r="Y22" s="3"/>
      <c r="Z22" s="3"/>
      <c r="AA22" s="3"/>
      <c r="AB22" s="3"/>
      <c r="AC22" s="8"/>
      <c r="AD22" s="8"/>
      <c r="AE22" s="9"/>
      <c r="AF22" s="10"/>
      <c r="AG22" s="8"/>
      <c r="AH22" s="11"/>
      <c r="AI22" s="8"/>
      <c r="AJ22" s="8"/>
      <c r="AK22" s="10"/>
      <c r="AL22" s="12"/>
      <c r="AM22" s="12"/>
      <c r="AN22" s="12"/>
    </row>
    <row r="23" s="2" customFormat="1" spans="3:40">
      <c r="C23" s="3"/>
      <c r="D23" s="3"/>
      <c r="E23" s="3"/>
      <c r="F23" s="4"/>
      <c r="G23" s="3"/>
      <c r="H23" s="3"/>
      <c r="I23" s="3"/>
      <c r="J23" s="3"/>
      <c r="K23" s="3"/>
      <c r="L23" s="3"/>
      <c r="M23" s="3"/>
      <c r="N23" s="3"/>
      <c r="O23" s="3"/>
      <c r="P23" s="5"/>
      <c r="Q23" s="3"/>
      <c r="R23" s="6"/>
      <c r="S23" s="6"/>
      <c r="T23" s="6"/>
      <c r="U23" s="3"/>
      <c r="V23" s="3"/>
      <c r="W23" s="3"/>
      <c r="X23" s="3"/>
      <c r="Y23" s="3"/>
      <c r="Z23" s="3"/>
      <c r="AA23" s="3"/>
      <c r="AB23" s="3"/>
      <c r="AC23" s="8"/>
      <c r="AD23" s="8"/>
      <c r="AE23" s="9"/>
      <c r="AF23" s="10"/>
      <c r="AG23" s="8"/>
      <c r="AH23" s="11"/>
      <c r="AI23" s="8"/>
      <c r="AJ23" s="8"/>
      <c r="AK23" s="10"/>
      <c r="AL23" s="12"/>
      <c r="AM23" s="12"/>
      <c r="AN23" s="12"/>
    </row>
    <row r="24" s="2" customFormat="1" spans="3:40">
      <c r="C24" s="3"/>
      <c r="D24" s="3"/>
      <c r="E24" s="3"/>
      <c r="F24" s="4"/>
      <c r="G24" s="3"/>
      <c r="H24" s="3"/>
      <c r="I24" s="3"/>
      <c r="J24" s="3"/>
      <c r="K24" s="3"/>
      <c r="L24" s="3"/>
      <c r="M24" s="3"/>
      <c r="N24" s="3"/>
      <c r="O24" s="3"/>
      <c r="P24" s="5"/>
      <c r="Q24" s="3"/>
      <c r="R24" s="6"/>
      <c r="S24" s="6"/>
      <c r="T24" s="6"/>
      <c r="U24" s="3"/>
      <c r="V24" s="3"/>
      <c r="W24" s="3"/>
      <c r="X24" s="3"/>
      <c r="Y24" s="3"/>
      <c r="Z24" s="3"/>
      <c r="AA24" s="3"/>
      <c r="AB24" s="3"/>
      <c r="AC24" s="8"/>
      <c r="AD24" s="8"/>
      <c r="AE24" s="9"/>
      <c r="AF24" s="10"/>
      <c r="AG24" s="8"/>
      <c r="AH24" s="11"/>
      <c r="AI24" s="8"/>
      <c r="AJ24" s="8"/>
      <c r="AK24" s="10"/>
      <c r="AL24" s="12"/>
      <c r="AM24" s="12"/>
      <c r="AN24" s="12"/>
    </row>
    <row r="25" s="2" customFormat="1" ht="15.75" spans="3:40">
      <c r="C25" s="3"/>
      <c r="D25" s="3"/>
      <c r="E25" s="3"/>
      <c r="F25" s="4"/>
      <c r="G25" s="3"/>
      <c r="H25" s="3"/>
      <c r="I25" s="3"/>
      <c r="J25" s="3"/>
      <c r="K25" s="3"/>
      <c r="L25" s="3"/>
      <c r="M25" s="3"/>
      <c r="N25" s="3"/>
      <c r="O25" s="3"/>
      <c r="P25" s="5"/>
      <c r="Q25" s="3"/>
      <c r="R25" s="6"/>
      <c r="S25" s="6"/>
      <c r="T25" s="6"/>
      <c r="U25" s="3"/>
      <c r="V25" s="3"/>
      <c r="W25" s="63"/>
      <c r="X25" s="63"/>
      <c r="Y25" s="63"/>
      <c r="Z25" s="3"/>
      <c r="AA25" s="3"/>
      <c r="AB25" s="3"/>
      <c r="AC25" s="8"/>
      <c r="AD25" s="8"/>
      <c r="AE25" s="9"/>
      <c r="AF25" s="10"/>
      <c r="AG25" s="8"/>
      <c r="AH25" s="11"/>
      <c r="AI25" s="8"/>
      <c r="AJ25" s="8"/>
      <c r="AK25" s="10"/>
      <c r="AL25" s="12"/>
      <c r="AM25" s="12"/>
      <c r="AN25" s="12"/>
    </row>
    <row r="26" s="2" customFormat="1" ht="15.75" spans="3:40">
      <c r="C26" s="3"/>
      <c r="D26" s="3"/>
      <c r="E26" s="3"/>
      <c r="F26" s="4"/>
      <c r="G26" s="3"/>
      <c r="H26" s="3"/>
      <c r="I26" s="3"/>
      <c r="J26" s="3"/>
      <c r="K26" s="3"/>
      <c r="L26" s="3"/>
      <c r="M26" s="3"/>
      <c r="N26" s="3"/>
      <c r="O26" s="3"/>
      <c r="P26" s="5"/>
      <c r="Q26" s="3"/>
      <c r="R26" s="6"/>
      <c r="S26" s="6"/>
      <c r="T26" s="6"/>
      <c r="U26" s="3"/>
      <c r="V26" s="3"/>
      <c r="W26" s="63"/>
      <c r="X26" s="63"/>
      <c r="Y26" s="63"/>
      <c r="Z26" s="3"/>
      <c r="AA26" s="3"/>
      <c r="AB26" s="3"/>
      <c r="AC26" s="8"/>
      <c r="AD26" s="8"/>
      <c r="AE26" s="9"/>
      <c r="AF26" s="10"/>
      <c r="AG26" s="8"/>
      <c r="AH26" s="11"/>
      <c r="AI26" s="8"/>
      <c r="AJ26" s="8"/>
      <c r="AK26" s="10"/>
      <c r="AL26" s="12"/>
      <c r="AM26" s="12"/>
      <c r="AN26" s="12"/>
    </row>
    <row r="27" s="2" customFormat="1" ht="15.75" spans="3:40">
      <c r="C27" s="3"/>
      <c r="D27" s="3"/>
      <c r="E27" s="3"/>
      <c r="F27" s="4"/>
      <c r="G27" s="3"/>
      <c r="H27" s="3"/>
      <c r="I27" s="3"/>
      <c r="J27" s="3"/>
      <c r="K27" s="3"/>
      <c r="L27" s="3"/>
      <c r="M27" s="3"/>
      <c r="N27" s="3"/>
      <c r="O27" s="3"/>
      <c r="P27" s="5"/>
      <c r="Q27" s="3"/>
      <c r="R27" s="6"/>
      <c r="S27" s="6"/>
      <c r="T27" s="6"/>
      <c r="U27" s="3"/>
      <c r="V27" s="3"/>
      <c r="W27" s="64"/>
      <c r="X27" s="64"/>
      <c r="Y27" s="64"/>
      <c r="Z27" s="3"/>
      <c r="AA27" s="3"/>
      <c r="AB27" s="3"/>
      <c r="AC27" s="8"/>
      <c r="AD27" s="8"/>
      <c r="AE27" s="9"/>
      <c r="AF27" s="10"/>
      <c r="AG27" s="8"/>
      <c r="AH27" s="11"/>
      <c r="AI27" s="8"/>
      <c r="AJ27" s="8"/>
      <c r="AK27" s="10"/>
      <c r="AL27" s="12"/>
      <c r="AM27" s="12"/>
      <c r="AN27" s="12"/>
    </row>
    <row r="28" s="2" customFormat="1" ht="15.75" spans="3:40">
      <c r="C28" s="3"/>
      <c r="D28" s="3"/>
      <c r="E28" s="3"/>
      <c r="F28" s="4"/>
      <c r="G28" s="3"/>
      <c r="H28" s="3"/>
      <c r="I28" s="3"/>
      <c r="J28" s="3"/>
      <c r="K28" s="3"/>
      <c r="L28" s="3"/>
      <c r="M28" s="3"/>
      <c r="N28" s="3"/>
      <c r="O28" s="3"/>
      <c r="P28" s="5"/>
      <c r="Q28" s="3"/>
      <c r="R28" s="6"/>
      <c r="S28" s="6"/>
      <c r="T28" s="6"/>
      <c r="U28" s="3"/>
      <c r="V28" s="3"/>
      <c r="W28" s="64"/>
      <c r="X28" s="64"/>
      <c r="Y28" s="64"/>
      <c r="Z28" s="3"/>
      <c r="AA28" s="3"/>
      <c r="AB28" s="3"/>
      <c r="AC28" s="8"/>
      <c r="AD28" s="8"/>
      <c r="AE28" s="9"/>
      <c r="AF28" s="10"/>
      <c r="AG28" s="8"/>
      <c r="AH28" s="11"/>
      <c r="AI28" s="8"/>
      <c r="AJ28" s="8"/>
      <c r="AK28" s="10"/>
      <c r="AL28" s="12"/>
      <c r="AM28" s="12"/>
      <c r="AN28" s="12"/>
    </row>
  </sheetData>
  <mergeCells count="37">
    <mergeCell ref="A2:H2"/>
    <mergeCell ref="I2:K2"/>
    <mergeCell ref="L2:M2"/>
    <mergeCell ref="N2:O2"/>
    <mergeCell ref="P2:Q2"/>
    <mergeCell ref="R2:W2"/>
    <mergeCell ref="X2:Y2"/>
    <mergeCell ref="AA2:AB2"/>
    <mergeCell ref="A3:A4"/>
    <mergeCell ref="B3:B4"/>
    <mergeCell ref="C3:C4"/>
    <mergeCell ref="D3:D4"/>
    <mergeCell ref="E3:E4"/>
    <mergeCell ref="F3:F4"/>
    <mergeCell ref="F5:F7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M28"/>
  <sheetViews>
    <sheetView zoomScale="80" zoomScaleNormal="80" workbookViewId="0">
      <selection activeCell="F22" sqref="F22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27.3416666666667" style="4" customWidth="1"/>
    <col min="7" max="7" width="38.9" style="3" customWidth="1"/>
    <col min="8" max="10" width="4.14166666666667" style="3" customWidth="1"/>
    <col min="11" max="11" width="4.99166666666667" style="3" customWidth="1"/>
    <col min="12" max="12" width="4.14166666666667" style="3" customWidth="1"/>
    <col min="13" max="13" width="23.7416666666667" style="3" customWidth="1"/>
    <col min="14" max="14" width="25.4666666666667" style="3" customWidth="1"/>
    <col min="15" max="15" width="51.0833333333333" style="5" customWidth="1"/>
    <col min="16" max="16" width="4.14166666666667" style="3" customWidth="1"/>
    <col min="17" max="19" width="4.14166666666667" style="6" customWidth="1"/>
    <col min="20" max="21" width="4.14166666666667" style="3" customWidth="1"/>
    <col min="22" max="23" width="5.63333333333333" style="7" customWidth="1"/>
    <col min="24" max="24" width="8" style="7" customWidth="1"/>
    <col min="25" max="25" width="11.3833333333333" style="3" customWidth="1"/>
    <col min="26" max="26" width="11.2583333333333" style="3" customWidth="1"/>
    <col min="27" max="27" width="6.14166666666667" style="3" customWidth="1"/>
    <col min="28" max="28" width="5.88333333333333" style="8" customWidth="1"/>
    <col min="29" max="29" width="5.14166666666667" style="8" customWidth="1"/>
    <col min="30" max="30" width="17.6333333333333" style="9" customWidth="1"/>
    <col min="31" max="31" width="5.14166666666667" style="10" customWidth="1"/>
    <col min="32" max="32" width="5.14166666666667" style="8" customWidth="1"/>
    <col min="33" max="33" width="5.14166666666667" style="11" customWidth="1"/>
    <col min="34" max="35" width="5.14166666666667" style="8" customWidth="1"/>
    <col min="36" max="36" width="5.14166666666667" style="10" customWidth="1"/>
    <col min="37" max="39" width="4.14166666666667" style="12" hidden="1" customWidth="1"/>
    <col min="40" max="16384" width="8" style="2"/>
  </cols>
  <sheetData>
    <row r="1" ht="13.5"/>
    <row r="2" ht="18.95" customHeight="1" spans="1:39">
      <c r="A2" s="13" t="s">
        <v>350</v>
      </c>
      <c r="B2" s="13"/>
      <c r="C2" s="13"/>
      <c r="D2" s="13"/>
      <c r="E2" s="13"/>
      <c r="F2" s="13"/>
      <c r="G2" s="14"/>
      <c r="H2" s="15" t="s">
        <v>77</v>
      </c>
      <c r="I2" s="35"/>
      <c r="J2" s="36"/>
      <c r="K2" s="15" t="s">
        <v>78</v>
      </c>
      <c r="L2" s="36"/>
      <c r="M2" s="37" t="s">
        <v>351</v>
      </c>
      <c r="N2" s="38"/>
      <c r="O2" s="39" t="s">
        <v>81</v>
      </c>
      <c r="P2" s="40" t="s">
        <v>84</v>
      </c>
      <c r="Q2" s="40"/>
      <c r="R2" s="40"/>
      <c r="S2" s="40"/>
      <c r="T2" s="40"/>
      <c r="U2" s="40"/>
      <c r="V2" s="53" t="s">
        <v>353</v>
      </c>
      <c r="W2" s="54"/>
      <c r="X2" s="55"/>
      <c r="Y2" s="65" t="s">
        <v>85</v>
      </c>
      <c r="Z2" s="65"/>
      <c r="AA2" s="66" t="s">
        <v>86</v>
      </c>
      <c r="AB2" s="67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ht="18" customHeight="1" spans="1:39">
      <c r="A3" s="16" t="s">
        <v>89</v>
      </c>
      <c r="B3" s="17" t="s">
        <v>91</v>
      </c>
      <c r="C3" s="18" t="s">
        <v>354</v>
      </c>
      <c r="D3" s="17" t="s">
        <v>90</v>
      </c>
      <c r="E3" s="18" t="s">
        <v>93</v>
      </c>
      <c r="F3" s="19" t="s">
        <v>94</v>
      </c>
      <c r="G3" s="20" t="s">
        <v>95</v>
      </c>
      <c r="H3" s="21" t="s">
        <v>97</v>
      </c>
      <c r="I3" s="27" t="s">
        <v>944</v>
      </c>
      <c r="J3" s="27" t="s">
        <v>103</v>
      </c>
      <c r="K3" s="41" t="s">
        <v>100</v>
      </c>
      <c r="L3" s="42" t="s">
        <v>101</v>
      </c>
      <c r="M3" s="43" t="s">
        <v>102</v>
      </c>
      <c r="N3" s="43" t="s">
        <v>103</v>
      </c>
      <c r="O3" s="44" t="s">
        <v>106</v>
      </c>
      <c r="P3" s="45" t="s">
        <v>113</v>
      </c>
      <c r="Q3" s="56" t="s">
        <v>114</v>
      </c>
      <c r="R3" s="57" t="s">
        <v>115</v>
      </c>
      <c r="S3" s="57" t="s">
        <v>116</v>
      </c>
      <c r="T3" s="56" t="s">
        <v>117</v>
      </c>
      <c r="U3" s="56" t="s">
        <v>118</v>
      </c>
      <c r="V3" s="58" t="s">
        <v>111</v>
      </c>
      <c r="W3" s="58" t="s">
        <v>112</v>
      </c>
      <c r="X3" s="24" t="s">
        <v>119</v>
      </c>
      <c r="Y3" s="68" t="s">
        <v>120</v>
      </c>
      <c r="Z3" s="69" t="s">
        <v>121</v>
      </c>
      <c r="AA3" s="70" t="s">
        <v>1332</v>
      </c>
      <c r="AB3" s="70" t="s">
        <v>1333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ht="111.95" customHeight="1" spans="1:28">
      <c r="A4" s="22"/>
      <c r="B4" s="23"/>
      <c r="C4" s="24"/>
      <c r="D4" s="23"/>
      <c r="E4" s="24"/>
      <c r="F4" s="25"/>
      <c r="G4" s="26"/>
      <c r="H4" s="27"/>
      <c r="I4" s="27"/>
      <c r="J4" s="27"/>
      <c r="K4" s="42"/>
      <c r="L4" s="42"/>
      <c r="M4" s="46"/>
      <c r="N4" s="46"/>
      <c r="O4" s="47"/>
      <c r="P4" s="48"/>
      <c r="Q4" s="57"/>
      <c r="R4" s="59"/>
      <c r="S4" s="59"/>
      <c r="T4" s="57"/>
      <c r="U4" s="57"/>
      <c r="V4" s="60"/>
      <c r="W4" s="60"/>
      <c r="X4" s="23"/>
      <c r="Y4" s="24"/>
      <c r="Z4" s="71"/>
      <c r="AA4" s="70"/>
      <c r="AB4" s="70"/>
    </row>
    <row r="5" ht="28" hidden="1" customHeight="1" spans="1:28">
      <c r="A5" s="28">
        <v>1</v>
      </c>
      <c r="B5" s="29" t="s">
        <v>1327</v>
      </c>
      <c r="C5" s="30" t="s">
        <v>1334</v>
      </c>
      <c r="D5" s="29"/>
      <c r="E5" s="28"/>
      <c r="F5" s="28" t="s">
        <v>1335</v>
      </c>
      <c r="G5" s="28" t="s">
        <v>1336</v>
      </c>
      <c r="H5" s="31" t="s">
        <v>128</v>
      </c>
      <c r="I5" s="31" t="s">
        <v>128</v>
      </c>
      <c r="J5" s="31" t="s">
        <v>128</v>
      </c>
      <c r="K5" s="31" t="s">
        <v>128</v>
      </c>
      <c r="L5" s="31" t="s">
        <v>128</v>
      </c>
      <c r="M5" s="49" t="s">
        <v>1337</v>
      </c>
      <c r="N5" s="50" t="s">
        <v>1337</v>
      </c>
      <c r="O5" s="51" t="str">
        <f>CONCATENATE(RemovePunctuation(G5),"_",B5,"_",AA5,"_",PROPER(P5),IF(Q5="",PROPER(P5),PROPER(Q5)),PROPER(R5),PROPER(S5),PROPER(T5),IF(T5&lt;&gt;"","SUB",""),PROPER(U5),IF(U5&lt;&gt;"","SUB",""),"_","Ed","_","M2",".mpg")</f>
        <v>01CA0424VideoBGM_0424_169_EngZho_Ed_M2.mpg</v>
      </c>
      <c r="P5" s="52" t="s">
        <v>137</v>
      </c>
      <c r="Q5" s="52" t="s">
        <v>136</v>
      </c>
      <c r="R5" s="52"/>
      <c r="S5" s="52"/>
      <c r="T5" s="52"/>
      <c r="U5" s="52"/>
      <c r="V5" s="61" t="s">
        <v>135</v>
      </c>
      <c r="W5" s="61" t="s">
        <v>135</v>
      </c>
      <c r="X5" s="62">
        <f>ROUNDUP(HOUR(Y5)*60+MINUTE(Y5)+SECOND(Y5)/60,0)</f>
        <v>0</v>
      </c>
      <c r="Y5" s="72"/>
      <c r="Z5" s="62">
        <f>X5*60</f>
        <v>0</v>
      </c>
      <c r="AA5" s="73">
        <v>169</v>
      </c>
      <c r="AB5" s="73">
        <v>43</v>
      </c>
    </row>
    <row r="6" ht="28" customHeight="1" spans="1:28">
      <c r="A6" s="28"/>
      <c r="B6" s="29"/>
      <c r="C6" s="32"/>
      <c r="D6" s="29"/>
      <c r="E6" s="28"/>
      <c r="F6" s="33"/>
      <c r="G6" s="28"/>
      <c r="H6" s="31"/>
      <c r="I6" s="31"/>
      <c r="J6" s="31"/>
      <c r="K6" s="31"/>
      <c r="L6" s="31"/>
      <c r="M6" s="49"/>
      <c r="N6" s="50"/>
      <c r="O6" s="51"/>
      <c r="P6" s="52"/>
      <c r="Q6" s="52"/>
      <c r="R6" s="52"/>
      <c r="S6" s="52"/>
      <c r="T6" s="52"/>
      <c r="U6" s="52"/>
      <c r="V6" s="61"/>
      <c r="W6" s="61"/>
      <c r="X6" s="62"/>
      <c r="Y6" s="72"/>
      <c r="Z6" s="62"/>
      <c r="AA6" s="73"/>
      <c r="AB6" s="73"/>
    </row>
    <row r="7" s="1" customFormat="1" ht="20.25" spans="3:39">
      <c r="C7" s="34"/>
      <c r="D7" s="34"/>
      <c r="V7" s="3"/>
      <c r="W7" s="3"/>
      <c r="X7" s="3"/>
      <c r="AB7" s="74"/>
      <c r="AC7" s="74"/>
      <c r="AD7" s="75"/>
      <c r="AE7" s="3"/>
      <c r="AF7" s="74"/>
      <c r="AG7" s="76"/>
      <c r="AH7" s="74"/>
      <c r="AI7" s="74"/>
      <c r="AJ7" s="3"/>
      <c r="AK7" s="5"/>
      <c r="AL7" s="5"/>
      <c r="AM7" s="5"/>
    </row>
    <row r="8" s="1" customFormat="1" ht="13.5" spans="7:39">
      <c r="G8"/>
      <c r="V8" s="3"/>
      <c r="W8" s="3"/>
      <c r="X8" s="3"/>
      <c r="AB8" s="74"/>
      <c r="AC8" s="74"/>
      <c r="AD8" s="75"/>
      <c r="AE8" s="3"/>
      <c r="AF8" s="74"/>
      <c r="AG8" s="76"/>
      <c r="AH8" s="74"/>
      <c r="AI8" s="74"/>
      <c r="AJ8" s="3"/>
      <c r="AK8" s="5"/>
      <c r="AL8" s="5"/>
      <c r="AM8" s="5"/>
    </row>
    <row r="9" spans="22:24">
      <c r="V9" s="3"/>
      <c r="W9" s="3"/>
      <c r="X9" s="3"/>
    </row>
    <row r="10" spans="22:24">
      <c r="V10" s="3"/>
      <c r="W10" s="3"/>
      <c r="X10" s="3"/>
    </row>
    <row r="11" spans="22:24">
      <c r="V11" s="3"/>
      <c r="W11" s="3"/>
      <c r="X11" s="3"/>
    </row>
    <row r="12" spans="22:24">
      <c r="V12" s="3"/>
      <c r="W12" s="3"/>
      <c r="X12" s="3"/>
    </row>
    <row r="13" spans="22:24">
      <c r="V13" s="3"/>
      <c r="W13" s="3"/>
      <c r="X13" s="3"/>
    </row>
    <row r="14" spans="22:24">
      <c r="V14" s="3"/>
      <c r="W14" s="3"/>
      <c r="X14" s="3"/>
    </row>
    <row r="15" spans="22:24">
      <c r="V15" s="3"/>
      <c r="W15" s="3"/>
      <c r="X15" s="3"/>
    </row>
    <row r="16" spans="22:24">
      <c r="V16" s="3"/>
      <c r="W16" s="3"/>
      <c r="X16" s="3"/>
    </row>
    <row r="17" spans="22:24">
      <c r="V17" s="3"/>
      <c r="W17" s="3"/>
      <c r="X17" s="3"/>
    </row>
    <row r="18" spans="22:24">
      <c r="V18" s="3"/>
      <c r="W18" s="3"/>
      <c r="X18" s="3"/>
    </row>
    <row r="19" spans="22:24">
      <c r="V19" s="3"/>
      <c r="W19" s="3"/>
      <c r="X19" s="3"/>
    </row>
    <row r="20" spans="22:24">
      <c r="V20" s="3"/>
      <c r="W20" s="3"/>
      <c r="X20" s="3"/>
    </row>
    <row r="21" spans="22:24">
      <c r="V21" s="3"/>
      <c r="W21" s="3"/>
      <c r="X21" s="3"/>
    </row>
    <row r="22" spans="22:24">
      <c r="V22" s="3"/>
      <c r="W22" s="3"/>
      <c r="X22" s="3"/>
    </row>
    <row r="23" spans="22:24">
      <c r="V23" s="3"/>
      <c r="W23" s="3"/>
      <c r="X23" s="3"/>
    </row>
    <row r="24" spans="22:24">
      <c r="V24" s="3"/>
      <c r="W24" s="3"/>
      <c r="X24" s="3"/>
    </row>
    <row r="25" ht="15.75" spans="22:24">
      <c r="V25" s="63"/>
      <c r="W25" s="63"/>
      <c r="X25" s="63"/>
    </row>
    <row r="26" ht="15.75" spans="22:24">
      <c r="V26" s="63"/>
      <c r="W26" s="63"/>
      <c r="X26" s="63"/>
    </row>
    <row r="27" ht="15.75" spans="22:24">
      <c r="V27" s="64"/>
      <c r="W27" s="64"/>
      <c r="X27" s="64"/>
    </row>
    <row r="28" ht="15.75" spans="22:24">
      <c r="V28" s="64"/>
      <c r="W28" s="64"/>
      <c r="X28" s="64"/>
    </row>
  </sheetData>
  <mergeCells count="36">
    <mergeCell ref="A2:G2"/>
    <mergeCell ref="H2:J2"/>
    <mergeCell ref="K2:L2"/>
    <mergeCell ref="M2:N2"/>
    <mergeCell ref="P2:U2"/>
    <mergeCell ref="V2:W2"/>
    <mergeCell ref="Y2:Z2"/>
    <mergeCell ref="AA2:AB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</mergeCells>
  <pageMargins left="0.75" right="0.75" top="1" bottom="1" header="0.5" footer="0.5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Revision History</vt:lpstr>
      <vt:lpstr>Movie</vt:lpstr>
      <vt:lpstr>TV</vt:lpstr>
      <vt:lpstr>Advertising</vt:lpstr>
      <vt:lpstr>Overhead</vt:lpstr>
      <vt:lpstr>Safety Video </vt:lpstr>
      <vt:lpstr>Safety Video</vt:lpstr>
      <vt:lpstr>Broadcast Video </vt:lpstr>
      <vt:lpstr>Daily News</vt:lpstr>
      <vt:lpstr>Audio BGM</vt:lpstr>
      <vt:lpstr>Video BGM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Hangyu04</cp:lastModifiedBy>
  <dcterms:created xsi:type="dcterms:W3CDTF">2006-09-16T00:00:00Z</dcterms:created>
  <dcterms:modified xsi:type="dcterms:W3CDTF">2025-02-08T07:16:03Z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2052-12.1.0.19770</vt:lpwstr>
  </property>
  <property fmtid="{D5CDD505-2E9C-101B-9397-08002B2CF9AE}" pid="3" name="KSOReadingLayout">
    <vt:bool>true</vt:bool>
  </property>
  <property fmtid="{D5CDD505-2E9C-101B-9397-08002B2CF9AE}" pid="4" name="ICV">
    <vt:lpwstr>B582DF079AC54A298C84986B1D8D0243_13</vt:lpwstr>
  </property>
  <property fmtid="{D5CDD505-2E9C-101B-9397-08002B2CF9AE}" pid="5" name="commondata">
    <vt:lpwstr>eyJoZGlkIjoiNjkyMzAyMzk2OWFmNmU0Yjc2OTQyYjhlMTg5OTA4ZTgifQ==</vt:lpwstr>
  </property>
</Properties>
</file>