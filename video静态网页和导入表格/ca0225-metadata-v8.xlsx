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7945" windowHeight="12375"/>
  </bookViews>
  <sheets>
    <sheet name="Revision History" sheetId="4" r:id="rId1"/>
    <sheet name="Movie" sheetId="2" r:id="rId2"/>
    <sheet name="TV" sheetId="3" r:id="rId3"/>
    <sheet name="Short video" sheetId="1" r:id="rId4"/>
  </sheets>
  <definedNames>
    <definedName name="_xlnm._FilterDatabase" localSheetId="2" hidden="1">TV!$A$1:$G$277</definedName>
    <definedName name="_xlnm._FilterDatabase" localSheetId="1" hidden="1">Movie!$A$1:$K$89</definedName>
    <definedName name="_xlnm._FilterDatabase" localSheetId="3" hidden="1">'Short video'!$A$1:$G$47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<sst xmlns="http://schemas.openxmlformats.org/spreadsheetml/2006/main" count="1459" uniqueCount="839">
  <si>
    <t>Versions</t>
  </si>
  <si>
    <t>Updates</t>
  </si>
  <si>
    <t>Made by</t>
  </si>
  <si>
    <t>Date</t>
  </si>
  <si>
    <t>V1</t>
  </si>
  <si>
    <t>Initial</t>
  </si>
  <si>
    <t>Envee</t>
  </si>
  <si>
    <t>2024.12.16</t>
  </si>
  <si>
    <t>V2</t>
  </si>
  <si>
    <t>修改TV《漓江 1 造化》英文title，标黄</t>
  </si>
  <si>
    <t>2024.12.18</t>
  </si>
  <si>
    <t>V3</t>
  </si>
  <si>
    <t>删除优酷类节目的上新；
《2024元宵奇妙游》调整位置；
修改《汉唐文化》中英文简介，标黄；
修改《杜泰航和德彪西钢琴前奏曲--飘散在黄昏中的香气与声音》英文名，标黄</t>
  </si>
  <si>
    <t>2024.12.19</t>
  </si>
  <si>
    <t>V4</t>
  </si>
  <si>
    <t>修改TV《2024元宵奇妙游》英文简介，标黄；
修改电影《西游记之孙悟空三打白骨精》英文简介，标黄；</t>
  </si>
  <si>
    <t>2024.12.20</t>
  </si>
  <si>
    <t>V5</t>
  </si>
  <si>
    <t>修改《杜泰航和德彪西钢琴前奏曲--飘散在黄昏中的香气与声音》英文名，标黄
增加一部TV《《寻护者》上集 为爱穿山》标黄</t>
  </si>
  <si>
    <t>2024.12.23</t>
  </si>
  <si>
    <t>V6</t>
  </si>
  <si>
    <t>修改《9号传奇》中英文演员，标黄；
修改《喜事2：爱向曙光》中英文简介，标黄</t>
  </si>
  <si>
    <t>2024.12.24</t>
  </si>
  <si>
    <t>V7</t>
  </si>
  <si>
    <t>《汉唐文化》英文简介去掉多余的空格；
《2024元宵奇妙游》修改英语简介</t>
  </si>
  <si>
    <t>2024.12.25</t>
  </si>
  <si>
    <t>V8</t>
  </si>
  <si>
    <t>修改电影《西游记之女儿国》、《假如，我是这世上最爱你的人》中文简介，标黄；
删除《做文明网HONG》</t>
  </si>
  <si>
    <t>2024.12.31</t>
  </si>
  <si>
    <t>Video ID</t>
  </si>
  <si>
    <t>Video to Receive</t>
  </si>
  <si>
    <t>Language</t>
  </si>
  <si>
    <t>Release Title</t>
  </si>
  <si>
    <t>Director</t>
  </si>
  <si>
    <t>Actor</t>
  </si>
  <si>
    <t>Synopsis</t>
  </si>
  <si>
    <t>Title</t>
  </si>
  <si>
    <r>
      <rPr>
        <sz val="10"/>
        <color theme="1"/>
        <rFont val="宋体"/>
        <charset val="134"/>
      </rPr>
      <t>英</t>
    </r>
  </si>
  <si>
    <t>The Traveller</t>
  </si>
  <si>
    <t>Wuershan, Peng Xia</t>
  </si>
  <si>
    <t>Xianxu Hu, Vanda Margraf, Shaofeng Feng, Zhenyu Qiao, Ningfeng Song</t>
  </si>
  <si>
    <t>Zhang Chulan meets Feng Baobao and is involved in conflicts among extraordinary people. The revelation of his skill's secret leads to competition and he uncovers a past secret.</t>
  </si>
  <si>
    <t>中</t>
  </si>
  <si>
    <t>异人之下</t>
  </si>
  <si>
    <t>乌尔善 / 夏鹏</t>
  </si>
  <si>
    <t>胡先煦 / 李宛妲 / 冯绍峰 / 乔振宇 / 宋宁峰</t>
  </si>
  <si>
    <t>张楚岚遇冯宝宝卷入异人争斗，功法秘密公开引争夺，还揭开当年秘密。</t>
  </si>
  <si>
    <t>The Monkey King 3</t>
  </si>
  <si>
    <t>Pou-Soi Cheang</t>
  </si>
  <si>
    <t>Aaron Kwok, Shaofeng Feng, Liying Zhao, Xiao Shen-Yang, Chung Him Law</t>
  </si>
  <si>
    <t>Tang Monk and his disciples accidentally entered the Women's Kingdom where men were seen as enemies.</t>
  </si>
  <si>
    <t>西游记之女儿国</t>
  </si>
  <si>
    <t>郑保瑞</t>
  </si>
  <si>
    <t>郭富城 / 冯绍峰 / 赵丽颖 / 小沈阳 / 罗子溢</t>
  </si>
  <si>
    <t>唐僧师徒误闯女儿国，而该国将男人视为敌人，并有预言称他们的到来将致其国家毁灭。</t>
  </si>
  <si>
    <t>The Monkey King 2</t>
  </si>
  <si>
    <t>Aaron Kwok, Li Gong, Shaofeng Feng, Xiao Shen-Yang</t>
  </si>
  <si>
    <t>Wukong defeated the White Bone Demon three times and the master and his apprentices made up and set off again. The 36th Hong Kong Film Awards. Best Art Direction (nominated) Fu Dong.</t>
  </si>
  <si>
    <t>西游记之孙悟空三打白骨精</t>
  </si>
  <si>
    <t>郭富城 / 巩俐 / 冯绍峰 / 小沈阳</t>
  </si>
  <si>
    <t>悟空三次击溃白骨精并师徒冰释前嫌，重新上路。第36届香港电影金像奖（2017）最佳美术指导（提名）傅鸫。</t>
  </si>
  <si>
    <t>The Monkey King</t>
  </si>
  <si>
    <t>Donnie Yen, Yun-Fat Chow, Aaron Kwok</t>
  </si>
  <si>
    <t>The Demon King Bull Demon King battles the divine realm led by the Jade Emperor. After being defeated, he hides in the Flaming Mountains. A stone monkey becomes Sun Wukong. Manipulated by the Bull Demon King, he causes chaos in the Heavenly Palace, endangering it.</t>
  </si>
  <si>
    <t>西游记之大闹天宫</t>
  </si>
  <si>
    <t>甄子丹 / 周润发 / 郭富城</t>
  </si>
  <si>
    <t>牛魔王与神界战斗后躲至火焰山，石猴成孙悟空后被牛魔王煽动大闹天宫，天庭危在旦夕。</t>
  </si>
  <si>
    <t>Blade of Fury</t>
  </si>
  <si>
    <t>Pengfei Qin</t>
  </si>
  <si>
    <t>Siu Lung Sik, Jingjing Qu, Wenlong Tang, Shanshan Chunyu</t>
  </si>
  <si>
    <t>After witnessing his friend was killed, the Knife catcher decided to fight back.</t>
  </si>
  <si>
    <t>捉刀人</t>
  </si>
  <si>
    <t>秦鹏飞</t>
  </si>
  <si>
    <t>释小龙 / 屈菁菁 / 唐文龙 / 淳于珊珊</t>
  </si>
  <si>
    <t>捉刀人裴兴见证坚守正义的好友被强权杀害后，心中侠义被唤醒，决定奋起复仇严惩恶人。</t>
  </si>
  <si>
    <t>Tiger Wolf Rabbit</t>
  </si>
  <si>
    <t>Shubo Guo</t>
  </si>
  <si>
    <t>Yang Xiao, Liying Zhao, Ye Liu</t>
  </si>
  <si>
    <t>Three parents who lost their children embark on a journey of revenge.</t>
  </si>
  <si>
    <t>浴火之路</t>
  </si>
  <si>
    <t>五百</t>
  </si>
  <si>
    <t>肖央 / 赵丽颖 / 刘烨</t>
  </si>
  <si>
    <t>三位丢了孩子的父母组局踏上寻子复仇之路，在蛮荒之地与一众人贩上演凶险反杀。</t>
  </si>
  <si>
    <t>The Sinking of the Lisbon Maru</t>
  </si>
  <si>
    <t>Li Fang</t>
  </si>
  <si>
    <t>Li Fang, Tony Banham, Agen Lin</t>
  </si>
  <si>
    <t>The crew got close to the truth about the sinking of the "Lisbon Maru" in WW II. Best Documentary / Science and Educational Film (Nominee) of The 37th Golden Rooster Awards.</t>
  </si>
  <si>
    <t>里斯本丸沉没</t>
  </si>
  <si>
    <t>方励</t>
  </si>
  <si>
    <t>方励 / 托尼·班纳姆 / 林阿根</t>
  </si>
  <si>
    <t>二战时期“里斯本丸”号商船被美军鱼雷击中，英国战俘被困，中国舟山渔民发现并救起水中幸存者。第37届中国电影金鸡奖 最佳纪录 / 科教片（提名）。</t>
  </si>
  <si>
    <t>Welcome To The Game</t>
  </si>
  <si>
    <t>Zhe Zhang</t>
  </si>
  <si>
    <t>Yuchang Peng, Bingqing Hu, Lu Yao</t>
  </si>
  <si>
    <t>Lu who owes a huge amount of money in the casino, encounters the creditor's daughter.</t>
  </si>
  <si>
    <t>绑架游戏</t>
  </si>
  <si>
    <t>张哲</t>
  </si>
  <si>
    <t>彭昱畅 / 胡冰卿 / 姚橹</t>
  </si>
  <si>
    <t>穷小子陆飞欠下巨额赌债，走投无路之际遇上债主女儿，一场“假绑架，真骗局”的危险游戏开启。</t>
  </si>
  <si>
    <t>Daughter of the Light</t>
  </si>
  <si>
    <t>Khashem Gyal</t>
  </si>
  <si>
    <t>The girl embarks on a dreamlike journey to find her father and home. Best Documentary (Nominate) of The 14th FIRST International Film Festival.</t>
  </si>
  <si>
    <t>光之子</t>
  </si>
  <si>
    <t>卡先加</t>
  </si>
  <si>
    <t>从小因父母离异而缺失父爱的女孩梅朵，独自踏上一段寻找父亲和归宿的如梦般的心之旅。第14届FIRST青年电影展 竞赛 最佳纪录长片（提名）。</t>
  </si>
  <si>
    <t>A Woman</t>
  </si>
  <si>
    <t>Chao Wang</t>
  </si>
  <si>
    <t>Shiyu Shen, Dongqing Zhu, Xuedong Wang</t>
  </si>
  <si>
    <t>A female worker got rid of two unfortunate marriages and grew up to be a writer. Best Screenplay of The 70th San Sebastián International Film Festival.</t>
  </si>
  <si>
    <t>孔秀</t>
  </si>
  <si>
    <t>王超</t>
  </si>
  <si>
    <t>沈诗雨 / 朱栋青 / 王学东</t>
  </si>
  <si>
    <t>一位印染厂女工孔秀克服两段不幸婚姻，自强不息地成为了一名作家。第70届圣塞巴斯蒂安国际电影节 最佳剧本。</t>
  </si>
  <si>
    <t>The Legend of No.9</t>
  </si>
  <si>
    <t>Minjiang Zhu</t>
  </si>
  <si>
    <t>En Bai, Hu Ma, Xingtong Yao</t>
  </si>
  <si>
    <t>Yu Kun, former No. 9 ace pitcher and national baseball player, retired due to a shoulder injury. He began to coach a team full of shepherd boys.</t>
  </si>
  <si>
    <t>9号传奇</t>
  </si>
  <si>
    <t>朱敏江</t>
  </si>
  <si>
    <t>白恩 / 马虎 / 姚星彤</t>
  </si>
  <si>
    <t>曾经的9号王牌投手于坤退役后带领一支由藏区牧羊少年组成的棒球队书写出新的9号传奇。</t>
  </si>
  <si>
    <t>A Girl and Her Bees</t>
  </si>
  <si>
    <t>He Ku</t>
  </si>
  <si>
    <t>Pan Yiwen</t>
  </si>
  <si>
    <t>A real-life record of a Peking University girl starting businesses in rural area.</t>
  </si>
  <si>
    <t>牧蜂姑娘</t>
  </si>
  <si>
    <t>何苦</t>
  </si>
  <si>
    <t>潘艺文</t>
  </si>
  <si>
    <t>真实纪录北大女孩到农村创业，以全新的视角展示新时期农民脱贫致富的现实生活状态。</t>
  </si>
  <si>
    <t>American Dreams In China</t>
  </si>
  <si>
    <t>Peter Chan</t>
  </si>
  <si>
    <t>Xiaoming Huang, Dawei Tong, Chao Deng</t>
  </si>
  <si>
    <t>The story of three friends who build a successful English language school. Best Feature Film of the 29th Golden Rooster Award.</t>
  </si>
  <si>
    <t>中国合伙人</t>
  </si>
  <si>
    <t>陈可辛</t>
  </si>
  <si>
    <t>黄晓明 / 佟大为 / 邓超</t>
  </si>
  <si>
    <t>大时代下三个年轻人共同实现“中国式梦想”的故事。第29届中国电影金鸡奖 最佳故事片。</t>
  </si>
  <si>
    <t>River Road</t>
  </si>
  <si>
    <t>Ruijun Li</t>
  </si>
  <si>
    <t>Long Tang, Songtao Guo, Wenxin Bai</t>
  </si>
  <si>
    <t>In order to find his father, the young man rode a camel across thousands of miles. Outstanding Children Film of The 16th Huabiao Film Awards.</t>
  </si>
  <si>
    <t>家在水草丰茂的地方</t>
  </si>
  <si>
    <t>李睿珺</t>
  </si>
  <si>
    <t>汤龙 / 郭嵩涛 / 白文信</t>
  </si>
  <si>
    <t>一对心存隔阂的裕固族少年因寻找父亲和家乡，骑着骆驼在西部奇景中穿越千里。第16届中国电影华表奖 优秀少儿题材影片。</t>
  </si>
  <si>
    <t>Endless Journey</t>
  </si>
  <si>
    <t>Mo Dai</t>
  </si>
  <si>
    <t>Yi Zhang, Chen Li, Chen Wei</t>
  </si>
  <si>
    <t>After an accidental death during an interrogation, a police team is imprisoned. Best Supporting Actor of The 37th Golden Rooster Awards.</t>
  </si>
  <si>
    <t>三大队</t>
  </si>
  <si>
    <t>戴墨</t>
  </si>
  <si>
    <t>张译 / 李晨 / 魏晨</t>
  </si>
  <si>
    <t>程兵带领的三大队在办理一起恶性案件时导致嫌犯意外死亡，被判入狱，出狱后依然坚持追踪嫌犯。第37届中国电影金鸡奖 最佳男配角。</t>
  </si>
  <si>
    <t>The Volunteers: To the War</t>
  </si>
  <si>
    <t>Chen Kaige</t>
  </si>
  <si>
    <t>Tang Guoqiang, Wang Yanhui, Liu Jin</t>
  </si>
  <si>
    <t>It shows the battle for the founding of China in a panoramic and multi-dimensional way. Best Director of The 37th Golden Rooster Awards.</t>
  </si>
  <si>
    <t>志愿军：雄兵出击</t>
  </si>
  <si>
    <t>陈凯歌</t>
  </si>
  <si>
    <t>唐国强 / 王砚辉 / 刘劲</t>
  </si>
  <si>
    <t>该片以志愿军群像为主线，新中国成立一周年之际保卫祖国的英雄儿女，抗美援朝战争三年的恢宏史诗。第37届中国电影金鸡奖 最佳导演。</t>
  </si>
  <si>
    <t>Invisible Summit</t>
  </si>
  <si>
    <t>Lixin Fan</t>
  </si>
  <si>
    <t>Hong Zhang, Tao Chen, Qiong Xia</t>
  </si>
  <si>
    <t>The historical moment when Zhang Hong climbed Mount Everest. Best Documentary (Nominate) of The 5th Hainan Island International Film Festival.</t>
  </si>
  <si>
    <t>看不见的顶峰</t>
  </si>
  <si>
    <t>范立欣</t>
  </si>
  <si>
    <t>张洪 / 陈涛 / 夏琼</t>
  </si>
  <si>
    <t>影片真实展现了珠穆朗玛峰壮丽的景色和暴虐无情的惊险、张洪登顶的历史时刻。第5届海南岛国际电影节 金椰奖 最佳纪录片奖（提名）。</t>
  </si>
  <si>
    <t>The Damned</t>
  </si>
  <si>
    <t>Roberto Minervini</t>
  </si>
  <si>
    <t>Jeremiah Knupp, Cuyler Ballenger</t>
  </si>
  <si>
    <t>In the winter of 1862, during the Civil War, the U.S. Army sends a volunteer company to patrol the uncharted Western territories. Winner of Un Certain Regard - Best Director at The 77th Cannes Film Festival (2024).</t>
  </si>
  <si>
    <t>可恶的战争</t>
  </si>
  <si>
    <t>罗伯托·米勒维尼</t>
  </si>
  <si>
    <t>耶利米·科纳普 / 库勒·巴伦格</t>
  </si>
  <si>
    <t>淘金热席卷了西部未开垦的土地，为了平息争斗一队士兵们进入这片乱区，每个人的命运都被改变了。2024年戛纳电影节一种关注单元最佳导演奖。</t>
  </si>
  <si>
    <t>The Deepest Breath</t>
  </si>
  <si>
    <t>Laura McGann</t>
  </si>
  <si>
    <t>Freediving champion and safety diver pursue dreams in the deep ocean with rewards and risks.</t>
  </si>
  <si>
    <t>最深的呼吸：自由潜之恋</t>
  </si>
  <si>
    <t>劳拉·麦甘</t>
  </si>
  <si>
    <t>自由潜水冠军与安全潜水员，在海洋深处追逐梦想，有回报也有风险。</t>
  </si>
  <si>
    <t>Run &amp; Jump</t>
  </si>
  <si>
    <t>Steph Green</t>
  </si>
  <si>
    <t>Maxine Peake, Edward MacLiam, Will Forte</t>
  </si>
  <si>
    <t>Husband's stroke disrupts family. Neurophysiologist intervenes. Shows family relationship. Debut of director Steph Green.</t>
  </si>
  <si>
    <t>跳跃的爱情</t>
  </si>
  <si>
    <t>斯蒂芬·格林</t>
  </si>
  <si>
    <t>玛克辛·皮克 / 爱德华·麦克利亚姆 / 威尔·福特</t>
  </si>
  <si>
    <t>丈夫中风家庭混乱，神经生理学家介入，展现家庭关系。导演史蒂芬·格林长片处女作。</t>
  </si>
  <si>
    <t>Without Saying Goodbye</t>
  </si>
  <si>
    <t>Bruno Ascenzo</t>
  </si>
  <si>
    <t>Maxi Iglesias, Stephanie Cayo, Vicente Vergara</t>
  </si>
  <si>
    <t>Architect and artist meet in a charming notebook, changing their views and lifestyles.</t>
  </si>
  <si>
    <t>我们不说再见</t>
  </si>
  <si>
    <t>布鲁诺·阿森索</t>
  </si>
  <si>
    <t>马克西·伊格莱西亚斯 / 斯蒂芬妮·卡约 / 比森特·贝尔加拉</t>
  </si>
  <si>
    <t>建筑师与艺术家在笔录相遇，改变生活看法与方式。</t>
  </si>
  <si>
    <t>The Fox</t>
  </si>
  <si>
    <t>Adrian Goiginger</t>
  </si>
  <si>
    <t>Simon Morzé, Alexander Beyer</t>
  </si>
  <si>
    <t>At the dawn of WW2, a young soldier encounters a wounded fox cub and takes it with him to occupied France. The story of an unlikely friendship.</t>
  </si>
  <si>
    <t>战火中的小狐狸</t>
  </si>
  <si>
    <t>阿德里安·戈伊金格</t>
  </si>
  <si>
    <t>西蒙·莫尔泽 / 亚历山大·拜尔</t>
  </si>
  <si>
    <t>年轻士兵法兰兹发现了一只受伤的狐狸幼崽，他和小狐狸成了战火中相依为命的伙伴。</t>
  </si>
  <si>
    <t>Well Done!</t>
  </si>
  <si>
    <t>Gilles Legardinier</t>
  </si>
  <si>
    <t>John Malkovich, Fanny Ardant</t>
  </si>
  <si>
    <t>A widowed British businessman takes the job as a butler of a manor house in France to keep memories of his late French wife. His life takes a turn as he navigates the eccentric behavior of the lady of the manor and the household staff.</t>
  </si>
  <si>
    <t>法</t>
  </si>
  <si>
    <t>Complètement Cramé</t>
  </si>
  <si>
    <t>完全燃烧</t>
  </si>
  <si>
    <t>吉勒斯·勒加迪尼耶</t>
  </si>
  <si>
    <t>约翰·马尔科维奇 / 芬妮·阿尔丹</t>
  </si>
  <si>
    <t>老戏骨约翰·马尔科维奇搭档法国女星芬妮·阿尔丹演绎浪漫主仆喜剧。</t>
  </si>
  <si>
    <t>Caught by a Wave</t>
  </si>
  <si>
    <t>Massimiliano Camaiti</t>
  </si>
  <si>
    <t>Vincenzo Amato, Donatella Finocchiaro, Corrado Invernizzi</t>
  </si>
  <si>
    <t>A summer love in Sicilian sun turns into a heartbreaking story, making teens grow up quickly.</t>
  </si>
  <si>
    <t>为爱乘风破浪</t>
  </si>
  <si>
    <t>马西米利亚诺·卡迈蒂</t>
  </si>
  <si>
    <t>文森佐·阿马托 / 唐娜提拉·芬诺恰罗 / 科拉多·因韦尔尼齐</t>
  </si>
  <si>
    <t>西西里夏日恋情变心碎故事，促使少年少女迅速长大。</t>
  </si>
  <si>
    <t>Under the Riccione Sun</t>
  </si>
  <si>
    <t>Younuts</t>
  </si>
  <si>
    <t>Isabella Ferrari, Lorenzo Zurzolo, Ludovica Martino, Luca Ward</t>
  </si>
  <si>
    <t>On Riccione beach holiday, teenagers become friends and deal with romances and crushes.</t>
  </si>
  <si>
    <t>在里乔的阳光下</t>
  </si>
  <si>
    <t>尤纳茨</t>
  </si>
  <si>
    <t>伊沙贝拉·法雷利 / 洛伦佐·祖佐洛 / 路德维卡·马蒂诺 / 卢卡·沃德</t>
  </si>
  <si>
    <t>里乔内海滩度假，少男少女成朋友，共同处理恋爱与暗恋。</t>
  </si>
  <si>
    <t>The Hutong Cowboy</t>
  </si>
  <si>
    <t>Hao Ning, Lei Xu</t>
  </si>
  <si>
    <t>You Ge, Xueqin Li</t>
  </si>
  <si>
    <t>Taxi driver Zhang Beijing, by chance, became an influencer, and his sudden fame unexpectedly allowed him to gain everything he wanted.</t>
  </si>
  <si>
    <t>爆款好人</t>
  </si>
  <si>
    <t>宁浩 / 徐磊</t>
  </si>
  <si>
    <t>葛优 / 李雪琴</t>
  </si>
  <si>
    <t>小人物张北京因一条视频成了网红，各种稀奇古怪的关注和诱惑扑面而来，真的是“好人”难当吗？</t>
  </si>
  <si>
    <t>Panda Plan</t>
  </si>
  <si>
    <t>Luan Zhang</t>
  </si>
  <si>
    <t>Jackie Chan, Xiang Wei, Ce Shi</t>
  </si>
  <si>
    <t>International action superstar is involved in a rescue operation of a beloved zoo panda.</t>
  </si>
  <si>
    <t>熊猫计划</t>
  </si>
  <si>
    <t>张栾</t>
  </si>
  <si>
    <t>成龙 / 魏翔 / 史策</t>
  </si>
  <si>
    <t>国际功夫巨星携手金牌经纪人和熊猫保育员组成夺“宝”联盟，与国际犯罪组织展开的夺“宝”大战。</t>
  </si>
  <si>
    <t>Till Love Do Us Apart</t>
  </si>
  <si>
    <t>Fendou Liu</t>
  </si>
  <si>
    <t>Liya Tong, Justin Huang, Zongheng Li, Dan Liu, Sansui Luo</t>
  </si>
  <si>
    <t>Armless woman Fu Jiayi and deaf teenager Fu Manduo. Their life is disrupted by a baby. People appear. The siblings face a conflict of kindness.</t>
  </si>
  <si>
    <t>假如，我是这世上最爱你的人</t>
  </si>
  <si>
    <t>刘奋斗</t>
  </si>
  <si>
    <t>佟丽娅 / 黄明昊 / 李宗恒 / 刘丹 / 罗三穗</t>
  </si>
  <si>
    <t>无臂女福佳艺和听障少年福满多，因婴儿打破平静，众人登场，姐弟不知何去何从。</t>
  </si>
  <si>
    <t>YOLO</t>
  </si>
  <si>
    <t>Ling Jia</t>
  </si>
  <si>
    <t>Ling Jia, Jiayin Lei, Xiaofei Zhang</t>
  </si>
  <si>
    <t>After argument with younger sister, Ying moves out on her own and meets a boxing trainer. Best Director (Nominee) of The 37th Hundred Flowers Awards.</t>
  </si>
  <si>
    <t>热辣滚烫</t>
  </si>
  <si>
    <t>贾玲</t>
  </si>
  <si>
    <t>贾玲 / 雷佳音 / 张小斐</t>
  </si>
  <si>
    <t>宅家多年的杜乐莹结识了拳击教练昊坤后，克服接踵而至的考验开启滚烫人生。第37届大众电影百花奖 最佳导演（提名）。</t>
  </si>
  <si>
    <t>Johnny Keep Walking!</t>
  </si>
  <si>
    <t>Dong Runnian</t>
  </si>
  <si>
    <t>Da Peng, Bai Ke, Zhuang Dafei</t>
  </si>
  <si>
    <t>Fitter Hu Jianlin gets promoted during layoffs, but his rural roots clash with corporate culture. Can he survive office politics and uncover the truth? Best Screenplayer of The 37th Hundred Flowers Awards.</t>
  </si>
  <si>
    <t>年会不能停！</t>
  </si>
  <si>
    <t>董润年</t>
  </si>
  <si>
    <t>大鹏 / 白客 / 庄达菲</t>
  </si>
  <si>
    <t>钳工胡建林阴差阳错被调入集团总部成为金领，在集团年会上揭露了工厂贪腐的高管，最终保住了工厂。第37届大众电影百花奖 最佳编剧。</t>
  </si>
  <si>
    <t>Hi, Mom</t>
  </si>
  <si>
    <t>Ling Jia, Xiaofei Zhang, Teng Shen, He Chen</t>
  </si>
  <si>
    <t>A woman travels back in time to befriend her own mother. Best Actress of The 34th Golden Rooster Awards.</t>
  </si>
  <si>
    <t>你好，李焕英</t>
  </si>
  <si>
    <t>贾玲 / 张小斐 / 沈腾 / 陈赫</t>
  </si>
  <si>
    <t>刚考上大学的女孩贾晓玲意外穿越回八十年代，与年轻时代的妈妈李焕英相遇，宛如闺蜜。第34届中国电影金鸡奖 最佳女主角。</t>
  </si>
  <si>
    <t>Lost In Russia</t>
  </si>
  <si>
    <t>Xu Zheng</t>
  </si>
  <si>
    <t>Xu Zheng, Huang Meiying, Yuan Quan, Guo Jingfei</t>
  </si>
  <si>
    <t>As Ivan decides to follow his mother on a train to Moscow.</t>
  </si>
  <si>
    <t>囧妈</t>
  </si>
  <si>
    <t>徐峥</t>
  </si>
  <si>
    <t>徐峥 / 黄梅莹 / 袁泉 / 郭京飞</t>
  </si>
  <si>
    <t>一趟六天六夜的莫斯科之旅，让徐伊万与卢小花母子回到了最纯粹的相处模式。</t>
  </si>
  <si>
    <t>Table for Six</t>
  </si>
  <si>
    <t>Sunny Chan</t>
  </si>
  <si>
    <t>Dayo Wong, Stephy Tang, Louis Cheung</t>
  </si>
  <si>
    <t>Big brother unexpectedly find out that his ex and his younger brother have become lovers.</t>
  </si>
  <si>
    <t>还是觉得你最好</t>
  </si>
  <si>
    <t>陈咏燊</t>
  </si>
  <si>
    <t>黄子华 / 邓丽欣 / 张继聪</t>
  </si>
  <si>
    <t>大哥意外与前女友重逢，却发现她和二弟结成情侣，他不得不在亲情和爱情中做出选择。</t>
  </si>
  <si>
    <t>The F Word</t>
  </si>
  <si>
    <t>Michael Dowse</t>
  </si>
  <si>
    <t>Daniel Radcliffe, Zoe Kazan, Megan Park, Adam Driver</t>
  </si>
  <si>
    <t>At a party, Valise and Chantilly meet. They fall in love but agree to be friends. Chantilly is going to Taiwan. Valise faces a choice.</t>
  </si>
  <si>
    <t>如果的事</t>
  </si>
  <si>
    <t>迈克尔·道斯</t>
  </si>
  <si>
    <t>丹尼尔·雷德克里夫 / 佐伊·卡赞 / 梅根·帕克 / 亚当·德赖弗</t>
  </si>
  <si>
    <t>派对上瓦莱丝和钱特利相遇，虽约定做朋友仍相爱，钱特利要去台湾，瓦莱丝面临抉择。</t>
  </si>
  <si>
    <t>The Book Of Solutions</t>
  </si>
  <si>
    <t>Michel Gondry</t>
  </si>
  <si>
    <t>Pierre Niney, Blanche Gardin</t>
  </si>
  <si>
    <t>Follows a man, a director who tries to vanquish his demons, which are oppressing his creativity.</t>
  </si>
  <si>
    <t>Le Livre des solutions</t>
  </si>
  <si>
    <t>方法之书</t>
  </si>
  <si>
    <t>米歇尔·贡德里</t>
  </si>
  <si>
    <t>皮埃尔·尼内 / 布朗什·加丁</t>
  </si>
  <si>
    <t>导演马克不满制片人的批评，偷了全部素材跑到乡下准备按照自己的“方法之书”剪出一部惊世影片。</t>
  </si>
  <si>
    <t>I Love You, Stupid</t>
  </si>
  <si>
    <t>Laura Mañá</t>
  </si>
  <si>
    <t>Quim Gutiérrez, Natalia Tena, Alfonso Bassave, Ernesto Alterio</t>
  </si>
  <si>
    <t>Abandoned by girlfriend, Marcos tries to transform into a modern man with help of friends and online masters.</t>
  </si>
  <si>
    <t>我爱你，傻瓜</t>
  </si>
  <si>
    <t>劳拉·马尼亚</t>
  </si>
  <si>
    <t>基姆·古铁雷斯 / 娜塔丽·特纳 / 阿方索·巴萨维 / 欧内斯特·艾戴里欧</t>
  </si>
  <si>
    <t>被女友抛弃的马科斯在朋友和大师帮助下，试图改造成摩登男人。</t>
  </si>
  <si>
    <t>Grand Finale</t>
  </si>
  <si>
    <t>Sigurjón Kjartansson</t>
  </si>
  <si>
    <t>Helga Braga Jónsdóttir, Hilmir Snær Guðnason</t>
  </si>
  <si>
    <t>Chamber orchestra near bankruptcy hires famous cellist whose true self contrasts public persona.</t>
  </si>
  <si>
    <t>疯狂交响梦</t>
  </si>
  <si>
    <t>西里尔文·科亚腾森</t>
  </si>
  <si>
    <t>海尔加·布拉加·乔斯提尔 / 赫米尔·希尼·古纳森</t>
  </si>
  <si>
    <t>交响乐团将被解散，著名大提琴家克莱门斯却爽快的加入，大家欢欣鼓舞但也疑惑这个红人的目的。</t>
  </si>
  <si>
    <t>Monkey King Reborn</t>
  </si>
  <si>
    <t>Yunfei Wang</t>
  </si>
  <si>
    <t>Jiang Bian, Lei Zhang, Haiting Cai, Shangqing Su, He Zhang</t>
  </si>
  <si>
    <t>After being rescued by Tang Sanzang, Yuan Di appears. Two demon kings will have a final battle. Sun Wukong meets a powerful enemy.</t>
  </si>
  <si>
    <t>西游记之再世妖王</t>
  </si>
  <si>
    <t>王云飞</t>
  </si>
  <si>
    <t>边江 / 张磊 / 蔡海婷 / 苏尚卿 / 张赫</t>
  </si>
  <si>
    <t>孙悟空被唐僧救出后，妖祖元蒂现世，两代妖王将展开终极一战，孙悟空遇劲敌。</t>
  </si>
  <si>
    <t>Kiangnan 1894</t>
  </si>
  <si>
    <t>Xiaogang Wu</t>
  </si>
  <si>
    <t>Yang Li, Yemang Zhou, Yang Ma, Qi Zhang, Beichen Liu</t>
  </si>
  <si>
    <t>In late Qing Shanghai, a boy enters Jiangnan Manufacturing Bureau and becomes a mechanic, making domestic ordnance.</t>
  </si>
  <si>
    <t>江南</t>
  </si>
  <si>
    <t>吴晓刚</t>
  </si>
  <si>
    <t>李扬 / 周野芒 / 马洋 / 张琦 / 刘北辰</t>
  </si>
  <si>
    <t>清末上海少年阿榔入江南制造局，在师父教导下成长为机匠，制造国产军械对抗间谍。</t>
  </si>
  <si>
    <t>The Art Class</t>
  </si>
  <si>
    <t>Zhang Zhonghua</t>
  </si>
  <si>
    <t>Wang Jianfang, Du Xuguang, Zhang Zhi</t>
  </si>
  <si>
    <t>An art teacher with a great personality gives a poor class of children hope in life.</t>
  </si>
  <si>
    <t>树上有个好地方2：美术老师的放羊班</t>
  </si>
  <si>
    <t>张忠华</t>
  </si>
  <si>
    <t>王建房 / 杜旭光 / 张智</t>
  </si>
  <si>
    <t>三年四班是公认的差班“放羊班”，学校借调来一位极具个性的美术老师让孩子们看到人生的希望。</t>
  </si>
  <si>
    <t>Backkom Bear: Mars Mission</t>
  </si>
  <si>
    <t>Wang Chao</t>
  </si>
  <si>
    <t>Liang Xiaoqiang, Ba He</t>
  </si>
  <si>
    <t>Backkom Bear secretly infiltrated the Mars mission in order to regain recognition.</t>
  </si>
  <si>
    <t>贝肯熊：火星任务</t>
  </si>
  <si>
    <t>梁晓强 / 巴赫</t>
  </si>
  <si>
    <t>最倒霉的特工贝肯熊，为了重获认可，偷偷混入火星任务，不料却闯进了火星里的神秘世界。</t>
  </si>
  <si>
    <t>GG BOND: Ocean Mission</t>
  </si>
  <si>
    <t>Yu Zhong</t>
  </si>
  <si>
    <t>Shuang Lu, Wei Xie, Ying Ji</t>
  </si>
  <si>
    <t>GG Bond, who is on vacation, uncover the terrifying truth in the ocean.</t>
  </si>
  <si>
    <t>猪猪侠大电影·海洋日记</t>
  </si>
  <si>
    <t>钟彧</t>
  </si>
  <si>
    <t>陆双 / 谢蔚 / 吉莹</t>
  </si>
  <si>
    <t>小鱼豆芽仔与在南海度假的猪猪侠揭开海洋里骇人真相的冒险探案历程。</t>
  </si>
  <si>
    <t>New Onboard</t>
  </si>
  <si>
    <t>Enjoy your dream flight with our superb collection of audio-visual entertaining content. Welcome aboard this Air China flight. This month, we are offering not only the latest and hottest Hollywood and Chinese movies that are now being shown in theaters around the world, but also more than 100 classic Chinese and foreign movies. Relax and enjoy your flight!</t>
  </si>
  <si>
    <t>佳片速递</t>
  </si>
  <si>
    <t>梦幻视听，乐享飞行。欢迎您搭乘中国国际航空公司的航班。本月国航不但为您精选了全球热映的好莱坞与中文最新电影，还有百余部中外经典佳片供您赏阅。国航带您放松心情，尽享舒适旅程。</t>
  </si>
  <si>
    <t>title</t>
  </si>
  <si>
    <t>synopsis</t>
  </si>
  <si>
    <t>英</t>
  </si>
  <si>
    <t>Hantang Culture</t>
  </si>
  <si>
    <t>This episode presents several art, culture and crafts events including the major exhibition "Résonances Art Déco: Paris Chic - Shanghai Moderne" unveiled at Bund 33, Shanghai, and the Grand Prix d'Horlogerie de Genève (GPHG).</t>
  </si>
  <si>
    <t>汉唐文化</t>
  </si>
  <si>
    <t>呈现上海外滩源壹号大展「摩登：交错的世界」、GPHG日内瓦钟表大赏及艺术文化和手工艺主题视频。</t>
  </si>
  <si>
    <t>Defenders Of The Hidden Part I: The Pursuit Of Hope</t>
  </si>
  <si>
    <t>"Defenders of the Hidden" follows actor and WildAid ambassador Wang Yibo's journey in search of the Chinese pangolin. The audience learns of the efforts, challenges, and achievements of these ordinary heroes seeking to save the Chinese pangolin.</t>
  </si>
  <si>
    <t>《寻护者》上集 为爱穿山</t>
  </si>
  <si>
    <t>《寻护者》这部影片讲述了演员、野生救援形象大使王一博寻找中华穿山甲的旅程。观众可以了解到这些普通英雄为拯救中国穿山甲所付出的努力、面临的挑战和取得的成就。</t>
  </si>
  <si>
    <t>China S01E03</t>
  </si>
  <si>
    <t>The program explores the people and stories of ancient Chinese civilization. Best Documentary Series of The 31st Golden Eagle Awards.</t>
  </si>
  <si>
    <t>中国 第一季 3</t>
  </si>
  <si>
    <t>节目再现华夏历史切面，挖掘古代中华文明中对今日中国社会最具深远影响的人与故事。第31届中国电视金鹰奖 最佳电视纪录片。</t>
  </si>
  <si>
    <t>China S01E02</t>
  </si>
  <si>
    <t>中国 第一季 2</t>
  </si>
  <si>
    <t>The Gifts from the Palace Museum 5</t>
  </si>
  <si>
    <t>The Hong Kong Palace Museum officially opened in July 2022, with approximately 900 precious cultural relics selected by the Palace Museum in Beijing transported to Hong Kong.</t>
  </si>
  <si>
    <t>故宫的礼物 5</t>
  </si>
  <si>
    <t>香港故宫文化博物馆2022年7月开馆，节目以文物与人物为切入点，解读展出文物背后的故事。</t>
  </si>
  <si>
    <t>The Gifts from the Palace Museum 4</t>
  </si>
  <si>
    <t>故宫的礼物 4</t>
  </si>
  <si>
    <t>New Three Gorges 5 View</t>
  </si>
  <si>
    <t>The past and present of the magnificent Three Gorges. Remy Award for Best Documentary at Houston International Film Festival (2018).</t>
  </si>
  <si>
    <t>新三峡 5 景</t>
  </si>
  <si>
    <t>瑰丽三峡的前世今生。休斯顿国际电影节最佳记录片雷米奖（2018）。</t>
  </si>
  <si>
    <t>New Three Gorges 4 People</t>
  </si>
  <si>
    <t>新三峡 4 人</t>
  </si>
  <si>
    <t>Wedding 2 Love towards the Dawn</t>
  </si>
  <si>
    <t>The traditional wedding customs and rituals of the Lisu ethnic group, restoring the true Chinese style wedding and Chinese style warmth.</t>
  </si>
  <si>
    <t>喜事 2 爱向曙光</t>
  </si>
  <si>
    <t>傈僳族的传统婚俗仪式，还原真正的中国式婚礼和中国式温度。</t>
  </si>
  <si>
    <t>Wedding 1 Love in Beauty Valley</t>
  </si>
  <si>
    <t>The traditional wedding customs and rituals of the Jiarong Xizang people restore the true Chinese style wedding and Chinese style warmth.</t>
  </si>
  <si>
    <t>喜事 1 爱在美人谷</t>
  </si>
  <si>
    <t>嘉绒藏族的传统婚俗仪式，还原真正的中国式婚礼和中国式温度。</t>
  </si>
  <si>
    <t>Dunhuang Meets Shaoxing 1 Dunhuang and Shaoxing Have Deep Roots</t>
  </si>
  <si>
    <t>With thousands of years of Chinese cultural history as the axis and the Silk Road as the link, we will awaken the urban cultural memory of Dunhuang and Shaoxing, feel the high unity of Chinese civilization, and touch the common context that has lasted for thousands of years.</t>
  </si>
  <si>
    <t>敦煌遇见绍兴 1 丝路双生</t>
  </si>
  <si>
    <t>以数千年中国文化史为轴线，丝绸之路为纽带，唤醒敦煌、绍兴的城市文化记忆，感受中华文明的高度统一性，触摸延续千年的共同文脉。</t>
  </si>
  <si>
    <t>Mount Tai 2 Climbing Mount Tai Is as Difficult as Climbing to Heaven</t>
  </si>
  <si>
    <t>By recording the nature, history and humanity of Mount Tai, it presents the historical and cultural context and trend of Mount Tai from multiple directions and angles, folds the millennium civilization, and allows the audience to read the "sea and mulberry field" of Mount Tai in the film.</t>
  </si>
  <si>
    <t>大泰山 2 若登天然</t>
  </si>
  <si>
    <t>通过记录泰山的自然、历史、人文，多方位、多角度呈现泰山历史文化脉络与走向，折叠了千年文明，让观众在片子中阅尽泰山千年的“沧海与桑田”。</t>
  </si>
  <si>
    <t>Chinese Juncao 2 New Life</t>
  </si>
  <si>
    <t>Centering on the theme of Juncao technology taking root overseas for the first time, helping poor people improve their lives, helping to cope with climate change, promoting local people's livelihood and economic development, and becoming a new driving force for talent training and sustainable development.</t>
  </si>
  <si>
    <t>中国草 2 崭新生活</t>
  </si>
  <si>
    <t>围绕菌草技术首次在海外落地生根、助力贫困群众改善生活、帮助应对气候变化、推动当地民生和经济发展、成为人才培养和可持续发展的新动能等主题展开。</t>
  </si>
  <si>
    <t>Pompeii: The New Dig Ep03</t>
  </si>
  <si>
    <t>Join the biggest dig in a generation as secrets and treasures are unearthed at the famous archeological site.</t>
  </si>
  <si>
    <t>庞贝新发现 3</t>
  </si>
  <si>
    <t>和镜头一起加入当代人从事的规模最大的挖掘活动，在著名的考古遗址发掘秘密和宝藏。</t>
  </si>
  <si>
    <t>Food Markets Ep10</t>
  </si>
  <si>
    <t>Going to the local market when we visit a foreign city is something we all love to do. Markets attract us for their colours, smells, people, sounds and taste.</t>
  </si>
  <si>
    <t>行走世界菜市场 10</t>
  </si>
  <si>
    <t>城市的菜市场养活了大量的居民，但我们对食品市场的实际运作方式了解多少？走入全球24个大型城市的菜市场，从一个全新的角度描绘了城市供应系统的变化。</t>
  </si>
  <si>
    <t>Food Markets Ep09</t>
  </si>
  <si>
    <t>行走世界菜市场 9</t>
  </si>
  <si>
    <t>Food Markets Ep08</t>
  </si>
  <si>
    <t>行走世界菜市场 8</t>
  </si>
  <si>
    <t>Hong Kong Nature Stories 6 Ocean (Part 2)</t>
  </si>
  <si>
    <t>Explore the wonderful ecology of the sea area in Hong Kong and feel the mysterious power of the ocean.</t>
  </si>
  <si>
    <t>香港自然故事 6 海洋篇 下</t>
  </si>
  <si>
    <t>探索香港海域的奇妙生态，感受海洋的神秘力量。</t>
  </si>
  <si>
    <t>Hong Kong Nature Stories 5 Ocean (Part 1)</t>
  </si>
  <si>
    <t>香港自然故事 5 海洋篇 上</t>
  </si>
  <si>
    <t>Natural Legend: Survival Winner Birds</t>
  </si>
  <si>
    <t>Focus on the legend of life in the animal and plant world, and explore and reveal the mysterious mystery of the universe. A platform full of magic natural life legend and the charm of astronomical and geographical wonders is carefully built.</t>
  </si>
  <si>
    <t>自然传奇 生存赢家 鸟类</t>
  </si>
  <si>
    <t>聚焦动植物世界生命传奇故事、探寻揭示宇宙万象的神奇奥秘。精心打造一个充满神奇自然生命传奇、展现天文地理奇观魅力的平台。</t>
  </si>
  <si>
    <t>Migrating Birds Ep1</t>
  </si>
  <si>
    <t>With breath taking close-up aerial footage, this spectacular film unravels the mysteries of bird flight.</t>
  </si>
  <si>
    <t>迁徙的鸟 1</t>
  </si>
  <si>
    <t>通过令人叹为观止的特写航拍镜头，揭开了鸟类飞行的奥秘。</t>
  </si>
  <si>
    <t>Whale with Steve Backshall Ep1</t>
  </si>
  <si>
    <t>Naturalist and wildlife expert, Steve Backshall, gets us closer to sharks, to encounter a diverse and incredible family of over 400 different types.</t>
  </si>
  <si>
    <t>与鲸共舞 1</t>
  </si>
  <si>
    <t>史蒂夫·贝克肖揭示了一个由400多种不同类型组成的的家族，这场全球之旅将以全新的视角揭示鲨鱼。</t>
  </si>
  <si>
    <t>If There Was No Land on Earth Ep08</t>
  </si>
  <si>
    <t>There are places where people and nature wisely coexist. People coexist with animals and even earn money from them without killing them and destroying the local ecosystem.</t>
  </si>
  <si>
    <t>如果地球上没有陆地 8</t>
  </si>
  <si>
    <t>如果地球上没有陆地，人类文明与自然生物会是怎样的情景？</t>
  </si>
  <si>
    <t>City of Daylights Ep21</t>
  </si>
  <si>
    <t>Six young people search for themselves and pursue their dreams in Xizang.</t>
  </si>
  <si>
    <t>日光之城 21</t>
  </si>
  <si>
    <t>六位年轻人在西藏这片热土上寻找自我，追逐梦想。</t>
  </si>
  <si>
    <t>City of Daylights Ep20</t>
  </si>
  <si>
    <t>日光之城 20</t>
  </si>
  <si>
    <t>City of Daylights Ep19</t>
  </si>
  <si>
    <t>日光之城 19</t>
  </si>
  <si>
    <t>City of Daylights Ep18</t>
  </si>
  <si>
    <t>日光之城 18</t>
  </si>
  <si>
    <t>City of Daylights Ep17</t>
  </si>
  <si>
    <t>日光之城 17</t>
  </si>
  <si>
    <t>City of Daylights Ep16</t>
  </si>
  <si>
    <t>日光之城 16</t>
  </si>
  <si>
    <t>City of Daylights Ep15</t>
  </si>
  <si>
    <t>日光之城 15</t>
  </si>
  <si>
    <t>City of Daylights Ep14</t>
  </si>
  <si>
    <t>日光之城 14</t>
  </si>
  <si>
    <t>City of Daylights Ep13</t>
  </si>
  <si>
    <t>日光之城 13</t>
  </si>
  <si>
    <t>City of Daylights Ep12</t>
  </si>
  <si>
    <t>日光之城 12</t>
  </si>
  <si>
    <t>City of Daylights Ep11</t>
  </si>
  <si>
    <t>日光之城 11</t>
  </si>
  <si>
    <t>City of Daylights Ep10</t>
  </si>
  <si>
    <t>日光之城 10</t>
  </si>
  <si>
    <t>City of Daylights Ep09</t>
  </si>
  <si>
    <t>日光之城 9</t>
  </si>
  <si>
    <t>City of Daylights Ep08</t>
  </si>
  <si>
    <t>日光之城 8</t>
  </si>
  <si>
    <t>City of Daylights Ep07</t>
  </si>
  <si>
    <t>日光之城 7</t>
  </si>
  <si>
    <t>City of Daylights Ep06</t>
  </si>
  <si>
    <t>日光之城 6</t>
  </si>
  <si>
    <t>City of Daylights Ep05</t>
  </si>
  <si>
    <t>日光之城 5</t>
  </si>
  <si>
    <t>City of Daylights Ep04</t>
  </si>
  <si>
    <t>日光之城 4</t>
  </si>
  <si>
    <t>City of Daylights Ep03</t>
  </si>
  <si>
    <t>日光之城 3</t>
  </si>
  <si>
    <t>City of Daylights Ep02</t>
  </si>
  <si>
    <t>日光之城 2</t>
  </si>
  <si>
    <t>City of Daylights Ep01</t>
  </si>
  <si>
    <t>日光之城 1</t>
  </si>
  <si>
    <t>Sullivan's Crossing S02E10</t>
  </si>
  <si>
    <t>Neurosurgeon Maggie Sullivan, reconnects with her small-town past after a scandal causes her to leave her professional and personal life behind in the city.</t>
  </si>
  <si>
    <t>苏利文的十字路口 第二季 10</t>
  </si>
  <si>
    <t>一场丑闻之后，神经外科医生玛吉·沙利文不得不离开她心爱的事业和都市生活，回到家乡小镇。</t>
  </si>
  <si>
    <t>Sullivan's Crossing S02E09</t>
  </si>
  <si>
    <t>苏利文的十字路口 第二季 9</t>
  </si>
  <si>
    <t>Sullivan's Crossing S02E08</t>
  </si>
  <si>
    <t>苏利文的十字路口 第二季 8</t>
  </si>
  <si>
    <t>Sullivan's Crossing S02E07</t>
  </si>
  <si>
    <t>苏利文的十字路口 第二季 7</t>
  </si>
  <si>
    <t>Sullivan's Crossing S02E06</t>
  </si>
  <si>
    <t>苏利文的十字路口 第二季 6</t>
  </si>
  <si>
    <t>Sullivan's Crossing S02E05</t>
  </si>
  <si>
    <t>苏利文的十字路口 第二季 5</t>
  </si>
  <si>
    <t>Sullivan's Crossing S02E04</t>
  </si>
  <si>
    <t>苏利文的十字路口 第二季 4</t>
  </si>
  <si>
    <t>Sullivan's Crossing S02E03</t>
  </si>
  <si>
    <t>苏利文的十字路口 第二季 3</t>
  </si>
  <si>
    <t>Sullivan's Crossing S02E02</t>
  </si>
  <si>
    <t>苏利文的十字路口 第二季 2</t>
  </si>
  <si>
    <t>Sullivan's Crossing S02E01</t>
  </si>
  <si>
    <t>苏利文的十字路口 第二季 1</t>
  </si>
  <si>
    <t>Air Panorama International Outbound</t>
  </si>
  <si>
    <t>Air Panorama collects short videos from across the world that focus on people and events making headlines. The aim of the videos is to explore the small beauties in everyday life. The contents capture diverse topics ranging from business brands and charity work to travel, food and entertainment. Air Panorama is committed to creating meaningful and substantial in-flight cultural experience.</t>
  </si>
  <si>
    <t>Désolé, ce programme n'est pas disponible en français.</t>
  </si>
  <si>
    <t>空中博览2月国际去程</t>
  </si>
  <si>
    <t>《空中博览》全球热搜综合短视频集萃栏目。打造精品化短视频合集，将镜头对准时代下的人和物，探索与人们生活美好点滴，内容以热点性、文化性、多元性为特点，涵盖各界KOL、旅游、美食、娱乐、商业品牌、公益等，致力于打造有料、有情怀的飞行文化体验。</t>
  </si>
  <si>
    <t>Air Panorama International Inbound</t>
  </si>
  <si>
    <t>空中博览2月国际回程</t>
  </si>
  <si>
    <t>Air Panorama Domestic Outbound</t>
  </si>
  <si>
    <t>空中博览2月国内去程</t>
  </si>
  <si>
    <t>Air Panorama Domestic Inbound</t>
  </si>
  <si>
    <t>空中博览2月国内回程</t>
  </si>
  <si>
    <t>The 12 two-hour Periods in Beijing 12</t>
  </si>
  <si>
    <t>The show invites guests to open a new consumer experience.</t>
  </si>
  <si>
    <t>京城十二时辰 12</t>
  </si>
  <si>
    <t>节目邀请一众嘉宾开启商旅文体业态融合的商圈消费新体验。</t>
  </si>
  <si>
    <t>The 12 two-hour Periods in Beijing 11</t>
  </si>
  <si>
    <t>京城十二时辰 11</t>
  </si>
  <si>
    <t>Divas Hit The Road·Good Friends Final Episode</t>
  </si>
  <si>
    <t>Previous guests are invited to explore China's friendly countries.</t>
  </si>
  <si>
    <t>花儿与少年·好友记 大结局</t>
  </si>
  <si>
    <t>节目邀请之前的嘉宾重返舞台，与他们的老朋友一起探索“中国朋友圈”的国家。</t>
  </si>
  <si>
    <t>Divas Hit The Road·Good Friends E12</t>
  </si>
  <si>
    <t>花儿与少年·好友记 第12期</t>
  </si>
  <si>
    <t>Divas Hit The Road·Good Friends E11</t>
  </si>
  <si>
    <t>花儿与少年·好友记 第11期</t>
  </si>
  <si>
    <t>Divas Hit The Road·Good Friends E10</t>
  </si>
  <si>
    <t>花儿与少年·好友记 第10期</t>
  </si>
  <si>
    <t>The Lijiang River 1 Nature</t>
  </si>
  <si>
    <t>As a typical representative of karst in South China, Guilin landscape has been selected as a World Natural Heritage site. It has abundant natural resources, rich human history, and a happy life for residents on both sides of the river. The millennium culture nourishes the land of Bagui.</t>
  </si>
  <si>
    <t>漓江 1 造化</t>
  </si>
  <si>
    <t>桂林山水作为中国南方喀斯特的典型代表被入选世界自然遗产，这里物产资源丰盛、人文历史丰厚，沿江两岸居民生活幸福，千年文脉滋养着八桂大地。</t>
  </si>
  <si>
    <t>Lili Ancient Town 2 Wu Folk Song</t>
  </si>
  <si>
    <t>Lili Ancient Town, as a spatial coordinate, traces the source and flow of Jiangnan water towns, tells the story of Jiangnan historical and cultural celebrities, the story of intangible cultural heritage inheritance, and the story of the integrated development of the Yangtze River Delta, and fully shows the unique regional spiritual characteristics and the light of The Times emanating from the economic development pattern of the new era.</t>
  </si>
  <si>
    <t>江南之黎里繁花 2 吴声歌</t>
  </si>
  <si>
    <t>黎里古镇，作为空间坐标来回溯江南水乡的源与流，讲述江南历史文化名人故事、非物质文化遗产传承故事，以及长三角一体化发展的时代故事，全面展现独有的地域精神特质和新时代经济发展格局所散发的时代之光。</t>
  </si>
  <si>
    <t>Travel with Tang Poetry S02E02 Tang Poetry "River Snow"</t>
  </si>
  <si>
    <t>Follow the pace of Tang poets and immortal poems, go to the vast mountains and rivers of the motherland, find the scene of the birth of Tang poetry, feel the land of China, still vigorous poetry.</t>
  </si>
  <si>
    <t>跟着唐诗去旅行 第二季 2 寒江雪</t>
  </si>
  <si>
    <t>跟随唐代诗人和不朽诗歌的步伐，去往祖国广阔的山河，寻找唐诗诞生的现场，感受华夏大地之上，依然蓬勃的诗情。</t>
  </si>
  <si>
    <t>Human Memory - China's World Heritage Sites 74 The Three Rivers Flow Together (Part 2)</t>
  </si>
  <si>
    <t>The Memory of Humanity - China's World Heritage is a TV project in the "National Cultural Memory and Inheritance" project of the Central Propaganda Department's "Chinese Excellent Traditional Culture Inheritance and Development Project". It is an overall inventory and systematic review of all current world heritage sites in China in the form of documentaries.</t>
  </si>
  <si>
    <t>人类的记忆—中国的世界遗产 74 三江并流（下）</t>
  </si>
  <si>
    <t>《人类的记忆——中国的世界遗产》是中宣部“中华优秀传统文化传承发展工程”十四五重点项目——“国家文化记忆和传承”中国的世界遗产记录传播项目中的电视项目，是用纪录片的形式对中国当前所有世界遗产进行的整体盘点和系统梳理。</t>
  </si>
  <si>
    <t>Human Memory - China's World Heritage Sites 73 The Three Rivers Flow Together (Part 1)</t>
  </si>
  <si>
    <t>人类的记忆—中国的世界遗产 73 三江并流（上）</t>
  </si>
  <si>
    <t>Silk Road From Above Ep01</t>
  </si>
  <si>
    <t>The program retraces the legendary Silk Road from above.</t>
  </si>
  <si>
    <t>鸟瞰丝路 1</t>
  </si>
  <si>
    <t>本片以高空俯瞰视角重走从中国西安一路向西至意大利科莫地区的这条传奇之路。</t>
  </si>
  <si>
    <t>Australia, from Sydney to Melbourne 1</t>
  </si>
  <si>
    <t>Australia is a land of wild landscapes, stretching from the South Pacific shores to the bare peaks of the Australian Alps.</t>
  </si>
  <si>
    <t>从悉尼到墨尔本 1</t>
  </si>
  <si>
    <t>悉尼与墨尔本，无疑是澳洲最具吸引力的旅行目的地，除了充满活力的城市，更有从南太平洋海岸延伸到山峰的自然奇景。</t>
  </si>
  <si>
    <t>My Greek Odyssey S06E10</t>
  </si>
  <si>
    <t>My Greek Odyssey takes viewers to some of the most spectacular and unique islands in Greece.</t>
  </si>
  <si>
    <t>我的希腊之旅 第六季 10</t>
  </si>
  <si>
    <t>《我的希腊之旅》最新一季将观众带到希腊一些最壮观、最独特的岛屿。</t>
  </si>
  <si>
    <t>My Greek Odyssey S06E09</t>
  </si>
  <si>
    <t>我的希腊之旅 第六季 9</t>
  </si>
  <si>
    <t>My Greek Odyssey S06E08</t>
  </si>
  <si>
    <t>我的希腊之旅 第六季 8</t>
  </si>
  <si>
    <t>The Garfield Show Ep10</t>
  </si>
  <si>
    <t>A lasagne-loving pussycat adventures and explores the differences between good and bad, and right and wrong.</t>
  </si>
  <si>
    <t>加菲猫的幸福生活 10</t>
  </si>
  <si>
    <t>超级活泼可爱的加菲猫回来啦！看起来好吃懒做的他也会有机会成为盖世英雄。</t>
  </si>
  <si>
    <t>The Garfield Show Ep09</t>
  </si>
  <si>
    <t>加菲猫的幸福生活 9</t>
  </si>
  <si>
    <t>If History Is a Group of Cats S01E06 Shao Kang Restoring the Country</t>
  </si>
  <si>
    <t>Cats transform into historical figures and present five thousand years of Chinese history. "If History Is a Group of Cats" leads you into the fascinating world of history.</t>
  </si>
  <si>
    <t>如果历史是一群喵 第一季 6 少康复国</t>
  </si>
  <si>
    <t>猫咪化身历史人物，演绎华夏上下五千年，《如果历史是一群喵》带您走进趣味历史世界。</t>
  </si>
  <si>
    <t>If History Is a Group of Cats S01E05 The Xia Dynasty Ruling the Land</t>
  </si>
  <si>
    <t>如果历史是一群喵 第一季 5 夏家天下</t>
  </si>
  <si>
    <t>Jing-Ju Cats S02E16</t>
  </si>
  <si>
    <t>The first animation IP in China to combine elements of traditional Beijing Opera with animation, featuring cats as the main character and the essence of Chinese Peking Opera as the core.</t>
  </si>
  <si>
    <t>京剧猫之信念的冒险 16</t>
  </si>
  <si>
    <t>中国首部将传统文化中的京剧元素与动画相结合的动画IP，以猫为主角，以国粹京剧为核心。</t>
  </si>
  <si>
    <t>Boonie Bears Project Monster 2 (7-8)</t>
  </si>
  <si>
    <t>In order to maintain the harmony and peace of the forest and the safety of the animal partners, the thrilling and amusing battle for the energy stone fragments began.</t>
  </si>
  <si>
    <t>熊出没 怪兽计划2（7-8）</t>
  </si>
  <si>
    <t>为了维护森林的和谐安宁和动物伙伴们的安全，于是，惊险而逗趣的能量石碎片争夺战开始了。</t>
  </si>
  <si>
    <t>Legends of Mountains and Seas 8</t>
  </si>
  <si>
    <t>The animation is based on legends and historical books such as "Classic of Mountains and Seas", "Records of the Grand Historian(Shi Ji)", "Yue Jue Shu" and "History of the Later Han Dynasty", and chooses Da Yu as the protagonist, showing the persistent spirit of exploration of the ancestors of the Chinese nation.</t>
  </si>
  <si>
    <t>山海传奇 8</t>
  </si>
  <si>
    <t>动画片取材于《山海经》《史记》《越绝书》《后汉书》等神话传说及历史典籍，选取大禹为主角，呈现中华民族先民执着的探索精神。</t>
  </si>
  <si>
    <t>Tianzhen and Kung Fu Socks 45-46</t>
  </si>
  <si>
    <t>The ordinary girl suddenly found a strange sock in the washing machine at home, a talking sock! It's kungfu socks. Kungfu socks are actually kungfu masters from another world. Naively put kungfu socks on their feet, they can become superheroes - kungfu women heroes.</t>
  </si>
  <si>
    <t>天真与功夫袜 45-46</t>
  </si>
  <si>
    <t>平凡的女孩天真突然在家里的洗衣机里发现了一只奇怪的袜子，一只会说话的袜子！它就是功夫袜。功夫袜实际上是来自另一个世界的功夫大师。天真把功夫袜穿在自己的脚上，他们就可以变成超级英雄——功夫女侠。</t>
  </si>
  <si>
    <t>Chicky Rainbow Season 7 21-22</t>
  </si>
  <si>
    <t>In the vast blue sky, there is a large island of clouds, here is full of dreams and wonders. Red, orange, yellow, green, blue, blue, purple seven rainbow chicks live on this cloud island, they play together, explore together, and frolic together.</t>
  </si>
  <si>
    <t>小鸡彩虹 第七季 21-22</t>
  </si>
  <si>
    <t>在蔚蓝无垠的天空中，有一片大大的云岛，这里充满着梦幻奇妙。红橙黄绿青蓝紫七只彩虹里的小鸡就生活在这片云岛上，他们一起玩耍、一起探险、一起嬉闹。</t>
  </si>
  <si>
    <t>Versatile School Bus Season 11 19-20</t>
  </si>
  <si>
    <t>The school bus led the students to go outdoors to sketch, through careful observation they drew cute animals, magical natural phenomena, special buildings, etc., whenever encountered difficulties, the school bus transformed into a super form to solve problems. During the painting tour, the children's imagination is stimulated, so that they can actively explore the things around them.</t>
  </si>
  <si>
    <t>百变校巴 第十一季 19-20</t>
  </si>
  <si>
    <t>百变校巴带领同学们到户外写生，通过仔细观察他们画下可爱的动物，神奇的自然现象，特别的建筑等，每当遇到困难百变校巴变身超级形态解决难题。在游学绘画过程中，激发小朋友的想象力，从而让他们主动探索身边事物。</t>
  </si>
  <si>
    <t>Youth of a Strong Nation S03E04 Engaging with the Elderly in the Park</t>
  </si>
  <si>
    <t>The program invites young representatives from different fields to share their remarkable journeys of pursuing their dreams, showcasing the wisdom of choice and the power of youth! To enhance the interactivity of the program, three dream mentors were invited to interact with young speakers from different perspectives, providing guidance and elevating their spirits.</t>
  </si>
  <si>
    <t>强国青年说 第三季 4 我在公园“盘大爷”</t>
  </si>
  <si>
    <t>《强国青年说》第三季是腾讯新闻出品的一档青年励志纪录演讲节目，节目邀请来自不同领域的青年代表，讲述他们令人瞩目的追梦之旅，展示选择的智慧，青春的力量！为提升节目互动性，邀约三位梦想导师，从不同角度与青年讲者互动，为其指点方向、升华精神。</t>
  </si>
  <si>
    <t>Happy Friends S02E05</t>
  </si>
  <si>
    <t>The friends participated in 12 "life themes" to tell more stories that belong to "home".</t>
  </si>
  <si>
    <t>快乐老友记 第二季 第5期</t>
  </si>
  <si>
    <t>老友们以“组团”的形式，参与12个不同的“生活主题”，讲述更多独属于“家”的故事。</t>
  </si>
  <si>
    <t>Happy Friends S02E04P02</t>
  </si>
  <si>
    <t>快乐老友记 第二季 第4期下</t>
  </si>
  <si>
    <t>Happy Friends S02E04P01</t>
  </si>
  <si>
    <t>快乐老友记 第二季 第4期上</t>
  </si>
  <si>
    <t>Happy Friends S02E03</t>
  </si>
  <si>
    <t>快乐老友记 第二季 第3期</t>
  </si>
  <si>
    <t>Happy Friends S02E02P02</t>
  </si>
  <si>
    <t>快乐老友记 第二季 第2期下</t>
  </si>
  <si>
    <t>Happy Friends S02E02P01</t>
  </si>
  <si>
    <t>快乐老友记 第二季 第2期上</t>
  </si>
  <si>
    <t>The Spirit of Chinese New Year 1 Reunion</t>
  </si>
  <si>
    <t>The Spring Festival is the first festival in China and the oldest and grandest traditional festival in China. In the most important festival of the year, the reunion with the family is the most expected thing and the most cherished happiness of the Chinese people.</t>
  </si>
  <si>
    <t>年的味道 1 团圆</t>
  </si>
  <si>
    <t>春节是中华第一大节，是中国最悠久最盛大的传统节日，在一年中最重要的节日里与家人团圆是中国人最期盼的事情，也是最为珍重的幸福。</t>
  </si>
  <si>
    <t>The Whole World Is Clothed in Brocade 20241116</t>
  </si>
  <si>
    <t>Focusing on the traditional Chinese patterns inherited for thousands of years along the Silk Road, it will show the charm of traditional Chinese culture and Oriental fashion.</t>
  </si>
  <si>
    <t>衣锦天下 20241116</t>
  </si>
  <si>
    <t>聚焦丝绸之路上传承千年的中国传统纹样，展现中国传统文化与东方时尚的魅力。</t>
  </si>
  <si>
    <t>Exploring Civilization by Farming 1 Guangdong Lingnan Litchi Planting System</t>
  </si>
  <si>
    <t>Focusing on the conservation, inheritance, development, utilization and innovation achievements of China's important agricultural cultural heritage, exploring the Chinese nation's concept of sustainable development in accordance with the laws of nature from a global perspective, vividly presenting the genetic code of Chinese civilization carried by farming civilization, and showing how the ancient farming civilization develops and innovates through inheritance. It is a Chinese modernization story of harmonious coexistence between man and nature.</t>
  </si>
  <si>
    <t>农耕探文明 1 广东岭南 荔枝种植系统</t>
  </si>
  <si>
    <t>聚焦我国重要农业文化遗产的保护传承、开发利用和创新成果，以全球化视野挖掘中华民族遵循自然规律的可持续发展理念，生动呈现农耕文明所承载的中华文明生生不息的基因密码，展现古老的农耕文明如何在传承中发展创新，书写人与自然和谐共生的中国式现代化故事。</t>
  </si>
  <si>
    <t>Peakedness Food Moment - Chinese and French Chef Competition - The Taste of Pork</t>
  </si>
  <si>
    <t>Explore Chinese and French cooking skills and food culture.</t>
  </si>
  <si>
    <t>巅峰食刻—中法厨王竞技 脍炙豚香</t>
  </si>
  <si>
    <t>探寻中法两国烹饪技艺与饮食文化。</t>
  </si>
  <si>
    <t>Three Meals and Four Seasons 20240714</t>
  </si>
  <si>
    <t>Show the local unique food and local customs, present the hot social life in the new era and the myriad weather of Chinese modernization.</t>
  </si>
  <si>
    <t>三餐四季 20240714</t>
  </si>
  <si>
    <t>展现地方独特美食和风土人情，呈现各地新时代火热的社会生活面貌和中国式现代化的万千气象。</t>
  </si>
  <si>
    <t>A Home among Mountains and Rivers Season 3 20240915</t>
  </si>
  <si>
    <t>Lead the audience to immerse themselves in rural production and life, visit the beautiful transformations between the mountains and rivers from the first perspective, and record the magnificent picture of rural revitalization.</t>
  </si>
  <si>
    <t>山水间的家 第三季 20240915</t>
  </si>
  <si>
    <t>带领观众沉浸式体验乡村生产生活，以第一视角探访山水间的美丽蝶变，记录乡村振兴壮美画卷。</t>
  </si>
  <si>
    <t>World's Most Secret Hotels Ep01</t>
  </si>
  <si>
    <t>This enchanting series goes behind-the-scenes of the world's most remote hotels.</t>
  </si>
  <si>
    <t>宝藏酒店度假地 1</t>
  </si>
  <si>
    <t>探索壮观空间和精心设计的度假胜地，从水下度假胜地和偏远的沙漠小屋，令人心动的旅程即将开始。</t>
  </si>
  <si>
    <t>Jamie Cooks the Mediterranean Ep02</t>
  </si>
  <si>
    <t>Follow Jamie as he travels around the Mediterranean, soaking up inspiration to create delicious new recipes that bring the taste of holidays home.</t>
  </si>
  <si>
    <t>地中海的美食路 2</t>
  </si>
  <si>
    <t>跟随名厨杰米在地中海旅行，汲取独特文化的灵感，创造美味的新食谱，把假期的味道带回家。</t>
  </si>
  <si>
    <t>Jamie Cooks the Mediterranean Ep01</t>
  </si>
  <si>
    <t>地中海的美食路 1</t>
  </si>
  <si>
    <t>Fitness Moves Fitness Dance: Back Muscle Exercises</t>
  </si>
  <si>
    <t>Fitness Moves is a mass fitness program, which integrates appreciation, teaching, entertainment and interaction. The main content of the program is to show and teach fitness dance in the way of mass fitness.</t>
  </si>
  <si>
    <t>健身动起来 背肌练习</t>
  </si>
  <si>
    <t>《健身动起来》是一档大众健身栏目，它集欣赏性、教学性、娱乐性、互动性于一体，以展示和教授大众健身方式中的健身舞蹈为节目主要内容。</t>
  </si>
  <si>
    <t>Total Soccer: Andres Iniesta - Simple but Great</t>
  </si>
  <si>
    <t>A column focusing on reporting the latest events and news in international football.</t>
  </si>
  <si>
    <t>天下足球 伊涅斯塔：简单而伟大</t>
  </si>
  <si>
    <t>一个以报道国际足坛最新赛事和新闻为主的栏目。</t>
  </si>
  <si>
    <t>Total Soccer: Talk to the Premier League Double Stars</t>
  </si>
  <si>
    <t>天下足球 对话英超双星</t>
  </si>
  <si>
    <t>Basketball Park: Vince Carter Was Inducted into the Hall of Fame</t>
  </si>
  <si>
    <t>Basketball themed sports programs, covering entertainment basketball, NBA basketball, world basketball, etc.</t>
  </si>
  <si>
    <t>篮球公园 文斯·卡特入选名人堂</t>
  </si>
  <si>
    <t>以篮球为主题的体育节目，节目内容涵盖娱乐篮球、NBA篮球、世界篮球等。</t>
  </si>
  <si>
    <t>Basketball Park: CBA New Season Officially Started</t>
  </si>
  <si>
    <t>篮球公园 CBA新赛季正式打响</t>
  </si>
  <si>
    <t>FIBA World Basketball Ep03</t>
  </si>
  <si>
    <t>The very best basketball action, news and results from the world over, every week.</t>
  </si>
  <si>
    <t>国际篮联赛事集锦 3</t>
  </si>
  <si>
    <t>最全面的国际篮联全球赛事信息，更多内幕球员访谈，尽在本片。</t>
  </si>
  <si>
    <t>How Good Is Golf Ep03</t>
  </si>
  <si>
    <t>A premium high end golf/lifestyle program and it has a bit of everything including rounds with celebrities, instructional tips, travel and features exploration of Australia's most beautiful golf courses.</t>
  </si>
  <si>
    <t>燃情竞技高尔夫 3</t>
  </si>
  <si>
    <t>跟随前职业高尔夫巡回赛球员，从职业赛事到技术训练，走入火热的竞技世界。</t>
  </si>
  <si>
    <t>The Inside Line Ep03</t>
  </si>
  <si>
    <t>The only program 100% dedicated to Formula 1 - the most comprehensive coverage of the F1 World Championship.</t>
  </si>
  <si>
    <t>内线：F1方程式赛车 3</t>
  </si>
  <si>
    <t>最专业的F1赛车全面战报。</t>
  </si>
  <si>
    <t>More Than a Dive Ep04</t>
  </si>
  <si>
    <t>Red Bull Cliff Diving athletes have to overcome fear and train their bodies to withstand the extremes. Get an inside look into the competitive cliff diving community. Keep up to speed with all the aerial action throughout the season right here!</t>
  </si>
  <si>
    <t>极限悬崖跳水 4</t>
  </si>
  <si>
    <t>悬崖跳水，挑战自然与运动员的心理极限。</t>
  </si>
  <si>
    <t>The Greatest of All Time Ep05</t>
  </si>
  <si>
    <t>It pays tributes to the greatest athletes of all time.</t>
  </si>
  <si>
    <t>体坛最极致 5</t>
  </si>
  <si>
    <t>盘点体坛史上那些最极致的传奇和纪录，各种运动项目的王者之选尽在本片。</t>
  </si>
  <si>
    <t>Brilliant Corners S03E04</t>
  </si>
  <si>
    <t>Brilliant Corners is an adventure activism series about surfing and surf communities in some of the most exciting and unusual locations on the planet.</t>
  </si>
  <si>
    <t>完美冲浪地 第三季 4</t>
  </si>
  <si>
    <t>跟随长板冠军挑战非洲的冲浪胜地。</t>
  </si>
  <si>
    <t>Arena Esports 81</t>
  </si>
  <si>
    <t>The first of its kind weekly program that covers everything in the massively popular world of professional level gaming.</t>
  </si>
  <si>
    <t>电子竞技场 81</t>
  </si>
  <si>
    <t>节目聚焦第一档电子竞技类短片栏目，带您走进没有硝烟的世界级赛场，体验巅峰竞技快感。</t>
  </si>
  <si>
    <t>Arena Esports 80</t>
  </si>
  <si>
    <t>电子竞技场 80</t>
  </si>
  <si>
    <t>2024 Adventures on Lantern Festival</t>
  </si>
  <si>
    <t>With the theme "Reunite and Set Out Again," the gala takes "wonder" as its creative origin and unfolds through seven chapters: "Lighting Lanterns," "Dragons," "Moon Gazing," "Reunion," "Fish Lanterns," "Welcoming Spring," and "Departure." These chapters trace the river of history and creatively interpret the profound emotions and cultural values embedded in the Lantern Festival. The National Radio and Television Administration's outstanding online audiovisual works selection activity in the first quarter of 2024.</t>
  </si>
  <si>
    <t>2024元宵奇妙游</t>
  </si>
  <si>
    <t>晚会以“再欢聚，再出发”为主题，以“奇妙”为创作原点，通过“张灯、龘龘、望日、欢聚、鱼灯、探春、出发”七个篇章回溯历史长河，创新解读元宵节背后所蕴含的丰富情感和文化价值。国家广播电视总局2024年第一季度优秀网络视听作品推选活动优秀作品。</t>
  </si>
  <si>
    <t>Super Sketch Show S01E03</t>
  </si>
  <si>
    <t>Original comedy variety show.</t>
  </si>
  <si>
    <t>一年一度喜剧大赛 第一季 3</t>
  </si>
  <si>
    <t>原创喜剧竟演综艺。</t>
  </si>
  <si>
    <t>Super Sketch Show S01E02</t>
  </si>
  <si>
    <t>一年一度喜剧大赛 第一季 2</t>
  </si>
  <si>
    <t>2024 China Radio and Television Group Lantern Festival Gala 20240224</t>
  </si>
  <si>
    <t>Jubilant Chinese New Year, happy auspicious Yuanxiao.</t>
  </si>
  <si>
    <t>2024年中央广播电视总台元宵晚会 20240224</t>
  </si>
  <si>
    <t>喜气洋洋中国年，欢乐吉祥闹元宵。</t>
  </si>
  <si>
    <t>Avenue of Stars Great Season in Beijing</t>
  </si>
  <si>
    <t>To provide a stage for ordinary workers from all over the country and in various industries to sing and showcase themselves.</t>
  </si>
  <si>
    <t>星光大道 京彩季</t>
  </si>
  <si>
    <t>为全国各地，各行各业的普通劳动者提供一个放声歌唱，展现自我的舞台。</t>
  </si>
  <si>
    <t>Open the Door and Be Happy 20241111</t>
  </si>
  <si>
    <t>The program encourages ordinary people to realize their family dreams through games, excavates and shows the brilliance of ordinary people's humanity through various artistic methods, and resonates with the audience emotionally.</t>
  </si>
  <si>
    <t>开门大吉 20241111</t>
  </si>
  <si>
    <t>节目鼓励普通人通过游戏闯关的方式实现自己的家庭梦想，通过多种艺术方法挖掘、展现普通人的人性光辉，和观众进行情感共鸣。</t>
  </si>
  <si>
    <t>Spring Festival New Year Column Drama 20230124</t>
  </si>
  <si>
    <t>Happy New Year, enjoy the festival, laughter.</t>
  </si>
  <si>
    <t>吉聚欢喜 20230124</t>
  </si>
  <si>
    <t>新春贺岁，共度佳节，欢笑来袭。</t>
  </si>
  <si>
    <t>Just For Laughs Gags S21E12</t>
  </si>
  <si>
    <t>In this hidden-camera prank show, everyday people get caught up in outrageous gags with hilarious consequences.</t>
  </si>
  <si>
    <t>轻松一笑 第二十一季 12</t>
  </si>
  <si>
    <t>全新一季隐藏的摄像机后，奇趣搞笑的剧组创意层出不穷！</t>
  </si>
  <si>
    <t>Time Concert·Old Friends Ep04</t>
  </si>
  <si>
    <t>Singers use music to connect emotional stories and awaken common memories of The Times.</t>
  </si>
  <si>
    <t>时光音乐会·老友记 4</t>
  </si>
  <si>
    <t>节目邀请一众时光家族成员入驻“时光之家”，歌手们用音乐串联情感故事，唤醒时代的共同记忆。</t>
  </si>
  <si>
    <t>Time Concert·Old Friends Ep03</t>
  </si>
  <si>
    <t>时光音乐会·老友记 3</t>
  </si>
  <si>
    <t>Prelude of C.Debussy with Pianist Taihang Du - The Sounds and Fragrances Swirl Through The Evening Air</t>
  </si>
  <si>
    <t>Debussy was inspired to compose this piece by Baudelaire's poem "Harmony at Dusk".</t>
  </si>
  <si>
    <t>杜泰航和德彪西钢琴前奏曲--飘散在黄昏中的香气与声音</t>
  </si>
  <si>
    <t>德彪西创作这首乐曲的灵感，来自于波德莱尔的诗《黄昏的和谐》。</t>
  </si>
  <si>
    <t>Wonderful Music Collection: My Love Says to You 20241119</t>
  </si>
  <si>
    <t>Wonderful Music Collection is an editorial comprehensive music show by CCTV-15 Music Channel, which compiles the best classic songs and the most popular hits.</t>
  </si>
  <si>
    <t>精彩音乐汇 我的爱对你说 20241119</t>
  </si>
  <si>
    <t>《精彩音乐汇》是CCTV-15音乐频道一档编辑性综合音乐类节目。汇聚最好听的经典老歌，网罗最热门的流行金曲。</t>
  </si>
  <si>
    <t>The Stones and Brian Jones Ep02</t>
  </si>
  <si>
    <t>The Stones and Brian Jones examines the musical creativity of Jones, the secret to the band's success, through candid interviews with all the essential performers and previously unreleased archive.</t>
  </si>
  <si>
    <t>滚石乐队与布莱恩·琼斯 2</t>
  </si>
  <si>
    <t>滚石乐队和布莱恩·琼斯如何运用对音乐创造力造就音乐界的传奇？独家访谈和从未发布的珍贵影像档案尽在本片。</t>
  </si>
  <si>
    <t>The Stones and Brian Jones Ep01</t>
  </si>
  <si>
    <t>滚石乐队与布莱恩·琼斯 1</t>
  </si>
  <si>
    <t>Chinese Festival 6 Lantern Festival (Part 2)</t>
  </si>
  <si>
    <t>Records memories of traditional Chinese festivals and customs of celebrating festivals. Selected in the "Recommended Catalogue of Outstanding Domestic Documentaries in the Second Quarter of 2020".</t>
  </si>
  <si>
    <t>中国节日 6 元宵节（下）</t>
  </si>
  <si>
    <t>记录中国传统节日记忆和过节习俗。入选“2020年第二季度优秀国产纪录片推荐目录”。</t>
  </si>
  <si>
    <t>Chinese Festival 5 Lantern Festival (Part 1)</t>
  </si>
  <si>
    <t>中国节日 5 元宵节（上）</t>
  </si>
  <si>
    <t>China Before China Ep06</t>
  </si>
  <si>
    <t>The story of the formation of the Chinese nation and the creation of Chinese civilization. Best Series Documentary of The 29th Shanghai TV Festival Magnolia Awards.</t>
  </si>
  <si>
    <t>何以中国 6</t>
  </si>
  <si>
    <t>多元一体中华民族的形成和中华文明创生的故事，以影像溯源历史、寻脉中华。第29届上海电视节白玉兰奖 纪录片 最佳系列纪录片。</t>
  </si>
  <si>
    <t>China Before China Ep05</t>
  </si>
  <si>
    <t>何以中国 5</t>
  </si>
  <si>
    <t>The Villages in China Ep05</t>
  </si>
  <si>
    <t>The "little people" and "little stories" that happen in the village.</t>
  </si>
  <si>
    <t>中国村落 5</t>
  </si>
  <si>
    <t>通过纪实手法讲述发生在村落里的“小人物”“小故事”，传递出深埋在乡土间的脉脉温情。</t>
  </si>
  <si>
    <t>The Villages in China Ep04</t>
  </si>
  <si>
    <t>中国村落 4</t>
  </si>
  <si>
    <t>Poetry and Painting in China: Rivers Flow Through the Ages 20240629</t>
  </si>
  <si>
    <t>With the river culture of the motherland as the clue, poetry and painting as the carrier, in the process of exploring the development track and spiritual vein of Chinese culture, drawing a new picture of "modern civilization".</t>
  </si>
  <si>
    <t>诗画中国 江河万古流 20240629</t>
  </si>
  <si>
    <t>以祖国的江河文脉为线索，以诗画为载体，在探寻中国文化发展轨迹和精神脉络的过程中，绘就“现代文明”的崭新画卷。</t>
  </si>
  <si>
    <t>The Colours of China Ep03</t>
  </si>
  <si>
    <t>Show the unique charm of Chinese nature and humanity through five colors.</t>
  </si>
  <si>
    <t>色彩中国 3</t>
  </si>
  <si>
    <t>该片通过五种颜色展示中华自然人文的独特魅力。</t>
  </si>
  <si>
    <t>Wonderful Navigation</t>
  </si>
  <si>
    <t>Enjoy your dream flight with our superb collection of audio-visual entertaining content. Welcome aboard this Air China flight. This month, we are offering a wide variety of Chinese and international drama series, documentaries on Chinese and Western culture and the hottest sports programs. In addition to those, we also have comedy, travel shows and children's programs in store that are hand-tailored to your taste. Relax and enjoy your flight!</t>
  </si>
  <si>
    <t>精彩导航</t>
  </si>
  <si>
    <t>梦幻视听，乐享飞行。欢迎您搭乘中国国际航空公司的航班。本月国航为您汇聚了丰富多样的中外剧集，品味中西文化的纪录节目和最时尚的体育节目。此外，我们还准备了幽默、旅游、儿童等类型的节目，让您放松心情，享受飞行。</t>
  </si>
  <si>
    <t>Crazy Love</t>
  </si>
  <si>
    <t>疯狂的爱（沪语版）</t>
  </si>
  <si>
    <t>Pokémon</t>
  </si>
  <si>
    <t>神奇宝贝</t>
  </si>
  <si>
    <t>Official MV of "A Pleasant Meal in the Shelter" by ZIBO</t>
  </si>
  <si>
    <t>资博《避难所的愉快聚餐》官方MV</t>
  </si>
  <si>
    <t>Official MV of "King of My Heart" by ZIBO</t>
  </si>
  <si>
    <t>资博《心王》官方MV</t>
  </si>
  <si>
    <t>Splash Youth</t>
  </si>
  <si>
    <t>造浪少年</t>
  </si>
  <si>
    <t>Long Way From Home</t>
  </si>
  <si>
    <t>《离家千里》（电影《里斯本丸沉没》片尾曲）MV</t>
  </si>
  <si>
    <t>Sorry</t>
  </si>
  <si>
    <t>对不起（电影《盐湖计划》主题曲）</t>
  </si>
  <si>
    <t>A Deep Affection (Ending Song of the TV Drama and Movie "Meet Me in Your Sound")</t>
  </si>
  <si>
    <t>赋情衷（《幻乐森林》影视剧片尾曲）</t>
  </si>
  <si>
    <t>To Seek the Shore (Theme Song of the TV Series "Dark Night and Dawn")</t>
  </si>
  <si>
    <t>寻岸（《暗夜与黎明》电视剧主题曲）</t>
  </si>
  <si>
    <t>You are the one (Theme Song of the TV Drama and Movie "A Beautiful Lie ")</t>
  </si>
  <si>
    <t>You are the one（《你的谎言也动听》影视剧主题曲）</t>
  </si>
  <si>
    <t>First Flight</t>
  </si>
  <si>
    <t>第一班飞机</t>
  </si>
  <si>
    <t>Yun Tianming</t>
  </si>
  <si>
    <t>云天明</t>
  </si>
  <si>
    <t>Bedtime Story</t>
  </si>
  <si>
    <t>Don't care</t>
  </si>
  <si>
    <t>不去管</t>
  </si>
  <si>
    <t>Premonition</t>
  </si>
  <si>
    <t>预感</t>
  </si>
  <si>
    <t>Mama Said</t>
  </si>
  <si>
    <t>The Wonder of Wandering Life</t>
  </si>
  <si>
    <t>麋鹿</t>
  </si>
  <si>
    <t>Stories of the "Belt and Road" in Intangible Cultural Heritage: Xizang Carpet - Brimming with National Confidence Between Warps and Wefts</t>
  </si>
  <si>
    <t>非遗里的“一带一路”故事 藏毯：经纬间彰显民族自信</t>
  </si>
  <si>
    <t>Stories of the "Belt and Road" in Intangible Cultural Heritage: A Journey About Tea Culture</t>
  </si>
  <si>
    <t>非遗里的“一带一路”故事 茶文化之旅</t>
  </si>
  <si>
    <t>Stories of the "Belt and Road" in Intangible Cultural Heritage: Longquan Celadon - The Business Card of Chinese Culture to the World</t>
  </si>
  <si>
    <t>非遗里的“一带一路”故事 龙泉青瓷：中国文化的世界名片</t>
  </si>
  <si>
    <t>Stories of the "Belt and Road" in Intangible Cultural Heritage: Mongolian Long Tune - Contemporary Echoes of Ancient Melodies</t>
  </si>
  <si>
    <t>非遗里的“一带一路”故事 蒙古长调：古老歌声的当代回响</t>
  </si>
  <si>
    <t>Stories of the "Belt and Road" in Intangible Cultural Heritage: Why Has the Heroic Epic "Manas" Been Sung for a Millennium?</t>
  </si>
  <si>
    <t>非遗里的“一带一路”故事 英雄史诗《玛纳斯》何以传唱千年？</t>
  </si>
  <si>
    <t>Stories of the "Belt and Road" in Intangible Cultural Heritage: Yongchun Incense: Secret to the Aroma Revered Along the Maritime Silk Road</t>
  </si>
  <si>
    <t>非遗里的“一带一路”故事 永春香：海上丝路的香氛密码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</si>
</sst>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General"/>
  </numFmts>
  <fonts count="33">
    <font>
      <sz val="11"/>
      <color theme="1"/>
      <name val="宋体"/>
      <charset val="134"/>
      <scheme val="minor"/>
    </font>
    <font>
      <sz val="10"/>
      <color theme="1"/>
      <name val="Arial"/>
      <charset val="134"/>
    </font>
    <font>
      <sz val="10"/>
      <name val="Arial"/>
      <charset val="134"/>
    </font>
    <font>
      <b/>
      <sz val="10"/>
      <color theme="1"/>
      <name val="Arial"/>
      <charset val="134"/>
    </font>
    <font>
      <b/>
      <sz val="10"/>
      <name val="Arial"/>
      <charset val="134"/>
    </font>
    <font>
      <sz val="10"/>
      <color theme="1"/>
      <name val="宋体"/>
      <charset val="134"/>
    </font>
    <font>
      <sz val="10"/>
      <color theme="1"/>
      <name val="宋体"/>
      <charset val="134"/>
      <scheme val="major"/>
    </font>
    <font>
      <sz val="10"/>
      <color theme="1"/>
      <name val="宋体"/>
      <charset val="134"/>
      <scheme val="minor"/>
    </font>
    <font>
      <sz val="10"/>
      <name val="宋体"/>
      <charset val="134"/>
      <scheme val="minor"/>
    </font>
    <font>
      <sz val="6"/>
      <color theme="1"/>
      <name val="Arial"/>
      <charset val="134"/>
    </font>
    <font>
      <b/>
      <sz val="12"/>
      <color theme="1"/>
      <name val="宋体"/>
      <charset val="134"/>
      <scheme val="minor"/>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Verdana"/>
      <charset val="134"/>
    </font>
    <font>
      <sz val="12"/>
      <name val="Times New Roman"/>
      <charset val="134"/>
    </font>
  </fonts>
  <fills count="36">
    <fill>
      <patternFill patternType="none"/>
    </fill>
    <fill>
      <patternFill patternType="gray125"/>
    </fill>
    <fill>
      <patternFill patternType="solid">
        <fgColor theme="0" tint="-0.25"/>
        <bgColor indexed="64"/>
      </patternFill>
    </fill>
    <fill>
      <patternFill patternType="solid">
        <fgColor rgb="FFFFFF00"/>
        <bgColor indexed="64"/>
      </patternFill>
    </fill>
    <fill>
      <patternFill patternType="solid">
        <fgColor rgb="FFD883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5"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19" fillId="0" borderId="7" applyNumberFormat="0" applyFill="0" applyAlignment="0" applyProtection="0">
      <alignment vertical="center"/>
    </xf>
    <xf numFmtId="0" fontId="19" fillId="0" borderId="0" applyNumberFormat="0" applyFill="0" applyBorder="0" applyAlignment="0" applyProtection="0">
      <alignment vertical="center"/>
    </xf>
    <xf numFmtId="0" fontId="20" fillId="6" borderId="8" applyNumberFormat="0" applyAlignment="0" applyProtection="0">
      <alignment vertical="center"/>
    </xf>
    <xf numFmtId="0" fontId="21" fillId="7" borderId="9" applyNumberFormat="0" applyAlignment="0" applyProtection="0">
      <alignment vertical="center"/>
    </xf>
    <xf numFmtId="0" fontId="22" fillId="7" borderId="8" applyNumberFormat="0" applyAlignment="0" applyProtection="0">
      <alignment vertical="center"/>
    </xf>
    <xf numFmtId="0" fontId="23" fillId="8" borderId="10" applyNumberFormat="0" applyAlignment="0" applyProtection="0">
      <alignment vertical="center"/>
    </xf>
    <xf numFmtId="0" fontId="24" fillId="0" borderId="11" applyNumberFormat="0" applyFill="0" applyAlignment="0" applyProtection="0">
      <alignment vertical="center"/>
    </xf>
    <xf numFmtId="0" fontId="25" fillId="0" borderId="12"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xf numFmtId="0" fontId="2" fillId="0" borderId="0"/>
    <xf numFmtId="0" fontId="31" fillId="0" borderId="0" applyNumberFormat="0" applyFill="0" applyBorder="0" applyProtection="0">
      <alignment vertical="top" wrapText="1"/>
    </xf>
    <xf numFmtId="0" fontId="0" fillId="0" borderId="0" applyBorder="0">
      <alignment vertical="center"/>
    </xf>
    <xf numFmtId="0" fontId="32" fillId="0" borderId="0">
      <alignment vertical="center"/>
    </xf>
  </cellStyleXfs>
  <cellXfs count="70">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2" fillId="0" borderId="0" xfId="0" applyFont="1" applyAlignment="1">
      <alignment horizontal="left" vertical="center"/>
    </xf>
    <xf numFmtId="0" fontId="1" fillId="0" borderId="0" xfId="0" applyFont="1" applyAlignment="1">
      <alignment horizontal="lef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 fillId="0" borderId="1" xfId="0" applyNumberFormat="1" applyFont="1" applyBorder="1" applyAlignment="1">
      <alignment horizontal="center" vertical="center"/>
    </xf>
    <xf numFmtId="0" fontId="1" fillId="0" borderId="1" xfId="0" applyNumberFormat="1" applyFont="1" applyBorder="1" applyAlignment="1">
      <alignment horizontal="left" vertical="center"/>
    </xf>
    <xf numFmtId="0" fontId="5" fillId="0" borderId="1" xfId="0" applyFont="1" applyBorder="1" applyAlignment="1">
      <alignment horizontal="center" vertical="center"/>
    </xf>
    <xf numFmtId="0" fontId="2" fillId="0" borderId="1" xfId="0" applyNumberFormat="1" applyFont="1" applyFill="1" applyBorder="1" applyAlignment="1">
      <alignment horizontal="left" vertical="center"/>
    </xf>
    <xf numFmtId="0" fontId="1" fillId="0" borderId="1" xfId="0" applyFont="1" applyBorder="1" applyAlignment="1">
      <alignment horizontal="center" vertical="center"/>
    </xf>
    <xf numFmtId="0" fontId="6" fillId="0" borderId="1" xfId="0" applyNumberFormat="1" applyFont="1" applyFill="1" applyBorder="1" applyAlignment="1">
      <alignment horizontal="left" vertical="center"/>
    </xf>
    <xf numFmtId="0" fontId="1" fillId="0" borderId="0" xfId="0" applyNumberFormat="1" applyFont="1">
      <alignment vertical="center"/>
    </xf>
    <xf numFmtId="1" fontId="2" fillId="0" borderId="1" xfId="0" applyNumberFormat="1" applyFont="1" applyFill="1" applyBorder="1" applyAlignment="1">
      <alignment horizontal="left" vertical="center"/>
    </xf>
    <xf numFmtId="0" fontId="1" fillId="0" borderId="0" xfId="0" applyFont="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xf>
    <xf numFmtId="0" fontId="5" fillId="0" borderId="1" xfId="0" applyFont="1" applyFill="1" applyBorder="1" applyAlignment="1">
      <alignment horizontal="center" vertical="center"/>
    </xf>
    <xf numFmtId="0" fontId="2" fillId="0" borderId="1" xfId="0" applyNumberFormat="1" applyFont="1" applyFill="1" applyBorder="1" applyAlignment="1">
      <alignment horizontal="center" vertical="center" wrapText="1"/>
    </xf>
    <xf numFmtId="0" fontId="1" fillId="3" borderId="1" xfId="0" applyNumberFormat="1" applyFont="1" applyFill="1" applyBorder="1" applyAlignment="1">
      <alignment horizontal="left" vertical="center" wrapText="1"/>
    </xf>
    <xf numFmtId="0" fontId="1" fillId="0" borderId="1"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3" xfId="0" applyFont="1" applyFill="1" applyBorder="1" applyAlignment="1">
      <alignment horizontal="left" vertical="center"/>
    </xf>
    <xf numFmtId="0" fontId="5" fillId="0" borderId="1" xfId="0" applyNumberFormat="1" applyFont="1" applyFill="1" applyBorder="1" applyAlignment="1">
      <alignment horizontal="center" vertical="center" wrapText="1"/>
    </xf>
    <xf numFmtId="0" fontId="7" fillId="3" borderId="1" xfId="0" applyNumberFormat="1" applyFont="1" applyFill="1" applyBorder="1" applyAlignment="1">
      <alignment horizontal="left" vertical="center" wrapText="1"/>
    </xf>
    <xf numFmtId="0" fontId="2" fillId="3" borderId="1"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5" fillId="3" borderId="1" xfId="0" applyNumberFormat="1" applyFont="1" applyFill="1" applyBorder="1" applyAlignment="1">
      <alignment horizontal="center" vertical="center" wrapText="1"/>
    </xf>
    <xf numFmtId="0" fontId="7" fillId="0" borderId="1" xfId="0" applyNumberFormat="1" applyFont="1" applyFill="1" applyBorder="1" applyAlignment="1">
      <alignment horizontal="left" vertical="center" wrapText="1"/>
    </xf>
    <xf numFmtId="176" fontId="1" fillId="0" borderId="0" xfId="0" applyNumberFormat="1" applyFont="1">
      <alignment vertical="center"/>
    </xf>
    <xf numFmtId="0" fontId="1" fillId="0" borderId="4" xfId="0" applyFont="1" applyFill="1" applyBorder="1" applyAlignment="1">
      <alignment horizontal="center" vertical="center"/>
    </xf>
    <xf numFmtId="0" fontId="1" fillId="0" borderId="4" xfId="0" applyFont="1" applyFill="1" applyBorder="1" applyAlignment="1">
      <alignment horizontal="left" vertical="center"/>
    </xf>
    <xf numFmtId="0" fontId="5" fillId="4" borderId="1" xfId="0" applyFont="1" applyFill="1" applyBorder="1" applyAlignment="1">
      <alignment horizontal="center" vertical="center"/>
    </xf>
    <xf numFmtId="176" fontId="2" fillId="3" borderId="1" xfId="0" applyNumberFormat="1" applyFont="1" applyFill="1" applyBorder="1" applyAlignment="1">
      <alignment horizontal="center" vertical="center" wrapText="1"/>
    </xf>
    <xf numFmtId="176" fontId="2" fillId="0" borderId="1" xfId="0" applyNumberFormat="1" applyFont="1" applyFill="1" applyBorder="1" applyAlignment="1">
      <alignment horizontal="center" vertical="center" wrapText="1"/>
    </xf>
    <xf numFmtId="0" fontId="8" fillId="0" borderId="1" xfId="0" applyNumberFormat="1" applyFont="1" applyFill="1" applyBorder="1" applyAlignment="1">
      <alignment horizontal="left" vertical="center" wrapText="1"/>
    </xf>
    <xf numFmtId="0" fontId="2" fillId="0" borderId="1" xfId="0" applyNumberFormat="1" applyFont="1" applyFill="1" applyBorder="1" applyAlignment="1">
      <alignment horizontal="left" vertical="center" wrapText="1"/>
    </xf>
    <xf numFmtId="0" fontId="1" fillId="0" borderId="1" xfId="0" applyNumberFormat="1" applyFont="1" applyFill="1" applyBorder="1" applyAlignment="1">
      <alignment horizontal="center" vertical="center" wrapText="1"/>
    </xf>
    <xf numFmtId="0" fontId="3" fillId="0" borderId="0" xfId="0" applyFont="1">
      <alignment vertical="center"/>
    </xf>
    <xf numFmtId="0" fontId="1" fillId="0" borderId="0" xfId="0" applyFont="1" applyAlignment="1">
      <alignment horizontal="left" vertical="center"/>
    </xf>
    <xf numFmtId="0" fontId="1" fillId="0" borderId="2" xfId="0" applyFont="1" applyBorder="1" applyAlignment="1">
      <alignment horizontal="center" vertical="center"/>
    </xf>
    <xf numFmtId="0" fontId="5" fillId="0" borderId="2" xfId="0" applyFont="1" applyBorder="1" applyAlignment="1">
      <alignment horizontal="center" vertical="center"/>
    </xf>
    <xf numFmtId="0" fontId="1" fillId="0" borderId="1" xfId="0" applyNumberFormat="1" applyFont="1" applyFill="1" applyBorder="1" applyAlignment="1">
      <alignment horizontal="left" vertical="center"/>
    </xf>
    <xf numFmtId="0" fontId="1" fillId="0" borderId="3" xfId="0" applyFont="1" applyBorder="1" applyAlignment="1">
      <alignment horizontal="center" vertical="center"/>
    </xf>
    <xf numFmtId="0" fontId="7" fillId="0" borderId="3" xfId="0" applyFont="1" applyBorder="1" applyAlignment="1">
      <alignment horizontal="center" vertical="center"/>
    </xf>
    <xf numFmtId="0" fontId="7" fillId="0" borderId="1" xfId="0" applyFont="1" applyBorder="1" applyAlignment="1">
      <alignment horizontal="center" vertical="center"/>
    </xf>
    <xf numFmtId="0" fontId="7" fillId="0" borderId="1" xfId="0" applyNumberFormat="1" applyFont="1" applyFill="1" applyBorder="1" applyAlignment="1">
      <alignment horizontal="left" vertical="center"/>
    </xf>
    <xf numFmtId="0" fontId="5" fillId="0" borderId="1" xfId="0" applyNumberFormat="1" applyFont="1" applyFill="1" applyBorder="1" applyAlignment="1">
      <alignment horizontal="left" vertical="center"/>
    </xf>
    <xf numFmtId="1" fontId="7"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 fontId="1" fillId="0" borderId="1" xfId="0" applyNumberFormat="1" applyFont="1" applyFill="1" applyBorder="1" applyAlignment="1">
      <alignment horizontal="left" vertical="center"/>
    </xf>
    <xf numFmtId="0" fontId="1" fillId="3" borderId="1" xfId="0" applyNumberFormat="1" applyFont="1" applyFill="1" applyBorder="1" applyAlignment="1">
      <alignment horizontal="left" vertical="center"/>
    </xf>
    <xf numFmtId="1" fontId="7" fillId="0" borderId="1" xfId="0" applyNumberFormat="1" applyFont="1" applyFill="1" applyBorder="1" applyAlignment="1">
      <alignment horizontal="left" vertical="center"/>
    </xf>
    <xf numFmtId="0" fontId="7" fillId="3" borderId="1" xfId="0" applyNumberFormat="1" applyFont="1" applyFill="1" applyBorder="1" applyAlignment="1">
      <alignment horizontal="left" vertical="center"/>
    </xf>
    <xf numFmtId="0" fontId="8" fillId="0" borderId="1" xfId="0" applyNumberFormat="1" applyFont="1" applyFill="1" applyBorder="1" applyAlignment="1">
      <alignment horizontal="left" vertical="center"/>
    </xf>
    <xf numFmtId="0" fontId="1" fillId="0" borderId="4" xfId="0" applyFont="1" applyBorder="1" applyAlignment="1">
      <alignment horizontal="center" vertical="center"/>
    </xf>
    <xf numFmtId="0" fontId="5" fillId="0" borderId="4" xfId="0" applyFont="1" applyBorder="1" applyAlignment="1">
      <alignment horizontal="center" vertical="center"/>
    </xf>
    <xf numFmtId="176" fontId="1" fillId="0" borderId="1" xfId="0" applyNumberFormat="1" applyFont="1" applyBorder="1" applyAlignment="1">
      <alignment horizontal="left" vertical="center"/>
    </xf>
    <xf numFmtId="0" fontId="1" fillId="0" borderId="1" xfId="0" applyFont="1" applyBorder="1" applyAlignment="1">
      <alignment horizontal="left" vertical="center"/>
    </xf>
    <xf numFmtId="0" fontId="1" fillId="0" borderId="1" xfId="0" applyNumberFormat="1" applyFont="1" applyBorder="1" applyAlignment="1">
      <alignment horizontal="left" vertical="center" wrapText="1"/>
    </xf>
    <xf numFmtId="0" fontId="7" fillId="0" borderId="1" xfId="0" applyNumberFormat="1" applyFont="1" applyBorder="1" applyAlignment="1">
      <alignment horizontal="left" vertical="center"/>
    </xf>
    <xf numFmtId="0" fontId="7" fillId="0" borderId="1" xfId="0" applyFont="1" applyBorder="1" applyAlignment="1">
      <alignment horizontal="left" vertical="center"/>
    </xf>
    <xf numFmtId="0" fontId="7" fillId="0" borderId="1" xfId="0" applyNumberFormat="1" applyFont="1" applyBorder="1" applyAlignment="1">
      <alignment horizontal="left" vertical="center" wrapText="1"/>
    </xf>
    <xf numFmtId="0" fontId="9" fillId="0" borderId="0" xfId="0" applyFont="1" applyAlignment="1">
      <alignment horizontal="left" vertical="center" wrapText="1"/>
    </xf>
    <xf numFmtId="0" fontId="10"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176" fontId="11" fillId="0" borderId="1" xfId="0" applyNumberFormat="1" applyFont="1" applyFill="1" applyBorder="1" applyAlignment="1">
      <alignment vertical="center" wrapText="1"/>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AFE 2" xfId="49"/>
    <cellStyle name="常规 2" xfId="50"/>
    <cellStyle name="常规 5" xfId="51"/>
    <cellStyle name="常规 32" xfId="52"/>
  </cellStyles>
  <tableStyles count="0" defaultTableStyle="TableStyleMedium2" defaultPivotStyle="PivotStyleLight16"/>
  <colors>
    <mruColors>
      <color rgb="00D883FF"/>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D14"/>
  <sheetViews>
    <sheetView tabSelected="1" workbookViewId="0">
      <selection activeCell="A9" sqref="A9"/>
    </sheetView>
  </sheetViews>
  <sheetFormatPr defaultColWidth="9" defaultRowHeight="13.5" outlineLevelCol="3"/>
  <cols>
    <col min="1" max="1" width="10.25" customWidth="1"/>
    <col min="2" max="2" width="55.375" customWidth="1"/>
    <col min="3" max="3" width="13.5" customWidth="1"/>
    <col min="4" max="4" width="12.5" customWidth="1"/>
  </cols>
  <sheetData>
    <row r="1" ht="20" customHeight="1" spans="1:4">
      <c r="A1" s="66" t="s">
        <v>0</v>
      </c>
      <c r="B1" s="66" t="s">
        <v>1</v>
      </c>
      <c r="C1" s="66" t="s">
        <v>2</v>
      </c>
      <c r="D1" s="66" t="s">
        <v>3</v>
      </c>
    </row>
    <row r="2" ht="20" customHeight="1" spans="1:4">
      <c r="A2" s="67" t="s">
        <v>4</v>
      </c>
      <c r="B2" s="67" t="s">
        <v>5</v>
      </c>
      <c r="C2" s="67" t="s">
        <v>6</v>
      </c>
      <c r="D2" s="67" t="s">
        <v>7</v>
      </c>
    </row>
    <row r="3" ht="48" customHeight="1" spans="1:4">
      <c r="A3" s="67" t="s">
        <v>8</v>
      </c>
      <c r="B3" s="68" t="s">
        <v>9</v>
      </c>
      <c r="C3" s="67" t="s">
        <v>6</v>
      </c>
      <c r="D3" s="67" t="s">
        <v>10</v>
      </c>
    </row>
    <row r="4" ht="97" customHeight="1" spans="1:4">
      <c r="A4" s="67" t="s">
        <v>11</v>
      </c>
      <c r="B4" s="68" t="s">
        <v>12</v>
      </c>
      <c r="C4" s="67" t="s">
        <v>6</v>
      </c>
      <c r="D4" s="67" t="s">
        <v>13</v>
      </c>
    </row>
    <row r="5" ht="42" customHeight="1" spans="1:4">
      <c r="A5" s="67" t="s">
        <v>14</v>
      </c>
      <c r="B5" s="69" t="s">
        <v>15</v>
      </c>
      <c r="C5" s="67" t="s">
        <v>6</v>
      </c>
      <c r="D5" s="67" t="s">
        <v>16</v>
      </c>
    </row>
    <row r="6" ht="57" customHeight="1" spans="1:4">
      <c r="A6" s="67" t="s">
        <v>17</v>
      </c>
      <c r="B6" s="68" t="s">
        <v>18</v>
      </c>
      <c r="C6" s="67" t="s">
        <v>6</v>
      </c>
      <c r="D6" s="67" t="s">
        <v>19</v>
      </c>
    </row>
    <row r="7" ht="42" customHeight="1" spans="1:4">
      <c r="A7" s="67" t="s">
        <v>20</v>
      </c>
      <c r="B7" s="68" t="s">
        <v>21</v>
      </c>
      <c r="C7" s="67" t="s">
        <v>6</v>
      </c>
      <c r="D7" s="67" t="s">
        <v>22</v>
      </c>
    </row>
    <row r="8" ht="36" customHeight="1" spans="1:4">
      <c r="A8" s="67" t="s">
        <v>23</v>
      </c>
      <c r="B8" s="68" t="s">
        <v>24</v>
      </c>
      <c r="C8" s="67" t="s">
        <v>6</v>
      </c>
      <c r="D8" s="67" t="s">
        <v>25</v>
      </c>
    </row>
    <row r="9" ht="44" customHeight="1" spans="1:4">
      <c r="A9" s="67" t="s">
        <v>26</v>
      </c>
      <c r="B9" s="68" t="s">
        <v>27</v>
      </c>
      <c r="C9" s="67" t="s">
        <v>6</v>
      </c>
      <c r="D9" s="67" t="s">
        <v>28</v>
      </c>
    </row>
    <row r="10" ht="20" customHeight="1" spans="1:4">
      <c r="A10" s="67"/>
      <c r="B10" s="67"/>
      <c r="C10" s="67"/>
      <c r="D10" s="67"/>
    </row>
    <row r="11" ht="20" customHeight="1"/>
    <row r="12" ht="20" customHeight="1"/>
    <row r="13" ht="20" customHeight="1"/>
    <row r="14" ht="20" customHeight="1"/>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K99"/>
  <sheetViews>
    <sheetView topLeftCell="B1" workbookViewId="0">
      <pane ySplit="1" topLeftCell="A48" activePane="bottomLeft" state="frozen"/>
      <selection/>
      <selection pane="bottomLeft" activeCell="D58" sqref="D58"/>
    </sheetView>
  </sheetViews>
  <sheetFormatPr defaultColWidth="9" defaultRowHeight="12.75"/>
  <cols>
    <col min="1" max="1" width="5" style="2" customWidth="1"/>
    <col min="2" max="2" width="20.7" style="2" customWidth="1"/>
    <col min="3" max="3" width="12.125" style="2" customWidth="1"/>
    <col min="4" max="4" width="29.125" style="41" customWidth="1"/>
    <col min="5" max="5" width="21.5" style="41" customWidth="1"/>
    <col min="6" max="6" width="43.875" style="41" customWidth="1"/>
    <col min="7" max="7" width="97.625" style="4" customWidth="1"/>
    <col min="8" max="11" width="9" style="2"/>
    <col min="12" max="16384" width="9" style="1"/>
  </cols>
  <sheetData>
    <row r="1" s="40" customFormat="1" ht="39" customHeight="1" spans="1:11">
      <c r="A1" s="6" t="s">
        <v>29</v>
      </c>
      <c r="B1" s="6" t="s">
        <v>30</v>
      </c>
      <c r="C1" s="6" t="s">
        <v>31</v>
      </c>
      <c r="D1" s="6" t="s">
        <v>32</v>
      </c>
      <c r="E1" s="6" t="s">
        <v>33</v>
      </c>
      <c r="F1" s="6" t="s">
        <v>34</v>
      </c>
      <c r="G1" s="5" t="s">
        <v>35</v>
      </c>
      <c r="H1" s="6" t="s">
        <v>36</v>
      </c>
      <c r="I1" s="6" t="s">
        <v>33</v>
      </c>
      <c r="J1" s="6" t="s">
        <v>34</v>
      </c>
      <c r="K1" s="6" t="s">
        <v>35</v>
      </c>
    </row>
    <row r="2" ht="40" customHeight="1" spans="1:11">
      <c r="A2" s="42">
        <v>1</v>
      </c>
      <c r="B2" s="43" t="str">
        <f>D3</f>
        <v>异人之下</v>
      </c>
      <c r="C2" s="12" t="s">
        <v>37</v>
      </c>
      <c r="D2" s="44" t="s">
        <v>38</v>
      </c>
      <c r="E2" s="44" t="s">
        <v>39</v>
      </c>
      <c r="F2" s="11" t="s">
        <v>40</v>
      </c>
      <c r="G2" s="28" t="s">
        <v>41</v>
      </c>
      <c r="H2" s="12">
        <f t="shared" ref="H2:H54" si="0">LEN(D2)</f>
        <v>13</v>
      </c>
      <c r="I2" s="12">
        <f t="shared" ref="I2:I54" si="1">LEN(E2)</f>
        <v>18</v>
      </c>
      <c r="J2" s="12">
        <f t="shared" ref="J2:J54" si="2">LEN(F2)</f>
        <v>67</v>
      </c>
      <c r="K2" s="12">
        <f t="shared" ref="K2:K54" si="3">LEN(G2)</f>
        <v>176</v>
      </c>
    </row>
    <row r="3" ht="40" customHeight="1" spans="1:11">
      <c r="A3" s="45"/>
      <c r="B3" s="46"/>
      <c r="C3" s="47" t="s">
        <v>42</v>
      </c>
      <c r="D3" s="48" t="s">
        <v>43</v>
      </c>
      <c r="E3" s="48" t="s">
        <v>44</v>
      </c>
      <c r="F3" s="48" t="s">
        <v>45</v>
      </c>
      <c r="G3" s="30" t="s">
        <v>46</v>
      </c>
      <c r="H3" s="12">
        <f t="shared" si="0"/>
        <v>4</v>
      </c>
      <c r="I3" s="12">
        <f t="shared" si="1"/>
        <v>8</v>
      </c>
      <c r="J3" s="12">
        <f t="shared" si="2"/>
        <v>27</v>
      </c>
      <c r="K3" s="12">
        <f t="shared" si="3"/>
        <v>32</v>
      </c>
    </row>
    <row r="4" ht="40" customHeight="1" spans="1:11">
      <c r="A4" s="42">
        <v>2</v>
      </c>
      <c r="B4" s="43" t="str">
        <f>D5</f>
        <v>西游记之女儿国</v>
      </c>
      <c r="C4" s="12" t="s">
        <v>37</v>
      </c>
      <c r="D4" s="44" t="s">
        <v>47</v>
      </c>
      <c r="E4" s="44" t="s">
        <v>48</v>
      </c>
      <c r="F4" s="11" t="s">
        <v>49</v>
      </c>
      <c r="G4" s="28" t="s">
        <v>50</v>
      </c>
      <c r="H4" s="12">
        <f t="shared" si="0"/>
        <v>17</v>
      </c>
      <c r="I4" s="12">
        <f t="shared" si="1"/>
        <v>14</v>
      </c>
      <c r="J4" s="12">
        <f t="shared" si="2"/>
        <v>69</v>
      </c>
      <c r="K4" s="12">
        <f t="shared" si="3"/>
        <v>100</v>
      </c>
    </row>
    <row r="5" ht="40" customHeight="1" spans="1:11">
      <c r="A5" s="45"/>
      <c r="B5" s="46"/>
      <c r="C5" s="47" t="s">
        <v>42</v>
      </c>
      <c r="D5" s="48" t="s">
        <v>51</v>
      </c>
      <c r="E5" s="48" t="s">
        <v>52</v>
      </c>
      <c r="F5" s="48" t="s">
        <v>53</v>
      </c>
      <c r="G5" s="26" t="s">
        <v>54</v>
      </c>
      <c r="H5" s="12">
        <f t="shared" si="0"/>
        <v>7</v>
      </c>
      <c r="I5" s="12">
        <f t="shared" si="1"/>
        <v>3</v>
      </c>
      <c r="J5" s="12">
        <f t="shared" si="2"/>
        <v>27</v>
      </c>
      <c r="K5" s="12">
        <f t="shared" si="3"/>
        <v>39</v>
      </c>
    </row>
    <row r="6" ht="40" customHeight="1" spans="1:11">
      <c r="A6" s="42">
        <v>3</v>
      </c>
      <c r="B6" s="43" t="str">
        <f>D7</f>
        <v>西游记之孙悟空三打白骨精</v>
      </c>
      <c r="C6" s="12" t="s">
        <v>37</v>
      </c>
      <c r="D6" s="44" t="s">
        <v>55</v>
      </c>
      <c r="E6" s="44" t="s">
        <v>48</v>
      </c>
      <c r="F6" s="11" t="s">
        <v>56</v>
      </c>
      <c r="G6" s="21" t="s">
        <v>57</v>
      </c>
      <c r="H6" s="12">
        <f t="shared" si="0"/>
        <v>17</v>
      </c>
      <c r="I6" s="12">
        <f t="shared" si="1"/>
        <v>14</v>
      </c>
      <c r="J6" s="12">
        <f t="shared" si="2"/>
        <v>50</v>
      </c>
      <c r="K6" s="12">
        <f t="shared" si="3"/>
        <v>182</v>
      </c>
    </row>
    <row r="7" ht="40" customHeight="1" spans="1:11">
      <c r="A7" s="45"/>
      <c r="B7" s="46"/>
      <c r="C7" s="47" t="s">
        <v>42</v>
      </c>
      <c r="D7" s="48" t="s">
        <v>58</v>
      </c>
      <c r="E7" s="48" t="s">
        <v>52</v>
      </c>
      <c r="F7" s="48" t="s">
        <v>59</v>
      </c>
      <c r="G7" s="30" t="s">
        <v>60</v>
      </c>
      <c r="H7" s="12">
        <f t="shared" si="0"/>
        <v>12</v>
      </c>
      <c r="I7" s="12">
        <f t="shared" si="1"/>
        <v>3</v>
      </c>
      <c r="J7" s="12">
        <f t="shared" si="2"/>
        <v>20</v>
      </c>
      <c r="K7" s="12">
        <f t="shared" si="3"/>
        <v>52</v>
      </c>
    </row>
    <row r="8" ht="40" customHeight="1" spans="1:11">
      <c r="A8" s="42">
        <v>4</v>
      </c>
      <c r="B8" s="43" t="str">
        <f>D9</f>
        <v>西游记之大闹天宫</v>
      </c>
      <c r="C8" s="12" t="s">
        <v>37</v>
      </c>
      <c r="D8" s="44" t="s">
        <v>61</v>
      </c>
      <c r="E8" s="44" t="s">
        <v>48</v>
      </c>
      <c r="F8" s="11" t="s">
        <v>62</v>
      </c>
      <c r="G8" s="28" t="s">
        <v>63</v>
      </c>
      <c r="H8" s="12">
        <f t="shared" si="0"/>
        <v>15</v>
      </c>
      <c r="I8" s="12">
        <f t="shared" si="1"/>
        <v>14</v>
      </c>
      <c r="J8" s="12">
        <f t="shared" si="2"/>
        <v>36</v>
      </c>
      <c r="K8" s="12">
        <f t="shared" si="3"/>
        <v>264</v>
      </c>
    </row>
    <row r="9" ht="40" customHeight="1" spans="1:11">
      <c r="A9" s="45"/>
      <c r="B9" s="46"/>
      <c r="C9" s="47" t="s">
        <v>42</v>
      </c>
      <c r="D9" s="48" t="s">
        <v>64</v>
      </c>
      <c r="E9" s="48" t="s">
        <v>52</v>
      </c>
      <c r="F9" s="48" t="s">
        <v>65</v>
      </c>
      <c r="G9" s="30" t="s">
        <v>66</v>
      </c>
      <c r="H9" s="12">
        <f t="shared" si="0"/>
        <v>8</v>
      </c>
      <c r="I9" s="12">
        <f t="shared" si="1"/>
        <v>3</v>
      </c>
      <c r="J9" s="12">
        <f t="shared" si="2"/>
        <v>15</v>
      </c>
      <c r="K9" s="12">
        <f t="shared" si="3"/>
        <v>40</v>
      </c>
    </row>
    <row r="10" ht="40" customHeight="1" spans="1:11">
      <c r="A10" s="42">
        <v>5</v>
      </c>
      <c r="B10" s="43" t="str">
        <f>D11</f>
        <v>捉刀人</v>
      </c>
      <c r="C10" s="12" t="s">
        <v>37</v>
      </c>
      <c r="D10" s="49" t="s">
        <v>67</v>
      </c>
      <c r="E10" s="44" t="s">
        <v>68</v>
      </c>
      <c r="F10" s="11" t="s">
        <v>69</v>
      </c>
      <c r="G10" s="28" t="s">
        <v>70</v>
      </c>
      <c r="H10" s="12">
        <f t="shared" si="0"/>
        <v>13</v>
      </c>
      <c r="I10" s="12">
        <f t="shared" si="1"/>
        <v>11</v>
      </c>
      <c r="J10" s="12">
        <f t="shared" si="2"/>
        <v>56</v>
      </c>
      <c r="K10" s="12">
        <f t="shared" si="3"/>
        <v>80</v>
      </c>
    </row>
    <row r="11" ht="40" customHeight="1" spans="1:11">
      <c r="A11" s="45"/>
      <c r="B11" s="46"/>
      <c r="C11" s="47" t="s">
        <v>42</v>
      </c>
      <c r="D11" s="48" t="s">
        <v>71</v>
      </c>
      <c r="E11" s="48" t="s">
        <v>72</v>
      </c>
      <c r="F11" s="48" t="s">
        <v>73</v>
      </c>
      <c r="G11" s="30" t="s">
        <v>74</v>
      </c>
      <c r="H11" s="12">
        <f t="shared" si="0"/>
        <v>3</v>
      </c>
      <c r="I11" s="12">
        <f t="shared" si="1"/>
        <v>3</v>
      </c>
      <c r="J11" s="12">
        <f t="shared" si="2"/>
        <v>22</v>
      </c>
      <c r="K11" s="12">
        <f t="shared" si="3"/>
        <v>40</v>
      </c>
    </row>
    <row r="12" ht="40" customHeight="1" spans="1:11">
      <c r="A12" s="42">
        <v>6</v>
      </c>
      <c r="B12" s="43" t="str">
        <f>D13</f>
        <v>浴火之路</v>
      </c>
      <c r="C12" s="12" t="s">
        <v>37</v>
      </c>
      <c r="D12" s="44" t="s">
        <v>75</v>
      </c>
      <c r="E12" s="44" t="s">
        <v>76</v>
      </c>
      <c r="F12" s="11" t="s">
        <v>77</v>
      </c>
      <c r="G12" s="28" t="s">
        <v>78</v>
      </c>
      <c r="H12" s="12">
        <f t="shared" si="0"/>
        <v>17</v>
      </c>
      <c r="I12" s="12">
        <f t="shared" si="1"/>
        <v>9</v>
      </c>
      <c r="J12" s="12">
        <f t="shared" si="2"/>
        <v>30</v>
      </c>
      <c r="K12" s="12">
        <f t="shared" si="3"/>
        <v>69</v>
      </c>
    </row>
    <row r="13" ht="40" customHeight="1" spans="1:11">
      <c r="A13" s="45"/>
      <c r="B13" s="46"/>
      <c r="C13" s="47" t="s">
        <v>42</v>
      </c>
      <c r="D13" s="48" t="s">
        <v>79</v>
      </c>
      <c r="E13" s="48" t="s">
        <v>80</v>
      </c>
      <c r="F13" s="48" t="s">
        <v>81</v>
      </c>
      <c r="G13" s="30" t="s">
        <v>82</v>
      </c>
      <c r="H13" s="12">
        <f t="shared" si="0"/>
        <v>4</v>
      </c>
      <c r="I13" s="12">
        <f t="shared" si="1"/>
        <v>2</v>
      </c>
      <c r="J13" s="12">
        <f t="shared" si="2"/>
        <v>13</v>
      </c>
      <c r="K13" s="12">
        <f t="shared" si="3"/>
        <v>37</v>
      </c>
    </row>
    <row r="14" ht="40" customHeight="1" spans="1:11">
      <c r="A14" s="42">
        <v>7</v>
      </c>
      <c r="B14" s="43" t="str">
        <f>D15</f>
        <v>里斯本丸沉没</v>
      </c>
      <c r="C14" s="12" t="s">
        <v>37</v>
      </c>
      <c r="D14" s="44" t="s">
        <v>83</v>
      </c>
      <c r="E14" s="44" t="s">
        <v>84</v>
      </c>
      <c r="F14" s="11" t="s">
        <v>85</v>
      </c>
      <c r="G14" s="28" t="s">
        <v>86</v>
      </c>
      <c r="H14" s="12">
        <f t="shared" si="0"/>
        <v>30</v>
      </c>
      <c r="I14" s="12">
        <f t="shared" si="1"/>
        <v>7</v>
      </c>
      <c r="J14" s="12">
        <f t="shared" si="2"/>
        <v>30</v>
      </c>
      <c r="K14" s="12">
        <f t="shared" si="3"/>
        <v>173</v>
      </c>
    </row>
    <row r="15" ht="40" customHeight="1" spans="1:11">
      <c r="A15" s="45"/>
      <c r="B15" s="46"/>
      <c r="C15" s="47" t="s">
        <v>42</v>
      </c>
      <c r="D15" s="48" t="s">
        <v>87</v>
      </c>
      <c r="E15" s="48" t="s">
        <v>88</v>
      </c>
      <c r="F15" s="48" t="s">
        <v>89</v>
      </c>
      <c r="G15" s="30" t="s">
        <v>90</v>
      </c>
      <c r="H15" s="12">
        <f t="shared" si="0"/>
        <v>6</v>
      </c>
      <c r="I15" s="12">
        <f t="shared" si="1"/>
        <v>2</v>
      </c>
      <c r="J15" s="12">
        <f t="shared" si="2"/>
        <v>17</v>
      </c>
      <c r="K15" s="12">
        <f t="shared" si="3"/>
        <v>72</v>
      </c>
    </row>
    <row r="16" ht="40" customHeight="1" spans="1:11">
      <c r="A16" s="42">
        <v>8</v>
      </c>
      <c r="B16" s="43" t="str">
        <f>D17</f>
        <v>绑架游戏</v>
      </c>
      <c r="C16" s="12" t="s">
        <v>37</v>
      </c>
      <c r="D16" s="44" t="s">
        <v>91</v>
      </c>
      <c r="E16" s="44" t="s">
        <v>92</v>
      </c>
      <c r="F16" s="11" t="s">
        <v>93</v>
      </c>
      <c r="G16" s="28" t="s">
        <v>94</v>
      </c>
      <c r="H16" s="12">
        <f t="shared" si="0"/>
        <v>19</v>
      </c>
      <c r="I16" s="12">
        <f t="shared" si="1"/>
        <v>9</v>
      </c>
      <c r="J16" s="12">
        <f t="shared" si="2"/>
        <v>33</v>
      </c>
      <c r="K16" s="12">
        <f t="shared" si="3"/>
        <v>85</v>
      </c>
    </row>
    <row r="17" ht="40" customHeight="1" spans="1:11">
      <c r="A17" s="45"/>
      <c r="B17" s="46"/>
      <c r="C17" s="47" t="s">
        <v>42</v>
      </c>
      <c r="D17" s="48" t="s">
        <v>95</v>
      </c>
      <c r="E17" s="48" t="s">
        <v>96</v>
      </c>
      <c r="F17" s="48" t="s">
        <v>97</v>
      </c>
      <c r="G17" s="30" t="s">
        <v>98</v>
      </c>
      <c r="H17" s="12">
        <f t="shared" si="0"/>
        <v>4</v>
      </c>
      <c r="I17" s="12">
        <f t="shared" si="1"/>
        <v>2</v>
      </c>
      <c r="J17" s="12">
        <f t="shared" si="2"/>
        <v>14</v>
      </c>
      <c r="K17" s="12">
        <f t="shared" si="3"/>
        <v>44</v>
      </c>
    </row>
    <row r="18" ht="40" customHeight="1" spans="1:11">
      <c r="A18" s="42">
        <v>9</v>
      </c>
      <c r="B18" s="43" t="str">
        <f>D19</f>
        <v>光之子</v>
      </c>
      <c r="C18" s="12" t="s">
        <v>37</v>
      </c>
      <c r="D18" s="44" t="s">
        <v>99</v>
      </c>
      <c r="E18" s="44" t="s">
        <v>100</v>
      </c>
      <c r="F18" s="11"/>
      <c r="G18" s="28" t="s">
        <v>101</v>
      </c>
      <c r="H18" s="12">
        <f t="shared" si="0"/>
        <v>21</v>
      </c>
      <c r="I18" s="12">
        <f t="shared" si="1"/>
        <v>12</v>
      </c>
      <c r="J18" s="12">
        <f t="shared" si="2"/>
        <v>0</v>
      </c>
      <c r="K18" s="12">
        <f t="shared" si="3"/>
        <v>143</v>
      </c>
    </row>
    <row r="19" ht="40" customHeight="1" spans="1:11">
      <c r="A19" s="45"/>
      <c r="B19" s="46"/>
      <c r="C19" s="50" t="s">
        <v>42</v>
      </c>
      <c r="D19" s="48" t="s">
        <v>102</v>
      </c>
      <c r="E19" s="48" t="s">
        <v>103</v>
      </c>
      <c r="F19" s="48"/>
      <c r="G19" s="30" t="s">
        <v>104</v>
      </c>
      <c r="H19" s="12">
        <f t="shared" si="0"/>
        <v>3</v>
      </c>
      <c r="I19" s="12">
        <f t="shared" si="1"/>
        <v>3</v>
      </c>
      <c r="J19" s="12">
        <f t="shared" si="2"/>
        <v>0</v>
      </c>
      <c r="K19" s="12">
        <f t="shared" si="3"/>
        <v>69</v>
      </c>
    </row>
    <row r="20" ht="40" customHeight="1" spans="1:11">
      <c r="A20" s="42">
        <v>10</v>
      </c>
      <c r="B20" s="43" t="str">
        <f>D21</f>
        <v>孔秀</v>
      </c>
      <c r="C20" s="51" t="s">
        <v>37</v>
      </c>
      <c r="D20" s="52" t="s">
        <v>105</v>
      </c>
      <c r="E20" s="44" t="s">
        <v>106</v>
      </c>
      <c r="F20" s="11" t="s">
        <v>107</v>
      </c>
      <c r="G20" s="28" t="s">
        <v>108</v>
      </c>
      <c r="H20" s="12">
        <f t="shared" si="0"/>
        <v>7</v>
      </c>
      <c r="I20" s="12">
        <f t="shared" si="1"/>
        <v>9</v>
      </c>
      <c r="J20" s="12">
        <f t="shared" si="2"/>
        <v>38</v>
      </c>
      <c r="K20" s="12">
        <f t="shared" si="3"/>
        <v>151</v>
      </c>
    </row>
    <row r="21" ht="40" customHeight="1" spans="1:11">
      <c r="A21" s="45"/>
      <c r="B21" s="46"/>
      <c r="C21" s="47" t="s">
        <v>42</v>
      </c>
      <c r="D21" s="48" t="s">
        <v>109</v>
      </c>
      <c r="E21" s="48" t="s">
        <v>110</v>
      </c>
      <c r="F21" s="48" t="s">
        <v>111</v>
      </c>
      <c r="G21" s="30" t="s">
        <v>112</v>
      </c>
      <c r="H21" s="12">
        <f t="shared" si="0"/>
        <v>2</v>
      </c>
      <c r="I21" s="12">
        <f t="shared" si="1"/>
        <v>2</v>
      </c>
      <c r="J21" s="12">
        <f t="shared" si="2"/>
        <v>15</v>
      </c>
      <c r="K21" s="12">
        <f t="shared" si="3"/>
        <v>52</v>
      </c>
    </row>
    <row r="22" ht="40" customHeight="1" spans="1:11">
      <c r="A22" s="42">
        <v>11</v>
      </c>
      <c r="B22" s="43" t="str">
        <f>D23</f>
        <v>9号传奇</v>
      </c>
      <c r="C22" s="12" t="s">
        <v>37</v>
      </c>
      <c r="D22" s="52" t="s">
        <v>113</v>
      </c>
      <c r="E22" s="44" t="s">
        <v>114</v>
      </c>
      <c r="F22" s="53" t="s">
        <v>115</v>
      </c>
      <c r="G22" s="28" t="s">
        <v>116</v>
      </c>
      <c r="H22" s="12">
        <f t="shared" si="0"/>
        <v>18</v>
      </c>
      <c r="I22" s="12">
        <f t="shared" si="1"/>
        <v>12</v>
      </c>
      <c r="J22" s="12">
        <f t="shared" si="2"/>
        <v>27</v>
      </c>
      <c r="K22" s="12">
        <f t="shared" si="3"/>
        <v>144</v>
      </c>
    </row>
    <row r="23" ht="40" customHeight="1" spans="1:11">
      <c r="A23" s="45"/>
      <c r="B23" s="46"/>
      <c r="C23" s="47" t="s">
        <v>42</v>
      </c>
      <c r="D23" s="54" t="s">
        <v>117</v>
      </c>
      <c r="E23" s="48" t="s">
        <v>118</v>
      </c>
      <c r="F23" s="55" t="s">
        <v>119</v>
      </c>
      <c r="G23" s="30" t="s">
        <v>120</v>
      </c>
      <c r="H23" s="12">
        <f t="shared" si="0"/>
        <v>4</v>
      </c>
      <c r="I23" s="12">
        <f t="shared" si="1"/>
        <v>3</v>
      </c>
      <c r="J23" s="12">
        <f t="shared" si="2"/>
        <v>13</v>
      </c>
      <c r="K23" s="12">
        <f t="shared" si="3"/>
        <v>41</v>
      </c>
    </row>
    <row r="24" ht="33" customHeight="1" spans="1:11">
      <c r="A24" s="42">
        <v>12</v>
      </c>
      <c r="B24" s="43" t="str">
        <f>D25</f>
        <v>牧蜂姑娘</v>
      </c>
      <c r="C24" s="12" t="s">
        <v>37</v>
      </c>
      <c r="D24" s="52" t="s">
        <v>121</v>
      </c>
      <c r="E24" s="44" t="s">
        <v>122</v>
      </c>
      <c r="F24" s="44" t="s">
        <v>123</v>
      </c>
      <c r="G24" s="28" t="s">
        <v>124</v>
      </c>
      <c r="H24" s="12">
        <f t="shared" si="0"/>
        <v>19</v>
      </c>
      <c r="I24" s="12">
        <f t="shared" si="1"/>
        <v>5</v>
      </c>
      <c r="J24" s="12">
        <f t="shared" si="2"/>
        <v>9</v>
      </c>
      <c r="K24" s="12">
        <f t="shared" si="3"/>
        <v>81</v>
      </c>
    </row>
    <row r="25" ht="33" customHeight="1" spans="1:11">
      <c r="A25" s="45"/>
      <c r="B25" s="46"/>
      <c r="C25" s="47" t="s">
        <v>42</v>
      </c>
      <c r="D25" s="48" t="s">
        <v>125</v>
      </c>
      <c r="E25" s="48" t="s">
        <v>126</v>
      </c>
      <c r="F25" s="48" t="s">
        <v>127</v>
      </c>
      <c r="G25" s="30" t="s">
        <v>128</v>
      </c>
      <c r="H25" s="12">
        <f t="shared" si="0"/>
        <v>4</v>
      </c>
      <c r="I25" s="12">
        <f t="shared" si="1"/>
        <v>2</v>
      </c>
      <c r="J25" s="12">
        <f t="shared" si="2"/>
        <v>3</v>
      </c>
      <c r="K25" s="12">
        <f t="shared" si="3"/>
        <v>39</v>
      </c>
    </row>
    <row r="26" ht="33" customHeight="1" spans="1:11">
      <c r="A26" s="42">
        <v>13</v>
      </c>
      <c r="B26" s="43" t="str">
        <f>D27</f>
        <v>中国合伙人</v>
      </c>
      <c r="C26" s="12" t="s">
        <v>37</v>
      </c>
      <c r="D26" s="52" t="s">
        <v>129</v>
      </c>
      <c r="E26" s="44" t="s">
        <v>130</v>
      </c>
      <c r="F26" s="44" t="s">
        <v>131</v>
      </c>
      <c r="G26" s="28" t="s">
        <v>132</v>
      </c>
      <c r="H26" s="12">
        <f t="shared" si="0"/>
        <v>24</v>
      </c>
      <c r="I26" s="12">
        <f t="shared" si="1"/>
        <v>10</v>
      </c>
      <c r="J26" s="12">
        <f t="shared" si="2"/>
        <v>37</v>
      </c>
      <c r="K26" s="12">
        <f t="shared" si="3"/>
        <v>126</v>
      </c>
    </row>
    <row r="27" ht="33" customHeight="1" spans="1:11">
      <c r="A27" s="45"/>
      <c r="B27" s="46"/>
      <c r="C27" s="47" t="s">
        <v>42</v>
      </c>
      <c r="D27" s="48" t="s">
        <v>133</v>
      </c>
      <c r="E27" s="48" t="s">
        <v>134</v>
      </c>
      <c r="F27" s="48" t="s">
        <v>135</v>
      </c>
      <c r="G27" s="30" t="s">
        <v>136</v>
      </c>
      <c r="H27" s="12">
        <f t="shared" si="0"/>
        <v>5</v>
      </c>
      <c r="I27" s="12">
        <f t="shared" si="1"/>
        <v>3</v>
      </c>
      <c r="J27" s="12">
        <f t="shared" si="2"/>
        <v>14</v>
      </c>
      <c r="K27" s="12">
        <f t="shared" si="3"/>
        <v>42</v>
      </c>
    </row>
    <row r="28" ht="33" customHeight="1" spans="1:11">
      <c r="A28" s="42">
        <v>14</v>
      </c>
      <c r="B28" s="43" t="str">
        <f>D29</f>
        <v>家在水草丰茂的地方</v>
      </c>
      <c r="C28" s="12" t="s">
        <v>37</v>
      </c>
      <c r="D28" s="52" t="s">
        <v>137</v>
      </c>
      <c r="E28" s="44" t="s">
        <v>138</v>
      </c>
      <c r="F28" s="44" t="s">
        <v>139</v>
      </c>
      <c r="G28" s="28" t="s">
        <v>140</v>
      </c>
      <c r="H28" s="12">
        <f t="shared" si="0"/>
        <v>10</v>
      </c>
      <c r="I28" s="12">
        <f t="shared" si="1"/>
        <v>9</v>
      </c>
      <c r="J28" s="12">
        <f t="shared" si="2"/>
        <v>34</v>
      </c>
      <c r="K28" s="12">
        <f t="shared" si="3"/>
        <v>141</v>
      </c>
    </row>
    <row r="29" ht="33" customHeight="1" spans="1:11">
      <c r="A29" s="45"/>
      <c r="B29" s="46"/>
      <c r="C29" s="47" t="s">
        <v>42</v>
      </c>
      <c r="D29" s="48" t="s">
        <v>141</v>
      </c>
      <c r="E29" s="48" t="s">
        <v>142</v>
      </c>
      <c r="F29" s="48" t="s">
        <v>143</v>
      </c>
      <c r="G29" s="30" t="s">
        <v>144</v>
      </c>
      <c r="H29" s="12">
        <f t="shared" si="0"/>
        <v>9</v>
      </c>
      <c r="I29" s="12">
        <f t="shared" si="1"/>
        <v>3</v>
      </c>
      <c r="J29" s="12">
        <f t="shared" si="2"/>
        <v>14</v>
      </c>
      <c r="K29" s="12">
        <f t="shared" si="3"/>
        <v>57</v>
      </c>
    </row>
    <row r="30" ht="33" customHeight="1" spans="1:11">
      <c r="A30" s="42">
        <v>15</v>
      </c>
      <c r="B30" s="43" t="str">
        <f>D31</f>
        <v>三大队</v>
      </c>
      <c r="C30" s="12" t="s">
        <v>37</v>
      </c>
      <c r="D30" s="44" t="s">
        <v>145</v>
      </c>
      <c r="E30" s="44" t="s">
        <v>146</v>
      </c>
      <c r="F30" s="44" t="s">
        <v>147</v>
      </c>
      <c r="G30" s="28" t="s">
        <v>148</v>
      </c>
      <c r="H30" s="12">
        <f t="shared" si="0"/>
        <v>15</v>
      </c>
      <c r="I30" s="12">
        <f t="shared" si="1"/>
        <v>6</v>
      </c>
      <c r="J30" s="12">
        <f t="shared" si="2"/>
        <v>27</v>
      </c>
      <c r="K30" s="12">
        <f t="shared" si="3"/>
        <v>136</v>
      </c>
    </row>
    <row r="31" ht="33" customHeight="1" spans="1:11">
      <c r="A31" s="45"/>
      <c r="B31" s="46"/>
      <c r="C31" s="47" t="s">
        <v>42</v>
      </c>
      <c r="D31" s="48" t="s">
        <v>149</v>
      </c>
      <c r="E31" s="48" t="s">
        <v>150</v>
      </c>
      <c r="F31" s="48" t="s">
        <v>151</v>
      </c>
      <c r="G31" s="30" t="s">
        <v>152</v>
      </c>
      <c r="H31" s="12">
        <f t="shared" si="0"/>
        <v>3</v>
      </c>
      <c r="I31" s="12">
        <f t="shared" si="1"/>
        <v>2</v>
      </c>
      <c r="J31" s="12">
        <f t="shared" si="2"/>
        <v>12</v>
      </c>
      <c r="K31" s="12">
        <f t="shared" si="3"/>
        <v>62</v>
      </c>
    </row>
    <row r="32" ht="33" customHeight="1" spans="1:11">
      <c r="A32" s="42">
        <v>16</v>
      </c>
      <c r="B32" s="43" t="str">
        <f>D33</f>
        <v>志愿军：雄兵出击</v>
      </c>
      <c r="C32" s="12" t="s">
        <v>37</v>
      </c>
      <c r="D32" s="52" t="s">
        <v>153</v>
      </c>
      <c r="E32" s="44" t="s">
        <v>154</v>
      </c>
      <c r="F32" s="44" t="s">
        <v>155</v>
      </c>
      <c r="G32" s="28" t="s">
        <v>156</v>
      </c>
      <c r="H32" s="12">
        <f t="shared" si="0"/>
        <v>26</v>
      </c>
      <c r="I32" s="12">
        <f t="shared" si="1"/>
        <v>10</v>
      </c>
      <c r="J32" s="12">
        <f t="shared" si="2"/>
        <v>35</v>
      </c>
      <c r="K32" s="12">
        <f t="shared" si="3"/>
        <v>136</v>
      </c>
    </row>
    <row r="33" ht="33" customHeight="1" spans="1:11">
      <c r="A33" s="45"/>
      <c r="B33" s="46"/>
      <c r="C33" s="47" t="s">
        <v>42</v>
      </c>
      <c r="D33" s="48" t="s">
        <v>157</v>
      </c>
      <c r="E33" s="48" t="s">
        <v>158</v>
      </c>
      <c r="F33" s="48" t="s">
        <v>159</v>
      </c>
      <c r="G33" s="30" t="s">
        <v>160</v>
      </c>
      <c r="H33" s="12">
        <f t="shared" si="0"/>
        <v>8</v>
      </c>
      <c r="I33" s="12">
        <f t="shared" si="1"/>
        <v>3</v>
      </c>
      <c r="J33" s="12">
        <f t="shared" si="2"/>
        <v>14</v>
      </c>
      <c r="K33" s="12">
        <f t="shared" si="3"/>
        <v>63</v>
      </c>
    </row>
    <row r="34" ht="33" customHeight="1" spans="1:11">
      <c r="A34" s="42">
        <v>17</v>
      </c>
      <c r="B34" s="43" t="str">
        <f>D35</f>
        <v>看不见的顶峰</v>
      </c>
      <c r="C34" s="12" t="s">
        <v>37</v>
      </c>
      <c r="D34" s="52" t="s">
        <v>161</v>
      </c>
      <c r="E34" s="44" t="s">
        <v>162</v>
      </c>
      <c r="F34" s="44" t="s">
        <v>163</v>
      </c>
      <c r="G34" s="28" t="s">
        <v>164</v>
      </c>
      <c r="H34" s="12">
        <f t="shared" si="0"/>
        <v>16</v>
      </c>
      <c r="I34" s="12">
        <f t="shared" si="1"/>
        <v>9</v>
      </c>
      <c r="J34" s="12">
        <f t="shared" si="2"/>
        <v>31</v>
      </c>
      <c r="K34" s="12">
        <f t="shared" si="3"/>
        <v>142</v>
      </c>
    </row>
    <row r="35" ht="33" customHeight="1" spans="1:11">
      <c r="A35" s="45"/>
      <c r="B35" s="46"/>
      <c r="C35" s="47" t="s">
        <v>42</v>
      </c>
      <c r="D35" s="48" t="s">
        <v>165</v>
      </c>
      <c r="E35" s="48" t="s">
        <v>166</v>
      </c>
      <c r="F35" s="48" t="s">
        <v>167</v>
      </c>
      <c r="G35" s="30" t="s">
        <v>168</v>
      </c>
      <c r="H35" s="12">
        <f t="shared" si="0"/>
        <v>6</v>
      </c>
      <c r="I35" s="12">
        <f t="shared" si="1"/>
        <v>3</v>
      </c>
      <c r="J35" s="12">
        <f t="shared" si="2"/>
        <v>12</v>
      </c>
      <c r="K35" s="12">
        <f t="shared" si="3"/>
        <v>63</v>
      </c>
    </row>
    <row r="36" ht="33" customHeight="1" spans="1:11">
      <c r="A36" s="42">
        <v>18</v>
      </c>
      <c r="B36" s="43" t="str">
        <f>D37</f>
        <v>可恶的战争</v>
      </c>
      <c r="C36" s="12" t="s">
        <v>37</v>
      </c>
      <c r="D36" s="44" t="s">
        <v>169</v>
      </c>
      <c r="E36" s="44" t="s">
        <v>170</v>
      </c>
      <c r="F36" s="44" t="s">
        <v>171</v>
      </c>
      <c r="G36" s="28" t="s">
        <v>172</v>
      </c>
      <c r="H36" s="12">
        <f t="shared" si="0"/>
        <v>10</v>
      </c>
      <c r="I36" s="12">
        <f t="shared" si="1"/>
        <v>17</v>
      </c>
      <c r="J36" s="12">
        <f t="shared" si="2"/>
        <v>32</v>
      </c>
      <c r="K36" s="12">
        <f t="shared" si="3"/>
        <v>214</v>
      </c>
    </row>
    <row r="37" ht="33" customHeight="1" spans="1:11">
      <c r="A37" s="45"/>
      <c r="B37" s="46"/>
      <c r="C37" s="47" t="s">
        <v>42</v>
      </c>
      <c r="D37" s="48" t="s">
        <v>173</v>
      </c>
      <c r="E37" s="48" t="s">
        <v>174</v>
      </c>
      <c r="F37" s="48" t="s">
        <v>175</v>
      </c>
      <c r="G37" s="30" t="s">
        <v>176</v>
      </c>
      <c r="H37" s="12">
        <f t="shared" si="0"/>
        <v>5</v>
      </c>
      <c r="I37" s="12">
        <f t="shared" si="1"/>
        <v>8</v>
      </c>
      <c r="J37" s="12">
        <f t="shared" si="2"/>
        <v>16</v>
      </c>
      <c r="K37" s="12">
        <f t="shared" si="3"/>
        <v>67</v>
      </c>
    </row>
    <row r="38" ht="33" customHeight="1" spans="1:11">
      <c r="A38" s="42">
        <v>19</v>
      </c>
      <c r="B38" s="43" t="str">
        <f>D39</f>
        <v>最深的呼吸：自由潜之恋</v>
      </c>
      <c r="C38" s="12" t="s">
        <v>37</v>
      </c>
      <c r="D38" s="44" t="s">
        <v>177</v>
      </c>
      <c r="E38" s="44" t="s">
        <v>178</v>
      </c>
      <c r="F38" s="44"/>
      <c r="G38" s="28" t="s">
        <v>179</v>
      </c>
      <c r="H38" s="12">
        <f t="shared" si="0"/>
        <v>18</v>
      </c>
      <c r="I38" s="12">
        <f t="shared" si="1"/>
        <v>12</v>
      </c>
      <c r="J38" s="12">
        <f t="shared" si="2"/>
        <v>0</v>
      </c>
      <c r="K38" s="12">
        <f t="shared" si="3"/>
        <v>92</v>
      </c>
    </row>
    <row r="39" ht="33" customHeight="1" spans="1:11">
      <c r="A39" s="45"/>
      <c r="B39" s="46"/>
      <c r="C39" s="47" t="s">
        <v>42</v>
      </c>
      <c r="D39" s="48" t="s">
        <v>180</v>
      </c>
      <c r="E39" s="56" t="s">
        <v>181</v>
      </c>
      <c r="F39" s="56"/>
      <c r="G39" s="30" t="s">
        <v>182</v>
      </c>
      <c r="H39" s="12">
        <f t="shared" si="0"/>
        <v>11</v>
      </c>
      <c r="I39" s="12">
        <f t="shared" si="1"/>
        <v>5</v>
      </c>
      <c r="J39" s="12">
        <f t="shared" si="2"/>
        <v>0</v>
      </c>
      <c r="K39" s="12">
        <f t="shared" si="3"/>
        <v>31</v>
      </c>
    </row>
    <row r="40" ht="33" customHeight="1" spans="1:11">
      <c r="A40" s="42">
        <v>20</v>
      </c>
      <c r="B40" s="43" t="str">
        <f>D41</f>
        <v>跳跃的爱情</v>
      </c>
      <c r="C40" s="12" t="s">
        <v>37</v>
      </c>
      <c r="D40" s="44" t="s">
        <v>183</v>
      </c>
      <c r="E40" s="44" t="s">
        <v>184</v>
      </c>
      <c r="F40" s="44" t="s">
        <v>185</v>
      </c>
      <c r="G40" s="28" t="s">
        <v>186</v>
      </c>
      <c r="H40" s="12">
        <f t="shared" si="0"/>
        <v>10</v>
      </c>
      <c r="I40" s="12">
        <f t="shared" si="1"/>
        <v>11</v>
      </c>
      <c r="J40" s="12">
        <f t="shared" si="2"/>
        <v>40</v>
      </c>
      <c r="K40" s="12">
        <f t="shared" si="3"/>
        <v>121</v>
      </c>
    </row>
    <row r="41" ht="33" customHeight="1" spans="1:11">
      <c r="A41" s="45"/>
      <c r="B41" s="46"/>
      <c r="C41" s="47" t="s">
        <v>42</v>
      </c>
      <c r="D41" s="48" t="s">
        <v>187</v>
      </c>
      <c r="E41" s="48" t="s">
        <v>188</v>
      </c>
      <c r="F41" s="48" t="s">
        <v>189</v>
      </c>
      <c r="G41" s="30" t="s">
        <v>190</v>
      </c>
      <c r="H41" s="12">
        <f t="shared" si="0"/>
        <v>5</v>
      </c>
      <c r="I41" s="12">
        <f t="shared" si="1"/>
        <v>6</v>
      </c>
      <c r="J41" s="12">
        <f t="shared" si="2"/>
        <v>26</v>
      </c>
      <c r="K41" s="12">
        <f t="shared" si="3"/>
        <v>39</v>
      </c>
    </row>
    <row r="42" ht="33" customHeight="1" spans="1:11">
      <c r="A42" s="42">
        <v>21</v>
      </c>
      <c r="B42" s="43" t="str">
        <f>D43</f>
        <v>我们不说再见</v>
      </c>
      <c r="C42" s="12" t="s">
        <v>37</v>
      </c>
      <c r="D42" s="44" t="s">
        <v>191</v>
      </c>
      <c r="E42" s="44" t="s">
        <v>192</v>
      </c>
      <c r="F42" s="44" t="s">
        <v>193</v>
      </c>
      <c r="G42" s="28" t="s">
        <v>194</v>
      </c>
      <c r="H42" s="12">
        <f t="shared" si="0"/>
        <v>22</v>
      </c>
      <c r="I42" s="12">
        <f t="shared" si="1"/>
        <v>13</v>
      </c>
      <c r="J42" s="12">
        <f t="shared" si="2"/>
        <v>46</v>
      </c>
      <c r="K42" s="12">
        <f t="shared" si="3"/>
        <v>86</v>
      </c>
    </row>
    <row r="43" ht="33" customHeight="1" spans="1:11">
      <c r="A43" s="45"/>
      <c r="B43" s="46"/>
      <c r="C43" s="47" t="s">
        <v>42</v>
      </c>
      <c r="D43" s="48" t="s">
        <v>195</v>
      </c>
      <c r="E43" s="48" t="s">
        <v>196</v>
      </c>
      <c r="F43" s="48" t="s">
        <v>197</v>
      </c>
      <c r="G43" s="30" t="s">
        <v>198</v>
      </c>
      <c r="H43" s="12">
        <f t="shared" si="0"/>
        <v>6</v>
      </c>
      <c r="I43" s="12">
        <f t="shared" si="1"/>
        <v>7</v>
      </c>
      <c r="J43" s="12">
        <f t="shared" si="2"/>
        <v>31</v>
      </c>
      <c r="K43" s="12">
        <f t="shared" si="3"/>
        <v>23</v>
      </c>
    </row>
    <row r="44" ht="33" customHeight="1" spans="1:11">
      <c r="A44" s="42">
        <v>22</v>
      </c>
      <c r="B44" s="43" t="str">
        <f>D45</f>
        <v>战火中的小狐狸</v>
      </c>
      <c r="C44" s="12" t="s">
        <v>37</v>
      </c>
      <c r="D44" s="44" t="s">
        <v>199</v>
      </c>
      <c r="E44" s="44" t="s">
        <v>200</v>
      </c>
      <c r="F44" s="44" t="s">
        <v>201</v>
      </c>
      <c r="G44" s="28" t="s">
        <v>202</v>
      </c>
      <c r="H44" s="12">
        <f t="shared" si="0"/>
        <v>7</v>
      </c>
      <c r="I44" s="12">
        <f t="shared" si="1"/>
        <v>16</v>
      </c>
      <c r="J44" s="12">
        <f t="shared" si="2"/>
        <v>28</v>
      </c>
      <c r="K44" s="12">
        <f t="shared" si="3"/>
        <v>143</v>
      </c>
    </row>
    <row r="45" ht="33" customHeight="1" spans="1:11">
      <c r="A45" s="45"/>
      <c r="B45" s="46"/>
      <c r="C45" s="47" t="s">
        <v>42</v>
      </c>
      <c r="D45" s="48" t="s">
        <v>203</v>
      </c>
      <c r="E45" s="48" t="s">
        <v>204</v>
      </c>
      <c r="F45" s="48" t="s">
        <v>205</v>
      </c>
      <c r="G45" s="30" t="s">
        <v>206</v>
      </c>
      <c r="H45" s="12">
        <f t="shared" si="0"/>
        <v>7</v>
      </c>
      <c r="I45" s="12">
        <f t="shared" si="1"/>
        <v>9</v>
      </c>
      <c r="J45" s="12">
        <f t="shared" si="2"/>
        <v>16</v>
      </c>
      <c r="K45" s="12">
        <f t="shared" si="3"/>
        <v>38</v>
      </c>
    </row>
    <row r="46" ht="33" customHeight="1" spans="1:11">
      <c r="A46" s="42">
        <v>23</v>
      </c>
      <c r="B46" s="43" t="str">
        <f>D48</f>
        <v>完全燃烧</v>
      </c>
      <c r="C46" s="12" t="s">
        <v>37</v>
      </c>
      <c r="D46" s="44" t="s">
        <v>207</v>
      </c>
      <c r="E46" s="44" t="s">
        <v>208</v>
      </c>
      <c r="F46" s="44" t="s">
        <v>209</v>
      </c>
      <c r="G46" s="28" t="s">
        <v>210</v>
      </c>
      <c r="H46" s="12">
        <f t="shared" si="0"/>
        <v>10</v>
      </c>
      <c r="I46" s="12">
        <f t="shared" si="1"/>
        <v>18</v>
      </c>
      <c r="J46" s="12">
        <f t="shared" si="2"/>
        <v>28</v>
      </c>
      <c r="K46" s="12">
        <f t="shared" si="3"/>
        <v>235</v>
      </c>
    </row>
    <row r="47" ht="33" customHeight="1" spans="1:11">
      <c r="A47" s="57"/>
      <c r="B47" s="58"/>
      <c r="C47" s="34" t="s">
        <v>211</v>
      </c>
      <c r="D47" s="44" t="s">
        <v>212</v>
      </c>
      <c r="E47" s="44" t="s">
        <v>208</v>
      </c>
      <c r="F47" s="44" t="s">
        <v>209</v>
      </c>
      <c r="G47" s="28" t="s">
        <v>210</v>
      </c>
      <c r="H47" s="12">
        <f t="shared" si="0"/>
        <v>18</v>
      </c>
      <c r="I47" s="12">
        <f t="shared" si="1"/>
        <v>18</v>
      </c>
      <c r="J47" s="12">
        <f t="shared" si="2"/>
        <v>28</v>
      </c>
      <c r="K47" s="12">
        <f t="shared" si="3"/>
        <v>235</v>
      </c>
    </row>
    <row r="48" ht="33" customHeight="1" spans="1:11">
      <c r="A48" s="45"/>
      <c r="B48" s="46"/>
      <c r="C48" s="47" t="s">
        <v>42</v>
      </c>
      <c r="D48" s="48" t="s">
        <v>213</v>
      </c>
      <c r="E48" s="48" t="s">
        <v>214</v>
      </c>
      <c r="F48" s="48" t="s">
        <v>215</v>
      </c>
      <c r="G48" s="30" t="s">
        <v>216</v>
      </c>
      <c r="H48" s="12">
        <f t="shared" si="0"/>
        <v>4</v>
      </c>
      <c r="I48" s="12">
        <f t="shared" si="1"/>
        <v>9</v>
      </c>
      <c r="J48" s="12">
        <f t="shared" si="2"/>
        <v>17</v>
      </c>
      <c r="K48" s="12">
        <f t="shared" si="3"/>
        <v>32</v>
      </c>
    </row>
    <row r="49" ht="33" customHeight="1" spans="1:11">
      <c r="A49" s="42">
        <v>24</v>
      </c>
      <c r="B49" s="43" t="str">
        <f>D50</f>
        <v>为爱乘风破浪</v>
      </c>
      <c r="C49" s="12" t="s">
        <v>37</v>
      </c>
      <c r="D49" s="44" t="s">
        <v>217</v>
      </c>
      <c r="E49" s="44" t="s">
        <v>218</v>
      </c>
      <c r="F49" s="44" t="s">
        <v>219</v>
      </c>
      <c r="G49" s="28" t="s">
        <v>220</v>
      </c>
      <c r="H49" s="12">
        <f t="shared" si="0"/>
        <v>16</v>
      </c>
      <c r="I49" s="12">
        <f t="shared" si="1"/>
        <v>20</v>
      </c>
      <c r="J49" s="12">
        <f t="shared" si="2"/>
        <v>57</v>
      </c>
      <c r="K49" s="12">
        <f t="shared" si="3"/>
        <v>93</v>
      </c>
    </row>
    <row r="50" ht="33" customHeight="1" spans="1:11">
      <c r="A50" s="45"/>
      <c r="B50" s="46"/>
      <c r="C50" s="47" t="s">
        <v>42</v>
      </c>
      <c r="D50" s="48" t="s">
        <v>221</v>
      </c>
      <c r="E50" s="48" t="s">
        <v>222</v>
      </c>
      <c r="F50" s="48" t="s">
        <v>223</v>
      </c>
      <c r="G50" s="30" t="s">
        <v>224</v>
      </c>
      <c r="H50" s="12">
        <f t="shared" si="0"/>
        <v>6</v>
      </c>
      <c r="I50" s="12">
        <f t="shared" si="1"/>
        <v>10</v>
      </c>
      <c r="J50" s="12">
        <f t="shared" si="2"/>
        <v>31</v>
      </c>
      <c r="K50" s="12">
        <f t="shared" si="3"/>
        <v>24</v>
      </c>
    </row>
    <row r="51" ht="33" customHeight="1" spans="1:11">
      <c r="A51" s="42">
        <v>25</v>
      </c>
      <c r="B51" s="43" t="str">
        <f>D52</f>
        <v>在里乔的阳光下</v>
      </c>
      <c r="C51" s="12" t="s">
        <v>37</v>
      </c>
      <c r="D51" s="44" t="s">
        <v>225</v>
      </c>
      <c r="E51" s="44" t="s">
        <v>226</v>
      </c>
      <c r="F51" s="44" t="s">
        <v>227</v>
      </c>
      <c r="G51" s="28" t="s">
        <v>228</v>
      </c>
      <c r="H51" s="12">
        <f t="shared" si="0"/>
        <v>22</v>
      </c>
      <c r="I51" s="12">
        <f t="shared" si="1"/>
        <v>7</v>
      </c>
      <c r="J51" s="12">
        <f t="shared" si="2"/>
        <v>62</v>
      </c>
      <c r="K51" s="12">
        <f t="shared" si="3"/>
        <v>87</v>
      </c>
    </row>
    <row r="52" ht="33" customHeight="1" spans="1:11">
      <c r="A52" s="45"/>
      <c r="B52" s="46"/>
      <c r="C52" s="47" t="s">
        <v>42</v>
      </c>
      <c r="D52" s="48" t="s">
        <v>229</v>
      </c>
      <c r="E52" s="48" t="s">
        <v>230</v>
      </c>
      <c r="F52" s="48" t="s">
        <v>231</v>
      </c>
      <c r="G52" s="30" t="s">
        <v>232</v>
      </c>
      <c r="H52" s="12">
        <f t="shared" ref="H52:H67" si="4">LEN(D52)</f>
        <v>7</v>
      </c>
      <c r="I52" s="12">
        <f t="shared" ref="I52:I67" si="5">LEN(E52)</f>
        <v>3</v>
      </c>
      <c r="J52" s="12">
        <f t="shared" ref="J52:J67" si="6">LEN(F52)</f>
        <v>37</v>
      </c>
      <c r="K52" s="12">
        <f t="shared" ref="K52:K67" si="7">LEN(G52)</f>
        <v>26</v>
      </c>
    </row>
    <row r="53" ht="33" customHeight="1" spans="1:11">
      <c r="A53" s="42">
        <v>26</v>
      </c>
      <c r="B53" s="43" t="str">
        <f>D54</f>
        <v>爆款好人</v>
      </c>
      <c r="C53" s="12" t="s">
        <v>37</v>
      </c>
      <c r="D53" s="52" t="s">
        <v>233</v>
      </c>
      <c r="E53" s="44" t="s">
        <v>234</v>
      </c>
      <c r="F53" s="44" t="s">
        <v>235</v>
      </c>
      <c r="G53" s="28" t="s">
        <v>236</v>
      </c>
      <c r="H53" s="12">
        <f t="shared" si="4"/>
        <v>17</v>
      </c>
      <c r="I53" s="12">
        <f t="shared" si="5"/>
        <v>16</v>
      </c>
      <c r="J53" s="12">
        <f t="shared" si="6"/>
        <v>17</v>
      </c>
      <c r="K53" s="12">
        <f t="shared" si="7"/>
        <v>134</v>
      </c>
    </row>
    <row r="54" ht="33" customHeight="1" spans="1:11">
      <c r="A54" s="45"/>
      <c r="B54" s="46"/>
      <c r="C54" s="47" t="s">
        <v>42</v>
      </c>
      <c r="D54" s="54" t="s">
        <v>237</v>
      </c>
      <c r="E54" s="48" t="s">
        <v>238</v>
      </c>
      <c r="F54" s="48" t="s">
        <v>239</v>
      </c>
      <c r="G54" s="30" t="s">
        <v>240</v>
      </c>
      <c r="H54" s="12">
        <f t="shared" si="4"/>
        <v>4</v>
      </c>
      <c r="I54" s="12">
        <f t="shared" si="5"/>
        <v>7</v>
      </c>
      <c r="J54" s="12">
        <f t="shared" si="6"/>
        <v>8</v>
      </c>
      <c r="K54" s="12">
        <f t="shared" si="7"/>
        <v>44</v>
      </c>
    </row>
    <row r="55" ht="33" customHeight="1" spans="1:11">
      <c r="A55" s="42">
        <v>27</v>
      </c>
      <c r="B55" s="43" t="str">
        <f>D56</f>
        <v>熊猫计划</v>
      </c>
      <c r="C55" s="12" t="s">
        <v>37</v>
      </c>
      <c r="D55" s="44" t="s">
        <v>241</v>
      </c>
      <c r="E55" s="44" t="s">
        <v>242</v>
      </c>
      <c r="F55" s="44" t="s">
        <v>243</v>
      </c>
      <c r="G55" s="28" t="s">
        <v>244</v>
      </c>
      <c r="H55" s="12">
        <f t="shared" si="4"/>
        <v>10</v>
      </c>
      <c r="I55" s="12">
        <f t="shared" si="5"/>
        <v>10</v>
      </c>
      <c r="J55" s="12">
        <f t="shared" si="6"/>
        <v>30</v>
      </c>
      <c r="K55" s="12">
        <f t="shared" si="7"/>
        <v>88</v>
      </c>
    </row>
    <row r="56" ht="33" customHeight="1" spans="1:11">
      <c r="A56" s="45"/>
      <c r="B56" s="46"/>
      <c r="C56" s="47" t="s">
        <v>42</v>
      </c>
      <c r="D56" s="48" t="s">
        <v>245</v>
      </c>
      <c r="E56" s="48" t="s">
        <v>246</v>
      </c>
      <c r="F56" s="48" t="s">
        <v>247</v>
      </c>
      <c r="G56" s="30" t="s">
        <v>248</v>
      </c>
      <c r="H56" s="12">
        <f t="shared" si="4"/>
        <v>4</v>
      </c>
      <c r="I56" s="12">
        <f t="shared" si="5"/>
        <v>2</v>
      </c>
      <c r="J56" s="12">
        <f t="shared" si="6"/>
        <v>12</v>
      </c>
      <c r="K56" s="12">
        <f t="shared" si="7"/>
        <v>45</v>
      </c>
    </row>
    <row r="57" ht="33" customHeight="1" spans="1:11">
      <c r="A57" s="42">
        <v>28</v>
      </c>
      <c r="B57" s="43" t="str">
        <f>D58</f>
        <v>假如，我是这世上最爱你的人</v>
      </c>
      <c r="C57" s="12" t="s">
        <v>37</v>
      </c>
      <c r="D57" s="44" t="s">
        <v>249</v>
      </c>
      <c r="E57" s="44" t="s">
        <v>250</v>
      </c>
      <c r="F57" s="44" t="s">
        <v>251</v>
      </c>
      <c r="G57" s="28" t="s">
        <v>252</v>
      </c>
      <c r="H57" s="12">
        <f t="shared" si="4"/>
        <v>21</v>
      </c>
      <c r="I57" s="12">
        <f t="shared" si="5"/>
        <v>10</v>
      </c>
      <c r="J57" s="12">
        <f t="shared" si="6"/>
        <v>57</v>
      </c>
      <c r="K57" s="12">
        <f t="shared" si="7"/>
        <v>143</v>
      </c>
    </row>
    <row r="58" ht="33" customHeight="1" spans="1:11">
      <c r="A58" s="45"/>
      <c r="B58" s="46"/>
      <c r="C58" s="47" t="s">
        <v>42</v>
      </c>
      <c r="D58" s="48" t="s">
        <v>253</v>
      </c>
      <c r="E58" s="48" t="s">
        <v>254</v>
      </c>
      <c r="F58" s="48" t="s">
        <v>255</v>
      </c>
      <c r="G58" s="26" t="s">
        <v>256</v>
      </c>
      <c r="H58" s="12">
        <f t="shared" si="4"/>
        <v>13</v>
      </c>
      <c r="I58" s="12">
        <f t="shared" si="5"/>
        <v>3</v>
      </c>
      <c r="J58" s="12">
        <f t="shared" si="6"/>
        <v>26</v>
      </c>
      <c r="K58" s="12">
        <f t="shared" si="7"/>
        <v>37</v>
      </c>
    </row>
    <row r="59" ht="33" customHeight="1" spans="1:11">
      <c r="A59" s="42">
        <v>29</v>
      </c>
      <c r="B59" s="43" t="str">
        <f>D60</f>
        <v>热辣滚烫</v>
      </c>
      <c r="C59" s="12" t="s">
        <v>37</v>
      </c>
      <c r="D59" s="52" t="s">
        <v>257</v>
      </c>
      <c r="E59" s="44" t="s">
        <v>258</v>
      </c>
      <c r="F59" s="44" t="s">
        <v>259</v>
      </c>
      <c r="G59" s="28" t="s">
        <v>260</v>
      </c>
      <c r="H59" s="12">
        <f t="shared" ref="H59:H89" si="8">LEN(D59)</f>
        <v>4</v>
      </c>
      <c r="I59" s="12">
        <f t="shared" ref="I59:I89" si="9">LEN(E59)</f>
        <v>8</v>
      </c>
      <c r="J59" s="12">
        <f t="shared" ref="J59:J89" si="10">LEN(F59)</f>
        <v>35</v>
      </c>
      <c r="K59" s="12">
        <f t="shared" ref="K59:K89" si="11">LEN(G59)</f>
        <v>149</v>
      </c>
    </row>
    <row r="60" ht="33" customHeight="1" spans="1:11">
      <c r="A60" s="45"/>
      <c r="B60" s="46"/>
      <c r="C60" s="47" t="s">
        <v>42</v>
      </c>
      <c r="D60" s="48" t="s">
        <v>261</v>
      </c>
      <c r="E60" s="56" t="s">
        <v>262</v>
      </c>
      <c r="F60" s="56" t="s">
        <v>263</v>
      </c>
      <c r="G60" s="30" t="s">
        <v>264</v>
      </c>
      <c r="H60" s="12">
        <f t="shared" si="8"/>
        <v>4</v>
      </c>
      <c r="I60" s="12">
        <f t="shared" si="9"/>
        <v>2</v>
      </c>
      <c r="J60" s="12">
        <f t="shared" si="10"/>
        <v>14</v>
      </c>
      <c r="K60" s="12">
        <f t="shared" si="11"/>
        <v>56</v>
      </c>
    </row>
    <row r="61" ht="33" customHeight="1" spans="1:11">
      <c r="A61" s="42">
        <v>30</v>
      </c>
      <c r="B61" s="43" t="str">
        <f>D62</f>
        <v>年会不能停！</v>
      </c>
      <c r="C61" s="12" t="s">
        <v>37</v>
      </c>
      <c r="D61" s="52" t="s">
        <v>265</v>
      </c>
      <c r="E61" s="44" t="s">
        <v>266</v>
      </c>
      <c r="F61" s="44" t="s">
        <v>267</v>
      </c>
      <c r="G61" s="28" t="s">
        <v>268</v>
      </c>
      <c r="H61" s="12">
        <f t="shared" si="8"/>
        <v>20</v>
      </c>
      <c r="I61" s="12">
        <f t="shared" si="9"/>
        <v>12</v>
      </c>
      <c r="J61" s="12">
        <f t="shared" si="10"/>
        <v>29</v>
      </c>
      <c r="K61" s="12">
        <f t="shared" si="11"/>
        <v>205</v>
      </c>
    </row>
    <row r="62" ht="33" customHeight="1" spans="1:11">
      <c r="A62" s="45"/>
      <c r="B62" s="46"/>
      <c r="C62" s="47" t="s">
        <v>42</v>
      </c>
      <c r="D62" s="48" t="s">
        <v>269</v>
      </c>
      <c r="E62" s="56" t="s">
        <v>270</v>
      </c>
      <c r="F62" s="56" t="s">
        <v>271</v>
      </c>
      <c r="G62" s="30" t="s">
        <v>272</v>
      </c>
      <c r="H62" s="12">
        <f t="shared" si="8"/>
        <v>6</v>
      </c>
      <c r="I62" s="12">
        <f t="shared" si="9"/>
        <v>3</v>
      </c>
      <c r="J62" s="12">
        <f t="shared" si="10"/>
        <v>13</v>
      </c>
      <c r="K62" s="12">
        <f t="shared" si="11"/>
        <v>63</v>
      </c>
    </row>
    <row r="63" ht="33" customHeight="1" spans="1:11">
      <c r="A63" s="42">
        <v>31</v>
      </c>
      <c r="B63" s="43" t="str">
        <f>D64</f>
        <v>你好，李焕英</v>
      </c>
      <c r="C63" s="12" t="s">
        <v>37</v>
      </c>
      <c r="D63" s="52" t="s">
        <v>273</v>
      </c>
      <c r="E63" s="44" t="s">
        <v>258</v>
      </c>
      <c r="F63" s="44" t="s">
        <v>274</v>
      </c>
      <c r="G63" s="28" t="s">
        <v>275</v>
      </c>
      <c r="H63" s="12">
        <f t="shared" si="8"/>
        <v>7</v>
      </c>
      <c r="I63" s="12">
        <f t="shared" si="9"/>
        <v>8</v>
      </c>
      <c r="J63" s="12">
        <f t="shared" si="10"/>
        <v>43</v>
      </c>
      <c r="K63" s="12">
        <f t="shared" si="11"/>
        <v>104</v>
      </c>
    </row>
    <row r="64" ht="33" customHeight="1" spans="1:11">
      <c r="A64" s="45"/>
      <c r="B64" s="46"/>
      <c r="C64" s="47" t="s">
        <v>42</v>
      </c>
      <c r="D64" s="48" t="s">
        <v>276</v>
      </c>
      <c r="E64" s="56" t="s">
        <v>262</v>
      </c>
      <c r="F64" s="56" t="s">
        <v>277</v>
      </c>
      <c r="G64" s="30" t="s">
        <v>278</v>
      </c>
      <c r="H64" s="12">
        <f t="shared" si="8"/>
        <v>6</v>
      </c>
      <c r="I64" s="12">
        <f t="shared" si="9"/>
        <v>2</v>
      </c>
      <c r="J64" s="12">
        <f t="shared" si="10"/>
        <v>18</v>
      </c>
      <c r="K64" s="12">
        <f t="shared" si="11"/>
        <v>58</v>
      </c>
    </row>
    <row r="65" ht="33" customHeight="1" spans="1:11">
      <c r="A65" s="42">
        <v>32</v>
      </c>
      <c r="B65" s="43" t="str">
        <f>D66</f>
        <v>囧妈</v>
      </c>
      <c r="C65" s="12" t="s">
        <v>37</v>
      </c>
      <c r="D65" s="52" t="s">
        <v>279</v>
      </c>
      <c r="E65" s="44" t="s">
        <v>280</v>
      </c>
      <c r="F65" s="44" t="s">
        <v>281</v>
      </c>
      <c r="G65" s="28" t="s">
        <v>282</v>
      </c>
      <c r="H65" s="12">
        <f t="shared" si="8"/>
        <v>14</v>
      </c>
      <c r="I65" s="12">
        <f t="shared" si="9"/>
        <v>8</v>
      </c>
      <c r="J65" s="12">
        <f t="shared" si="10"/>
        <v>47</v>
      </c>
      <c r="K65" s="12">
        <f t="shared" si="11"/>
        <v>58</v>
      </c>
    </row>
    <row r="66" ht="33" customHeight="1" spans="1:11">
      <c r="A66" s="45"/>
      <c r="B66" s="46"/>
      <c r="C66" s="47" t="s">
        <v>42</v>
      </c>
      <c r="D66" s="48" t="s">
        <v>283</v>
      </c>
      <c r="E66" s="48" t="s">
        <v>284</v>
      </c>
      <c r="F66" s="48" t="s">
        <v>285</v>
      </c>
      <c r="G66" s="30" t="s">
        <v>286</v>
      </c>
      <c r="H66" s="12">
        <f t="shared" si="8"/>
        <v>2</v>
      </c>
      <c r="I66" s="12">
        <f t="shared" si="9"/>
        <v>2</v>
      </c>
      <c r="J66" s="12">
        <f t="shared" si="10"/>
        <v>19</v>
      </c>
      <c r="K66" s="12">
        <f t="shared" si="11"/>
        <v>35</v>
      </c>
    </row>
    <row r="67" ht="33" customHeight="1" spans="1:11">
      <c r="A67" s="42">
        <v>33</v>
      </c>
      <c r="B67" s="43" t="str">
        <f>D68</f>
        <v>还是觉得你最好</v>
      </c>
      <c r="C67" s="12" t="s">
        <v>37</v>
      </c>
      <c r="D67" s="52" t="s">
        <v>287</v>
      </c>
      <c r="E67" s="44" t="s">
        <v>288</v>
      </c>
      <c r="F67" s="44" t="s">
        <v>289</v>
      </c>
      <c r="G67" s="28" t="s">
        <v>290</v>
      </c>
      <c r="H67" s="12">
        <f t="shared" si="8"/>
        <v>13</v>
      </c>
      <c r="I67" s="12">
        <f t="shared" si="9"/>
        <v>10</v>
      </c>
      <c r="J67" s="12">
        <f t="shared" si="10"/>
        <v>36</v>
      </c>
      <c r="K67" s="12">
        <f t="shared" si="11"/>
        <v>89</v>
      </c>
    </row>
    <row r="68" ht="33" customHeight="1" spans="1:11">
      <c r="A68" s="45"/>
      <c r="B68" s="46"/>
      <c r="C68" s="47" t="s">
        <v>42</v>
      </c>
      <c r="D68" s="48" t="s">
        <v>291</v>
      </c>
      <c r="E68" s="48" t="s">
        <v>292</v>
      </c>
      <c r="F68" s="48" t="s">
        <v>293</v>
      </c>
      <c r="G68" s="30" t="s">
        <v>294</v>
      </c>
      <c r="H68" s="12">
        <f t="shared" si="8"/>
        <v>7</v>
      </c>
      <c r="I68" s="12">
        <f t="shared" si="9"/>
        <v>3</v>
      </c>
      <c r="J68" s="12">
        <f t="shared" si="10"/>
        <v>15</v>
      </c>
      <c r="K68" s="12">
        <f t="shared" si="11"/>
        <v>39</v>
      </c>
    </row>
    <row r="69" ht="33" customHeight="1" spans="1:11">
      <c r="A69" s="42">
        <v>34</v>
      </c>
      <c r="B69" s="43" t="str">
        <f>D70</f>
        <v>如果的事</v>
      </c>
      <c r="C69" s="12" t="s">
        <v>37</v>
      </c>
      <c r="D69" s="44" t="s">
        <v>295</v>
      </c>
      <c r="E69" s="44" t="s">
        <v>296</v>
      </c>
      <c r="F69" s="44" t="s">
        <v>297</v>
      </c>
      <c r="G69" s="28" t="s">
        <v>298</v>
      </c>
      <c r="H69" s="12">
        <f t="shared" si="8"/>
        <v>10</v>
      </c>
      <c r="I69" s="12">
        <f t="shared" si="9"/>
        <v>13</v>
      </c>
      <c r="J69" s="12">
        <f t="shared" si="10"/>
        <v>52</v>
      </c>
      <c r="K69" s="12">
        <f t="shared" si="11"/>
        <v>134</v>
      </c>
    </row>
    <row r="70" ht="33" customHeight="1" spans="1:11">
      <c r="A70" s="45"/>
      <c r="B70" s="46"/>
      <c r="C70" s="47" t="s">
        <v>42</v>
      </c>
      <c r="D70" s="48" t="s">
        <v>299</v>
      </c>
      <c r="E70" s="48" t="s">
        <v>300</v>
      </c>
      <c r="F70" s="48" t="s">
        <v>301</v>
      </c>
      <c r="G70" s="30" t="s">
        <v>302</v>
      </c>
      <c r="H70" s="12">
        <f t="shared" si="8"/>
        <v>4</v>
      </c>
      <c r="I70" s="12">
        <f t="shared" si="9"/>
        <v>6</v>
      </c>
      <c r="J70" s="12">
        <f t="shared" si="10"/>
        <v>34</v>
      </c>
      <c r="K70" s="12">
        <f t="shared" si="11"/>
        <v>39</v>
      </c>
    </row>
    <row r="71" ht="33" customHeight="1" spans="1:11">
      <c r="A71" s="42">
        <v>35</v>
      </c>
      <c r="B71" s="43" t="str">
        <f>D73</f>
        <v>方法之书</v>
      </c>
      <c r="C71" s="12" t="s">
        <v>37</v>
      </c>
      <c r="D71" s="44" t="s">
        <v>303</v>
      </c>
      <c r="E71" s="44" t="s">
        <v>304</v>
      </c>
      <c r="F71" s="44" t="s">
        <v>305</v>
      </c>
      <c r="G71" s="28" t="s">
        <v>306</v>
      </c>
      <c r="H71" s="12">
        <f t="shared" si="8"/>
        <v>21</v>
      </c>
      <c r="I71" s="12">
        <f t="shared" si="9"/>
        <v>13</v>
      </c>
      <c r="J71" s="12">
        <f t="shared" si="10"/>
        <v>28</v>
      </c>
      <c r="K71" s="12">
        <f t="shared" si="11"/>
        <v>96</v>
      </c>
    </row>
    <row r="72" ht="33" customHeight="1" spans="1:11">
      <c r="A72" s="57"/>
      <c r="B72" s="58"/>
      <c r="C72" s="34" t="s">
        <v>211</v>
      </c>
      <c r="D72" s="44" t="s">
        <v>307</v>
      </c>
      <c r="E72" s="44" t="s">
        <v>304</v>
      </c>
      <c r="F72" s="44" t="s">
        <v>305</v>
      </c>
      <c r="G72" s="28" t="s">
        <v>306</v>
      </c>
      <c r="H72" s="12">
        <f t="shared" si="8"/>
        <v>22</v>
      </c>
      <c r="I72" s="12">
        <f t="shared" si="9"/>
        <v>13</v>
      </c>
      <c r="J72" s="12">
        <f t="shared" si="10"/>
        <v>28</v>
      </c>
      <c r="K72" s="12">
        <f t="shared" si="11"/>
        <v>96</v>
      </c>
    </row>
    <row r="73" ht="33" customHeight="1" spans="1:11">
      <c r="A73" s="45"/>
      <c r="B73" s="46"/>
      <c r="C73" s="47" t="s">
        <v>42</v>
      </c>
      <c r="D73" s="48" t="s">
        <v>308</v>
      </c>
      <c r="E73" s="48" t="s">
        <v>309</v>
      </c>
      <c r="F73" s="48" t="s">
        <v>310</v>
      </c>
      <c r="G73" s="30" t="s">
        <v>311</v>
      </c>
      <c r="H73" s="12">
        <f t="shared" si="8"/>
        <v>4</v>
      </c>
      <c r="I73" s="12">
        <f t="shared" si="9"/>
        <v>7</v>
      </c>
      <c r="J73" s="12">
        <f t="shared" si="10"/>
        <v>15</v>
      </c>
      <c r="K73" s="12">
        <f t="shared" si="11"/>
        <v>45</v>
      </c>
    </row>
    <row r="74" ht="33" customHeight="1" spans="1:11">
      <c r="A74" s="42">
        <v>36</v>
      </c>
      <c r="B74" s="43" t="str">
        <f>D75</f>
        <v>我爱你，傻瓜</v>
      </c>
      <c r="C74" s="12" t="s">
        <v>37</v>
      </c>
      <c r="D74" s="44" t="s">
        <v>312</v>
      </c>
      <c r="E74" s="44" t="s">
        <v>313</v>
      </c>
      <c r="F74" s="44" t="s">
        <v>314</v>
      </c>
      <c r="G74" s="28" t="s">
        <v>315</v>
      </c>
      <c r="H74" s="12">
        <f t="shared" si="8"/>
        <v>18</v>
      </c>
      <c r="I74" s="12">
        <f t="shared" si="9"/>
        <v>10</v>
      </c>
      <c r="J74" s="12">
        <f t="shared" si="10"/>
        <v>62</v>
      </c>
      <c r="K74" s="12">
        <f t="shared" si="11"/>
        <v>109</v>
      </c>
    </row>
    <row r="75" ht="33" customHeight="1" spans="1:11">
      <c r="A75" s="45"/>
      <c r="B75" s="46"/>
      <c r="C75" s="47" t="s">
        <v>42</v>
      </c>
      <c r="D75" s="48" t="s">
        <v>316</v>
      </c>
      <c r="E75" s="48" t="s">
        <v>317</v>
      </c>
      <c r="F75" s="48" t="s">
        <v>318</v>
      </c>
      <c r="G75" s="30" t="s">
        <v>319</v>
      </c>
      <c r="H75" s="12">
        <f t="shared" si="8"/>
        <v>6</v>
      </c>
      <c r="I75" s="12">
        <f t="shared" si="9"/>
        <v>6</v>
      </c>
      <c r="J75" s="12">
        <f t="shared" si="10"/>
        <v>38</v>
      </c>
      <c r="K75" s="12">
        <f t="shared" si="11"/>
        <v>29</v>
      </c>
    </row>
    <row r="76" ht="33" customHeight="1" spans="1:11">
      <c r="A76" s="42">
        <v>37</v>
      </c>
      <c r="B76" s="43" t="str">
        <f>D77</f>
        <v>疯狂交响梦</v>
      </c>
      <c r="C76" s="12" t="s">
        <v>37</v>
      </c>
      <c r="D76" s="44" t="s">
        <v>320</v>
      </c>
      <c r="E76" s="44" t="s">
        <v>321</v>
      </c>
      <c r="F76" s="44" t="s">
        <v>322</v>
      </c>
      <c r="G76" s="28" t="s">
        <v>323</v>
      </c>
      <c r="H76" s="12">
        <f t="shared" si="8"/>
        <v>12</v>
      </c>
      <c r="I76" s="12">
        <f t="shared" si="9"/>
        <v>20</v>
      </c>
      <c r="J76" s="12">
        <f t="shared" si="10"/>
        <v>44</v>
      </c>
      <c r="K76" s="12">
        <f t="shared" si="11"/>
        <v>96</v>
      </c>
    </row>
    <row r="77" ht="33" customHeight="1" spans="1:11">
      <c r="A77" s="45"/>
      <c r="B77" s="46"/>
      <c r="C77" s="47" t="s">
        <v>42</v>
      </c>
      <c r="D77" s="56" t="s">
        <v>324</v>
      </c>
      <c r="E77" s="48" t="s">
        <v>325</v>
      </c>
      <c r="F77" s="48" t="s">
        <v>326</v>
      </c>
      <c r="G77" s="30" t="s">
        <v>327</v>
      </c>
      <c r="H77" s="12">
        <f t="shared" si="8"/>
        <v>5</v>
      </c>
      <c r="I77" s="12">
        <f t="shared" si="9"/>
        <v>9</v>
      </c>
      <c r="J77" s="12">
        <f t="shared" si="10"/>
        <v>25</v>
      </c>
      <c r="K77" s="12">
        <f t="shared" si="11"/>
        <v>44</v>
      </c>
    </row>
    <row r="78" ht="33" customHeight="1" spans="1:11">
      <c r="A78" s="42">
        <v>38</v>
      </c>
      <c r="B78" s="43" t="str">
        <f>D79</f>
        <v>西游记之再世妖王</v>
      </c>
      <c r="C78" s="12" t="s">
        <v>37</v>
      </c>
      <c r="D78" s="44" t="s">
        <v>328</v>
      </c>
      <c r="E78" s="44" t="s">
        <v>329</v>
      </c>
      <c r="F78" s="44" t="s">
        <v>330</v>
      </c>
      <c r="G78" s="28" t="s">
        <v>331</v>
      </c>
      <c r="H78" s="12">
        <f t="shared" si="8"/>
        <v>18</v>
      </c>
      <c r="I78" s="12">
        <f t="shared" si="9"/>
        <v>11</v>
      </c>
      <c r="J78" s="12">
        <f t="shared" si="10"/>
        <v>58</v>
      </c>
      <c r="K78" s="12">
        <f t="shared" si="11"/>
        <v>130</v>
      </c>
    </row>
    <row r="79" ht="33" customHeight="1" spans="1:11">
      <c r="A79" s="45"/>
      <c r="B79" s="46"/>
      <c r="C79" s="47" t="s">
        <v>42</v>
      </c>
      <c r="D79" s="48" t="s">
        <v>332</v>
      </c>
      <c r="E79" s="48" t="s">
        <v>333</v>
      </c>
      <c r="F79" s="48" t="s">
        <v>334</v>
      </c>
      <c r="G79" s="30" t="s">
        <v>335</v>
      </c>
      <c r="H79" s="12">
        <f t="shared" si="8"/>
        <v>8</v>
      </c>
      <c r="I79" s="12">
        <f t="shared" si="9"/>
        <v>3</v>
      </c>
      <c r="J79" s="12">
        <f t="shared" si="10"/>
        <v>24</v>
      </c>
      <c r="K79" s="12">
        <f t="shared" si="11"/>
        <v>36</v>
      </c>
    </row>
    <row r="80" ht="33" customHeight="1" spans="1:11">
      <c r="A80" s="42">
        <v>39</v>
      </c>
      <c r="B80" s="43" t="str">
        <f>D81</f>
        <v>江南</v>
      </c>
      <c r="C80" s="12" t="s">
        <v>37</v>
      </c>
      <c r="D80" s="44" t="s">
        <v>336</v>
      </c>
      <c r="E80" s="44" t="s">
        <v>337</v>
      </c>
      <c r="F80" s="44" t="s">
        <v>338</v>
      </c>
      <c r="G80" s="28" t="s">
        <v>339</v>
      </c>
      <c r="H80" s="12">
        <f t="shared" si="8"/>
        <v>13</v>
      </c>
      <c r="I80" s="12">
        <f t="shared" si="9"/>
        <v>11</v>
      </c>
      <c r="J80" s="12">
        <f t="shared" si="10"/>
        <v>52</v>
      </c>
      <c r="K80" s="12">
        <f t="shared" si="11"/>
        <v>115</v>
      </c>
    </row>
    <row r="81" ht="33" customHeight="1" spans="1:11">
      <c r="A81" s="45"/>
      <c r="B81" s="46"/>
      <c r="C81" s="47" t="s">
        <v>42</v>
      </c>
      <c r="D81" s="48" t="s">
        <v>340</v>
      </c>
      <c r="E81" s="56" t="s">
        <v>341</v>
      </c>
      <c r="F81" s="48" t="s">
        <v>342</v>
      </c>
      <c r="G81" s="30" t="s">
        <v>343</v>
      </c>
      <c r="H81" s="12">
        <f t="shared" si="8"/>
        <v>2</v>
      </c>
      <c r="I81" s="12">
        <f t="shared" si="9"/>
        <v>3</v>
      </c>
      <c r="J81" s="12">
        <f t="shared" si="10"/>
        <v>24</v>
      </c>
      <c r="K81" s="12">
        <f t="shared" si="11"/>
        <v>38</v>
      </c>
    </row>
    <row r="82" ht="33" customHeight="1" spans="1:11">
      <c r="A82" s="42">
        <v>40</v>
      </c>
      <c r="B82" s="43" t="str">
        <f>D83</f>
        <v>树上有个好地方2：美术老师的放羊班</v>
      </c>
      <c r="C82" s="12" t="s">
        <v>37</v>
      </c>
      <c r="D82" s="52" t="s">
        <v>344</v>
      </c>
      <c r="E82" s="44" t="s">
        <v>345</v>
      </c>
      <c r="F82" s="44" t="s">
        <v>346</v>
      </c>
      <c r="G82" s="28" t="s">
        <v>347</v>
      </c>
      <c r="H82" s="12">
        <f t="shared" si="8"/>
        <v>13</v>
      </c>
      <c r="I82" s="12">
        <f t="shared" si="9"/>
        <v>14</v>
      </c>
      <c r="J82" s="12">
        <f t="shared" si="10"/>
        <v>36</v>
      </c>
      <c r="K82" s="12">
        <f t="shared" si="11"/>
        <v>84</v>
      </c>
    </row>
    <row r="83" ht="33" customHeight="1" spans="1:11">
      <c r="A83" s="45"/>
      <c r="B83" s="46"/>
      <c r="C83" s="47" t="s">
        <v>42</v>
      </c>
      <c r="D83" s="54" t="s">
        <v>348</v>
      </c>
      <c r="E83" s="48" t="s">
        <v>349</v>
      </c>
      <c r="F83" s="48" t="s">
        <v>350</v>
      </c>
      <c r="G83" s="30" t="s">
        <v>351</v>
      </c>
      <c r="H83" s="12">
        <f t="shared" si="8"/>
        <v>17</v>
      </c>
      <c r="I83" s="12">
        <f t="shared" si="9"/>
        <v>3</v>
      </c>
      <c r="J83" s="12">
        <f t="shared" si="10"/>
        <v>14</v>
      </c>
      <c r="K83" s="12">
        <f t="shared" si="11"/>
        <v>44</v>
      </c>
    </row>
    <row r="84" ht="33" customHeight="1" spans="1:11">
      <c r="A84" s="42">
        <v>41</v>
      </c>
      <c r="B84" s="43" t="str">
        <f>D85</f>
        <v>贝肯熊：火星任务</v>
      </c>
      <c r="C84" s="12" t="s">
        <v>37</v>
      </c>
      <c r="D84" s="52" t="s">
        <v>352</v>
      </c>
      <c r="E84" s="44" t="s">
        <v>353</v>
      </c>
      <c r="F84" s="44" t="s">
        <v>354</v>
      </c>
      <c r="G84" s="28" t="s">
        <v>355</v>
      </c>
      <c r="H84" s="12">
        <f t="shared" si="8"/>
        <v>26</v>
      </c>
      <c r="I84" s="12">
        <f t="shared" si="9"/>
        <v>9</v>
      </c>
      <c r="J84" s="12">
        <f t="shared" si="10"/>
        <v>22</v>
      </c>
      <c r="K84" s="12">
        <f t="shared" si="11"/>
        <v>82</v>
      </c>
    </row>
    <row r="85" ht="33" customHeight="1" spans="1:11">
      <c r="A85" s="45"/>
      <c r="B85" s="46"/>
      <c r="C85" s="47" t="s">
        <v>42</v>
      </c>
      <c r="D85" s="48" t="s">
        <v>356</v>
      </c>
      <c r="E85" s="48" t="s">
        <v>110</v>
      </c>
      <c r="F85" s="48" t="s">
        <v>357</v>
      </c>
      <c r="G85" s="30" t="s">
        <v>358</v>
      </c>
      <c r="H85" s="12">
        <f t="shared" si="8"/>
        <v>8</v>
      </c>
      <c r="I85" s="12">
        <f t="shared" si="9"/>
        <v>2</v>
      </c>
      <c r="J85" s="12">
        <f t="shared" si="10"/>
        <v>8</v>
      </c>
      <c r="K85" s="12">
        <f t="shared" si="11"/>
        <v>41</v>
      </c>
    </row>
    <row r="86" ht="33" customHeight="1" spans="1:11">
      <c r="A86" s="42">
        <v>42</v>
      </c>
      <c r="B86" s="43" t="str">
        <f>D87</f>
        <v>猪猪侠大电影·海洋日记</v>
      </c>
      <c r="C86" s="12" t="s">
        <v>37</v>
      </c>
      <c r="D86" s="52" t="s">
        <v>359</v>
      </c>
      <c r="E86" s="44" t="s">
        <v>360</v>
      </c>
      <c r="F86" s="44" t="s">
        <v>361</v>
      </c>
      <c r="G86" s="28" t="s">
        <v>362</v>
      </c>
      <c r="H86" s="12">
        <f t="shared" si="8"/>
        <v>22</v>
      </c>
      <c r="I86" s="12">
        <f t="shared" si="9"/>
        <v>8</v>
      </c>
      <c r="J86" s="12">
        <f t="shared" si="10"/>
        <v>27</v>
      </c>
      <c r="K86" s="12">
        <f t="shared" si="11"/>
        <v>71</v>
      </c>
    </row>
    <row r="87" ht="33" customHeight="1" spans="1:11">
      <c r="A87" s="45"/>
      <c r="B87" s="46"/>
      <c r="C87" s="47" t="s">
        <v>42</v>
      </c>
      <c r="D87" s="48" t="s">
        <v>363</v>
      </c>
      <c r="E87" s="48" t="s">
        <v>364</v>
      </c>
      <c r="F87" s="48" t="s">
        <v>365</v>
      </c>
      <c r="G87" s="30" t="s">
        <v>366</v>
      </c>
      <c r="H87" s="12">
        <f t="shared" si="8"/>
        <v>11</v>
      </c>
      <c r="I87" s="12">
        <f t="shared" si="9"/>
        <v>2</v>
      </c>
      <c r="J87" s="12">
        <f t="shared" si="10"/>
        <v>12</v>
      </c>
      <c r="K87" s="12">
        <f t="shared" si="11"/>
        <v>32</v>
      </c>
    </row>
    <row r="88" ht="33" customHeight="1" spans="1:11">
      <c r="A88" s="42">
        <v>43</v>
      </c>
      <c r="B88" s="43" t="str">
        <f>D89</f>
        <v>佳片速递</v>
      </c>
      <c r="C88" s="12" t="s">
        <v>37</v>
      </c>
      <c r="D88" s="59" t="s">
        <v>367</v>
      </c>
      <c r="E88" s="60"/>
      <c r="F88" s="60"/>
      <c r="G88" s="61" t="s">
        <v>368</v>
      </c>
      <c r="H88" s="12">
        <f t="shared" si="8"/>
        <v>11</v>
      </c>
      <c r="I88" s="12">
        <f t="shared" si="9"/>
        <v>0</v>
      </c>
      <c r="J88" s="12">
        <f t="shared" si="10"/>
        <v>0</v>
      </c>
      <c r="K88" s="12">
        <f t="shared" si="11"/>
        <v>358</v>
      </c>
    </row>
    <row r="89" ht="32" customHeight="1" spans="1:11">
      <c r="A89" s="45"/>
      <c r="B89" s="46"/>
      <c r="C89" s="47" t="s">
        <v>42</v>
      </c>
      <c r="D89" s="62" t="s">
        <v>369</v>
      </c>
      <c r="E89" s="63"/>
      <c r="F89" s="63"/>
      <c r="G89" s="64" t="s">
        <v>370</v>
      </c>
      <c r="H89" s="12">
        <f t="shared" si="8"/>
        <v>4</v>
      </c>
      <c r="I89" s="12">
        <f t="shared" si="9"/>
        <v>0</v>
      </c>
      <c r="J89" s="12">
        <f t="shared" si="10"/>
        <v>0</v>
      </c>
      <c r="K89" s="12">
        <f t="shared" si="11"/>
        <v>86</v>
      </c>
    </row>
    <row r="99" spans="7:7">
      <c r="G99" s="65"/>
    </row>
  </sheetData>
  <mergeCells count="8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8"/>
    <mergeCell ref="A49:A50"/>
    <mergeCell ref="A51:A52"/>
    <mergeCell ref="A53:A54"/>
    <mergeCell ref="A55:A56"/>
    <mergeCell ref="A57:A58"/>
    <mergeCell ref="A59:A60"/>
    <mergeCell ref="A61:A62"/>
    <mergeCell ref="A63:A64"/>
    <mergeCell ref="A65:A66"/>
    <mergeCell ref="A67:A68"/>
    <mergeCell ref="A69:A70"/>
    <mergeCell ref="A71:A73"/>
    <mergeCell ref="A74:A75"/>
    <mergeCell ref="A76:A77"/>
    <mergeCell ref="A78:A79"/>
    <mergeCell ref="A80:A81"/>
    <mergeCell ref="A82:A83"/>
    <mergeCell ref="A84:A85"/>
    <mergeCell ref="A86:A87"/>
    <mergeCell ref="A88:A89"/>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8"/>
    <mergeCell ref="B49:B50"/>
    <mergeCell ref="B51:B52"/>
    <mergeCell ref="B53:B54"/>
    <mergeCell ref="B55:B56"/>
    <mergeCell ref="B57:B58"/>
    <mergeCell ref="B59:B60"/>
    <mergeCell ref="B61:B62"/>
    <mergeCell ref="B63:B64"/>
    <mergeCell ref="B65:B66"/>
    <mergeCell ref="B67:B68"/>
    <mergeCell ref="B69:B70"/>
    <mergeCell ref="B71:B73"/>
    <mergeCell ref="B74:B75"/>
    <mergeCell ref="B76:B77"/>
    <mergeCell ref="B78:B79"/>
    <mergeCell ref="B80:B81"/>
    <mergeCell ref="B82:B83"/>
    <mergeCell ref="B84:B85"/>
    <mergeCell ref="B86:B87"/>
    <mergeCell ref="B88:B89"/>
  </mergeCells>
  <dataValidations count="2">
    <dataValidation type="textLength" operator="lessThanOrEqual" allowBlank="1" showInputMessage="1" showErrorMessage="1" sqref="L7">
      <formula1>255</formula1>
    </dataValidation>
    <dataValidation allowBlank="1" showInputMessage="1" showErrorMessage="1" sqref="G24:G89"/>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H277"/>
  <sheetViews>
    <sheetView workbookViewId="0">
      <pane ySplit="1" topLeftCell="A222" activePane="bottomLeft" state="frozen"/>
      <selection/>
      <selection pane="bottomLeft" activeCell="D233" sqref="D233"/>
    </sheetView>
  </sheetViews>
  <sheetFormatPr defaultColWidth="9" defaultRowHeight="36" customHeight="1" outlineLevelCol="7"/>
  <cols>
    <col min="1" max="1" width="5.625" style="1" customWidth="1"/>
    <col min="2" max="2" width="32.125" style="1" customWidth="1"/>
    <col min="3" max="3" width="9" style="2"/>
    <col min="4" max="4" width="75" style="16" customWidth="1"/>
    <col min="5" max="5" width="83.125" style="4" customWidth="1"/>
    <col min="6" max="7" width="9" style="2"/>
    <col min="8" max="16384" width="9" style="1"/>
  </cols>
  <sheetData>
    <row r="1" customHeight="1" spans="1:7">
      <c r="A1" s="6" t="s">
        <v>29</v>
      </c>
      <c r="B1" s="6" t="s">
        <v>30</v>
      </c>
      <c r="C1" s="6" t="s">
        <v>31</v>
      </c>
      <c r="D1" s="5" t="s">
        <v>32</v>
      </c>
      <c r="E1" s="5" t="s">
        <v>35</v>
      </c>
      <c r="F1" s="6" t="s">
        <v>371</v>
      </c>
      <c r="G1" s="6" t="s">
        <v>372</v>
      </c>
    </row>
    <row r="2" customHeight="1" spans="1:8">
      <c r="A2" s="17">
        <v>1</v>
      </c>
      <c r="B2" s="18" t="str">
        <f>D3</f>
        <v>汉唐文化</v>
      </c>
      <c r="C2" s="19" t="s">
        <v>373</v>
      </c>
      <c r="D2" s="20" t="s">
        <v>374</v>
      </c>
      <c r="E2" s="21" t="s">
        <v>375</v>
      </c>
      <c r="F2" s="22">
        <f>LEN(D2)</f>
        <v>15</v>
      </c>
      <c r="G2" s="22">
        <f>LEN(E2)</f>
        <v>225</v>
      </c>
      <c r="H2" s="14"/>
    </row>
    <row r="3" customHeight="1" spans="1:7">
      <c r="A3" s="23"/>
      <c r="B3" s="24"/>
      <c r="C3" s="19" t="s">
        <v>42</v>
      </c>
      <c r="D3" s="25" t="s">
        <v>376</v>
      </c>
      <c r="E3" s="26" t="s">
        <v>377</v>
      </c>
      <c r="F3" s="22">
        <f>LEN(D3)</f>
        <v>4</v>
      </c>
      <c r="G3" s="22">
        <f>LEN(E3)</f>
        <v>47</v>
      </c>
    </row>
    <row r="4" customHeight="1" spans="1:7">
      <c r="A4" s="17">
        <v>2</v>
      </c>
      <c r="B4" s="18" t="str">
        <f>D5</f>
        <v>《寻护者》上集 为爱穿山</v>
      </c>
      <c r="C4" s="19" t="s">
        <v>373</v>
      </c>
      <c r="D4" s="27" t="s">
        <v>378</v>
      </c>
      <c r="E4" s="28" t="s">
        <v>379</v>
      </c>
      <c r="F4" s="22">
        <f>LEN(D4)</f>
        <v>51</v>
      </c>
      <c r="G4" s="22">
        <f>LEN(E4)</f>
        <v>245</v>
      </c>
    </row>
    <row r="5" customHeight="1" spans="1:7">
      <c r="A5" s="23"/>
      <c r="B5" s="24"/>
      <c r="C5" s="19" t="s">
        <v>42</v>
      </c>
      <c r="D5" s="29" t="s">
        <v>380</v>
      </c>
      <c r="E5" s="30" t="s">
        <v>381</v>
      </c>
      <c r="F5" s="22">
        <f>LEN(D5)</f>
        <v>12</v>
      </c>
      <c r="G5" s="22">
        <f>LEN(E5)</f>
        <v>77</v>
      </c>
    </row>
    <row r="6" customHeight="1" spans="1:8">
      <c r="A6" s="17">
        <v>3</v>
      </c>
      <c r="B6" s="18" t="str">
        <f>D7</f>
        <v>中国 第一季 3</v>
      </c>
      <c r="C6" s="19" t="s">
        <v>373</v>
      </c>
      <c r="D6" s="20" t="s">
        <v>382</v>
      </c>
      <c r="E6" s="28" t="s">
        <v>383</v>
      </c>
      <c r="F6" s="22">
        <f t="shared" ref="F6:F46" si="0">LEN(D6)</f>
        <v>12</v>
      </c>
      <c r="G6" s="22">
        <f t="shared" ref="G6:G46" si="1">LEN(E6)</f>
        <v>133</v>
      </c>
      <c r="H6" s="14"/>
    </row>
    <row r="7" customHeight="1" spans="1:7">
      <c r="A7" s="23"/>
      <c r="B7" s="24"/>
      <c r="C7" s="19" t="s">
        <v>42</v>
      </c>
      <c r="D7" s="25" t="s">
        <v>384</v>
      </c>
      <c r="E7" s="30" t="s">
        <v>385</v>
      </c>
      <c r="F7" s="22">
        <f t="shared" si="0"/>
        <v>8</v>
      </c>
      <c r="G7" s="22">
        <f t="shared" si="1"/>
        <v>59</v>
      </c>
    </row>
    <row r="8" customHeight="1" spans="1:8">
      <c r="A8" s="17">
        <v>4</v>
      </c>
      <c r="B8" s="18" t="str">
        <f>D9</f>
        <v>中国 第一季 2</v>
      </c>
      <c r="C8" s="19" t="s">
        <v>373</v>
      </c>
      <c r="D8" s="20" t="s">
        <v>386</v>
      </c>
      <c r="E8" s="28" t="s">
        <v>383</v>
      </c>
      <c r="F8" s="22">
        <f t="shared" si="0"/>
        <v>12</v>
      </c>
      <c r="G8" s="22">
        <f t="shared" si="1"/>
        <v>133</v>
      </c>
      <c r="H8" s="14"/>
    </row>
    <row r="9" customHeight="1" spans="1:7">
      <c r="A9" s="23"/>
      <c r="B9" s="24"/>
      <c r="C9" s="19" t="s">
        <v>42</v>
      </c>
      <c r="D9" s="25" t="s">
        <v>387</v>
      </c>
      <c r="E9" s="30" t="s">
        <v>385</v>
      </c>
      <c r="F9" s="22">
        <f t="shared" si="0"/>
        <v>8</v>
      </c>
      <c r="G9" s="22">
        <f t="shared" si="1"/>
        <v>59</v>
      </c>
    </row>
    <row r="10" customHeight="1" spans="1:8">
      <c r="A10" s="17">
        <v>5</v>
      </c>
      <c r="B10" s="18" t="str">
        <f>D11</f>
        <v>故宫的礼物 5</v>
      </c>
      <c r="C10" s="19" t="s">
        <v>373</v>
      </c>
      <c r="D10" s="20" t="s">
        <v>388</v>
      </c>
      <c r="E10" s="28" t="s">
        <v>389</v>
      </c>
      <c r="F10" s="22">
        <f t="shared" si="0"/>
        <v>34</v>
      </c>
      <c r="G10" s="22">
        <f t="shared" si="1"/>
        <v>174</v>
      </c>
      <c r="H10" s="14"/>
    </row>
    <row r="11" customHeight="1" spans="1:7">
      <c r="A11" s="23"/>
      <c r="B11" s="24"/>
      <c r="C11" s="19" t="s">
        <v>42</v>
      </c>
      <c r="D11" s="25" t="s">
        <v>390</v>
      </c>
      <c r="E11" s="30" t="s">
        <v>391</v>
      </c>
      <c r="F11" s="22">
        <f t="shared" si="0"/>
        <v>7</v>
      </c>
      <c r="G11" s="22">
        <f t="shared" si="1"/>
        <v>44</v>
      </c>
    </row>
    <row r="12" customHeight="1" spans="1:8">
      <c r="A12" s="17">
        <v>6</v>
      </c>
      <c r="B12" s="18" t="str">
        <f>D13</f>
        <v>故宫的礼物 4</v>
      </c>
      <c r="C12" s="19" t="s">
        <v>373</v>
      </c>
      <c r="D12" s="20" t="s">
        <v>392</v>
      </c>
      <c r="E12" s="28" t="s">
        <v>389</v>
      </c>
      <c r="F12" s="22">
        <f t="shared" si="0"/>
        <v>34</v>
      </c>
      <c r="G12" s="22">
        <f t="shared" si="1"/>
        <v>174</v>
      </c>
      <c r="H12" s="14"/>
    </row>
    <row r="13" customHeight="1" spans="1:7">
      <c r="A13" s="23"/>
      <c r="B13" s="24"/>
      <c r="C13" s="19" t="s">
        <v>42</v>
      </c>
      <c r="D13" s="25" t="s">
        <v>393</v>
      </c>
      <c r="E13" s="30" t="s">
        <v>391</v>
      </c>
      <c r="F13" s="22">
        <f t="shared" si="0"/>
        <v>7</v>
      </c>
      <c r="G13" s="22">
        <f t="shared" si="1"/>
        <v>44</v>
      </c>
    </row>
    <row r="14" customHeight="1" spans="1:8">
      <c r="A14" s="17">
        <v>7</v>
      </c>
      <c r="B14" s="18" t="str">
        <f>D15</f>
        <v>新三峡 5 景</v>
      </c>
      <c r="C14" s="19" t="s">
        <v>373</v>
      </c>
      <c r="D14" s="20" t="s">
        <v>394</v>
      </c>
      <c r="E14" s="28" t="s">
        <v>395</v>
      </c>
      <c r="F14" s="22">
        <f t="shared" si="0"/>
        <v>23</v>
      </c>
      <c r="G14" s="22">
        <f t="shared" si="1"/>
        <v>132</v>
      </c>
      <c r="H14" s="14"/>
    </row>
    <row r="15" customHeight="1" spans="1:7">
      <c r="A15" s="23"/>
      <c r="B15" s="24"/>
      <c r="C15" s="19" t="s">
        <v>42</v>
      </c>
      <c r="D15" s="25" t="s">
        <v>396</v>
      </c>
      <c r="E15" s="30" t="s">
        <v>397</v>
      </c>
      <c r="F15" s="22">
        <f t="shared" si="0"/>
        <v>7</v>
      </c>
      <c r="G15" s="22">
        <f t="shared" si="1"/>
        <v>33</v>
      </c>
    </row>
    <row r="16" customHeight="1" spans="1:8">
      <c r="A16" s="17">
        <v>8</v>
      </c>
      <c r="B16" s="18" t="str">
        <f>D17</f>
        <v>新三峡 4 人</v>
      </c>
      <c r="C16" s="19" t="s">
        <v>373</v>
      </c>
      <c r="D16" s="20" t="s">
        <v>398</v>
      </c>
      <c r="E16" s="28" t="s">
        <v>395</v>
      </c>
      <c r="F16" s="22">
        <f t="shared" si="0"/>
        <v>25</v>
      </c>
      <c r="G16" s="22">
        <f t="shared" si="1"/>
        <v>132</v>
      </c>
      <c r="H16" s="14"/>
    </row>
    <row r="17" customHeight="1" spans="1:7">
      <c r="A17" s="23"/>
      <c r="B17" s="24"/>
      <c r="C17" s="19" t="s">
        <v>42</v>
      </c>
      <c r="D17" s="25" t="s">
        <v>399</v>
      </c>
      <c r="E17" s="30" t="s">
        <v>397</v>
      </c>
      <c r="F17" s="22">
        <f t="shared" si="0"/>
        <v>7</v>
      </c>
      <c r="G17" s="22">
        <f t="shared" si="1"/>
        <v>33</v>
      </c>
    </row>
    <row r="18" customHeight="1" spans="1:7">
      <c r="A18" s="17">
        <v>9</v>
      </c>
      <c r="B18" s="18" t="str">
        <f>D19</f>
        <v>喜事 2 爱向曙光</v>
      </c>
      <c r="C18" s="19" t="s">
        <v>373</v>
      </c>
      <c r="D18" s="25" t="s">
        <v>400</v>
      </c>
      <c r="E18" s="21" t="s">
        <v>401</v>
      </c>
      <c r="F18" s="22">
        <f t="shared" si="0"/>
        <v>31</v>
      </c>
      <c r="G18" s="22">
        <f t="shared" si="1"/>
        <v>136</v>
      </c>
    </row>
    <row r="19" customHeight="1" spans="1:7">
      <c r="A19" s="23"/>
      <c r="B19" s="24"/>
      <c r="C19" s="19" t="s">
        <v>42</v>
      </c>
      <c r="D19" s="25" t="s">
        <v>402</v>
      </c>
      <c r="E19" s="26" t="s">
        <v>403</v>
      </c>
      <c r="F19" s="22">
        <f t="shared" si="0"/>
        <v>9</v>
      </c>
      <c r="G19" s="22">
        <f t="shared" si="1"/>
        <v>28</v>
      </c>
    </row>
    <row r="20" customHeight="1" spans="1:8">
      <c r="A20" s="17">
        <v>10</v>
      </c>
      <c r="B20" s="18" t="str">
        <f>D21</f>
        <v>喜事 1 爱在美人谷</v>
      </c>
      <c r="C20" s="19" t="s">
        <v>373</v>
      </c>
      <c r="D20" s="20" t="s">
        <v>404</v>
      </c>
      <c r="E20" s="28" t="s">
        <v>405</v>
      </c>
      <c r="F20" s="22">
        <f t="shared" si="0"/>
        <v>31</v>
      </c>
      <c r="G20" s="22">
        <f t="shared" si="1"/>
        <v>137</v>
      </c>
      <c r="H20" s="14"/>
    </row>
    <row r="21" customHeight="1" spans="1:7">
      <c r="A21" s="23"/>
      <c r="B21" s="24"/>
      <c r="C21" s="19" t="s">
        <v>42</v>
      </c>
      <c r="D21" s="25" t="s">
        <v>406</v>
      </c>
      <c r="E21" s="30" t="s">
        <v>407</v>
      </c>
      <c r="F21" s="22">
        <f t="shared" si="0"/>
        <v>10</v>
      </c>
      <c r="G21" s="22">
        <f t="shared" si="1"/>
        <v>29</v>
      </c>
    </row>
    <row r="22" customHeight="1" spans="1:8">
      <c r="A22" s="17">
        <v>11</v>
      </c>
      <c r="B22" s="18" t="str">
        <f>D23</f>
        <v>敦煌遇见绍兴 1 丝路双生</v>
      </c>
      <c r="C22" s="19" t="s">
        <v>373</v>
      </c>
      <c r="D22" s="20" t="s">
        <v>408</v>
      </c>
      <c r="E22" s="28" t="s">
        <v>409</v>
      </c>
      <c r="F22" s="22">
        <f t="shared" si="0"/>
        <v>63</v>
      </c>
      <c r="G22" s="22">
        <f t="shared" si="1"/>
        <v>275</v>
      </c>
      <c r="H22" s="14"/>
    </row>
    <row r="23" customHeight="1" spans="1:7">
      <c r="A23" s="23"/>
      <c r="B23" s="24"/>
      <c r="C23" s="19" t="s">
        <v>42</v>
      </c>
      <c r="D23" s="25" t="s">
        <v>410</v>
      </c>
      <c r="E23" s="30" t="s">
        <v>411</v>
      </c>
      <c r="F23" s="22">
        <f t="shared" si="0"/>
        <v>13</v>
      </c>
      <c r="G23" s="22">
        <f t="shared" si="1"/>
        <v>61</v>
      </c>
    </row>
    <row r="24" customHeight="1" spans="1:8">
      <c r="A24" s="17">
        <v>12</v>
      </c>
      <c r="B24" s="18" t="str">
        <f>D25</f>
        <v>大泰山 2 若登天然</v>
      </c>
      <c r="C24" s="19" t="s">
        <v>373</v>
      </c>
      <c r="D24" s="20" t="s">
        <v>412</v>
      </c>
      <c r="E24" s="28" t="s">
        <v>413</v>
      </c>
      <c r="F24" s="22">
        <f t="shared" si="0"/>
        <v>68</v>
      </c>
      <c r="G24" s="22">
        <f t="shared" si="1"/>
        <v>289</v>
      </c>
      <c r="H24" s="14"/>
    </row>
    <row r="25" customHeight="1" spans="1:7">
      <c r="A25" s="23"/>
      <c r="B25" s="24"/>
      <c r="C25" s="19" t="s">
        <v>42</v>
      </c>
      <c r="D25" s="25" t="s">
        <v>414</v>
      </c>
      <c r="E25" s="30" t="s">
        <v>415</v>
      </c>
      <c r="F25" s="22">
        <f t="shared" si="0"/>
        <v>10</v>
      </c>
      <c r="G25" s="22">
        <f t="shared" si="1"/>
        <v>67</v>
      </c>
    </row>
    <row r="26" customHeight="1" spans="1:8">
      <c r="A26" s="17">
        <v>13</v>
      </c>
      <c r="B26" s="18" t="str">
        <f>D27</f>
        <v>中国草 2 崭新生活</v>
      </c>
      <c r="C26" s="19" t="s">
        <v>373</v>
      </c>
      <c r="D26" s="20" t="s">
        <v>416</v>
      </c>
      <c r="E26" s="28" t="s">
        <v>417</v>
      </c>
      <c r="F26" s="22">
        <f t="shared" si="0"/>
        <v>25</v>
      </c>
      <c r="G26" s="22">
        <f t="shared" si="1"/>
        <v>306</v>
      </c>
      <c r="H26" s="14"/>
    </row>
    <row r="27" customHeight="1" spans="1:7">
      <c r="A27" s="23"/>
      <c r="B27" s="24"/>
      <c r="C27" s="19" t="s">
        <v>42</v>
      </c>
      <c r="D27" s="25" t="s">
        <v>418</v>
      </c>
      <c r="E27" s="30" t="s">
        <v>419</v>
      </c>
      <c r="F27" s="22">
        <f t="shared" si="0"/>
        <v>10</v>
      </c>
      <c r="G27" s="22">
        <f t="shared" si="1"/>
        <v>70</v>
      </c>
    </row>
    <row r="28" customHeight="1" spans="1:8">
      <c r="A28" s="17">
        <v>14</v>
      </c>
      <c r="B28" s="18" t="str">
        <f>D29</f>
        <v>庞贝新发现 3</v>
      </c>
      <c r="C28" s="19" t="s">
        <v>373</v>
      </c>
      <c r="D28" s="20" t="s">
        <v>420</v>
      </c>
      <c r="E28" s="28" t="s">
        <v>421</v>
      </c>
      <c r="F28" s="22">
        <f t="shared" si="0"/>
        <v>25</v>
      </c>
      <c r="G28" s="22">
        <f t="shared" si="1"/>
        <v>109</v>
      </c>
      <c r="H28" s="14"/>
    </row>
    <row r="29" customHeight="1" spans="1:7">
      <c r="A29" s="23"/>
      <c r="B29" s="24"/>
      <c r="C29" s="19" t="s">
        <v>42</v>
      </c>
      <c r="D29" s="25" t="s">
        <v>422</v>
      </c>
      <c r="E29" s="30" t="s">
        <v>423</v>
      </c>
      <c r="F29" s="22">
        <f t="shared" si="0"/>
        <v>7</v>
      </c>
      <c r="G29" s="22">
        <f t="shared" si="1"/>
        <v>39</v>
      </c>
    </row>
    <row r="30" customHeight="1" spans="1:8">
      <c r="A30" s="17">
        <v>15</v>
      </c>
      <c r="B30" s="18" t="str">
        <f>D31</f>
        <v>行走世界菜市场 10</v>
      </c>
      <c r="C30" s="19" t="s">
        <v>373</v>
      </c>
      <c r="D30" s="20" t="s">
        <v>424</v>
      </c>
      <c r="E30" s="28" t="s">
        <v>425</v>
      </c>
      <c r="F30" s="22">
        <f t="shared" si="0"/>
        <v>17</v>
      </c>
      <c r="G30" s="22">
        <f t="shared" si="1"/>
        <v>158</v>
      </c>
      <c r="H30" s="14"/>
    </row>
    <row r="31" customHeight="1" spans="1:7">
      <c r="A31" s="23"/>
      <c r="B31" s="24"/>
      <c r="C31" s="19" t="s">
        <v>42</v>
      </c>
      <c r="D31" s="25" t="s">
        <v>426</v>
      </c>
      <c r="E31" s="30" t="s">
        <v>427</v>
      </c>
      <c r="F31" s="22">
        <f t="shared" si="0"/>
        <v>10</v>
      </c>
      <c r="G31" s="22">
        <f t="shared" si="1"/>
        <v>72</v>
      </c>
    </row>
    <row r="32" customHeight="1" spans="1:8">
      <c r="A32" s="17">
        <v>16</v>
      </c>
      <c r="B32" s="18" t="str">
        <f>D33</f>
        <v>行走世界菜市场 9</v>
      </c>
      <c r="C32" s="19" t="s">
        <v>373</v>
      </c>
      <c r="D32" s="20" t="s">
        <v>428</v>
      </c>
      <c r="E32" s="28" t="s">
        <v>425</v>
      </c>
      <c r="F32" s="22">
        <f t="shared" si="0"/>
        <v>17</v>
      </c>
      <c r="G32" s="22">
        <f t="shared" si="1"/>
        <v>158</v>
      </c>
      <c r="H32" s="14"/>
    </row>
    <row r="33" customHeight="1" spans="1:7">
      <c r="A33" s="23"/>
      <c r="B33" s="24"/>
      <c r="C33" s="19" t="s">
        <v>42</v>
      </c>
      <c r="D33" s="25" t="s">
        <v>429</v>
      </c>
      <c r="E33" s="30" t="s">
        <v>427</v>
      </c>
      <c r="F33" s="22">
        <f t="shared" si="0"/>
        <v>9</v>
      </c>
      <c r="G33" s="22">
        <f t="shared" si="1"/>
        <v>72</v>
      </c>
    </row>
    <row r="34" customHeight="1" spans="1:8">
      <c r="A34" s="17">
        <v>17</v>
      </c>
      <c r="B34" s="18" t="str">
        <f>D35</f>
        <v>行走世界菜市场 8</v>
      </c>
      <c r="C34" s="19" t="s">
        <v>373</v>
      </c>
      <c r="D34" s="20" t="s">
        <v>430</v>
      </c>
      <c r="E34" s="28" t="s">
        <v>425</v>
      </c>
      <c r="F34" s="22">
        <f t="shared" si="0"/>
        <v>17</v>
      </c>
      <c r="G34" s="22">
        <f t="shared" si="1"/>
        <v>158</v>
      </c>
      <c r="H34" s="14"/>
    </row>
    <row r="35" customHeight="1" spans="1:7">
      <c r="A35" s="23"/>
      <c r="B35" s="24"/>
      <c r="C35" s="19" t="s">
        <v>42</v>
      </c>
      <c r="D35" s="25" t="s">
        <v>431</v>
      </c>
      <c r="E35" s="30" t="s">
        <v>427</v>
      </c>
      <c r="F35" s="22">
        <f t="shared" si="0"/>
        <v>9</v>
      </c>
      <c r="G35" s="22">
        <f t="shared" si="1"/>
        <v>72</v>
      </c>
    </row>
    <row r="36" customHeight="1" spans="1:8">
      <c r="A36" s="17">
        <v>18</v>
      </c>
      <c r="B36" s="18" t="str">
        <f>D37</f>
        <v>香港自然故事 6 海洋篇 下</v>
      </c>
      <c r="C36" s="19" t="s">
        <v>373</v>
      </c>
      <c r="D36" s="20" t="s">
        <v>432</v>
      </c>
      <c r="E36" s="28" t="s">
        <v>433</v>
      </c>
      <c r="F36" s="22">
        <f t="shared" si="0"/>
        <v>41</v>
      </c>
      <c r="G36" s="22">
        <f t="shared" si="1"/>
        <v>102</v>
      </c>
      <c r="H36" s="14"/>
    </row>
    <row r="37" customHeight="1" spans="1:7">
      <c r="A37" s="23"/>
      <c r="B37" s="24"/>
      <c r="C37" s="19" t="s">
        <v>42</v>
      </c>
      <c r="D37" s="25" t="s">
        <v>434</v>
      </c>
      <c r="E37" s="30" t="s">
        <v>435</v>
      </c>
      <c r="F37" s="22">
        <f t="shared" si="0"/>
        <v>14</v>
      </c>
      <c r="G37" s="22">
        <f t="shared" si="1"/>
        <v>22</v>
      </c>
    </row>
    <row r="38" customHeight="1" spans="1:8">
      <c r="A38" s="17">
        <v>19</v>
      </c>
      <c r="B38" s="18" t="str">
        <f>D39</f>
        <v>香港自然故事 5 海洋篇 上</v>
      </c>
      <c r="C38" s="19" t="s">
        <v>373</v>
      </c>
      <c r="D38" s="20" t="s">
        <v>436</v>
      </c>
      <c r="E38" s="28" t="s">
        <v>433</v>
      </c>
      <c r="F38" s="22">
        <f t="shared" si="0"/>
        <v>41</v>
      </c>
      <c r="G38" s="22">
        <f t="shared" si="1"/>
        <v>102</v>
      </c>
      <c r="H38" s="14"/>
    </row>
    <row r="39" customHeight="1" spans="1:7">
      <c r="A39" s="23"/>
      <c r="B39" s="24"/>
      <c r="C39" s="19" t="s">
        <v>42</v>
      </c>
      <c r="D39" s="25" t="s">
        <v>437</v>
      </c>
      <c r="E39" s="30" t="s">
        <v>435</v>
      </c>
      <c r="F39" s="22">
        <f t="shared" si="0"/>
        <v>14</v>
      </c>
      <c r="G39" s="22">
        <f t="shared" si="1"/>
        <v>22</v>
      </c>
    </row>
    <row r="40" customHeight="1" spans="1:8">
      <c r="A40" s="17">
        <v>20</v>
      </c>
      <c r="B40" s="18" t="str">
        <f>D41</f>
        <v>自然传奇 生存赢家 鸟类</v>
      </c>
      <c r="C40" s="19" t="s">
        <v>373</v>
      </c>
      <c r="D40" s="20" t="s">
        <v>438</v>
      </c>
      <c r="E40" s="28" t="s">
        <v>439</v>
      </c>
      <c r="F40" s="22">
        <f t="shared" si="0"/>
        <v>37</v>
      </c>
      <c r="G40" s="22">
        <f t="shared" si="1"/>
        <v>241</v>
      </c>
      <c r="H40" s="14"/>
    </row>
    <row r="41" customHeight="1" spans="1:7">
      <c r="A41" s="23"/>
      <c r="B41" s="24"/>
      <c r="C41" s="19" t="s">
        <v>42</v>
      </c>
      <c r="D41" s="25" t="s">
        <v>440</v>
      </c>
      <c r="E41" s="30" t="s">
        <v>441</v>
      </c>
      <c r="F41" s="22">
        <f t="shared" si="0"/>
        <v>12</v>
      </c>
      <c r="G41" s="22">
        <f t="shared" si="1"/>
        <v>59</v>
      </c>
    </row>
    <row r="42" customHeight="1" spans="1:8">
      <c r="A42" s="17">
        <v>21</v>
      </c>
      <c r="B42" s="18" t="str">
        <f>D43</f>
        <v>迁徙的鸟 1</v>
      </c>
      <c r="C42" s="19" t="s">
        <v>373</v>
      </c>
      <c r="D42" s="20" t="s">
        <v>442</v>
      </c>
      <c r="E42" s="28" t="s">
        <v>443</v>
      </c>
      <c r="F42" s="22">
        <f t="shared" si="0"/>
        <v>19</v>
      </c>
      <c r="G42" s="22">
        <f t="shared" si="1"/>
        <v>104</v>
      </c>
      <c r="H42" s="14"/>
    </row>
    <row r="43" customHeight="1" spans="1:7">
      <c r="A43" s="23"/>
      <c r="B43" s="24"/>
      <c r="C43" s="19" t="s">
        <v>42</v>
      </c>
      <c r="D43" s="25" t="s">
        <v>444</v>
      </c>
      <c r="E43" s="30" t="s">
        <v>445</v>
      </c>
      <c r="F43" s="22">
        <f t="shared" si="0"/>
        <v>6</v>
      </c>
      <c r="G43" s="22">
        <f t="shared" si="1"/>
        <v>27</v>
      </c>
    </row>
    <row r="44" customHeight="1" spans="1:8">
      <c r="A44" s="17">
        <v>22</v>
      </c>
      <c r="B44" s="18" t="str">
        <f>D45</f>
        <v>与鲸共舞 1</v>
      </c>
      <c r="C44" s="19" t="s">
        <v>373</v>
      </c>
      <c r="D44" s="20" t="s">
        <v>446</v>
      </c>
      <c r="E44" s="28" t="s">
        <v>447</v>
      </c>
      <c r="F44" s="22">
        <f t="shared" si="0"/>
        <v>30</v>
      </c>
      <c r="G44" s="22">
        <f t="shared" si="1"/>
        <v>148</v>
      </c>
      <c r="H44" s="14"/>
    </row>
    <row r="45" customHeight="1" spans="1:7">
      <c r="A45" s="23"/>
      <c r="B45" s="24"/>
      <c r="C45" s="19" t="s">
        <v>42</v>
      </c>
      <c r="D45" s="25" t="s">
        <v>448</v>
      </c>
      <c r="E45" s="30" t="s">
        <v>449</v>
      </c>
      <c r="F45" s="22">
        <f t="shared" si="0"/>
        <v>6</v>
      </c>
      <c r="G45" s="22">
        <f t="shared" si="1"/>
        <v>47</v>
      </c>
    </row>
    <row r="46" customHeight="1" spans="1:8">
      <c r="A46" s="17">
        <v>23</v>
      </c>
      <c r="B46" s="18" t="str">
        <f>D47</f>
        <v>如果地球上没有陆地 8</v>
      </c>
      <c r="C46" s="19" t="s">
        <v>373</v>
      </c>
      <c r="D46" s="20" t="s">
        <v>450</v>
      </c>
      <c r="E46" s="28" t="s">
        <v>451</v>
      </c>
      <c r="F46" s="22">
        <f t="shared" si="0"/>
        <v>34</v>
      </c>
      <c r="G46" s="22">
        <f t="shared" si="1"/>
        <v>171</v>
      </c>
      <c r="H46" s="14"/>
    </row>
    <row r="47" customHeight="1" spans="1:7">
      <c r="A47" s="23"/>
      <c r="B47" s="24"/>
      <c r="C47" s="19" t="s">
        <v>42</v>
      </c>
      <c r="D47" s="25" t="s">
        <v>452</v>
      </c>
      <c r="E47" s="30" t="s">
        <v>453</v>
      </c>
      <c r="F47" s="22">
        <f t="shared" ref="F47:F56" si="2">LEN(D47)</f>
        <v>11</v>
      </c>
      <c r="G47" s="22">
        <f t="shared" ref="G47:G56" si="3">LEN(E47)</f>
        <v>27</v>
      </c>
    </row>
    <row r="48" customHeight="1" spans="1:8">
      <c r="A48" s="17">
        <v>24</v>
      </c>
      <c r="B48" s="18" t="str">
        <f>D49</f>
        <v>日光之城 21</v>
      </c>
      <c r="C48" s="19" t="s">
        <v>373</v>
      </c>
      <c r="D48" s="20" t="s">
        <v>454</v>
      </c>
      <c r="E48" s="28" t="s">
        <v>455</v>
      </c>
      <c r="F48" s="22">
        <f t="shared" si="2"/>
        <v>22</v>
      </c>
      <c r="G48" s="22">
        <f t="shared" si="3"/>
        <v>73</v>
      </c>
      <c r="H48" s="14"/>
    </row>
    <row r="49" customHeight="1" spans="1:7">
      <c r="A49" s="23"/>
      <c r="B49" s="24"/>
      <c r="C49" s="19" t="s">
        <v>42</v>
      </c>
      <c r="D49" s="25" t="s">
        <v>456</v>
      </c>
      <c r="E49" s="30" t="s">
        <v>457</v>
      </c>
      <c r="F49" s="22">
        <f t="shared" si="2"/>
        <v>7</v>
      </c>
      <c r="G49" s="22">
        <f t="shared" si="3"/>
        <v>23</v>
      </c>
    </row>
    <row r="50" customHeight="1" spans="1:8">
      <c r="A50" s="17">
        <v>25</v>
      </c>
      <c r="B50" s="18" t="str">
        <f>D51</f>
        <v>日光之城 20</v>
      </c>
      <c r="C50" s="19" t="s">
        <v>373</v>
      </c>
      <c r="D50" s="20" t="s">
        <v>458</v>
      </c>
      <c r="E50" s="28" t="s">
        <v>455</v>
      </c>
      <c r="F50" s="22">
        <f t="shared" si="2"/>
        <v>22</v>
      </c>
      <c r="G50" s="22">
        <f t="shared" si="3"/>
        <v>73</v>
      </c>
      <c r="H50" s="14"/>
    </row>
    <row r="51" customHeight="1" spans="1:7">
      <c r="A51" s="23"/>
      <c r="B51" s="24"/>
      <c r="C51" s="19" t="s">
        <v>42</v>
      </c>
      <c r="D51" s="25" t="s">
        <v>459</v>
      </c>
      <c r="E51" s="30" t="s">
        <v>457</v>
      </c>
      <c r="F51" s="22">
        <f t="shared" si="2"/>
        <v>7</v>
      </c>
      <c r="G51" s="22">
        <f t="shared" si="3"/>
        <v>23</v>
      </c>
    </row>
    <row r="52" customHeight="1" spans="1:8">
      <c r="A52" s="17">
        <v>26</v>
      </c>
      <c r="B52" s="18" t="str">
        <f>D53</f>
        <v>日光之城 19</v>
      </c>
      <c r="C52" s="19" t="s">
        <v>373</v>
      </c>
      <c r="D52" s="20" t="s">
        <v>460</v>
      </c>
      <c r="E52" s="28" t="s">
        <v>455</v>
      </c>
      <c r="F52" s="22">
        <f t="shared" si="2"/>
        <v>22</v>
      </c>
      <c r="G52" s="22">
        <f t="shared" si="3"/>
        <v>73</v>
      </c>
      <c r="H52" s="14"/>
    </row>
    <row r="53" customHeight="1" spans="1:7">
      <c r="A53" s="23"/>
      <c r="B53" s="24"/>
      <c r="C53" s="19" t="s">
        <v>42</v>
      </c>
      <c r="D53" s="25" t="s">
        <v>461</v>
      </c>
      <c r="E53" s="30" t="s">
        <v>457</v>
      </c>
      <c r="F53" s="22">
        <f t="shared" si="2"/>
        <v>7</v>
      </c>
      <c r="G53" s="22">
        <f t="shared" si="3"/>
        <v>23</v>
      </c>
    </row>
    <row r="54" customHeight="1" spans="1:8">
      <c r="A54" s="17">
        <v>27</v>
      </c>
      <c r="B54" s="18" t="str">
        <f>D55</f>
        <v>日光之城 18</v>
      </c>
      <c r="C54" s="19" t="s">
        <v>373</v>
      </c>
      <c r="D54" s="20" t="s">
        <v>462</v>
      </c>
      <c r="E54" s="28" t="s">
        <v>455</v>
      </c>
      <c r="F54" s="22">
        <f t="shared" si="2"/>
        <v>22</v>
      </c>
      <c r="G54" s="22">
        <f t="shared" si="3"/>
        <v>73</v>
      </c>
      <c r="H54" s="14"/>
    </row>
    <row r="55" customHeight="1" spans="1:7">
      <c r="A55" s="23"/>
      <c r="B55" s="24"/>
      <c r="C55" s="19" t="s">
        <v>42</v>
      </c>
      <c r="D55" s="25" t="s">
        <v>463</v>
      </c>
      <c r="E55" s="30" t="s">
        <v>457</v>
      </c>
      <c r="F55" s="22">
        <f t="shared" si="2"/>
        <v>7</v>
      </c>
      <c r="G55" s="22">
        <f t="shared" si="3"/>
        <v>23</v>
      </c>
    </row>
    <row r="56" customHeight="1" spans="1:8">
      <c r="A56" s="17">
        <v>28</v>
      </c>
      <c r="B56" s="18" t="str">
        <f>D57</f>
        <v>日光之城 17</v>
      </c>
      <c r="C56" s="19" t="s">
        <v>373</v>
      </c>
      <c r="D56" s="20" t="s">
        <v>464</v>
      </c>
      <c r="E56" s="28" t="s">
        <v>455</v>
      </c>
      <c r="F56" s="22">
        <f t="shared" si="2"/>
        <v>22</v>
      </c>
      <c r="G56" s="22">
        <f t="shared" si="3"/>
        <v>73</v>
      </c>
      <c r="H56" s="14"/>
    </row>
    <row r="57" customHeight="1" spans="1:7">
      <c r="A57" s="23"/>
      <c r="B57" s="24"/>
      <c r="C57" s="19" t="s">
        <v>42</v>
      </c>
      <c r="D57" s="25" t="s">
        <v>465</v>
      </c>
      <c r="E57" s="30" t="s">
        <v>457</v>
      </c>
      <c r="F57" s="22">
        <f t="shared" ref="F57:F120" si="4">LEN(D57)</f>
        <v>7</v>
      </c>
      <c r="G57" s="22">
        <f t="shared" ref="G57:G120" si="5">LEN(E57)</f>
        <v>23</v>
      </c>
    </row>
    <row r="58" customHeight="1" spans="1:8">
      <c r="A58" s="17">
        <v>29</v>
      </c>
      <c r="B58" s="18" t="str">
        <f>D59</f>
        <v>日光之城 16</v>
      </c>
      <c r="C58" s="19" t="s">
        <v>373</v>
      </c>
      <c r="D58" s="20" t="s">
        <v>466</v>
      </c>
      <c r="E58" s="28" t="s">
        <v>455</v>
      </c>
      <c r="F58" s="22">
        <f t="shared" si="4"/>
        <v>22</v>
      </c>
      <c r="G58" s="22">
        <f t="shared" si="5"/>
        <v>73</v>
      </c>
      <c r="H58" s="14"/>
    </row>
    <row r="59" customHeight="1" spans="1:7">
      <c r="A59" s="23"/>
      <c r="B59" s="24"/>
      <c r="C59" s="19" t="s">
        <v>42</v>
      </c>
      <c r="D59" s="25" t="s">
        <v>467</v>
      </c>
      <c r="E59" s="30" t="s">
        <v>457</v>
      </c>
      <c r="F59" s="22">
        <f t="shared" si="4"/>
        <v>7</v>
      </c>
      <c r="G59" s="22">
        <f t="shared" si="5"/>
        <v>23</v>
      </c>
    </row>
    <row r="60" customHeight="1" spans="1:8">
      <c r="A60" s="17">
        <v>30</v>
      </c>
      <c r="B60" s="18" t="str">
        <f>D61</f>
        <v>日光之城 15</v>
      </c>
      <c r="C60" s="19" t="s">
        <v>373</v>
      </c>
      <c r="D60" s="20" t="s">
        <v>468</v>
      </c>
      <c r="E60" s="28" t="s">
        <v>455</v>
      </c>
      <c r="F60" s="22">
        <f t="shared" si="4"/>
        <v>22</v>
      </c>
      <c r="G60" s="22">
        <f t="shared" si="5"/>
        <v>73</v>
      </c>
      <c r="H60" s="14"/>
    </row>
    <row r="61" customHeight="1" spans="1:7">
      <c r="A61" s="23"/>
      <c r="B61" s="24"/>
      <c r="C61" s="19" t="s">
        <v>42</v>
      </c>
      <c r="D61" s="25" t="s">
        <v>469</v>
      </c>
      <c r="E61" s="30" t="s">
        <v>457</v>
      </c>
      <c r="F61" s="22">
        <f t="shared" si="4"/>
        <v>7</v>
      </c>
      <c r="G61" s="22">
        <f t="shared" si="5"/>
        <v>23</v>
      </c>
    </row>
    <row r="62" customHeight="1" spans="1:8">
      <c r="A62" s="17">
        <v>31</v>
      </c>
      <c r="B62" s="18" t="str">
        <f>D63</f>
        <v>日光之城 14</v>
      </c>
      <c r="C62" s="19" t="s">
        <v>373</v>
      </c>
      <c r="D62" s="20" t="s">
        <v>470</v>
      </c>
      <c r="E62" s="28" t="s">
        <v>455</v>
      </c>
      <c r="F62" s="22">
        <f t="shared" si="4"/>
        <v>22</v>
      </c>
      <c r="G62" s="22">
        <f t="shared" si="5"/>
        <v>73</v>
      </c>
      <c r="H62" s="14"/>
    </row>
    <row r="63" customHeight="1" spans="1:7">
      <c r="A63" s="23"/>
      <c r="B63" s="24"/>
      <c r="C63" s="19" t="s">
        <v>42</v>
      </c>
      <c r="D63" s="25" t="s">
        <v>471</v>
      </c>
      <c r="E63" s="30" t="s">
        <v>457</v>
      </c>
      <c r="F63" s="22">
        <f t="shared" si="4"/>
        <v>7</v>
      </c>
      <c r="G63" s="22">
        <f t="shared" si="5"/>
        <v>23</v>
      </c>
    </row>
    <row r="64" customHeight="1" spans="1:8">
      <c r="A64" s="17">
        <v>32</v>
      </c>
      <c r="B64" s="18" t="str">
        <f>D65</f>
        <v>日光之城 13</v>
      </c>
      <c r="C64" s="19" t="s">
        <v>373</v>
      </c>
      <c r="D64" s="20" t="s">
        <v>472</v>
      </c>
      <c r="E64" s="28" t="s">
        <v>455</v>
      </c>
      <c r="F64" s="22">
        <f t="shared" si="4"/>
        <v>22</v>
      </c>
      <c r="G64" s="22">
        <f t="shared" si="5"/>
        <v>73</v>
      </c>
      <c r="H64" s="14"/>
    </row>
    <row r="65" customHeight="1" spans="1:7">
      <c r="A65" s="23"/>
      <c r="B65" s="24"/>
      <c r="C65" s="19" t="s">
        <v>42</v>
      </c>
      <c r="D65" s="25" t="s">
        <v>473</v>
      </c>
      <c r="E65" s="30" t="s">
        <v>457</v>
      </c>
      <c r="F65" s="22">
        <f t="shared" si="4"/>
        <v>7</v>
      </c>
      <c r="G65" s="22">
        <f t="shared" si="5"/>
        <v>23</v>
      </c>
    </row>
    <row r="66" customHeight="1" spans="1:8">
      <c r="A66" s="17">
        <v>33</v>
      </c>
      <c r="B66" s="18" t="str">
        <f>D67</f>
        <v>日光之城 12</v>
      </c>
      <c r="C66" s="19" t="s">
        <v>373</v>
      </c>
      <c r="D66" s="20" t="s">
        <v>474</v>
      </c>
      <c r="E66" s="28" t="s">
        <v>455</v>
      </c>
      <c r="F66" s="22">
        <f t="shared" si="4"/>
        <v>22</v>
      </c>
      <c r="G66" s="22">
        <f t="shared" si="5"/>
        <v>73</v>
      </c>
      <c r="H66" s="14"/>
    </row>
    <row r="67" customHeight="1" spans="1:7">
      <c r="A67" s="23"/>
      <c r="B67" s="24"/>
      <c r="C67" s="19" t="s">
        <v>42</v>
      </c>
      <c r="D67" s="25" t="s">
        <v>475</v>
      </c>
      <c r="E67" s="30" t="s">
        <v>457</v>
      </c>
      <c r="F67" s="22">
        <f t="shared" si="4"/>
        <v>7</v>
      </c>
      <c r="G67" s="22">
        <f t="shared" si="5"/>
        <v>23</v>
      </c>
    </row>
    <row r="68" customHeight="1" spans="1:8">
      <c r="A68" s="17">
        <v>34</v>
      </c>
      <c r="B68" s="18" t="str">
        <f>D69</f>
        <v>日光之城 11</v>
      </c>
      <c r="C68" s="19" t="s">
        <v>373</v>
      </c>
      <c r="D68" s="20" t="s">
        <v>476</v>
      </c>
      <c r="E68" s="28" t="s">
        <v>455</v>
      </c>
      <c r="F68" s="22">
        <f t="shared" si="4"/>
        <v>22</v>
      </c>
      <c r="G68" s="22">
        <f t="shared" si="5"/>
        <v>73</v>
      </c>
      <c r="H68" s="14"/>
    </row>
    <row r="69" customHeight="1" spans="1:7">
      <c r="A69" s="23"/>
      <c r="B69" s="24"/>
      <c r="C69" s="19" t="s">
        <v>42</v>
      </c>
      <c r="D69" s="25" t="s">
        <v>477</v>
      </c>
      <c r="E69" s="30" t="s">
        <v>457</v>
      </c>
      <c r="F69" s="22">
        <f t="shared" si="4"/>
        <v>7</v>
      </c>
      <c r="G69" s="22">
        <f t="shared" si="5"/>
        <v>23</v>
      </c>
    </row>
    <row r="70" customHeight="1" spans="1:8">
      <c r="A70" s="17">
        <v>35</v>
      </c>
      <c r="B70" s="18" t="str">
        <f>D71</f>
        <v>日光之城 10</v>
      </c>
      <c r="C70" s="19" t="s">
        <v>373</v>
      </c>
      <c r="D70" s="20" t="s">
        <v>478</v>
      </c>
      <c r="E70" s="28" t="s">
        <v>455</v>
      </c>
      <c r="F70" s="22">
        <f t="shared" si="4"/>
        <v>22</v>
      </c>
      <c r="G70" s="22">
        <f t="shared" si="5"/>
        <v>73</v>
      </c>
      <c r="H70" s="14"/>
    </row>
    <row r="71" customHeight="1" spans="1:7">
      <c r="A71" s="23"/>
      <c r="B71" s="24"/>
      <c r="C71" s="19" t="s">
        <v>42</v>
      </c>
      <c r="D71" s="25" t="s">
        <v>479</v>
      </c>
      <c r="E71" s="30" t="s">
        <v>457</v>
      </c>
      <c r="F71" s="22">
        <f t="shared" si="4"/>
        <v>7</v>
      </c>
      <c r="G71" s="22">
        <f t="shared" si="5"/>
        <v>23</v>
      </c>
    </row>
    <row r="72" customHeight="1" spans="1:8">
      <c r="A72" s="17">
        <v>36</v>
      </c>
      <c r="B72" s="18" t="str">
        <f>D73</f>
        <v>日光之城 9</v>
      </c>
      <c r="C72" s="19" t="s">
        <v>373</v>
      </c>
      <c r="D72" s="20" t="s">
        <v>480</v>
      </c>
      <c r="E72" s="28" t="s">
        <v>455</v>
      </c>
      <c r="F72" s="22">
        <f t="shared" si="4"/>
        <v>22</v>
      </c>
      <c r="G72" s="22">
        <f t="shared" si="5"/>
        <v>73</v>
      </c>
      <c r="H72" s="14"/>
    </row>
    <row r="73" customHeight="1" spans="1:7">
      <c r="A73" s="23"/>
      <c r="B73" s="24"/>
      <c r="C73" s="19" t="s">
        <v>42</v>
      </c>
      <c r="D73" s="25" t="s">
        <v>481</v>
      </c>
      <c r="E73" s="30" t="s">
        <v>457</v>
      </c>
      <c r="F73" s="22">
        <f t="shared" si="4"/>
        <v>6</v>
      </c>
      <c r="G73" s="22">
        <f t="shared" si="5"/>
        <v>23</v>
      </c>
    </row>
    <row r="74" customHeight="1" spans="1:8">
      <c r="A74" s="17">
        <v>37</v>
      </c>
      <c r="B74" s="18" t="str">
        <f>D75</f>
        <v>日光之城 8</v>
      </c>
      <c r="C74" s="19" t="s">
        <v>373</v>
      </c>
      <c r="D74" s="20" t="s">
        <v>482</v>
      </c>
      <c r="E74" s="28" t="s">
        <v>455</v>
      </c>
      <c r="F74" s="22">
        <f t="shared" si="4"/>
        <v>22</v>
      </c>
      <c r="G74" s="22">
        <f t="shared" si="5"/>
        <v>73</v>
      </c>
      <c r="H74" s="14"/>
    </row>
    <row r="75" customHeight="1" spans="1:7">
      <c r="A75" s="23"/>
      <c r="B75" s="24"/>
      <c r="C75" s="19" t="s">
        <v>42</v>
      </c>
      <c r="D75" s="25" t="s">
        <v>483</v>
      </c>
      <c r="E75" s="30" t="s">
        <v>457</v>
      </c>
      <c r="F75" s="22">
        <f t="shared" si="4"/>
        <v>6</v>
      </c>
      <c r="G75" s="22">
        <f t="shared" si="5"/>
        <v>23</v>
      </c>
    </row>
    <row r="76" customHeight="1" spans="1:8">
      <c r="A76" s="17">
        <v>38</v>
      </c>
      <c r="B76" s="18" t="str">
        <f>D77</f>
        <v>日光之城 7</v>
      </c>
      <c r="C76" s="19" t="s">
        <v>373</v>
      </c>
      <c r="D76" s="20" t="s">
        <v>484</v>
      </c>
      <c r="E76" s="28" t="s">
        <v>455</v>
      </c>
      <c r="F76" s="22">
        <f t="shared" si="4"/>
        <v>22</v>
      </c>
      <c r="G76" s="22">
        <f t="shared" si="5"/>
        <v>73</v>
      </c>
      <c r="H76" s="14"/>
    </row>
    <row r="77" customHeight="1" spans="1:7">
      <c r="A77" s="23"/>
      <c r="B77" s="24"/>
      <c r="C77" s="19" t="s">
        <v>42</v>
      </c>
      <c r="D77" s="25" t="s">
        <v>485</v>
      </c>
      <c r="E77" s="30" t="s">
        <v>457</v>
      </c>
      <c r="F77" s="22">
        <f t="shared" si="4"/>
        <v>6</v>
      </c>
      <c r="G77" s="22">
        <f t="shared" si="5"/>
        <v>23</v>
      </c>
    </row>
    <row r="78" customHeight="1" spans="1:8">
      <c r="A78" s="17">
        <v>39</v>
      </c>
      <c r="B78" s="18" t="str">
        <f>D79</f>
        <v>日光之城 6</v>
      </c>
      <c r="C78" s="19" t="s">
        <v>373</v>
      </c>
      <c r="D78" s="20" t="s">
        <v>486</v>
      </c>
      <c r="E78" s="28" t="s">
        <v>455</v>
      </c>
      <c r="F78" s="22">
        <f t="shared" si="4"/>
        <v>22</v>
      </c>
      <c r="G78" s="22">
        <f t="shared" si="5"/>
        <v>73</v>
      </c>
      <c r="H78" s="14"/>
    </row>
    <row r="79" customHeight="1" spans="1:7">
      <c r="A79" s="23"/>
      <c r="B79" s="24"/>
      <c r="C79" s="19" t="s">
        <v>42</v>
      </c>
      <c r="D79" s="25" t="s">
        <v>487</v>
      </c>
      <c r="E79" s="30" t="s">
        <v>457</v>
      </c>
      <c r="F79" s="22">
        <f t="shared" si="4"/>
        <v>6</v>
      </c>
      <c r="G79" s="22">
        <f t="shared" si="5"/>
        <v>23</v>
      </c>
    </row>
    <row r="80" customHeight="1" spans="1:8">
      <c r="A80" s="17">
        <v>40</v>
      </c>
      <c r="B80" s="18" t="str">
        <f>D81</f>
        <v>日光之城 5</v>
      </c>
      <c r="C80" s="19" t="s">
        <v>373</v>
      </c>
      <c r="D80" s="20" t="s">
        <v>488</v>
      </c>
      <c r="E80" s="28" t="s">
        <v>455</v>
      </c>
      <c r="F80" s="22">
        <f t="shared" si="4"/>
        <v>22</v>
      </c>
      <c r="G80" s="22">
        <f t="shared" si="5"/>
        <v>73</v>
      </c>
      <c r="H80" s="14"/>
    </row>
    <row r="81" customHeight="1" spans="1:7">
      <c r="A81" s="23"/>
      <c r="B81" s="24"/>
      <c r="C81" s="19" t="s">
        <v>42</v>
      </c>
      <c r="D81" s="25" t="s">
        <v>489</v>
      </c>
      <c r="E81" s="30" t="s">
        <v>457</v>
      </c>
      <c r="F81" s="22">
        <f t="shared" si="4"/>
        <v>6</v>
      </c>
      <c r="G81" s="22">
        <f t="shared" si="5"/>
        <v>23</v>
      </c>
    </row>
    <row r="82" customHeight="1" spans="1:8">
      <c r="A82" s="17">
        <v>41</v>
      </c>
      <c r="B82" s="18" t="str">
        <f>D83</f>
        <v>日光之城 4</v>
      </c>
      <c r="C82" s="19" t="s">
        <v>373</v>
      </c>
      <c r="D82" s="20" t="s">
        <v>490</v>
      </c>
      <c r="E82" s="28" t="s">
        <v>455</v>
      </c>
      <c r="F82" s="22">
        <f t="shared" si="4"/>
        <v>22</v>
      </c>
      <c r="G82" s="22">
        <f t="shared" si="5"/>
        <v>73</v>
      </c>
      <c r="H82" s="14"/>
    </row>
    <row r="83" customHeight="1" spans="1:7">
      <c r="A83" s="23"/>
      <c r="B83" s="24"/>
      <c r="C83" s="19" t="s">
        <v>42</v>
      </c>
      <c r="D83" s="25" t="s">
        <v>491</v>
      </c>
      <c r="E83" s="30" t="s">
        <v>457</v>
      </c>
      <c r="F83" s="22">
        <f t="shared" si="4"/>
        <v>6</v>
      </c>
      <c r="G83" s="22">
        <f t="shared" si="5"/>
        <v>23</v>
      </c>
    </row>
    <row r="84" customHeight="1" spans="1:8">
      <c r="A84" s="17">
        <v>42</v>
      </c>
      <c r="B84" s="18" t="str">
        <f>D85</f>
        <v>日光之城 3</v>
      </c>
      <c r="C84" s="19" t="s">
        <v>373</v>
      </c>
      <c r="D84" s="20" t="s">
        <v>492</v>
      </c>
      <c r="E84" s="28" t="s">
        <v>455</v>
      </c>
      <c r="F84" s="22">
        <f t="shared" si="4"/>
        <v>22</v>
      </c>
      <c r="G84" s="22">
        <f t="shared" si="5"/>
        <v>73</v>
      </c>
      <c r="H84" s="14"/>
    </row>
    <row r="85" customHeight="1" spans="1:7">
      <c r="A85" s="23"/>
      <c r="B85" s="24"/>
      <c r="C85" s="19" t="s">
        <v>42</v>
      </c>
      <c r="D85" s="25" t="s">
        <v>493</v>
      </c>
      <c r="E85" s="30" t="s">
        <v>457</v>
      </c>
      <c r="F85" s="22">
        <f t="shared" si="4"/>
        <v>6</v>
      </c>
      <c r="G85" s="22">
        <f t="shared" si="5"/>
        <v>23</v>
      </c>
    </row>
    <row r="86" customHeight="1" spans="1:8">
      <c r="A86" s="17">
        <v>43</v>
      </c>
      <c r="B86" s="18" t="str">
        <f>D87</f>
        <v>日光之城 2</v>
      </c>
      <c r="C86" s="19" t="s">
        <v>373</v>
      </c>
      <c r="D86" s="20" t="s">
        <v>494</v>
      </c>
      <c r="E86" s="28" t="s">
        <v>455</v>
      </c>
      <c r="F86" s="22">
        <f t="shared" si="4"/>
        <v>22</v>
      </c>
      <c r="G86" s="22">
        <f t="shared" si="5"/>
        <v>73</v>
      </c>
      <c r="H86" s="14"/>
    </row>
    <row r="87" customHeight="1" spans="1:7">
      <c r="A87" s="23"/>
      <c r="B87" s="24"/>
      <c r="C87" s="19" t="s">
        <v>42</v>
      </c>
      <c r="D87" s="25" t="s">
        <v>495</v>
      </c>
      <c r="E87" s="30" t="s">
        <v>457</v>
      </c>
      <c r="F87" s="22">
        <f t="shared" si="4"/>
        <v>6</v>
      </c>
      <c r="G87" s="22">
        <f t="shared" si="5"/>
        <v>23</v>
      </c>
    </row>
    <row r="88" customHeight="1" spans="1:8">
      <c r="A88" s="17">
        <v>44</v>
      </c>
      <c r="B88" s="18" t="str">
        <f>D89</f>
        <v>日光之城 1</v>
      </c>
      <c r="C88" s="19" t="s">
        <v>373</v>
      </c>
      <c r="D88" s="20" t="s">
        <v>496</v>
      </c>
      <c r="E88" s="28" t="s">
        <v>455</v>
      </c>
      <c r="F88" s="22">
        <f t="shared" si="4"/>
        <v>22</v>
      </c>
      <c r="G88" s="22">
        <f t="shared" si="5"/>
        <v>73</v>
      </c>
      <c r="H88" s="31"/>
    </row>
    <row r="89" customHeight="1" spans="1:7">
      <c r="A89" s="23"/>
      <c r="B89" s="24"/>
      <c r="C89" s="19" t="s">
        <v>42</v>
      </c>
      <c r="D89" s="25" t="s">
        <v>497</v>
      </c>
      <c r="E89" s="30" t="s">
        <v>457</v>
      </c>
      <c r="F89" s="22">
        <f t="shared" si="4"/>
        <v>6</v>
      </c>
      <c r="G89" s="22">
        <f t="shared" si="5"/>
        <v>23</v>
      </c>
    </row>
    <row r="90" customHeight="1" spans="1:8">
      <c r="A90" s="17">
        <v>45</v>
      </c>
      <c r="B90" s="18" t="str">
        <f>D91</f>
        <v>苏利文的十字路口 第二季 10</v>
      </c>
      <c r="C90" s="19" t="s">
        <v>373</v>
      </c>
      <c r="D90" s="20" t="s">
        <v>498</v>
      </c>
      <c r="E90" s="28" t="s">
        <v>499</v>
      </c>
      <c r="F90" s="22">
        <f t="shared" si="4"/>
        <v>26</v>
      </c>
      <c r="G90" s="22">
        <f t="shared" si="5"/>
        <v>156</v>
      </c>
      <c r="H90" s="31"/>
    </row>
    <row r="91" customHeight="1" spans="1:7">
      <c r="A91" s="23"/>
      <c r="B91" s="24"/>
      <c r="C91" s="19" t="s">
        <v>42</v>
      </c>
      <c r="D91" s="25" t="s">
        <v>500</v>
      </c>
      <c r="E91" s="30" t="s">
        <v>501</v>
      </c>
      <c r="F91" s="22">
        <f t="shared" si="4"/>
        <v>15</v>
      </c>
      <c r="G91" s="22">
        <f t="shared" si="5"/>
        <v>43</v>
      </c>
    </row>
    <row r="92" customHeight="1" spans="1:8">
      <c r="A92" s="17">
        <v>46</v>
      </c>
      <c r="B92" s="18" t="str">
        <f>D93</f>
        <v>苏利文的十字路口 第二季 9</v>
      </c>
      <c r="C92" s="19" t="s">
        <v>373</v>
      </c>
      <c r="D92" s="20" t="s">
        <v>502</v>
      </c>
      <c r="E92" s="28" t="s">
        <v>499</v>
      </c>
      <c r="F92" s="22">
        <f t="shared" si="4"/>
        <v>26</v>
      </c>
      <c r="G92" s="22">
        <f t="shared" si="5"/>
        <v>156</v>
      </c>
      <c r="H92" s="31"/>
    </row>
    <row r="93" customHeight="1" spans="1:7">
      <c r="A93" s="23"/>
      <c r="B93" s="24"/>
      <c r="C93" s="19" t="s">
        <v>42</v>
      </c>
      <c r="D93" s="25" t="s">
        <v>503</v>
      </c>
      <c r="E93" s="30" t="s">
        <v>501</v>
      </c>
      <c r="F93" s="22">
        <f t="shared" si="4"/>
        <v>14</v>
      </c>
      <c r="G93" s="22">
        <f t="shared" si="5"/>
        <v>43</v>
      </c>
    </row>
    <row r="94" customHeight="1" spans="1:8">
      <c r="A94" s="17">
        <v>47</v>
      </c>
      <c r="B94" s="18" t="str">
        <f>D95</f>
        <v>苏利文的十字路口 第二季 8</v>
      </c>
      <c r="C94" s="19" t="s">
        <v>373</v>
      </c>
      <c r="D94" s="20" t="s">
        <v>504</v>
      </c>
      <c r="E94" s="28" t="s">
        <v>499</v>
      </c>
      <c r="F94" s="22">
        <f t="shared" si="4"/>
        <v>26</v>
      </c>
      <c r="G94" s="22">
        <f t="shared" si="5"/>
        <v>156</v>
      </c>
      <c r="H94" s="31"/>
    </row>
    <row r="95" customHeight="1" spans="1:7">
      <c r="A95" s="23"/>
      <c r="B95" s="24"/>
      <c r="C95" s="19" t="s">
        <v>42</v>
      </c>
      <c r="D95" s="25" t="s">
        <v>505</v>
      </c>
      <c r="E95" s="30" t="s">
        <v>501</v>
      </c>
      <c r="F95" s="22">
        <f t="shared" si="4"/>
        <v>14</v>
      </c>
      <c r="G95" s="22">
        <f t="shared" si="5"/>
        <v>43</v>
      </c>
    </row>
    <row r="96" customHeight="1" spans="1:8">
      <c r="A96" s="17">
        <v>48</v>
      </c>
      <c r="B96" s="18" t="str">
        <f>D97</f>
        <v>苏利文的十字路口 第二季 7</v>
      </c>
      <c r="C96" s="19" t="s">
        <v>373</v>
      </c>
      <c r="D96" s="20" t="s">
        <v>506</v>
      </c>
      <c r="E96" s="28" t="s">
        <v>499</v>
      </c>
      <c r="F96" s="22">
        <f t="shared" si="4"/>
        <v>26</v>
      </c>
      <c r="G96" s="22">
        <f t="shared" si="5"/>
        <v>156</v>
      </c>
      <c r="H96" s="31"/>
    </row>
    <row r="97" customHeight="1" spans="1:7">
      <c r="A97" s="23"/>
      <c r="B97" s="24"/>
      <c r="C97" s="19" t="s">
        <v>42</v>
      </c>
      <c r="D97" s="25" t="s">
        <v>507</v>
      </c>
      <c r="E97" s="30" t="s">
        <v>501</v>
      </c>
      <c r="F97" s="22">
        <f t="shared" si="4"/>
        <v>14</v>
      </c>
      <c r="G97" s="22">
        <f t="shared" si="5"/>
        <v>43</v>
      </c>
    </row>
    <row r="98" customHeight="1" spans="1:8">
      <c r="A98" s="17">
        <v>49</v>
      </c>
      <c r="B98" s="18" t="str">
        <f>D99</f>
        <v>苏利文的十字路口 第二季 6</v>
      </c>
      <c r="C98" s="19" t="s">
        <v>373</v>
      </c>
      <c r="D98" s="20" t="s">
        <v>508</v>
      </c>
      <c r="E98" s="28" t="s">
        <v>499</v>
      </c>
      <c r="F98" s="22">
        <f t="shared" si="4"/>
        <v>26</v>
      </c>
      <c r="G98" s="22">
        <f t="shared" si="5"/>
        <v>156</v>
      </c>
      <c r="H98" s="14"/>
    </row>
    <row r="99" customHeight="1" spans="1:7">
      <c r="A99" s="23"/>
      <c r="B99" s="24"/>
      <c r="C99" s="19" t="s">
        <v>42</v>
      </c>
      <c r="D99" s="25" t="s">
        <v>509</v>
      </c>
      <c r="E99" s="30" t="s">
        <v>501</v>
      </c>
      <c r="F99" s="22">
        <f t="shared" si="4"/>
        <v>14</v>
      </c>
      <c r="G99" s="22">
        <f t="shared" si="5"/>
        <v>43</v>
      </c>
    </row>
    <row r="100" customHeight="1" spans="1:8">
      <c r="A100" s="17">
        <v>50</v>
      </c>
      <c r="B100" s="18" t="str">
        <f>D101</f>
        <v>苏利文的十字路口 第二季 5</v>
      </c>
      <c r="C100" s="19" t="s">
        <v>373</v>
      </c>
      <c r="D100" s="20" t="s">
        <v>510</v>
      </c>
      <c r="E100" s="28" t="s">
        <v>499</v>
      </c>
      <c r="F100" s="22">
        <f t="shared" si="4"/>
        <v>26</v>
      </c>
      <c r="G100" s="22">
        <f t="shared" si="5"/>
        <v>156</v>
      </c>
      <c r="H100" s="14"/>
    </row>
    <row r="101" customHeight="1" spans="1:7">
      <c r="A101" s="23"/>
      <c r="B101" s="24"/>
      <c r="C101" s="19" t="s">
        <v>42</v>
      </c>
      <c r="D101" s="25" t="s">
        <v>511</v>
      </c>
      <c r="E101" s="30" t="s">
        <v>501</v>
      </c>
      <c r="F101" s="22">
        <f t="shared" si="4"/>
        <v>14</v>
      </c>
      <c r="G101" s="22">
        <f t="shared" si="5"/>
        <v>43</v>
      </c>
    </row>
    <row r="102" customHeight="1" spans="1:8">
      <c r="A102" s="17">
        <v>51</v>
      </c>
      <c r="B102" s="18" t="str">
        <f>D103</f>
        <v>苏利文的十字路口 第二季 4</v>
      </c>
      <c r="C102" s="19" t="s">
        <v>373</v>
      </c>
      <c r="D102" s="20" t="s">
        <v>512</v>
      </c>
      <c r="E102" s="28" t="s">
        <v>499</v>
      </c>
      <c r="F102" s="22">
        <f t="shared" si="4"/>
        <v>26</v>
      </c>
      <c r="G102" s="22">
        <f t="shared" si="5"/>
        <v>156</v>
      </c>
      <c r="H102" s="14"/>
    </row>
    <row r="103" customHeight="1" spans="1:7">
      <c r="A103" s="23"/>
      <c r="B103" s="24"/>
      <c r="C103" s="19" t="s">
        <v>42</v>
      </c>
      <c r="D103" s="25" t="s">
        <v>513</v>
      </c>
      <c r="E103" s="30" t="s">
        <v>501</v>
      </c>
      <c r="F103" s="22">
        <f t="shared" si="4"/>
        <v>14</v>
      </c>
      <c r="G103" s="22">
        <f t="shared" si="5"/>
        <v>43</v>
      </c>
    </row>
    <row r="104" customHeight="1" spans="1:8">
      <c r="A104" s="17">
        <v>52</v>
      </c>
      <c r="B104" s="18" t="str">
        <f>D105</f>
        <v>苏利文的十字路口 第二季 3</v>
      </c>
      <c r="C104" s="19" t="s">
        <v>373</v>
      </c>
      <c r="D104" s="20" t="s">
        <v>514</v>
      </c>
      <c r="E104" s="28" t="s">
        <v>499</v>
      </c>
      <c r="F104" s="22">
        <f t="shared" si="4"/>
        <v>26</v>
      </c>
      <c r="G104" s="22">
        <f t="shared" si="5"/>
        <v>156</v>
      </c>
      <c r="H104" s="14"/>
    </row>
    <row r="105" customHeight="1" spans="1:7">
      <c r="A105" s="23"/>
      <c r="B105" s="24"/>
      <c r="C105" s="19" t="s">
        <v>42</v>
      </c>
      <c r="D105" s="25" t="s">
        <v>515</v>
      </c>
      <c r="E105" s="30" t="s">
        <v>501</v>
      </c>
      <c r="F105" s="22">
        <f t="shared" si="4"/>
        <v>14</v>
      </c>
      <c r="G105" s="22">
        <f t="shared" si="5"/>
        <v>43</v>
      </c>
    </row>
    <row r="106" customHeight="1" spans="1:8">
      <c r="A106" s="17">
        <v>53</v>
      </c>
      <c r="B106" s="18" t="str">
        <f>D107</f>
        <v>苏利文的十字路口 第二季 2</v>
      </c>
      <c r="C106" s="19" t="s">
        <v>373</v>
      </c>
      <c r="D106" s="20" t="s">
        <v>516</v>
      </c>
      <c r="E106" s="28" t="s">
        <v>499</v>
      </c>
      <c r="F106" s="22">
        <f t="shared" si="4"/>
        <v>26</v>
      </c>
      <c r="G106" s="22">
        <f t="shared" si="5"/>
        <v>156</v>
      </c>
      <c r="H106" s="14"/>
    </row>
    <row r="107" customHeight="1" spans="1:7">
      <c r="A107" s="23"/>
      <c r="B107" s="24"/>
      <c r="C107" s="19" t="s">
        <v>42</v>
      </c>
      <c r="D107" s="25" t="s">
        <v>517</v>
      </c>
      <c r="E107" s="30" t="s">
        <v>501</v>
      </c>
      <c r="F107" s="22">
        <f t="shared" si="4"/>
        <v>14</v>
      </c>
      <c r="G107" s="22">
        <f t="shared" si="5"/>
        <v>43</v>
      </c>
    </row>
    <row r="108" customHeight="1" spans="1:8">
      <c r="A108" s="17">
        <v>54</v>
      </c>
      <c r="B108" s="18" t="str">
        <f>D109</f>
        <v>苏利文的十字路口 第二季 1</v>
      </c>
      <c r="C108" s="19" t="s">
        <v>373</v>
      </c>
      <c r="D108" s="20" t="s">
        <v>518</v>
      </c>
      <c r="E108" s="28" t="s">
        <v>499</v>
      </c>
      <c r="F108" s="22">
        <f t="shared" si="4"/>
        <v>26</v>
      </c>
      <c r="G108" s="22">
        <f t="shared" si="5"/>
        <v>156</v>
      </c>
      <c r="H108" s="31"/>
    </row>
    <row r="109" customHeight="1" spans="1:7">
      <c r="A109" s="23"/>
      <c r="B109" s="24"/>
      <c r="C109" s="19" t="s">
        <v>42</v>
      </c>
      <c r="D109" s="25" t="s">
        <v>519</v>
      </c>
      <c r="E109" s="30" t="s">
        <v>501</v>
      </c>
      <c r="F109" s="22">
        <f t="shared" si="4"/>
        <v>14</v>
      </c>
      <c r="G109" s="22">
        <f t="shared" si="5"/>
        <v>43</v>
      </c>
    </row>
    <row r="110" customHeight="1" spans="1:8">
      <c r="A110" s="17">
        <v>55</v>
      </c>
      <c r="B110" s="18" t="str">
        <f>D112</f>
        <v>空中博览2月国际去程</v>
      </c>
      <c r="C110" s="19" t="s">
        <v>373</v>
      </c>
      <c r="D110" s="20" t="s">
        <v>520</v>
      </c>
      <c r="E110" s="28" t="s">
        <v>521</v>
      </c>
      <c r="F110" s="22">
        <f t="shared" si="4"/>
        <v>35</v>
      </c>
      <c r="G110" s="22">
        <f t="shared" si="5"/>
        <v>392</v>
      </c>
      <c r="H110" s="31"/>
    </row>
    <row r="111" customHeight="1" spans="1:8">
      <c r="A111" s="32"/>
      <c r="B111" s="33"/>
      <c r="C111" s="34" t="s">
        <v>211</v>
      </c>
      <c r="D111" s="20" t="s">
        <v>520</v>
      </c>
      <c r="E111" s="28" t="s">
        <v>522</v>
      </c>
      <c r="F111" s="22">
        <f t="shared" si="4"/>
        <v>35</v>
      </c>
      <c r="G111" s="22">
        <f t="shared" si="5"/>
        <v>54</v>
      </c>
      <c r="H111" s="31"/>
    </row>
    <row r="112" customHeight="1" spans="1:7">
      <c r="A112" s="23"/>
      <c r="B112" s="24"/>
      <c r="C112" s="19" t="s">
        <v>42</v>
      </c>
      <c r="D112" s="25" t="s">
        <v>523</v>
      </c>
      <c r="E112" s="30" t="s">
        <v>524</v>
      </c>
      <c r="F112" s="22">
        <f t="shared" si="4"/>
        <v>10</v>
      </c>
      <c r="G112" s="22">
        <f t="shared" si="5"/>
        <v>119</v>
      </c>
    </row>
    <row r="113" customHeight="1" spans="1:8">
      <c r="A113" s="17">
        <v>56</v>
      </c>
      <c r="B113" s="18" t="str">
        <f>D115</f>
        <v>空中博览2月国际回程</v>
      </c>
      <c r="C113" s="19" t="s">
        <v>373</v>
      </c>
      <c r="D113" s="20" t="s">
        <v>525</v>
      </c>
      <c r="E113" s="28" t="s">
        <v>521</v>
      </c>
      <c r="F113" s="22">
        <f t="shared" si="4"/>
        <v>34</v>
      </c>
      <c r="G113" s="22">
        <f t="shared" si="5"/>
        <v>392</v>
      </c>
      <c r="H113" s="14"/>
    </row>
    <row r="114" customHeight="1" spans="1:8">
      <c r="A114" s="32"/>
      <c r="B114" s="33"/>
      <c r="C114" s="34" t="s">
        <v>211</v>
      </c>
      <c r="D114" s="20" t="s">
        <v>525</v>
      </c>
      <c r="E114" s="28" t="s">
        <v>522</v>
      </c>
      <c r="F114" s="22">
        <f t="shared" si="4"/>
        <v>34</v>
      </c>
      <c r="G114" s="22">
        <f t="shared" si="5"/>
        <v>54</v>
      </c>
      <c r="H114" s="14"/>
    </row>
    <row r="115" customHeight="1" spans="1:7">
      <c r="A115" s="23"/>
      <c r="B115" s="24"/>
      <c r="C115" s="19" t="s">
        <v>42</v>
      </c>
      <c r="D115" s="25" t="s">
        <v>526</v>
      </c>
      <c r="E115" s="30" t="s">
        <v>524</v>
      </c>
      <c r="F115" s="22">
        <f t="shared" si="4"/>
        <v>10</v>
      </c>
      <c r="G115" s="22">
        <f t="shared" si="5"/>
        <v>119</v>
      </c>
    </row>
    <row r="116" customHeight="1" spans="1:8">
      <c r="A116" s="17">
        <v>57</v>
      </c>
      <c r="B116" s="18" t="str">
        <f>D118</f>
        <v>空中博览2月国内去程</v>
      </c>
      <c r="C116" s="19" t="s">
        <v>373</v>
      </c>
      <c r="D116" s="20" t="s">
        <v>527</v>
      </c>
      <c r="E116" s="28" t="s">
        <v>521</v>
      </c>
      <c r="F116" s="22">
        <f t="shared" si="4"/>
        <v>30</v>
      </c>
      <c r="G116" s="22">
        <f t="shared" si="5"/>
        <v>392</v>
      </c>
      <c r="H116" s="14"/>
    </row>
    <row r="117" customHeight="1" spans="1:8">
      <c r="A117" s="32"/>
      <c r="B117" s="33"/>
      <c r="C117" s="34" t="s">
        <v>211</v>
      </c>
      <c r="D117" s="20" t="s">
        <v>527</v>
      </c>
      <c r="E117" s="28" t="s">
        <v>522</v>
      </c>
      <c r="F117" s="22">
        <f t="shared" si="4"/>
        <v>30</v>
      </c>
      <c r="G117" s="22">
        <f t="shared" si="5"/>
        <v>54</v>
      </c>
      <c r="H117" s="14"/>
    </row>
    <row r="118" customHeight="1" spans="1:7">
      <c r="A118" s="23"/>
      <c r="B118" s="24"/>
      <c r="C118" s="19" t="s">
        <v>42</v>
      </c>
      <c r="D118" s="25" t="s">
        <v>528</v>
      </c>
      <c r="E118" s="30" t="s">
        <v>524</v>
      </c>
      <c r="F118" s="22">
        <f t="shared" si="4"/>
        <v>10</v>
      </c>
      <c r="G118" s="22">
        <f t="shared" si="5"/>
        <v>119</v>
      </c>
    </row>
    <row r="119" customHeight="1" spans="1:8">
      <c r="A119" s="17">
        <v>58</v>
      </c>
      <c r="B119" s="18" t="str">
        <f>D121</f>
        <v>空中博览2月国内回程</v>
      </c>
      <c r="C119" s="19" t="s">
        <v>373</v>
      </c>
      <c r="D119" s="20" t="s">
        <v>529</v>
      </c>
      <c r="E119" s="28" t="s">
        <v>521</v>
      </c>
      <c r="F119" s="22">
        <f t="shared" si="4"/>
        <v>29</v>
      </c>
      <c r="G119" s="22">
        <f t="shared" si="5"/>
        <v>392</v>
      </c>
      <c r="H119" s="14"/>
    </row>
    <row r="120" customHeight="1" spans="1:8">
      <c r="A120" s="32"/>
      <c r="B120" s="33"/>
      <c r="C120" s="34" t="s">
        <v>211</v>
      </c>
      <c r="D120" s="20" t="s">
        <v>529</v>
      </c>
      <c r="E120" s="28" t="s">
        <v>522</v>
      </c>
      <c r="F120" s="22">
        <f t="shared" si="4"/>
        <v>29</v>
      </c>
      <c r="G120" s="22">
        <f t="shared" si="5"/>
        <v>54</v>
      </c>
      <c r="H120" s="14"/>
    </row>
    <row r="121" customHeight="1" spans="1:7">
      <c r="A121" s="23"/>
      <c r="B121" s="24"/>
      <c r="C121" s="19" t="s">
        <v>42</v>
      </c>
      <c r="D121" s="25" t="s">
        <v>530</v>
      </c>
      <c r="E121" s="30" t="s">
        <v>524</v>
      </c>
      <c r="F121" s="22">
        <f>LEN(D121)</f>
        <v>10</v>
      </c>
      <c r="G121" s="22">
        <f>LEN(E121)</f>
        <v>119</v>
      </c>
    </row>
    <row r="122" customHeight="1" spans="1:8">
      <c r="A122" s="17">
        <v>59</v>
      </c>
      <c r="B122" s="18" t="str">
        <f>D123</f>
        <v>京城十二时辰 12</v>
      </c>
      <c r="C122" s="19" t="s">
        <v>373</v>
      </c>
      <c r="D122" s="20" t="s">
        <v>531</v>
      </c>
      <c r="E122" s="28" t="s">
        <v>532</v>
      </c>
      <c r="F122" s="22">
        <f t="shared" ref="F122:F170" si="6">LEN(D122)</f>
        <v>37</v>
      </c>
      <c r="G122" s="22">
        <f t="shared" ref="G122:G170" si="7">LEN(E122)</f>
        <v>58</v>
      </c>
      <c r="H122" s="14"/>
    </row>
    <row r="123" customHeight="1" spans="1:7">
      <c r="A123" s="23"/>
      <c r="B123" s="24"/>
      <c r="C123" s="19" t="s">
        <v>42</v>
      </c>
      <c r="D123" s="25" t="s">
        <v>533</v>
      </c>
      <c r="E123" s="30" t="s">
        <v>534</v>
      </c>
      <c r="F123" s="22">
        <f t="shared" si="6"/>
        <v>9</v>
      </c>
      <c r="G123" s="22">
        <f t="shared" si="7"/>
        <v>27</v>
      </c>
    </row>
    <row r="124" customHeight="1" spans="1:8">
      <c r="A124" s="17">
        <v>60</v>
      </c>
      <c r="B124" s="18" t="str">
        <f>D125</f>
        <v>京城十二时辰 11</v>
      </c>
      <c r="C124" s="19" t="s">
        <v>373</v>
      </c>
      <c r="D124" s="20" t="s">
        <v>535</v>
      </c>
      <c r="E124" s="28" t="s">
        <v>532</v>
      </c>
      <c r="F124" s="22">
        <f t="shared" si="6"/>
        <v>37</v>
      </c>
      <c r="G124" s="22">
        <f t="shared" si="7"/>
        <v>58</v>
      </c>
      <c r="H124" s="14"/>
    </row>
    <row r="125" customHeight="1" spans="1:7">
      <c r="A125" s="23"/>
      <c r="B125" s="24"/>
      <c r="C125" s="19" t="s">
        <v>42</v>
      </c>
      <c r="D125" s="25" t="s">
        <v>536</v>
      </c>
      <c r="E125" s="30" t="s">
        <v>534</v>
      </c>
      <c r="F125" s="22">
        <f t="shared" si="6"/>
        <v>9</v>
      </c>
      <c r="G125" s="22">
        <f t="shared" si="7"/>
        <v>27</v>
      </c>
    </row>
    <row r="126" customHeight="1" spans="1:8">
      <c r="A126" s="17">
        <v>61</v>
      </c>
      <c r="B126" s="18" t="str">
        <f>D127</f>
        <v>花儿与少年·好友记 大结局</v>
      </c>
      <c r="C126" s="19" t="s">
        <v>373</v>
      </c>
      <c r="D126" s="20" t="s">
        <v>537</v>
      </c>
      <c r="E126" s="28" t="s">
        <v>538</v>
      </c>
      <c r="F126" s="22">
        <f t="shared" si="6"/>
        <v>45</v>
      </c>
      <c r="G126" s="22">
        <f t="shared" si="7"/>
        <v>66</v>
      </c>
      <c r="H126" s="14"/>
    </row>
    <row r="127" customHeight="1" spans="1:7">
      <c r="A127" s="23"/>
      <c r="B127" s="24"/>
      <c r="C127" s="19" t="s">
        <v>42</v>
      </c>
      <c r="D127" s="25" t="s">
        <v>539</v>
      </c>
      <c r="E127" s="30" t="s">
        <v>540</v>
      </c>
      <c r="F127" s="22">
        <f t="shared" si="6"/>
        <v>13</v>
      </c>
      <c r="G127" s="22">
        <f t="shared" si="7"/>
        <v>36</v>
      </c>
    </row>
    <row r="128" customHeight="1" spans="1:8">
      <c r="A128" s="17">
        <v>62</v>
      </c>
      <c r="B128" s="18" t="str">
        <f>D129</f>
        <v>花儿与少年·好友记 第12期</v>
      </c>
      <c r="C128" s="19" t="s">
        <v>373</v>
      </c>
      <c r="D128" s="20" t="s">
        <v>541</v>
      </c>
      <c r="E128" s="28" t="s">
        <v>538</v>
      </c>
      <c r="F128" s="22">
        <f t="shared" si="6"/>
        <v>35</v>
      </c>
      <c r="G128" s="22">
        <f t="shared" si="7"/>
        <v>66</v>
      </c>
      <c r="H128" s="14"/>
    </row>
    <row r="129" customHeight="1" spans="1:7">
      <c r="A129" s="23"/>
      <c r="B129" s="24"/>
      <c r="C129" s="19" t="s">
        <v>42</v>
      </c>
      <c r="D129" s="25" t="s">
        <v>542</v>
      </c>
      <c r="E129" s="30" t="s">
        <v>540</v>
      </c>
      <c r="F129" s="22">
        <f t="shared" si="6"/>
        <v>14</v>
      </c>
      <c r="G129" s="22">
        <f t="shared" si="7"/>
        <v>36</v>
      </c>
    </row>
    <row r="130" customHeight="1" spans="1:8">
      <c r="A130" s="17">
        <v>63</v>
      </c>
      <c r="B130" s="18" t="str">
        <f>D131</f>
        <v>花儿与少年·好友记 第11期</v>
      </c>
      <c r="C130" s="19" t="s">
        <v>373</v>
      </c>
      <c r="D130" s="20" t="s">
        <v>543</v>
      </c>
      <c r="E130" s="28" t="s">
        <v>538</v>
      </c>
      <c r="F130" s="22">
        <f t="shared" si="6"/>
        <v>35</v>
      </c>
      <c r="G130" s="22">
        <f t="shared" si="7"/>
        <v>66</v>
      </c>
      <c r="H130" s="14"/>
    </row>
    <row r="131" customHeight="1" spans="1:7">
      <c r="A131" s="23"/>
      <c r="B131" s="24"/>
      <c r="C131" s="19" t="s">
        <v>42</v>
      </c>
      <c r="D131" s="25" t="s">
        <v>544</v>
      </c>
      <c r="E131" s="30" t="s">
        <v>540</v>
      </c>
      <c r="F131" s="22">
        <f t="shared" si="6"/>
        <v>14</v>
      </c>
      <c r="G131" s="22">
        <f t="shared" si="7"/>
        <v>36</v>
      </c>
    </row>
    <row r="132" customHeight="1" spans="1:8">
      <c r="A132" s="17">
        <v>64</v>
      </c>
      <c r="B132" s="18" t="str">
        <f>D133</f>
        <v>花儿与少年·好友记 第10期</v>
      </c>
      <c r="C132" s="19" t="s">
        <v>373</v>
      </c>
      <c r="D132" s="20" t="s">
        <v>545</v>
      </c>
      <c r="E132" s="28" t="s">
        <v>538</v>
      </c>
      <c r="F132" s="22">
        <f t="shared" si="6"/>
        <v>35</v>
      </c>
      <c r="G132" s="22">
        <f t="shared" si="7"/>
        <v>66</v>
      </c>
      <c r="H132" s="14"/>
    </row>
    <row r="133" customHeight="1" spans="1:7">
      <c r="A133" s="23"/>
      <c r="B133" s="24"/>
      <c r="C133" s="19" t="s">
        <v>42</v>
      </c>
      <c r="D133" s="25" t="s">
        <v>546</v>
      </c>
      <c r="E133" s="30" t="s">
        <v>540</v>
      </c>
      <c r="F133" s="22">
        <f t="shared" si="6"/>
        <v>14</v>
      </c>
      <c r="G133" s="22">
        <f t="shared" si="7"/>
        <v>36</v>
      </c>
    </row>
    <row r="134" customHeight="1" spans="1:8">
      <c r="A134" s="17">
        <v>65</v>
      </c>
      <c r="B134" s="18" t="str">
        <f>D135</f>
        <v>漓江 1 造化</v>
      </c>
      <c r="C134" s="19" t="s">
        <v>373</v>
      </c>
      <c r="D134" s="35" t="s">
        <v>547</v>
      </c>
      <c r="E134" s="28" t="s">
        <v>548</v>
      </c>
      <c r="F134" s="22">
        <f t="shared" si="6"/>
        <v>26</v>
      </c>
      <c r="G134" s="22">
        <f t="shared" si="7"/>
        <v>287</v>
      </c>
      <c r="H134" s="14"/>
    </row>
    <row r="135" customHeight="1" spans="1:7">
      <c r="A135" s="23"/>
      <c r="B135" s="24"/>
      <c r="C135" s="19" t="s">
        <v>42</v>
      </c>
      <c r="D135" s="25" t="s">
        <v>549</v>
      </c>
      <c r="E135" s="30" t="s">
        <v>550</v>
      </c>
      <c r="F135" s="22">
        <f t="shared" si="6"/>
        <v>7</v>
      </c>
      <c r="G135" s="22">
        <f t="shared" si="7"/>
        <v>67</v>
      </c>
    </row>
    <row r="136" customHeight="1" spans="1:8">
      <c r="A136" s="17">
        <v>66</v>
      </c>
      <c r="B136" s="18" t="str">
        <f>D137</f>
        <v>江南之黎里繁花 2 吴声歌</v>
      </c>
      <c r="C136" s="19" t="s">
        <v>373</v>
      </c>
      <c r="D136" s="36" t="s">
        <v>551</v>
      </c>
      <c r="E136" s="28" t="s">
        <v>552</v>
      </c>
      <c r="F136" s="22">
        <f t="shared" si="6"/>
        <v>32</v>
      </c>
      <c r="G136" s="22">
        <f t="shared" si="7"/>
        <v>440</v>
      </c>
      <c r="H136" s="14"/>
    </row>
    <row r="137" customHeight="1" spans="1:7">
      <c r="A137" s="23"/>
      <c r="B137" s="24"/>
      <c r="C137" s="19" t="s">
        <v>42</v>
      </c>
      <c r="D137" s="25" t="s">
        <v>553</v>
      </c>
      <c r="E137" s="30" t="s">
        <v>554</v>
      </c>
      <c r="F137" s="22">
        <f t="shared" si="6"/>
        <v>13</v>
      </c>
      <c r="G137" s="22">
        <f t="shared" si="7"/>
        <v>96</v>
      </c>
    </row>
    <row r="138" customHeight="1" spans="1:8">
      <c r="A138" s="17">
        <v>67</v>
      </c>
      <c r="B138" s="18" t="str">
        <f>D139</f>
        <v>跟着唐诗去旅行 第二季 2 寒江雪</v>
      </c>
      <c r="C138" s="19" t="s">
        <v>373</v>
      </c>
      <c r="D138" s="36" t="s">
        <v>555</v>
      </c>
      <c r="E138" s="28" t="s">
        <v>556</v>
      </c>
      <c r="F138" s="22">
        <f t="shared" si="6"/>
        <v>55</v>
      </c>
      <c r="G138" s="22">
        <f t="shared" si="7"/>
        <v>195</v>
      </c>
      <c r="H138" s="14"/>
    </row>
    <row r="139" customHeight="1" spans="1:7">
      <c r="A139" s="23"/>
      <c r="B139" s="24"/>
      <c r="C139" s="19" t="s">
        <v>42</v>
      </c>
      <c r="D139" s="25" t="s">
        <v>557</v>
      </c>
      <c r="E139" s="30" t="s">
        <v>558</v>
      </c>
      <c r="F139" s="22">
        <f t="shared" si="6"/>
        <v>17</v>
      </c>
      <c r="G139" s="22">
        <f t="shared" si="7"/>
        <v>52</v>
      </c>
    </row>
    <row r="140" customHeight="1" spans="1:8">
      <c r="A140" s="17">
        <v>68</v>
      </c>
      <c r="B140" s="18" t="str">
        <f>D141</f>
        <v>人类的记忆—中国的世界遗产 74 三江并流（下）</v>
      </c>
      <c r="C140" s="19" t="s">
        <v>373</v>
      </c>
      <c r="D140" s="36" t="s">
        <v>559</v>
      </c>
      <c r="E140" s="28" t="s">
        <v>560</v>
      </c>
      <c r="F140" s="22">
        <f t="shared" si="6"/>
        <v>86</v>
      </c>
      <c r="G140" s="22">
        <f t="shared" si="7"/>
        <v>361</v>
      </c>
      <c r="H140" s="14"/>
    </row>
    <row r="141" customHeight="1" spans="1:7">
      <c r="A141" s="23"/>
      <c r="B141" s="24"/>
      <c r="C141" s="19" t="s">
        <v>42</v>
      </c>
      <c r="D141" s="25" t="s">
        <v>561</v>
      </c>
      <c r="E141" s="30" t="s">
        <v>562</v>
      </c>
      <c r="F141" s="22">
        <f t="shared" si="6"/>
        <v>24</v>
      </c>
      <c r="G141" s="22">
        <f t="shared" si="7"/>
        <v>108</v>
      </c>
    </row>
    <row r="142" customHeight="1" spans="1:8">
      <c r="A142" s="17">
        <v>69</v>
      </c>
      <c r="B142" s="18" t="str">
        <f>D143</f>
        <v>人类的记忆—中国的世界遗产 73 三江并流（上）</v>
      </c>
      <c r="C142" s="19" t="s">
        <v>373</v>
      </c>
      <c r="D142" s="36" t="s">
        <v>563</v>
      </c>
      <c r="E142" s="28" t="s">
        <v>560</v>
      </c>
      <c r="F142" s="22">
        <f t="shared" si="6"/>
        <v>86</v>
      </c>
      <c r="G142" s="22">
        <f t="shared" si="7"/>
        <v>361</v>
      </c>
      <c r="H142" s="14"/>
    </row>
    <row r="143" customHeight="1" spans="1:7">
      <c r="A143" s="23"/>
      <c r="B143" s="24"/>
      <c r="C143" s="19" t="s">
        <v>42</v>
      </c>
      <c r="D143" s="25" t="s">
        <v>564</v>
      </c>
      <c r="E143" s="30" t="s">
        <v>562</v>
      </c>
      <c r="F143" s="22">
        <f t="shared" si="6"/>
        <v>24</v>
      </c>
      <c r="G143" s="22">
        <f t="shared" si="7"/>
        <v>108</v>
      </c>
    </row>
    <row r="144" customHeight="1" spans="1:8">
      <c r="A144" s="17">
        <v>70</v>
      </c>
      <c r="B144" s="18" t="str">
        <f>D145</f>
        <v>鸟瞰丝路 1</v>
      </c>
      <c r="C144" s="19" t="s">
        <v>373</v>
      </c>
      <c r="D144" s="20" t="s">
        <v>565</v>
      </c>
      <c r="E144" s="28" t="s">
        <v>566</v>
      </c>
      <c r="F144" s="22">
        <f t="shared" si="6"/>
        <v>25</v>
      </c>
      <c r="G144" s="22">
        <f t="shared" si="7"/>
        <v>56</v>
      </c>
      <c r="H144" s="14"/>
    </row>
    <row r="145" customHeight="1" spans="1:7">
      <c r="A145" s="23"/>
      <c r="B145" s="24"/>
      <c r="C145" s="19" t="s">
        <v>42</v>
      </c>
      <c r="D145" s="25" t="s">
        <v>567</v>
      </c>
      <c r="E145" s="30" t="s">
        <v>568</v>
      </c>
      <c r="F145" s="22">
        <f t="shared" si="6"/>
        <v>6</v>
      </c>
      <c r="G145" s="22">
        <f t="shared" si="7"/>
        <v>36</v>
      </c>
    </row>
    <row r="146" customHeight="1" spans="1:8">
      <c r="A146" s="17">
        <v>71</v>
      </c>
      <c r="B146" s="18" t="str">
        <f>D147</f>
        <v>从悉尼到墨尔本 1</v>
      </c>
      <c r="C146" s="19" t="s">
        <v>373</v>
      </c>
      <c r="D146" s="20" t="s">
        <v>569</v>
      </c>
      <c r="E146" s="28" t="s">
        <v>570</v>
      </c>
      <c r="F146" s="22">
        <f t="shared" si="6"/>
        <v>37</v>
      </c>
      <c r="G146" s="22">
        <f t="shared" si="7"/>
        <v>122</v>
      </c>
      <c r="H146" s="14"/>
    </row>
    <row r="147" customHeight="1" spans="1:7">
      <c r="A147" s="23"/>
      <c r="B147" s="24"/>
      <c r="C147" s="19" t="s">
        <v>42</v>
      </c>
      <c r="D147" s="25" t="s">
        <v>571</v>
      </c>
      <c r="E147" s="30" t="s">
        <v>572</v>
      </c>
      <c r="F147" s="22">
        <f t="shared" si="6"/>
        <v>9</v>
      </c>
      <c r="G147" s="22">
        <f t="shared" si="7"/>
        <v>54</v>
      </c>
    </row>
    <row r="148" customHeight="1" spans="1:8">
      <c r="A148" s="17">
        <v>72</v>
      </c>
      <c r="B148" s="18" t="str">
        <f>D149</f>
        <v>我的希腊之旅 第六季 10</v>
      </c>
      <c r="C148" s="19" t="s">
        <v>373</v>
      </c>
      <c r="D148" s="20" t="s">
        <v>573</v>
      </c>
      <c r="E148" s="28" t="s">
        <v>574</v>
      </c>
      <c r="F148" s="22">
        <f t="shared" si="6"/>
        <v>23</v>
      </c>
      <c r="G148" s="22">
        <f t="shared" si="7"/>
        <v>92</v>
      </c>
      <c r="H148" s="14"/>
    </row>
    <row r="149" customHeight="1" spans="1:7">
      <c r="A149" s="23"/>
      <c r="B149" s="24"/>
      <c r="C149" s="19" t="s">
        <v>42</v>
      </c>
      <c r="D149" s="25" t="s">
        <v>575</v>
      </c>
      <c r="E149" s="30" t="s">
        <v>576</v>
      </c>
      <c r="F149" s="22">
        <f t="shared" si="6"/>
        <v>13</v>
      </c>
      <c r="G149" s="22">
        <f t="shared" si="7"/>
        <v>32</v>
      </c>
    </row>
    <row r="150" customHeight="1" spans="1:8">
      <c r="A150" s="17">
        <v>73</v>
      </c>
      <c r="B150" s="18" t="str">
        <f>D151</f>
        <v>我的希腊之旅 第六季 9</v>
      </c>
      <c r="C150" s="19" t="s">
        <v>373</v>
      </c>
      <c r="D150" s="20" t="s">
        <v>577</v>
      </c>
      <c r="E150" s="28" t="s">
        <v>574</v>
      </c>
      <c r="F150" s="22">
        <f t="shared" si="6"/>
        <v>23</v>
      </c>
      <c r="G150" s="22">
        <f t="shared" si="7"/>
        <v>92</v>
      </c>
      <c r="H150" s="14"/>
    </row>
    <row r="151" customHeight="1" spans="1:7">
      <c r="A151" s="23"/>
      <c r="B151" s="24"/>
      <c r="C151" s="19" t="s">
        <v>42</v>
      </c>
      <c r="D151" s="25" t="s">
        <v>578</v>
      </c>
      <c r="E151" s="30" t="s">
        <v>576</v>
      </c>
      <c r="F151" s="22">
        <f t="shared" si="6"/>
        <v>12</v>
      </c>
      <c r="G151" s="22">
        <f t="shared" si="7"/>
        <v>32</v>
      </c>
    </row>
    <row r="152" customHeight="1" spans="1:8">
      <c r="A152" s="17">
        <v>74</v>
      </c>
      <c r="B152" s="18" t="str">
        <f>D153</f>
        <v>我的希腊之旅 第六季 8</v>
      </c>
      <c r="C152" s="19" t="s">
        <v>373</v>
      </c>
      <c r="D152" s="20" t="s">
        <v>579</v>
      </c>
      <c r="E152" s="28" t="s">
        <v>574</v>
      </c>
      <c r="F152" s="22">
        <f t="shared" si="6"/>
        <v>23</v>
      </c>
      <c r="G152" s="22">
        <f t="shared" si="7"/>
        <v>92</v>
      </c>
      <c r="H152" s="14"/>
    </row>
    <row r="153" customHeight="1" spans="1:7">
      <c r="A153" s="23"/>
      <c r="B153" s="24"/>
      <c r="C153" s="19" t="s">
        <v>42</v>
      </c>
      <c r="D153" s="25" t="s">
        <v>580</v>
      </c>
      <c r="E153" s="37" t="s">
        <v>576</v>
      </c>
      <c r="F153" s="22">
        <f t="shared" si="6"/>
        <v>12</v>
      </c>
      <c r="G153" s="22">
        <f t="shared" si="7"/>
        <v>32</v>
      </c>
    </row>
    <row r="154" customHeight="1" spans="1:8">
      <c r="A154" s="17">
        <v>75</v>
      </c>
      <c r="B154" s="18" t="str">
        <f>D155</f>
        <v>加菲猫的幸福生活 10</v>
      </c>
      <c r="C154" s="19" t="s">
        <v>373</v>
      </c>
      <c r="D154" s="20" t="s">
        <v>581</v>
      </c>
      <c r="E154" s="28" t="s">
        <v>582</v>
      </c>
      <c r="F154" s="22">
        <f t="shared" si="6"/>
        <v>22</v>
      </c>
      <c r="G154" s="22">
        <f t="shared" si="7"/>
        <v>108</v>
      </c>
      <c r="H154" s="14"/>
    </row>
    <row r="155" customHeight="1" spans="1:7">
      <c r="A155" s="23"/>
      <c r="B155" s="24"/>
      <c r="C155" s="19" t="s">
        <v>42</v>
      </c>
      <c r="D155" s="25" t="s">
        <v>583</v>
      </c>
      <c r="E155" s="30" t="s">
        <v>584</v>
      </c>
      <c r="F155" s="22">
        <f t="shared" si="6"/>
        <v>11</v>
      </c>
      <c r="G155" s="22">
        <f t="shared" si="7"/>
        <v>35</v>
      </c>
    </row>
    <row r="156" customHeight="1" spans="1:8">
      <c r="A156" s="17">
        <v>76</v>
      </c>
      <c r="B156" s="18" t="str">
        <f>D157</f>
        <v>加菲猫的幸福生活 9</v>
      </c>
      <c r="C156" s="19" t="s">
        <v>373</v>
      </c>
      <c r="D156" s="20" t="s">
        <v>585</v>
      </c>
      <c r="E156" s="28" t="s">
        <v>582</v>
      </c>
      <c r="F156" s="22">
        <f t="shared" si="6"/>
        <v>22</v>
      </c>
      <c r="G156" s="22">
        <f t="shared" si="7"/>
        <v>108</v>
      </c>
      <c r="H156" s="14"/>
    </row>
    <row r="157" customHeight="1" spans="1:7">
      <c r="A157" s="23"/>
      <c r="B157" s="24"/>
      <c r="C157" s="19" t="s">
        <v>42</v>
      </c>
      <c r="D157" s="25" t="s">
        <v>586</v>
      </c>
      <c r="E157" s="30" t="s">
        <v>584</v>
      </c>
      <c r="F157" s="22">
        <f t="shared" si="6"/>
        <v>10</v>
      </c>
      <c r="G157" s="22">
        <f t="shared" si="7"/>
        <v>35</v>
      </c>
    </row>
    <row r="158" customHeight="1" spans="1:8">
      <c r="A158" s="17">
        <v>77</v>
      </c>
      <c r="B158" s="18" t="str">
        <f>D159</f>
        <v>如果历史是一群喵 第一季 6 少康复国</v>
      </c>
      <c r="C158" s="19" t="s">
        <v>373</v>
      </c>
      <c r="D158" s="20" t="s">
        <v>587</v>
      </c>
      <c r="E158" s="28" t="s">
        <v>588</v>
      </c>
      <c r="F158" s="22">
        <f t="shared" si="6"/>
        <v>68</v>
      </c>
      <c r="G158" s="22">
        <f t="shared" si="7"/>
        <v>171</v>
      </c>
      <c r="H158" s="14"/>
    </row>
    <row r="159" customHeight="1" spans="1:7">
      <c r="A159" s="23"/>
      <c r="B159" s="24"/>
      <c r="C159" s="19" t="s">
        <v>42</v>
      </c>
      <c r="D159" s="25" t="s">
        <v>589</v>
      </c>
      <c r="E159" s="30" t="s">
        <v>590</v>
      </c>
      <c r="F159" s="22">
        <f t="shared" si="6"/>
        <v>19</v>
      </c>
      <c r="G159" s="22">
        <f t="shared" si="7"/>
        <v>40</v>
      </c>
    </row>
    <row r="160" customHeight="1" spans="1:8">
      <c r="A160" s="17">
        <v>78</v>
      </c>
      <c r="B160" s="18" t="str">
        <f>D161</f>
        <v>如果历史是一群喵 第一季 5 夏家天下</v>
      </c>
      <c r="C160" s="19" t="s">
        <v>373</v>
      </c>
      <c r="D160" s="20" t="s">
        <v>591</v>
      </c>
      <c r="E160" s="28" t="s">
        <v>588</v>
      </c>
      <c r="F160" s="22">
        <f t="shared" si="6"/>
        <v>68</v>
      </c>
      <c r="G160" s="22">
        <f t="shared" si="7"/>
        <v>171</v>
      </c>
      <c r="H160" s="14"/>
    </row>
    <row r="161" customHeight="1" spans="1:7">
      <c r="A161" s="23"/>
      <c r="B161" s="24"/>
      <c r="C161" s="19" t="s">
        <v>42</v>
      </c>
      <c r="D161" s="25" t="s">
        <v>592</v>
      </c>
      <c r="E161" s="30" t="s">
        <v>590</v>
      </c>
      <c r="F161" s="22">
        <f t="shared" si="6"/>
        <v>19</v>
      </c>
      <c r="G161" s="22">
        <f t="shared" si="7"/>
        <v>40</v>
      </c>
    </row>
    <row r="162" customHeight="1" spans="1:8">
      <c r="A162" s="17">
        <v>79</v>
      </c>
      <c r="B162" s="18" t="str">
        <f>D163</f>
        <v>京剧猫之信念的冒险 16</v>
      </c>
      <c r="C162" s="19" t="s">
        <v>373</v>
      </c>
      <c r="D162" s="20" t="s">
        <v>593</v>
      </c>
      <c r="E162" s="28" t="s">
        <v>594</v>
      </c>
      <c r="F162" s="22">
        <f t="shared" si="6"/>
        <v>19</v>
      </c>
      <c r="G162" s="22">
        <f t="shared" si="7"/>
        <v>186</v>
      </c>
      <c r="H162" s="14"/>
    </row>
    <row r="163" customHeight="1" spans="1:7">
      <c r="A163" s="23"/>
      <c r="B163" s="24"/>
      <c r="C163" s="19" t="s">
        <v>42</v>
      </c>
      <c r="D163" s="25" t="s">
        <v>595</v>
      </c>
      <c r="E163" s="30" t="s">
        <v>596</v>
      </c>
      <c r="F163" s="22">
        <f t="shared" si="6"/>
        <v>12</v>
      </c>
      <c r="G163" s="22">
        <f t="shared" si="7"/>
        <v>42</v>
      </c>
    </row>
    <row r="164" customHeight="1" spans="1:8">
      <c r="A164" s="17">
        <v>80</v>
      </c>
      <c r="B164" s="18" t="str">
        <f>D165</f>
        <v>熊出没 怪兽计划2（7-8）</v>
      </c>
      <c r="C164" s="19" t="s">
        <v>373</v>
      </c>
      <c r="D164" s="36" t="s">
        <v>597</v>
      </c>
      <c r="E164" s="28" t="s">
        <v>598</v>
      </c>
      <c r="F164" s="22">
        <f t="shared" si="6"/>
        <v>36</v>
      </c>
      <c r="G164" s="22">
        <f t="shared" si="7"/>
        <v>166</v>
      </c>
      <c r="H164" s="14"/>
    </row>
    <row r="165" customHeight="1" spans="1:7">
      <c r="A165" s="23"/>
      <c r="B165" s="24"/>
      <c r="C165" s="19" t="s">
        <v>42</v>
      </c>
      <c r="D165" s="25" t="s">
        <v>599</v>
      </c>
      <c r="E165" s="30" t="s">
        <v>600</v>
      </c>
      <c r="F165" s="22">
        <f t="shared" si="6"/>
        <v>14</v>
      </c>
      <c r="G165" s="22">
        <f t="shared" si="7"/>
        <v>42</v>
      </c>
    </row>
    <row r="166" customHeight="1" spans="1:8">
      <c r="A166" s="17">
        <v>81</v>
      </c>
      <c r="B166" s="18" t="str">
        <f>D167</f>
        <v>山海传奇 8</v>
      </c>
      <c r="C166" s="19" t="s">
        <v>373</v>
      </c>
      <c r="D166" s="36" t="s">
        <v>601</v>
      </c>
      <c r="E166" s="28" t="s">
        <v>602</v>
      </c>
      <c r="F166" s="22">
        <f t="shared" si="6"/>
        <v>31</v>
      </c>
      <c r="G166" s="22">
        <f t="shared" si="7"/>
        <v>314</v>
      </c>
      <c r="H166" s="14"/>
    </row>
    <row r="167" customHeight="1" spans="1:7">
      <c r="A167" s="23"/>
      <c r="B167" s="24"/>
      <c r="C167" s="19" t="s">
        <v>42</v>
      </c>
      <c r="D167" s="25" t="s">
        <v>603</v>
      </c>
      <c r="E167" s="30" t="s">
        <v>604</v>
      </c>
      <c r="F167" s="22">
        <f t="shared" si="6"/>
        <v>6</v>
      </c>
      <c r="G167" s="22">
        <f t="shared" si="7"/>
        <v>60</v>
      </c>
    </row>
    <row r="168" customHeight="1" spans="1:8">
      <c r="A168" s="17">
        <v>82</v>
      </c>
      <c r="B168" s="18" t="str">
        <f>D169</f>
        <v>天真与功夫袜 45-46</v>
      </c>
      <c r="C168" s="19" t="s">
        <v>373</v>
      </c>
      <c r="D168" s="20" t="s">
        <v>605</v>
      </c>
      <c r="E168" s="28" t="s">
        <v>606</v>
      </c>
      <c r="F168" s="22">
        <f t="shared" si="6"/>
        <v>32</v>
      </c>
      <c r="G168" s="22">
        <f t="shared" si="7"/>
        <v>266</v>
      </c>
      <c r="H168" s="14"/>
    </row>
    <row r="169" customHeight="1" spans="1:7">
      <c r="A169" s="23"/>
      <c r="B169" s="24"/>
      <c r="C169" s="19" t="s">
        <v>42</v>
      </c>
      <c r="D169" s="25" t="s">
        <v>607</v>
      </c>
      <c r="E169" s="30" t="s">
        <v>608</v>
      </c>
      <c r="F169" s="22">
        <f t="shared" si="6"/>
        <v>12</v>
      </c>
      <c r="G169" s="22">
        <f t="shared" si="7"/>
        <v>96</v>
      </c>
    </row>
    <row r="170" customHeight="1" spans="1:8">
      <c r="A170" s="17">
        <v>83</v>
      </c>
      <c r="B170" s="18" t="str">
        <f>D171</f>
        <v>小鸡彩虹 第七季 21-22</v>
      </c>
      <c r="C170" s="19" t="s">
        <v>373</v>
      </c>
      <c r="D170" s="20" t="s">
        <v>609</v>
      </c>
      <c r="E170" s="28" t="s">
        <v>610</v>
      </c>
      <c r="F170" s="22">
        <f t="shared" si="6"/>
        <v>29</v>
      </c>
      <c r="G170" s="22">
        <f t="shared" si="7"/>
        <v>246</v>
      </c>
      <c r="H170" s="14"/>
    </row>
    <row r="171" customHeight="1" spans="1:7">
      <c r="A171" s="23"/>
      <c r="B171" s="24"/>
      <c r="C171" s="19" t="s">
        <v>42</v>
      </c>
      <c r="D171" s="25" t="s">
        <v>611</v>
      </c>
      <c r="E171" s="30" t="s">
        <v>612</v>
      </c>
      <c r="F171" s="22">
        <f t="shared" ref="F171:F197" si="8">LEN(D171)</f>
        <v>14</v>
      </c>
      <c r="G171" s="22">
        <f t="shared" ref="G171:G197" si="9">LEN(E171)</f>
        <v>71</v>
      </c>
    </row>
    <row r="172" customHeight="1" spans="1:8">
      <c r="A172" s="17">
        <v>84</v>
      </c>
      <c r="B172" s="18" t="str">
        <f>D173</f>
        <v>百变校巴 第十一季 19-20</v>
      </c>
      <c r="C172" s="19" t="s">
        <v>373</v>
      </c>
      <c r="D172" s="20" t="s">
        <v>613</v>
      </c>
      <c r="E172" s="28" t="s">
        <v>614</v>
      </c>
      <c r="F172" s="22">
        <f t="shared" si="8"/>
        <v>36</v>
      </c>
      <c r="G172" s="22">
        <f t="shared" si="9"/>
        <v>386</v>
      </c>
      <c r="H172" s="14"/>
    </row>
    <row r="173" customHeight="1" spans="1:7">
      <c r="A173" s="23"/>
      <c r="B173" s="24"/>
      <c r="C173" s="19" t="s">
        <v>42</v>
      </c>
      <c r="D173" s="25" t="s">
        <v>615</v>
      </c>
      <c r="E173" s="30" t="s">
        <v>616</v>
      </c>
      <c r="F173" s="22">
        <f t="shared" si="8"/>
        <v>15</v>
      </c>
      <c r="G173" s="22">
        <f t="shared" si="9"/>
        <v>100</v>
      </c>
    </row>
    <row r="174" customHeight="1" spans="1:8">
      <c r="A174" s="17">
        <v>85</v>
      </c>
      <c r="B174" s="18" t="str">
        <f>D175</f>
        <v>强国青年说 第三季 4 我在公园“盘大爷”</v>
      </c>
      <c r="C174" s="19" t="s">
        <v>373</v>
      </c>
      <c r="D174" s="20" t="s">
        <v>617</v>
      </c>
      <c r="E174" s="28" t="s">
        <v>618</v>
      </c>
      <c r="F174" s="22">
        <f t="shared" si="8"/>
        <v>69</v>
      </c>
      <c r="G174" s="22">
        <f t="shared" si="9"/>
        <v>367</v>
      </c>
      <c r="H174" s="14"/>
    </row>
    <row r="175" customHeight="1" spans="1:7">
      <c r="A175" s="23"/>
      <c r="B175" s="24"/>
      <c r="C175" s="19" t="s">
        <v>42</v>
      </c>
      <c r="D175" s="25" t="s">
        <v>619</v>
      </c>
      <c r="E175" s="30" t="s">
        <v>620</v>
      </c>
      <c r="F175" s="22">
        <f t="shared" si="8"/>
        <v>21</v>
      </c>
      <c r="G175" s="22">
        <f t="shared" si="9"/>
        <v>118</v>
      </c>
    </row>
    <row r="176" customHeight="1" spans="1:8">
      <c r="A176" s="17">
        <v>86</v>
      </c>
      <c r="B176" s="18" t="str">
        <f>D177</f>
        <v>快乐老友记 第二季 第5期</v>
      </c>
      <c r="C176" s="19" t="s">
        <v>373</v>
      </c>
      <c r="D176" s="20" t="s">
        <v>621</v>
      </c>
      <c r="E176" s="38" t="s">
        <v>622</v>
      </c>
      <c r="F176" s="22">
        <f t="shared" si="8"/>
        <v>20</v>
      </c>
      <c r="G176" s="22">
        <f t="shared" si="9"/>
        <v>88</v>
      </c>
      <c r="H176" s="14"/>
    </row>
    <row r="177" customHeight="1" spans="1:7">
      <c r="A177" s="23"/>
      <c r="B177" s="24"/>
      <c r="C177" s="19" t="s">
        <v>42</v>
      </c>
      <c r="D177" s="25" t="s">
        <v>623</v>
      </c>
      <c r="E177" s="30" t="s">
        <v>624</v>
      </c>
      <c r="F177" s="22">
        <f t="shared" si="8"/>
        <v>13</v>
      </c>
      <c r="G177" s="22">
        <f t="shared" si="9"/>
        <v>41</v>
      </c>
    </row>
    <row r="178" customHeight="1" spans="1:8">
      <c r="A178" s="17">
        <v>87</v>
      </c>
      <c r="B178" s="18" t="str">
        <f>D179</f>
        <v>快乐老友记 第二季 第4期下</v>
      </c>
      <c r="C178" s="19" t="s">
        <v>373</v>
      </c>
      <c r="D178" s="20" t="s">
        <v>625</v>
      </c>
      <c r="E178" s="28" t="s">
        <v>622</v>
      </c>
      <c r="F178" s="22">
        <f t="shared" si="8"/>
        <v>23</v>
      </c>
      <c r="G178" s="22">
        <f t="shared" si="9"/>
        <v>88</v>
      </c>
      <c r="H178" s="14"/>
    </row>
    <row r="179" customHeight="1" spans="1:7">
      <c r="A179" s="23"/>
      <c r="B179" s="24"/>
      <c r="C179" s="19" t="s">
        <v>42</v>
      </c>
      <c r="D179" s="25" t="s">
        <v>626</v>
      </c>
      <c r="E179" s="30" t="s">
        <v>624</v>
      </c>
      <c r="F179" s="22">
        <f t="shared" si="8"/>
        <v>14</v>
      </c>
      <c r="G179" s="22">
        <f t="shared" si="9"/>
        <v>41</v>
      </c>
    </row>
    <row r="180" customHeight="1" spans="1:8">
      <c r="A180" s="17">
        <v>88</v>
      </c>
      <c r="B180" s="18" t="str">
        <f>D181</f>
        <v>快乐老友记 第二季 第4期上</v>
      </c>
      <c r="C180" s="19" t="s">
        <v>373</v>
      </c>
      <c r="D180" s="20" t="s">
        <v>627</v>
      </c>
      <c r="E180" s="28" t="s">
        <v>622</v>
      </c>
      <c r="F180" s="22">
        <f t="shared" si="8"/>
        <v>23</v>
      </c>
      <c r="G180" s="22">
        <f t="shared" si="9"/>
        <v>88</v>
      </c>
      <c r="H180" s="14"/>
    </row>
    <row r="181" customHeight="1" spans="1:7">
      <c r="A181" s="23"/>
      <c r="B181" s="24"/>
      <c r="C181" s="19" t="s">
        <v>42</v>
      </c>
      <c r="D181" s="25" t="s">
        <v>628</v>
      </c>
      <c r="E181" s="30" t="s">
        <v>624</v>
      </c>
      <c r="F181" s="22">
        <f t="shared" si="8"/>
        <v>14</v>
      </c>
      <c r="G181" s="22">
        <f t="shared" si="9"/>
        <v>41</v>
      </c>
    </row>
    <row r="182" customHeight="1" spans="1:8">
      <c r="A182" s="17">
        <v>89</v>
      </c>
      <c r="B182" s="18" t="str">
        <f>D183</f>
        <v>快乐老友记 第二季 第3期</v>
      </c>
      <c r="C182" s="19" t="s">
        <v>373</v>
      </c>
      <c r="D182" s="20" t="s">
        <v>629</v>
      </c>
      <c r="E182" s="28" t="s">
        <v>622</v>
      </c>
      <c r="F182" s="22">
        <f t="shared" si="8"/>
        <v>20</v>
      </c>
      <c r="G182" s="22">
        <f t="shared" si="9"/>
        <v>88</v>
      </c>
      <c r="H182" s="14"/>
    </row>
    <row r="183" customHeight="1" spans="1:7">
      <c r="A183" s="23"/>
      <c r="B183" s="24"/>
      <c r="C183" s="19" t="s">
        <v>42</v>
      </c>
      <c r="D183" s="25" t="s">
        <v>630</v>
      </c>
      <c r="E183" s="30" t="s">
        <v>624</v>
      </c>
      <c r="F183" s="22">
        <f t="shared" si="8"/>
        <v>13</v>
      </c>
      <c r="G183" s="22">
        <f t="shared" si="9"/>
        <v>41</v>
      </c>
    </row>
    <row r="184" customHeight="1" spans="1:8">
      <c r="A184" s="17">
        <v>90</v>
      </c>
      <c r="B184" s="18" t="str">
        <f>D185</f>
        <v>快乐老友记 第二季 第2期下</v>
      </c>
      <c r="C184" s="19" t="s">
        <v>373</v>
      </c>
      <c r="D184" s="20" t="s">
        <v>631</v>
      </c>
      <c r="E184" s="28" t="s">
        <v>622</v>
      </c>
      <c r="F184" s="22">
        <f t="shared" si="8"/>
        <v>23</v>
      </c>
      <c r="G184" s="22">
        <f t="shared" si="9"/>
        <v>88</v>
      </c>
      <c r="H184" s="14"/>
    </row>
    <row r="185" customHeight="1" spans="1:7">
      <c r="A185" s="23"/>
      <c r="B185" s="24"/>
      <c r="C185" s="19" t="s">
        <v>42</v>
      </c>
      <c r="D185" s="25" t="s">
        <v>632</v>
      </c>
      <c r="E185" s="30" t="s">
        <v>624</v>
      </c>
      <c r="F185" s="22">
        <f t="shared" si="8"/>
        <v>14</v>
      </c>
      <c r="G185" s="22">
        <f t="shared" si="9"/>
        <v>41</v>
      </c>
    </row>
    <row r="186" customHeight="1" spans="1:8">
      <c r="A186" s="17">
        <v>91</v>
      </c>
      <c r="B186" s="18" t="str">
        <f>D187</f>
        <v>快乐老友记 第二季 第2期上</v>
      </c>
      <c r="C186" s="19" t="s">
        <v>373</v>
      </c>
      <c r="D186" s="20" t="s">
        <v>633</v>
      </c>
      <c r="E186" s="28" t="s">
        <v>622</v>
      </c>
      <c r="F186" s="22">
        <f t="shared" si="8"/>
        <v>23</v>
      </c>
      <c r="G186" s="22">
        <f t="shared" si="9"/>
        <v>88</v>
      </c>
      <c r="H186" s="14"/>
    </row>
    <row r="187" customHeight="1" spans="1:7">
      <c r="A187" s="23"/>
      <c r="B187" s="24"/>
      <c r="C187" s="19" t="s">
        <v>42</v>
      </c>
      <c r="D187" s="25" t="s">
        <v>634</v>
      </c>
      <c r="E187" s="30" t="s">
        <v>624</v>
      </c>
      <c r="F187" s="22">
        <f t="shared" si="8"/>
        <v>14</v>
      </c>
      <c r="G187" s="22">
        <f t="shared" si="9"/>
        <v>41</v>
      </c>
    </row>
    <row r="188" customHeight="1" spans="1:8">
      <c r="A188" s="17">
        <v>92</v>
      </c>
      <c r="B188" s="18" t="str">
        <f>D189</f>
        <v>年的味道 1 团圆</v>
      </c>
      <c r="C188" s="19" t="s">
        <v>373</v>
      </c>
      <c r="D188" s="20" t="s">
        <v>635</v>
      </c>
      <c r="E188" s="28" t="s">
        <v>636</v>
      </c>
      <c r="F188" s="22">
        <f t="shared" si="8"/>
        <v>40</v>
      </c>
      <c r="G188" s="22">
        <f t="shared" si="9"/>
        <v>264</v>
      </c>
      <c r="H188" s="14"/>
    </row>
    <row r="189" customHeight="1" spans="1:7">
      <c r="A189" s="23"/>
      <c r="B189" s="24"/>
      <c r="C189" s="19" t="s">
        <v>42</v>
      </c>
      <c r="D189" s="25" t="s">
        <v>637</v>
      </c>
      <c r="E189" s="30" t="s">
        <v>638</v>
      </c>
      <c r="F189" s="22">
        <f t="shared" si="8"/>
        <v>9</v>
      </c>
      <c r="G189" s="22">
        <f t="shared" si="9"/>
        <v>62</v>
      </c>
    </row>
    <row r="190" customHeight="1" spans="1:8">
      <c r="A190" s="17">
        <v>93</v>
      </c>
      <c r="B190" s="18" t="str">
        <f>D191</f>
        <v>衣锦天下 20241116</v>
      </c>
      <c r="C190" s="19" t="s">
        <v>373</v>
      </c>
      <c r="D190" s="20" t="s">
        <v>639</v>
      </c>
      <c r="E190" s="28" t="s">
        <v>640</v>
      </c>
      <c r="F190" s="22">
        <f t="shared" si="8"/>
        <v>46</v>
      </c>
      <c r="G190" s="22">
        <f t="shared" si="9"/>
        <v>174</v>
      </c>
      <c r="H190" s="14"/>
    </row>
    <row r="191" customHeight="1" spans="1:7">
      <c r="A191" s="23"/>
      <c r="B191" s="24"/>
      <c r="C191" s="19" t="s">
        <v>42</v>
      </c>
      <c r="D191" s="25" t="s">
        <v>641</v>
      </c>
      <c r="E191" s="30" t="s">
        <v>642</v>
      </c>
      <c r="F191" s="22">
        <f t="shared" si="8"/>
        <v>13</v>
      </c>
      <c r="G191" s="22">
        <f t="shared" si="9"/>
        <v>36</v>
      </c>
    </row>
    <row r="192" customHeight="1" spans="1:8">
      <c r="A192" s="17">
        <v>94</v>
      </c>
      <c r="B192" s="18" t="str">
        <f>D193</f>
        <v>农耕探文明 1 广东岭南 荔枝种植系统</v>
      </c>
      <c r="C192" s="19" t="s">
        <v>373</v>
      </c>
      <c r="D192" s="20" t="s">
        <v>643</v>
      </c>
      <c r="E192" s="28" t="s">
        <v>644</v>
      </c>
      <c r="F192" s="22">
        <f t="shared" si="8"/>
        <v>76</v>
      </c>
      <c r="G192" s="22">
        <f t="shared" si="9"/>
        <v>551</v>
      </c>
      <c r="H192" s="14"/>
    </row>
    <row r="193" customHeight="1" spans="1:7">
      <c r="A193" s="23"/>
      <c r="B193" s="24"/>
      <c r="C193" s="19" t="s">
        <v>42</v>
      </c>
      <c r="D193" s="25" t="s">
        <v>645</v>
      </c>
      <c r="E193" s="30" t="s">
        <v>646</v>
      </c>
      <c r="F193" s="22">
        <f t="shared" si="8"/>
        <v>19</v>
      </c>
      <c r="G193" s="22">
        <f t="shared" si="9"/>
        <v>121</v>
      </c>
    </row>
    <row r="194" customHeight="1" spans="1:8">
      <c r="A194" s="17">
        <v>95</v>
      </c>
      <c r="B194" s="18" t="str">
        <f>D195</f>
        <v>巅峰食刻—中法厨王竞技 脍炙豚香</v>
      </c>
      <c r="C194" s="19" t="s">
        <v>373</v>
      </c>
      <c r="D194" s="20" t="s">
        <v>647</v>
      </c>
      <c r="E194" s="28" t="s">
        <v>648</v>
      </c>
      <c r="F194" s="22">
        <f t="shared" si="8"/>
        <v>80</v>
      </c>
      <c r="G194" s="22">
        <f t="shared" si="9"/>
        <v>59</v>
      </c>
      <c r="H194" s="14"/>
    </row>
    <row r="195" customHeight="1" spans="1:7">
      <c r="A195" s="23"/>
      <c r="B195" s="24"/>
      <c r="C195" s="19" t="s">
        <v>42</v>
      </c>
      <c r="D195" s="25" t="s">
        <v>649</v>
      </c>
      <c r="E195" s="30" t="s">
        <v>650</v>
      </c>
      <c r="F195" s="22">
        <f t="shared" si="8"/>
        <v>16</v>
      </c>
      <c r="G195" s="22">
        <f t="shared" si="9"/>
        <v>16</v>
      </c>
    </row>
    <row r="196" customHeight="1" spans="1:8">
      <c r="A196" s="17">
        <v>96</v>
      </c>
      <c r="B196" s="18" t="str">
        <f>D197</f>
        <v>三餐四季 20240714</v>
      </c>
      <c r="C196" s="19" t="s">
        <v>373</v>
      </c>
      <c r="D196" s="20" t="s">
        <v>651</v>
      </c>
      <c r="E196" s="28" t="s">
        <v>652</v>
      </c>
      <c r="F196" s="22">
        <f t="shared" si="8"/>
        <v>37</v>
      </c>
      <c r="G196" s="22">
        <f t="shared" si="9"/>
        <v>137</v>
      </c>
      <c r="H196" s="31"/>
    </row>
    <row r="197" customHeight="1" spans="1:7">
      <c r="A197" s="23"/>
      <c r="B197" s="24"/>
      <c r="C197" s="19" t="s">
        <v>42</v>
      </c>
      <c r="D197" s="25" t="s">
        <v>653</v>
      </c>
      <c r="E197" s="30" t="s">
        <v>654</v>
      </c>
      <c r="F197" s="22">
        <f t="shared" si="8"/>
        <v>13</v>
      </c>
      <c r="G197" s="22">
        <f t="shared" si="9"/>
        <v>43</v>
      </c>
    </row>
    <row r="198" customHeight="1" spans="1:8">
      <c r="A198" s="17">
        <v>97</v>
      </c>
      <c r="B198" s="18" t="str">
        <f>D199</f>
        <v>山水间的家 第三季 20240915</v>
      </c>
      <c r="C198" s="19" t="s">
        <v>373</v>
      </c>
      <c r="D198" s="20" t="s">
        <v>655</v>
      </c>
      <c r="E198" s="28" t="s">
        <v>656</v>
      </c>
      <c r="F198" s="22">
        <f t="shared" ref="F198:F233" si="10">LEN(D198)</f>
        <v>51</v>
      </c>
      <c r="G198" s="22">
        <f t="shared" ref="G198:G233" si="11">LEN(E198)</f>
        <v>226</v>
      </c>
      <c r="H198" s="31"/>
    </row>
    <row r="199" customHeight="1" spans="1:7">
      <c r="A199" s="23"/>
      <c r="B199" s="24"/>
      <c r="C199" s="19" t="s">
        <v>42</v>
      </c>
      <c r="D199" s="25" t="s">
        <v>657</v>
      </c>
      <c r="E199" s="30" t="s">
        <v>658</v>
      </c>
      <c r="F199" s="22">
        <f t="shared" si="10"/>
        <v>18</v>
      </c>
      <c r="G199" s="22">
        <f t="shared" si="11"/>
        <v>43</v>
      </c>
    </row>
    <row r="200" customHeight="1" spans="1:8">
      <c r="A200" s="17">
        <v>98</v>
      </c>
      <c r="B200" s="18" t="str">
        <f>D201</f>
        <v>宝藏酒店度假地 1</v>
      </c>
      <c r="C200" s="19" t="s">
        <v>373</v>
      </c>
      <c r="D200" s="20" t="s">
        <v>659</v>
      </c>
      <c r="E200" s="28" t="s">
        <v>660</v>
      </c>
      <c r="F200" s="22">
        <f t="shared" si="10"/>
        <v>31</v>
      </c>
      <c r="G200" s="22">
        <f t="shared" si="11"/>
        <v>80</v>
      </c>
      <c r="H200" s="31"/>
    </row>
    <row r="201" customHeight="1" spans="1:7">
      <c r="A201" s="23"/>
      <c r="B201" s="24"/>
      <c r="C201" s="19" t="s">
        <v>42</v>
      </c>
      <c r="D201" s="25" t="s">
        <v>661</v>
      </c>
      <c r="E201" s="30" t="s">
        <v>662</v>
      </c>
      <c r="F201" s="22">
        <f t="shared" si="10"/>
        <v>9</v>
      </c>
      <c r="G201" s="22">
        <f t="shared" si="11"/>
        <v>45</v>
      </c>
    </row>
    <row r="202" customHeight="1" spans="1:8">
      <c r="A202" s="17">
        <v>99</v>
      </c>
      <c r="B202" s="18" t="str">
        <f>D203</f>
        <v>地中海的美食路 2</v>
      </c>
      <c r="C202" s="19" t="s">
        <v>373</v>
      </c>
      <c r="D202" s="20" t="s">
        <v>663</v>
      </c>
      <c r="E202" s="28" t="s">
        <v>664</v>
      </c>
      <c r="F202" s="22">
        <f t="shared" si="10"/>
        <v>34</v>
      </c>
      <c r="G202" s="22">
        <f t="shared" si="11"/>
        <v>146</v>
      </c>
      <c r="H202" s="31"/>
    </row>
    <row r="203" customHeight="1" spans="1:7">
      <c r="A203" s="23"/>
      <c r="B203" s="24"/>
      <c r="C203" s="19" t="s">
        <v>42</v>
      </c>
      <c r="D203" s="25" t="s">
        <v>665</v>
      </c>
      <c r="E203" s="30" t="s">
        <v>666</v>
      </c>
      <c r="F203" s="22">
        <f t="shared" si="10"/>
        <v>9</v>
      </c>
      <c r="G203" s="22">
        <f t="shared" si="11"/>
        <v>42</v>
      </c>
    </row>
    <row r="204" customHeight="1" spans="1:8">
      <c r="A204" s="17">
        <v>100</v>
      </c>
      <c r="B204" s="18" t="str">
        <f>D205</f>
        <v>地中海的美食路 1</v>
      </c>
      <c r="C204" s="19" t="s">
        <v>373</v>
      </c>
      <c r="D204" s="20" t="s">
        <v>667</v>
      </c>
      <c r="E204" s="28" t="s">
        <v>664</v>
      </c>
      <c r="F204" s="22">
        <f t="shared" si="10"/>
        <v>34</v>
      </c>
      <c r="G204" s="22">
        <f t="shared" si="11"/>
        <v>146</v>
      </c>
      <c r="H204" s="31"/>
    </row>
    <row r="205" customHeight="1" spans="1:7">
      <c r="A205" s="23"/>
      <c r="B205" s="24"/>
      <c r="C205" s="19" t="s">
        <v>42</v>
      </c>
      <c r="D205" s="25" t="s">
        <v>668</v>
      </c>
      <c r="E205" s="30" t="s">
        <v>666</v>
      </c>
      <c r="F205" s="22">
        <f t="shared" si="10"/>
        <v>9</v>
      </c>
      <c r="G205" s="22">
        <f t="shared" si="11"/>
        <v>42</v>
      </c>
    </row>
    <row r="206" customHeight="1" spans="1:8">
      <c r="A206" s="17">
        <v>101</v>
      </c>
      <c r="B206" s="18" t="str">
        <f>D207</f>
        <v>健身动起来 背肌练习</v>
      </c>
      <c r="C206" s="19" t="s">
        <v>373</v>
      </c>
      <c r="D206" s="20" t="s">
        <v>669</v>
      </c>
      <c r="E206" s="28" t="s">
        <v>670</v>
      </c>
      <c r="F206" s="22">
        <f t="shared" si="10"/>
        <v>50</v>
      </c>
      <c r="G206" s="22">
        <f t="shared" si="11"/>
        <v>207</v>
      </c>
      <c r="H206" s="31"/>
    </row>
    <row r="207" customHeight="1" spans="1:7">
      <c r="A207" s="23"/>
      <c r="B207" s="24"/>
      <c r="C207" s="19" t="s">
        <v>42</v>
      </c>
      <c r="D207" s="25" t="s">
        <v>671</v>
      </c>
      <c r="E207" s="30" t="s">
        <v>672</v>
      </c>
      <c r="F207" s="22">
        <f t="shared" si="10"/>
        <v>10</v>
      </c>
      <c r="G207" s="22">
        <f t="shared" si="11"/>
        <v>64</v>
      </c>
    </row>
    <row r="208" customHeight="1" spans="1:8">
      <c r="A208" s="17">
        <v>102</v>
      </c>
      <c r="B208" s="18" t="str">
        <f>D209</f>
        <v>天下足球 伊涅斯塔：简单而伟大</v>
      </c>
      <c r="C208" s="19" t="s">
        <v>373</v>
      </c>
      <c r="D208" s="20" t="s">
        <v>673</v>
      </c>
      <c r="E208" s="28" t="s">
        <v>674</v>
      </c>
      <c r="F208" s="22">
        <f t="shared" si="10"/>
        <v>47</v>
      </c>
      <c r="G208" s="22">
        <f t="shared" si="11"/>
        <v>84</v>
      </c>
      <c r="H208" s="31"/>
    </row>
    <row r="209" customHeight="1" spans="1:7">
      <c r="A209" s="23"/>
      <c r="B209" s="24"/>
      <c r="C209" s="19" t="s">
        <v>42</v>
      </c>
      <c r="D209" s="25" t="s">
        <v>675</v>
      </c>
      <c r="E209" s="30" t="s">
        <v>676</v>
      </c>
      <c r="F209" s="22">
        <f t="shared" si="10"/>
        <v>15</v>
      </c>
      <c r="G209" s="22">
        <f t="shared" si="11"/>
        <v>22</v>
      </c>
    </row>
    <row r="210" customHeight="1" spans="1:8">
      <c r="A210" s="17">
        <v>103</v>
      </c>
      <c r="B210" s="18" t="str">
        <f>D211</f>
        <v>天下足球 对话英超双星</v>
      </c>
      <c r="C210" s="19" t="s">
        <v>373</v>
      </c>
      <c r="D210" s="20" t="s">
        <v>677</v>
      </c>
      <c r="E210" s="28" t="s">
        <v>674</v>
      </c>
      <c r="F210" s="22">
        <f t="shared" si="10"/>
        <v>53</v>
      </c>
      <c r="G210" s="22">
        <f t="shared" si="11"/>
        <v>84</v>
      </c>
      <c r="H210" s="31"/>
    </row>
    <row r="211" customHeight="1" spans="1:7">
      <c r="A211" s="23"/>
      <c r="B211" s="24"/>
      <c r="C211" s="19" t="s">
        <v>42</v>
      </c>
      <c r="D211" s="25" t="s">
        <v>678</v>
      </c>
      <c r="E211" s="30" t="s">
        <v>676</v>
      </c>
      <c r="F211" s="22">
        <f t="shared" si="10"/>
        <v>11</v>
      </c>
      <c r="G211" s="22">
        <f t="shared" si="11"/>
        <v>22</v>
      </c>
    </row>
    <row r="212" customHeight="1" spans="1:8">
      <c r="A212" s="17">
        <v>104</v>
      </c>
      <c r="B212" s="18" t="str">
        <f>D213</f>
        <v>篮球公园 文斯·卡特入选名人堂</v>
      </c>
      <c r="C212" s="19" t="s">
        <v>373</v>
      </c>
      <c r="D212" s="20" t="s">
        <v>679</v>
      </c>
      <c r="E212" s="28" t="s">
        <v>680</v>
      </c>
      <c r="F212" s="22">
        <f t="shared" si="10"/>
        <v>64</v>
      </c>
      <c r="G212" s="22">
        <f t="shared" si="11"/>
        <v>108</v>
      </c>
      <c r="H212" s="31"/>
    </row>
    <row r="213" customHeight="1" spans="1:7">
      <c r="A213" s="23"/>
      <c r="B213" s="24"/>
      <c r="C213" s="19" t="s">
        <v>42</v>
      </c>
      <c r="D213" s="25" t="s">
        <v>681</v>
      </c>
      <c r="E213" s="30" t="s">
        <v>682</v>
      </c>
      <c r="F213" s="22">
        <f t="shared" si="10"/>
        <v>15</v>
      </c>
      <c r="G213" s="22">
        <f t="shared" si="11"/>
        <v>35</v>
      </c>
    </row>
    <row r="214" customHeight="1" spans="1:8">
      <c r="A214" s="17">
        <v>105</v>
      </c>
      <c r="B214" s="18" t="str">
        <f>D215</f>
        <v>篮球公园 CBA新赛季正式打响</v>
      </c>
      <c r="C214" s="19" t="s">
        <v>373</v>
      </c>
      <c r="D214" s="20" t="s">
        <v>683</v>
      </c>
      <c r="E214" s="28" t="s">
        <v>680</v>
      </c>
      <c r="F214" s="22">
        <f t="shared" si="10"/>
        <v>50</v>
      </c>
      <c r="G214" s="22">
        <f t="shared" si="11"/>
        <v>108</v>
      </c>
      <c r="H214" s="31"/>
    </row>
    <row r="215" customHeight="1" spans="1:7">
      <c r="A215" s="23"/>
      <c r="B215" s="24"/>
      <c r="C215" s="19" t="s">
        <v>42</v>
      </c>
      <c r="D215" s="25" t="s">
        <v>684</v>
      </c>
      <c r="E215" s="30" t="s">
        <v>682</v>
      </c>
      <c r="F215" s="22">
        <f t="shared" si="10"/>
        <v>15</v>
      </c>
      <c r="G215" s="22">
        <f t="shared" si="11"/>
        <v>35</v>
      </c>
    </row>
    <row r="216" customHeight="1" spans="1:8">
      <c r="A216" s="17">
        <v>106</v>
      </c>
      <c r="B216" s="18" t="str">
        <f>D217</f>
        <v>国际篮联赛事集锦 3</v>
      </c>
      <c r="C216" s="19" t="s">
        <v>373</v>
      </c>
      <c r="D216" s="20" t="s">
        <v>685</v>
      </c>
      <c r="E216" s="28" t="s">
        <v>686</v>
      </c>
      <c r="F216" s="22">
        <f t="shared" si="10"/>
        <v>26</v>
      </c>
      <c r="G216" s="22">
        <f t="shared" si="11"/>
        <v>82</v>
      </c>
      <c r="H216" s="31"/>
    </row>
    <row r="217" customHeight="1" spans="1:7">
      <c r="A217" s="23"/>
      <c r="B217" s="24"/>
      <c r="C217" s="19" t="s">
        <v>42</v>
      </c>
      <c r="D217" s="25" t="s">
        <v>687</v>
      </c>
      <c r="E217" s="30" t="s">
        <v>688</v>
      </c>
      <c r="F217" s="22">
        <f t="shared" si="10"/>
        <v>10</v>
      </c>
      <c r="G217" s="22">
        <f t="shared" si="11"/>
        <v>29</v>
      </c>
    </row>
    <row r="218" customHeight="1" spans="1:8">
      <c r="A218" s="17">
        <v>107</v>
      </c>
      <c r="B218" s="18" t="str">
        <f>D219</f>
        <v>燃情竞技高尔夫 3</v>
      </c>
      <c r="C218" s="19" t="s">
        <v>373</v>
      </c>
      <c r="D218" s="20" t="s">
        <v>689</v>
      </c>
      <c r="E218" s="28" t="s">
        <v>690</v>
      </c>
      <c r="F218" s="22">
        <f t="shared" si="10"/>
        <v>21</v>
      </c>
      <c r="G218" s="22">
        <f t="shared" si="11"/>
        <v>203</v>
      </c>
      <c r="H218" s="31"/>
    </row>
    <row r="219" customHeight="1" spans="1:7">
      <c r="A219" s="23"/>
      <c r="B219" s="24"/>
      <c r="C219" s="19" t="s">
        <v>42</v>
      </c>
      <c r="D219" s="25" t="s">
        <v>691</v>
      </c>
      <c r="E219" s="30" t="s">
        <v>692</v>
      </c>
      <c r="F219" s="22">
        <f t="shared" si="10"/>
        <v>9</v>
      </c>
      <c r="G219" s="22">
        <f t="shared" si="11"/>
        <v>35</v>
      </c>
    </row>
    <row r="220" customHeight="1" spans="1:8">
      <c r="A220" s="17">
        <v>108</v>
      </c>
      <c r="B220" s="18" t="str">
        <f>D221</f>
        <v>内线：F1方程式赛车 3</v>
      </c>
      <c r="C220" s="19" t="s">
        <v>373</v>
      </c>
      <c r="D220" s="20" t="s">
        <v>693</v>
      </c>
      <c r="E220" s="28" t="s">
        <v>694</v>
      </c>
      <c r="F220" s="22">
        <f t="shared" si="10"/>
        <v>20</v>
      </c>
      <c r="G220" s="22">
        <f t="shared" si="11"/>
        <v>108</v>
      </c>
      <c r="H220" s="31"/>
    </row>
    <row r="221" customHeight="1" spans="1:7">
      <c r="A221" s="23"/>
      <c r="B221" s="24"/>
      <c r="C221" s="19" t="s">
        <v>42</v>
      </c>
      <c r="D221" s="25" t="s">
        <v>695</v>
      </c>
      <c r="E221" s="30" t="s">
        <v>696</v>
      </c>
      <c r="F221" s="22">
        <f t="shared" si="10"/>
        <v>12</v>
      </c>
      <c r="G221" s="22">
        <f t="shared" si="11"/>
        <v>13</v>
      </c>
    </row>
    <row r="222" customHeight="1" spans="1:8">
      <c r="A222" s="17">
        <v>109</v>
      </c>
      <c r="B222" s="18" t="str">
        <f>D223</f>
        <v>极限悬崖跳水 4</v>
      </c>
      <c r="C222" s="19" t="s">
        <v>373</v>
      </c>
      <c r="D222" s="20" t="s">
        <v>697</v>
      </c>
      <c r="E222" s="28" t="s">
        <v>698</v>
      </c>
      <c r="F222" s="22">
        <f t="shared" si="10"/>
        <v>21</v>
      </c>
      <c r="G222" s="22">
        <f t="shared" si="11"/>
        <v>244</v>
      </c>
      <c r="H222" s="31"/>
    </row>
    <row r="223" customHeight="1" spans="1:7">
      <c r="A223" s="23"/>
      <c r="B223" s="24"/>
      <c r="C223" s="19" t="s">
        <v>42</v>
      </c>
      <c r="D223" s="25" t="s">
        <v>699</v>
      </c>
      <c r="E223" s="30" t="s">
        <v>700</v>
      </c>
      <c r="F223" s="22">
        <f t="shared" si="10"/>
        <v>8</v>
      </c>
      <c r="G223" s="22">
        <f t="shared" si="11"/>
        <v>19</v>
      </c>
    </row>
    <row r="224" customHeight="1" spans="1:8">
      <c r="A224" s="17">
        <v>110</v>
      </c>
      <c r="B224" s="18" t="str">
        <f>D225</f>
        <v>体坛最极致 5</v>
      </c>
      <c r="C224" s="19" t="s">
        <v>373</v>
      </c>
      <c r="D224" s="20" t="s">
        <v>701</v>
      </c>
      <c r="E224" s="28" t="s">
        <v>702</v>
      </c>
      <c r="F224" s="22">
        <f t="shared" si="10"/>
        <v>29</v>
      </c>
      <c r="G224" s="22">
        <f t="shared" si="11"/>
        <v>54</v>
      </c>
      <c r="H224" s="31"/>
    </row>
    <row r="225" customHeight="1" spans="1:7">
      <c r="A225" s="23"/>
      <c r="B225" s="24"/>
      <c r="C225" s="19" t="s">
        <v>42</v>
      </c>
      <c r="D225" s="25" t="s">
        <v>703</v>
      </c>
      <c r="E225" s="30" t="s">
        <v>704</v>
      </c>
      <c r="F225" s="22">
        <f t="shared" si="10"/>
        <v>7</v>
      </c>
      <c r="G225" s="22">
        <f t="shared" si="11"/>
        <v>34</v>
      </c>
    </row>
    <row r="226" customHeight="1" spans="1:8">
      <c r="A226" s="17">
        <v>111</v>
      </c>
      <c r="B226" s="18" t="str">
        <f>D227</f>
        <v>完美冲浪地 第三季 4</v>
      </c>
      <c r="C226" s="19" t="s">
        <v>373</v>
      </c>
      <c r="D226" s="36" t="s">
        <v>705</v>
      </c>
      <c r="E226" s="28" t="s">
        <v>706</v>
      </c>
      <c r="F226" s="22">
        <f t="shared" si="10"/>
        <v>24</v>
      </c>
      <c r="G226" s="22">
        <f t="shared" si="11"/>
        <v>150</v>
      </c>
      <c r="H226" s="31"/>
    </row>
    <row r="227" customHeight="1" spans="1:7">
      <c r="A227" s="23"/>
      <c r="B227" s="24"/>
      <c r="C227" s="19" t="s">
        <v>42</v>
      </c>
      <c r="D227" s="25" t="s">
        <v>707</v>
      </c>
      <c r="E227" s="30" t="s">
        <v>708</v>
      </c>
      <c r="F227" s="22">
        <f t="shared" si="10"/>
        <v>11</v>
      </c>
      <c r="G227" s="22">
        <f t="shared" si="11"/>
        <v>16</v>
      </c>
    </row>
    <row r="228" customHeight="1" spans="1:8">
      <c r="A228" s="17">
        <v>112</v>
      </c>
      <c r="B228" s="18" t="str">
        <f>D229</f>
        <v>电子竞技场 81</v>
      </c>
      <c r="C228" s="19" t="s">
        <v>373</v>
      </c>
      <c r="D228" s="36" t="s">
        <v>709</v>
      </c>
      <c r="E228" s="28" t="s">
        <v>710</v>
      </c>
      <c r="F228" s="22">
        <f t="shared" si="10"/>
        <v>16</v>
      </c>
      <c r="G228" s="22">
        <f t="shared" si="11"/>
        <v>120</v>
      </c>
      <c r="H228" s="31"/>
    </row>
    <row r="229" customHeight="1" spans="1:7">
      <c r="A229" s="23"/>
      <c r="B229" s="24"/>
      <c r="C229" s="19" t="s">
        <v>42</v>
      </c>
      <c r="D229" s="25" t="s">
        <v>711</v>
      </c>
      <c r="E229" s="30" t="s">
        <v>712</v>
      </c>
      <c r="F229" s="22">
        <f t="shared" si="10"/>
        <v>8</v>
      </c>
      <c r="G229" s="22">
        <f t="shared" si="11"/>
        <v>41</v>
      </c>
    </row>
    <row r="230" customHeight="1" spans="1:8">
      <c r="A230" s="17">
        <v>113</v>
      </c>
      <c r="B230" s="18" t="str">
        <f>D231</f>
        <v>电子竞技场 80</v>
      </c>
      <c r="C230" s="19" t="s">
        <v>373</v>
      </c>
      <c r="D230" s="36" t="s">
        <v>713</v>
      </c>
      <c r="E230" s="28" t="s">
        <v>710</v>
      </c>
      <c r="F230" s="22">
        <f t="shared" si="10"/>
        <v>16</v>
      </c>
      <c r="G230" s="22">
        <f t="shared" si="11"/>
        <v>120</v>
      </c>
      <c r="H230" s="31"/>
    </row>
    <row r="231" customHeight="1" spans="1:7">
      <c r="A231" s="23"/>
      <c r="B231" s="24"/>
      <c r="C231" s="19" t="s">
        <v>42</v>
      </c>
      <c r="D231" s="25" t="s">
        <v>714</v>
      </c>
      <c r="E231" s="30" t="s">
        <v>712</v>
      </c>
      <c r="F231" s="22">
        <f t="shared" si="10"/>
        <v>8</v>
      </c>
      <c r="G231" s="22">
        <f t="shared" si="11"/>
        <v>41</v>
      </c>
    </row>
    <row r="232" customHeight="1" spans="1:8">
      <c r="A232" s="17">
        <v>114</v>
      </c>
      <c r="B232" s="18" t="str">
        <f>D233</f>
        <v>2024元宵奇妙游</v>
      </c>
      <c r="C232" s="19" t="s">
        <v>373</v>
      </c>
      <c r="D232" s="20" t="s">
        <v>715</v>
      </c>
      <c r="E232" s="21" t="s">
        <v>716</v>
      </c>
      <c r="F232" s="22">
        <f t="shared" si="10"/>
        <v>35</v>
      </c>
      <c r="G232" s="22">
        <f t="shared" si="11"/>
        <v>518</v>
      </c>
      <c r="H232" s="14"/>
    </row>
    <row r="233" customHeight="1" spans="1:7">
      <c r="A233" s="23"/>
      <c r="B233" s="24"/>
      <c r="C233" s="19" t="s">
        <v>42</v>
      </c>
      <c r="D233" s="25" t="s">
        <v>717</v>
      </c>
      <c r="E233" s="30" t="s">
        <v>718</v>
      </c>
      <c r="F233" s="22">
        <f t="shared" si="10"/>
        <v>9</v>
      </c>
      <c r="G233" s="22">
        <f t="shared" si="11"/>
        <v>119</v>
      </c>
    </row>
    <row r="234" customHeight="1" spans="1:8">
      <c r="A234" s="17">
        <v>115</v>
      </c>
      <c r="B234" s="18" t="str">
        <f>D235</f>
        <v>一年一度喜剧大赛 第一季 3</v>
      </c>
      <c r="C234" s="19" t="s">
        <v>373</v>
      </c>
      <c r="D234" s="20" t="s">
        <v>719</v>
      </c>
      <c r="E234" s="28" t="s">
        <v>720</v>
      </c>
      <c r="F234" s="22">
        <f t="shared" ref="F234:F263" si="12">LEN(D234)</f>
        <v>24</v>
      </c>
      <c r="G234" s="22">
        <f t="shared" ref="G234:G263" si="13">LEN(E234)</f>
        <v>29</v>
      </c>
      <c r="H234" s="31"/>
    </row>
    <row r="235" customHeight="1" spans="1:7">
      <c r="A235" s="23"/>
      <c r="B235" s="24"/>
      <c r="C235" s="19" t="s">
        <v>42</v>
      </c>
      <c r="D235" s="25" t="s">
        <v>721</v>
      </c>
      <c r="E235" s="30" t="s">
        <v>722</v>
      </c>
      <c r="F235" s="22">
        <f t="shared" si="12"/>
        <v>14</v>
      </c>
      <c r="G235" s="22">
        <f t="shared" si="13"/>
        <v>9</v>
      </c>
    </row>
    <row r="236" customHeight="1" spans="1:8">
      <c r="A236" s="17">
        <v>116</v>
      </c>
      <c r="B236" s="18" t="str">
        <f>D237</f>
        <v>一年一度喜剧大赛 第一季 2</v>
      </c>
      <c r="C236" s="19" t="s">
        <v>373</v>
      </c>
      <c r="D236" s="20" t="s">
        <v>723</v>
      </c>
      <c r="E236" s="28" t="s">
        <v>720</v>
      </c>
      <c r="F236" s="22">
        <f t="shared" si="12"/>
        <v>24</v>
      </c>
      <c r="G236" s="22">
        <f t="shared" si="13"/>
        <v>29</v>
      </c>
      <c r="H236" s="31"/>
    </row>
    <row r="237" customHeight="1" spans="1:7">
      <c r="A237" s="23"/>
      <c r="B237" s="24"/>
      <c r="C237" s="19" t="s">
        <v>42</v>
      </c>
      <c r="D237" s="25" t="s">
        <v>724</v>
      </c>
      <c r="E237" s="30" t="s">
        <v>722</v>
      </c>
      <c r="F237" s="22">
        <f t="shared" si="12"/>
        <v>14</v>
      </c>
      <c r="G237" s="22">
        <f t="shared" si="13"/>
        <v>9</v>
      </c>
    </row>
    <row r="238" customHeight="1" spans="1:8">
      <c r="A238" s="17">
        <v>117</v>
      </c>
      <c r="B238" s="18" t="str">
        <f>D239</f>
        <v>2024年中央广播电视总台元宵晚会 20240224</v>
      </c>
      <c r="C238" s="19" t="s">
        <v>373</v>
      </c>
      <c r="D238" s="20" t="s">
        <v>725</v>
      </c>
      <c r="E238" s="28" t="s">
        <v>726</v>
      </c>
      <c r="F238" s="22">
        <f t="shared" si="12"/>
        <v>68</v>
      </c>
      <c r="G238" s="22">
        <f t="shared" si="13"/>
        <v>53</v>
      </c>
      <c r="H238" s="31"/>
    </row>
    <row r="239" customHeight="1" spans="1:7">
      <c r="A239" s="23"/>
      <c r="B239" s="24"/>
      <c r="C239" s="19" t="s">
        <v>42</v>
      </c>
      <c r="D239" s="25" t="s">
        <v>727</v>
      </c>
      <c r="E239" s="30" t="s">
        <v>728</v>
      </c>
      <c r="F239" s="22">
        <f t="shared" si="12"/>
        <v>26</v>
      </c>
      <c r="G239" s="22">
        <f t="shared" si="13"/>
        <v>16</v>
      </c>
    </row>
    <row r="240" customHeight="1" spans="1:8">
      <c r="A240" s="17">
        <v>118</v>
      </c>
      <c r="B240" s="18" t="str">
        <f>D241</f>
        <v>星光大道 京彩季</v>
      </c>
      <c r="C240" s="19" t="s">
        <v>373</v>
      </c>
      <c r="D240" s="20" t="s">
        <v>729</v>
      </c>
      <c r="E240" s="28" t="s">
        <v>730</v>
      </c>
      <c r="F240" s="22">
        <f t="shared" si="12"/>
        <v>39</v>
      </c>
      <c r="G240" s="22">
        <f t="shared" si="13"/>
        <v>124</v>
      </c>
      <c r="H240" s="31"/>
    </row>
    <row r="241" customHeight="1" spans="1:7">
      <c r="A241" s="23"/>
      <c r="B241" s="24"/>
      <c r="C241" s="19" t="s">
        <v>42</v>
      </c>
      <c r="D241" s="25" t="s">
        <v>731</v>
      </c>
      <c r="E241" s="30" t="s">
        <v>732</v>
      </c>
      <c r="F241" s="22">
        <f t="shared" si="12"/>
        <v>8</v>
      </c>
      <c r="G241" s="22">
        <f t="shared" si="13"/>
        <v>33</v>
      </c>
    </row>
    <row r="242" customHeight="1" spans="1:8">
      <c r="A242" s="17">
        <v>119</v>
      </c>
      <c r="B242" s="18" t="str">
        <f>D243</f>
        <v>开门大吉 20241111</v>
      </c>
      <c r="C242" s="19" t="s">
        <v>373</v>
      </c>
      <c r="D242" s="20" t="s">
        <v>733</v>
      </c>
      <c r="E242" s="28" t="s">
        <v>734</v>
      </c>
      <c r="F242" s="22">
        <f t="shared" si="12"/>
        <v>35</v>
      </c>
      <c r="G242" s="22">
        <f t="shared" si="13"/>
        <v>228</v>
      </c>
      <c r="H242" s="31"/>
    </row>
    <row r="243" customHeight="1" spans="1:7">
      <c r="A243" s="23"/>
      <c r="B243" s="24"/>
      <c r="C243" s="19" t="s">
        <v>42</v>
      </c>
      <c r="D243" s="25" t="s">
        <v>735</v>
      </c>
      <c r="E243" s="30" t="s">
        <v>736</v>
      </c>
      <c r="F243" s="22">
        <f t="shared" si="12"/>
        <v>13</v>
      </c>
      <c r="G243" s="22">
        <f t="shared" si="13"/>
        <v>58</v>
      </c>
    </row>
    <row r="244" customHeight="1" spans="1:8">
      <c r="A244" s="17">
        <v>120</v>
      </c>
      <c r="B244" s="18" t="str">
        <f>D245</f>
        <v>吉聚欢喜 20230124</v>
      </c>
      <c r="C244" s="19" t="s">
        <v>373</v>
      </c>
      <c r="D244" s="20" t="s">
        <v>737</v>
      </c>
      <c r="E244" s="28" t="s">
        <v>738</v>
      </c>
      <c r="F244" s="22">
        <f t="shared" si="12"/>
        <v>46</v>
      </c>
      <c r="G244" s="22">
        <f t="shared" si="13"/>
        <v>45</v>
      </c>
      <c r="H244" s="31"/>
    </row>
    <row r="245" customHeight="1" spans="1:7">
      <c r="A245" s="23"/>
      <c r="B245" s="24"/>
      <c r="C245" s="19" t="s">
        <v>42</v>
      </c>
      <c r="D245" s="25" t="s">
        <v>739</v>
      </c>
      <c r="E245" s="30" t="s">
        <v>740</v>
      </c>
      <c r="F245" s="22">
        <f t="shared" si="12"/>
        <v>13</v>
      </c>
      <c r="G245" s="22">
        <f t="shared" si="13"/>
        <v>15</v>
      </c>
    </row>
    <row r="246" customHeight="1" spans="1:8">
      <c r="A246" s="17">
        <v>121</v>
      </c>
      <c r="B246" s="18" t="str">
        <f>D247</f>
        <v>轻松一笑 第二十一季 12</v>
      </c>
      <c r="C246" s="19" t="s">
        <v>373</v>
      </c>
      <c r="D246" s="20" t="s">
        <v>741</v>
      </c>
      <c r="E246" s="28" t="s">
        <v>742</v>
      </c>
      <c r="F246" s="22">
        <f t="shared" si="12"/>
        <v>27</v>
      </c>
      <c r="G246" s="22">
        <f t="shared" si="13"/>
        <v>111</v>
      </c>
      <c r="H246" s="31"/>
    </row>
    <row r="247" customHeight="1" spans="1:7">
      <c r="A247" s="23"/>
      <c r="B247" s="24"/>
      <c r="C247" s="19" t="s">
        <v>42</v>
      </c>
      <c r="D247" s="25" t="s">
        <v>743</v>
      </c>
      <c r="E247" s="30" t="s">
        <v>744</v>
      </c>
      <c r="F247" s="22">
        <f t="shared" si="12"/>
        <v>13</v>
      </c>
      <c r="G247" s="22">
        <f t="shared" si="13"/>
        <v>26</v>
      </c>
    </row>
    <row r="248" customHeight="1" spans="1:8">
      <c r="A248" s="17">
        <v>122</v>
      </c>
      <c r="B248" s="18" t="str">
        <f>D249</f>
        <v>时光音乐会·老友记 4</v>
      </c>
      <c r="C248" s="19" t="s">
        <v>373</v>
      </c>
      <c r="D248" s="20" t="s">
        <v>745</v>
      </c>
      <c r="E248" s="28" t="s">
        <v>746</v>
      </c>
      <c r="F248" s="22">
        <f t="shared" si="12"/>
        <v>29</v>
      </c>
      <c r="G248" s="22">
        <f t="shared" si="13"/>
        <v>87</v>
      </c>
      <c r="H248" s="31"/>
    </row>
    <row r="249" customHeight="1" spans="1:7">
      <c r="A249" s="23"/>
      <c r="B249" s="24"/>
      <c r="C249" s="19" t="s">
        <v>42</v>
      </c>
      <c r="D249" s="25" t="s">
        <v>747</v>
      </c>
      <c r="E249" s="30" t="s">
        <v>748</v>
      </c>
      <c r="F249" s="22">
        <f t="shared" si="12"/>
        <v>11</v>
      </c>
      <c r="G249" s="22">
        <f t="shared" si="13"/>
        <v>44</v>
      </c>
    </row>
    <row r="250" customHeight="1" spans="1:8">
      <c r="A250" s="17">
        <v>123</v>
      </c>
      <c r="B250" s="18" t="str">
        <f>D251</f>
        <v>时光音乐会·老友记 3</v>
      </c>
      <c r="C250" s="19" t="s">
        <v>373</v>
      </c>
      <c r="D250" s="20" t="s">
        <v>749</v>
      </c>
      <c r="E250" s="28" t="s">
        <v>746</v>
      </c>
      <c r="F250" s="22">
        <f t="shared" si="12"/>
        <v>29</v>
      </c>
      <c r="G250" s="22">
        <f t="shared" si="13"/>
        <v>87</v>
      </c>
      <c r="H250" s="31"/>
    </row>
    <row r="251" customHeight="1" spans="1:7">
      <c r="A251" s="23"/>
      <c r="B251" s="24"/>
      <c r="C251" s="19" t="s">
        <v>42</v>
      </c>
      <c r="D251" s="25" t="s">
        <v>750</v>
      </c>
      <c r="E251" s="30" t="s">
        <v>748</v>
      </c>
      <c r="F251" s="22">
        <f t="shared" si="12"/>
        <v>11</v>
      </c>
      <c r="G251" s="22">
        <f t="shared" si="13"/>
        <v>44</v>
      </c>
    </row>
    <row r="252" customHeight="1" spans="1:8">
      <c r="A252" s="17">
        <v>124</v>
      </c>
      <c r="B252" s="18" t="str">
        <f>D253</f>
        <v>杜泰航和德彪西钢琴前奏曲--飘散在黄昏中的香气与声音</v>
      </c>
      <c r="C252" s="19" t="s">
        <v>373</v>
      </c>
      <c r="D252" s="27" t="s">
        <v>751</v>
      </c>
      <c r="E252" s="28" t="s">
        <v>752</v>
      </c>
      <c r="F252" s="22">
        <f t="shared" si="12"/>
        <v>102</v>
      </c>
      <c r="G252" s="22">
        <f t="shared" si="13"/>
        <v>82</v>
      </c>
      <c r="H252" s="31"/>
    </row>
    <row r="253" customHeight="1" spans="1:7">
      <c r="A253" s="23"/>
      <c r="B253" s="24"/>
      <c r="C253" s="19" t="s">
        <v>42</v>
      </c>
      <c r="D253" s="25" t="s">
        <v>753</v>
      </c>
      <c r="E253" s="30" t="s">
        <v>754</v>
      </c>
      <c r="F253" s="22">
        <f t="shared" si="12"/>
        <v>26</v>
      </c>
      <c r="G253" s="22">
        <f t="shared" si="13"/>
        <v>30</v>
      </c>
    </row>
    <row r="254" customHeight="1" spans="1:8">
      <c r="A254" s="17">
        <v>125</v>
      </c>
      <c r="B254" s="18" t="str">
        <f>D255</f>
        <v>精彩音乐汇 我的爱对你说 20241119</v>
      </c>
      <c r="C254" s="19" t="s">
        <v>373</v>
      </c>
      <c r="D254" s="36" t="s">
        <v>755</v>
      </c>
      <c r="E254" s="28" t="s">
        <v>756</v>
      </c>
      <c r="F254" s="22">
        <f t="shared" si="12"/>
        <v>56</v>
      </c>
      <c r="G254" s="22">
        <f t="shared" si="13"/>
        <v>158</v>
      </c>
      <c r="H254" s="31"/>
    </row>
    <row r="255" customHeight="1" spans="1:7">
      <c r="A255" s="23"/>
      <c r="B255" s="24"/>
      <c r="C255" s="19" t="s">
        <v>42</v>
      </c>
      <c r="D255" s="25" t="s">
        <v>757</v>
      </c>
      <c r="E255" s="30" t="s">
        <v>758</v>
      </c>
      <c r="F255" s="22">
        <f t="shared" si="12"/>
        <v>21</v>
      </c>
      <c r="G255" s="22">
        <f t="shared" si="13"/>
        <v>54</v>
      </c>
    </row>
    <row r="256" customHeight="1" spans="1:8">
      <c r="A256" s="17">
        <v>126</v>
      </c>
      <c r="B256" s="18" t="str">
        <f>D257</f>
        <v>滚石乐队与布莱恩·琼斯 2</v>
      </c>
      <c r="C256" s="19" t="s">
        <v>373</v>
      </c>
      <c r="D256" s="20" t="s">
        <v>759</v>
      </c>
      <c r="E256" s="28" t="s">
        <v>760</v>
      </c>
      <c r="F256" s="22">
        <f t="shared" si="12"/>
        <v>31</v>
      </c>
      <c r="G256" s="22">
        <f t="shared" si="13"/>
        <v>197</v>
      </c>
      <c r="H256" s="31"/>
    </row>
    <row r="257" customHeight="1" spans="1:7">
      <c r="A257" s="23"/>
      <c r="B257" s="24"/>
      <c r="C257" s="19" t="s">
        <v>42</v>
      </c>
      <c r="D257" s="25" t="s">
        <v>761</v>
      </c>
      <c r="E257" s="30" t="s">
        <v>762</v>
      </c>
      <c r="F257" s="22">
        <f t="shared" si="12"/>
        <v>13</v>
      </c>
      <c r="G257" s="22">
        <f t="shared" si="13"/>
        <v>51</v>
      </c>
    </row>
    <row r="258" customHeight="1" spans="1:8">
      <c r="A258" s="17">
        <v>127</v>
      </c>
      <c r="B258" s="18" t="str">
        <f>D259</f>
        <v>滚石乐队与布莱恩·琼斯 1</v>
      </c>
      <c r="C258" s="19" t="s">
        <v>373</v>
      </c>
      <c r="D258" s="20" t="s">
        <v>763</v>
      </c>
      <c r="E258" s="28" t="s">
        <v>760</v>
      </c>
      <c r="F258" s="22">
        <f t="shared" si="12"/>
        <v>31</v>
      </c>
      <c r="G258" s="22">
        <f t="shared" si="13"/>
        <v>197</v>
      </c>
      <c r="H258" s="31"/>
    </row>
    <row r="259" customHeight="1" spans="1:7">
      <c r="A259" s="23"/>
      <c r="B259" s="24"/>
      <c r="C259" s="19" t="s">
        <v>42</v>
      </c>
      <c r="D259" s="25" t="s">
        <v>764</v>
      </c>
      <c r="E259" s="30" t="s">
        <v>762</v>
      </c>
      <c r="F259" s="22">
        <f t="shared" si="12"/>
        <v>13</v>
      </c>
      <c r="G259" s="22">
        <f t="shared" si="13"/>
        <v>51</v>
      </c>
    </row>
    <row r="260" customHeight="1" spans="1:8">
      <c r="A260" s="17">
        <v>128</v>
      </c>
      <c r="B260" s="18" t="str">
        <f>D261</f>
        <v>中国节日 6 元宵节（下）</v>
      </c>
      <c r="C260" s="19" t="s">
        <v>373</v>
      </c>
      <c r="D260" s="20" t="s">
        <v>765</v>
      </c>
      <c r="E260" s="28" t="s">
        <v>766</v>
      </c>
      <c r="F260" s="22">
        <f t="shared" si="12"/>
        <v>44</v>
      </c>
      <c r="G260" s="22">
        <f t="shared" si="13"/>
        <v>196</v>
      </c>
      <c r="H260" s="31"/>
    </row>
    <row r="261" customHeight="1" spans="1:7">
      <c r="A261" s="23"/>
      <c r="B261" s="24"/>
      <c r="C261" s="19" t="s">
        <v>42</v>
      </c>
      <c r="D261" s="25" t="s">
        <v>767</v>
      </c>
      <c r="E261" s="30" t="s">
        <v>768</v>
      </c>
      <c r="F261" s="22">
        <f t="shared" si="12"/>
        <v>13</v>
      </c>
      <c r="G261" s="22">
        <f t="shared" si="13"/>
        <v>41</v>
      </c>
    </row>
    <row r="262" customHeight="1" spans="1:8">
      <c r="A262" s="17">
        <v>129</v>
      </c>
      <c r="B262" s="18" t="str">
        <f>D263</f>
        <v>中国节日 5 元宵节（上）</v>
      </c>
      <c r="C262" s="19" t="s">
        <v>373</v>
      </c>
      <c r="D262" s="20" t="s">
        <v>769</v>
      </c>
      <c r="E262" s="28" t="s">
        <v>766</v>
      </c>
      <c r="F262" s="22">
        <f t="shared" si="12"/>
        <v>44</v>
      </c>
      <c r="G262" s="22">
        <f t="shared" si="13"/>
        <v>196</v>
      </c>
      <c r="H262" s="31"/>
    </row>
    <row r="263" customHeight="1" spans="1:7">
      <c r="A263" s="23"/>
      <c r="B263" s="24"/>
      <c r="C263" s="19" t="s">
        <v>42</v>
      </c>
      <c r="D263" s="25" t="s">
        <v>770</v>
      </c>
      <c r="E263" s="30" t="s">
        <v>768</v>
      </c>
      <c r="F263" s="22">
        <f t="shared" si="12"/>
        <v>13</v>
      </c>
      <c r="G263" s="22">
        <f t="shared" si="13"/>
        <v>41</v>
      </c>
    </row>
    <row r="264" customHeight="1" spans="1:8">
      <c r="A264" s="17">
        <v>130</v>
      </c>
      <c r="B264" s="18" t="str">
        <f>D265</f>
        <v>何以中国 6</v>
      </c>
      <c r="C264" s="19" t="s">
        <v>373</v>
      </c>
      <c r="D264" s="20" t="s">
        <v>771</v>
      </c>
      <c r="E264" s="28" t="s">
        <v>772</v>
      </c>
      <c r="F264" s="22">
        <f t="shared" ref="F264:F279" si="14">LEN(D264)</f>
        <v>23</v>
      </c>
      <c r="G264" s="22">
        <f t="shared" ref="G264:G279" si="15">LEN(E264)</f>
        <v>164</v>
      </c>
      <c r="H264" s="31"/>
    </row>
    <row r="265" customHeight="1" spans="1:7">
      <c r="A265" s="23"/>
      <c r="B265" s="24"/>
      <c r="C265" s="19" t="s">
        <v>42</v>
      </c>
      <c r="D265" s="25" t="s">
        <v>773</v>
      </c>
      <c r="E265" s="30" t="s">
        <v>774</v>
      </c>
      <c r="F265" s="22">
        <f t="shared" si="14"/>
        <v>6</v>
      </c>
      <c r="G265" s="22">
        <f t="shared" si="15"/>
        <v>61</v>
      </c>
    </row>
    <row r="266" customHeight="1" spans="1:8">
      <c r="A266" s="17">
        <v>131</v>
      </c>
      <c r="B266" s="18" t="str">
        <f>D267</f>
        <v>何以中国 5</v>
      </c>
      <c r="C266" s="19" t="s">
        <v>373</v>
      </c>
      <c r="D266" s="20" t="s">
        <v>775</v>
      </c>
      <c r="E266" s="28" t="s">
        <v>772</v>
      </c>
      <c r="F266" s="22">
        <f t="shared" si="14"/>
        <v>23</v>
      </c>
      <c r="G266" s="22">
        <f t="shared" si="15"/>
        <v>164</v>
      </c>
      <c r="H266" s="31"/>
    </row>
    <row r="267" customHeight="1" spans="1:7">
      <c r="A267" s="23"/>
      <c r="B267" s="24"/>
      <c r="C267" s="19" t="s">
        <v>42</v>
      </c>
      <c r="D267" s="25" t="s">
        <v>776</v>
      </c>
      <c r="E267" s="30" t="s">
        <v>774</v>
      </c>
      <c r="F267" s="22">
        <f t="shared" si="14"/>
        <v>6</v>
      </c>
      <c r="G267" s="22">
        <f t="shared" si="15"/>
        <v>61</v>
      </c>
    </row>
    <row r="268" customHeight="1" spans="1:8">
      <c r="A268" s="17">
        <v>132</v>
      </c>
      <c r="B268" s="18" t="str">
        <f>D269</f>
        <v>中国村落 5</v>
      </c>
      <c r="C268" s="19" t="s">
        <v>373</v>
      </c>
      <c r="D268" s="20" t="s">
        <v>777</v>
      </c>
      <c r="E268" s="28" t="s">
        <v>778</v>
      </c>
      <c r="F268" s="22">
        <f t="shared" si="14"/>
        <v>26</v>
      </c>
      <c r="G268" s="22">
        <f t="shared" si="15"/>
        <v>68</v>
      </c>
      <c r="H268" s="31"/>
    </row>
    <row r="269" customHeight="1" spans="1:7">
      <c r="A269" s="23"/>
      <c r="B269" s="24"/>
      <c r="C269" s="19" t="s">
        <v>42</v>
      </c>
      <c r="D269" s="25" t="s">
        <v>779</v>
      </c>
      <c r="E269" s="30" t="s">
        <v>780</v>
      </c>
      <c r="F269" s="22">
        <f t="shared" si="14"/>
        <v>6</v>
      </c>
      <c r="G269" s="22">
        <f t="shared" si="15"/>
        <v>41</v>
      </c>
    </row>
    <row r="270" customHeight="1" spans="1:8">
      <c r="A270" s="17">
        <v>133</v>
      </c>
      <c r="B270" s="18" t="str">
        <f>D271</f>
        <v>中国村落 4</v>
      </c>
      <c r="C270" s="19" t="s">
        <v>373</v>
      </c>
      <c r="D270" s="20" t="s">
        <v>781</v>
      </c>
      <c r="E270" s="28" t="s">
        <v>778</v>
      </c>
      <c r="F270" s="22">
        <f t="shared" si="14"/>
        <v>26</v>
      </c>
      <c r="G270" s="22">
        <f t="shared" si="15"/>
        <v>68</v>
      </c>
      <c r="H270" s="31"/>
    </row>
    <row r="271" customHeight="1" spans="1:7">
      <c r="A271" s="23"/>
      <c r="B271" s="24"/>
      <c r="C271" s="19" t="s">
        <v>42</v>
      </c>
      <c r="D271" s="25" t="s">
        <v>782</v>
      </c>
      <c r="E271" s="30" t="s">
        <v>780</v>
      </c>
      <c r="F271" s="22">
        <f t="shared" si="14"/>
        <v>6</v>
      </c>
      <c r="G271" s="22">
        <f t="shared" si="15"/>
        <v>41</v>
      </c>
    </row>
    <row r="272" customHeight="1" spans="1:8">
      <c r="A272" s="17">
        <v>134</v>
      </c>
      <c r="B272" s="18" t="str">
        <f>D273</f>
        <v>诗画中国 江河万古流 20240629</v>
      </c>
      <c r="C272" s="19" t="s">
        <v>373</v>
      </c>
      <c r="D272" s="36" t="s">
        <v>783</v>
      </c>
      <c r="E272" s="28" t="s">
        <v>784</v>
      </c>
      <c r="F272" s="22">
        <f t="shared" si="14"/>
        <v>67</v>
      </c>
      <c r="G272" s="22">
        <f t="shared" si="15"/>
        <v>226</v>
      </c>
      <c r="H272" s="31"/>
    </row>
    <row r="273" customHeight="1" spans="1:7">
      <c r="A273" s="23"/>
      <c r="B273" s="24"/>
      <c r="C273" s="19" t="s">
        <v>42</v>
      </c>
      <c r="D273" s="25" t="s">
        <v>785</v>
      </c>
      <c r="E273" s="30" t="s">
        <v>786</v>
      </c>
      <c r="F273" s="22">
        <f t="shared" si="14"/>
        <v>19</v>
      </c>
      <c r="G273" s="22">
        <f t="shared" si="15"/>
        <v>54</v>
      </c>
    </row>
    <row r="274" customHeight="1" spans="1:8">
      <c r="A274" s="17">
        <v>135</v>
      </c>
      <c r="B274" s="18" t="str">
        <f>D275</f>
        <v>色彩中国 3</v>
      </c>
      <c r="C274" s="19" t="s">
        <v>373</v>
      </c>
      <c r="D274" s="20" t="s">
        <v>787</v>
      </c>
      <c r="E274" s="28" t="s">
        <v>788</v>
      </c>
      <c r="F274" s="22">
        <f t="shared" si="14"/>
        <v>25</v>
      </c>
      <c r="G274" s="22">
        <f t="shared" si="15"/>
        <v>73</v>
      </c>
      <c r="H274" s="31"/>
    </row>
    <row r="275" customHeight="1" spans="1:7">
      <c r="A275" s="23"/>
      <c r="B275" s="24"/>
      <c r="C275" s="19" t="s">
        <v>42</v>
      </c>
      <c r="D275" s="25" t="s">
        <v>789</v>
      </c>
      <c r="E275" s="30" t="s">
        <v>790</v>
      </c>
      <c r="F275" s="22">
        <f t="shared" si="14"/>
        <v>6</v>
      </c>
      <c r="G275" s="22">
        <f t="shared" si="15"/>
        <v>22</v>
      </c>
    </row>
    <row r="276" customHeight="1" spans="1:8">
      <c r="A276" s="17">
        <v>136</v>
      </c>
      <c r="B276" s="18" t="str">
        <f>D277</f>
        <v>精彩导航</v>
      </c>
      <c r="C276" s="19" t="s">
        <v>373</v>
      </c>
      <c r="D276" s="36" t="s">
        <v>791</v>
      </c>
      <c r="E276" s="28" t="s">
        <v>792</v>
      </c>
      <c r="F276" s="22">
        <f t="shared" ref="F276:F296" si="16">LEN(D276)</f>
        <v>20</v>
      </c>
      <c r="G276" s="22">
        <f t="shared" ref="G276:G296" si="17">LEN(E276)</f>
        <v>446</v>
      </c>
      <c r="H276" s="31"/>
    </row>
    <row r="277" customHeight="1" spans="1:7">
      <c r="A277" s="23"/>
      <c r="B277" s="24"/>
      <c r="C277" s="19" t="s">
        <v>42</v>
      </c>
      <c r="D277" s="39" t="s">
        <v>793</v>
      </c>
      <c r="E277" s="30" t="s">
        <v>794</v>
      </c>
      <c r="F277" s="22">
        <f t="shared" si="16"/>
        <v>4</v>
      </c>
      <c r="G277" s="22">
        <f t="shared" si="17"/>
        <v>103</v>
      </c>
    </row>
  </sheetData>
  <mergeCells count="27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A64:A65"/>
    <mergeCell ref="A66:A67"/>
    <mergeCell ref="A68:A69"/>
    <mergeCell ref="A70:A71"/>
    <mergeCell ref="A72:A73"/>
    <mergeCell ref="A74:A75"/>
    <mergeCell ref="A76:A77"/>
    <mergeCell ref="A78:A79"/>
    <mergeCell ref="A80:A81"/>
    <mergeCell ref="A82:A83"/>
    <mergeCell ref="A84:A85"/>
    <mergeCell ref="A86:A87"/>
    <mergeCell ref="A88:A89"/>
    <mergeCell ref="A90:A91"/>
    <mergeCell ref="A92:A93"/>
    <mergeCell ref="A94:A95"/>
    <mergeCell ref="A96:A97"/>
    <mergeCell ref="A98:A99"/>
    <mergeCell ref="A100:A101"/>
    <mergeCell ref="A102:A103"/>
    <mergeCell ref="A104:A105"/>
    <mergeCell ref="A106:A107"/>
    <mergeCell ref="A108:A109"/>
    <mergeCell ref="A110:A112"/>
    <mergeCell ref="A113:A115"/>
    <mergeCell ref="A116:A118"/>
    <mergeCell ref="A119:A121"/>
    <mergeCell ref="A122:A123"/>
    <mergeCell ref="A124:A125"/>
    <mergeCell ref="A126:A127"/>
    <mergeCell ref="A128:A129"/>
    <mergeCell ref="A130:A131"/>
    <mergeCell ref="A132:A133"/>
    <mergeCell ref="A134:A135"/>
    <mergeCell ref="A136:A137"/>
    <mergeCell ref="A138:A139"/>
    <mergeCell ref="A140:A141"/>
    <mergeCell ref="A142:A143"/>
    <mergeCell ref="A144:A145"/>
    <mergeCell ref="A146:A147"/>
    <mergeCell ref="A148:A149"/>
    <mergeCell ref="A150:A151"/>
    <mergeCell ref="A152:A153"/>
    <mergeCell ref="A154:A155"/>
    <mergeCell ref="A156:A157"/>
    <mergeCell ref="A158:A159"/>
    <mergeCell ref="A160:A161"/>
    <mergeCell ref="A162:A163"/>
    <mergeCell ref="A164:A165"/>
    <mergeCell ref="A166:A167"/>
    <mergeCell ref="A168:A169"/>
    <mergeCell ref="A170:A171"/>
    <mergeCell ref="A172:A173"/>
    <mergeCell ref="A174:A175"/>
    <mergeCell ref="A176:A177"/>
    <mergeCell ref="A178:A179"/>
    <mergeCell ref="A180:A181"/>
    <mergeCell ref="A182:A183"/>
    <mergeCell ref="A184:A185"/>
    <mergeCell ref="A186:A187"/>
    <mergeCell ref="A188:A189"/>
    <mergeCell ref="A190:A191"/>
    <mergeCell ref="A192:A193"/>
    <mergeCell ref="A194:A195"/>
    <mergeCell ref="A196:A197"/>
    <mergeCell ref="A198:A199"/>
    <mergeCell ref="A200:A201"/>
    <mergeCell ref="A202:A203"/>
    <mergeCell ref="A204:A205"/>
    <mergeCell ref="A206:A207"/>
    <mergeCell ref="A208:A209"/>
    <mergeCell ref="A210:A211"/>
    <mergeCell ref="A212:A213"/>
    <mergeCell ref="A214:A215"/>
    <mergeCell ref="A216:A217"/>
    <mergeCell ref="A218:A219"/>
    <mergeCell ref="A220:A221"/>
    <mergeCell ref="A222:A223"/>
    <mergeCell ref="A224:A225"/>
    <mergeCell ref="A226:A227"/>
    <mergeCell ref="A228:A229"/>
    <mergeCell ref="A230:A231"/>
    <mergeCell ref="A232:A233"/>
    <mergeCell ref="A234:A235"/>
    <mergeCell ref="A236:A237"/>
    <mergeCell ref="A238:A239"/>
    <mergeCell ref="A240:A241"/>
    <mergeCell ref="A242:A243"/>
    <mergeCell ref="A244:A245"/>
    <mergeCell ref="A246:A247"/>
    <mergeCell ref="A248:A249"/>
    <mergeCell ref="A250:A251"/>
    <mergeCell ref="A252:A253"/>
    <mergeCell ref="A254:A255"/>
    <mergeCell ref="A256:A257"/>
    <mergeCell ref="A258:A259"/>
    <mergeCell ref="A260:A261"/>
    <mergeCell ref="A262:A263"/>
    <mergeCell ref="A264:A265"/>
    <mergeCell ref="A266:A267"/>
    <mergeCell ref="A268:A269"/>
    <mergeCell ref="A270:A271"/>
    <mergeCell ref="A272:A273"/>
    <mergeCell ref="A274:A275"/>
    <mergeCell ref="A276:A277"/>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B64:B65"/>
    <mergeCell ref="B66:B67"/>
    <mergeCell ref="B68:B69"/>
    <mergeCell ref="B70:B71"/>
    <mergeCell ref="B72:B73"/>
    <mergeCell ref="B74:B75"/>
    <mergeCell ref="B76:B77"/>
    <mergeCell ref="B78:B79"/>
    <mergeCell ref="B80:B81"/>
    <mergeCell ref="B82:B83"/>
    <mergeCell ref="B84:B85"/>
    <mergeCell ref="B86:B87"/>
    <mergeCell ref="B88:B89"/>
    <mergeCell ref="B90:B91"/>
    <mergeCell ref="B92:B93"/>
    <mergeCell ref="B94:B95"/>
    <mergeCell ref="B96:B97"/>
    <mergeCell ref="B98:B99"/>
    <mergeCell ref="B100:B101"/>
    <mergeCell ref="B102:B103"/>
    <mergeCell ref="B104:B105"/>
    <mergeCell ref="B106:B107"/>
    <mergeCell ref="B108:B109"/>
    <mergeCell ref="B110:B112"/>
    <mergeCell ref="B113:B115"/>
    <mergeCell ref="B116:B118"/>
    <mergeCell ref="B119:B121"/>
    <mergeCell ref="B122:B123"/>
    <mergeCell ref="B124:B125"/>
    <mergeCell ref="B126:B127"/>
    <mergeCell ref="B128:B129"/>
    <mergeCell ref="B130:B131"/>
    <mergeCell ref="B132:B133"/>
    <mergeCell ref="B134:B135"/>
    <mergeCell ref="B136:B137"/>
    <mergeCell ref="B138:B139"/>
    <mergeCell ref="B140:B141"/>
    <mergeCell ref="B142:B143"/>
    <mergeCell ref="B144:B145"/>
    <mergeCell ref="B146:B147"/>
    <mergeCell ref="B148:B149"/>
    <mergeCell ref="B150:B151"/>
    <mergeCell ref="B152:B153"/>
    <mergeCell ref="B154:B155"/>
    <mergeCell ref="B156:B157"/>
    <mergeCell ref="B158:B159"/>
    <mergeCell ref="B160:B161"/>
    <mergeCell ref="B162:B163"/>
    <mergeCell ref="B164:B165"/>
    <mergeCell ref="B166:B167"/>
    <mergeCell ref="B168:B169"/>
    <mergeCell ref="B170:B171"/>
    <mergeCell ref="B172:B173"/>
    <mergeCell ref="B174:B175"/>
    <mergeCell ref="B176:B177"/>
    <mergeCell ref="B178:B179"/>
    <mergeCell ref="B180:B181"/>
    <mergeCell ref="B182:B183"/>
    <mergeCell ref="B184:B185"/>
    <mergeCell ref="B186:B187"/>
    <mergeCell ref="B188:B189"/>
    <mergeCell ref="B190:B191"/>
    <mergeCell ref="B192:B193"/>
    <mergeCell ref="B194:B195"/>
    <mergeCell ref="B196:B197"/>
    <mergeCell ref="B198:B199"/>
    <mergeCell ref="B200:B201"/>
    <mergeCell ref="B202:B203"/>
    <mergeCell ref="B204:B205"/>
    <mergeCell ref="B206:B207"/>
    <mergeCell ref="B208:B209"/>
    <mergeCell ref="B210:B211"/>
    <mergeCell ref="B212:B213"/>
    <mergeCell ref="B214:B215"/>
    <mergeCell ref="B216:B217"/>
    <mergeCell ref="B218:B219"/>
    <mergeCell ref="B220:B221"/>
    <mergeCell ref="B222:B223"/>
    <mergeCell ref="B224:B225"/>
    <mergeCell ref="B226:B227"/>
    <mergeCell ref="B228:B229"/>
    <mergeCell ref="B230:B231"/>
    <mergeCell ref="B232:B233"/>
    <mergeCell ref="B234:B235"/>
    <mergeCell ref="B236:B237"/>
    <mergeCell ref="B238:B239"/>
    <mergeCell ref="B240:B241"/>
    <mergeCell ref="B242:B243"/>
    <mergeCell ref="B244:B245"/>
    <mergeCell ref="B246:B247"/>
    <mergeCell ref="B248:B249"/>
    <mergeCell ref="B250:B251"/>
    <mergeCell ref="B252:B253"/>
    <mergeCell ref="B254:B255"/>
    <mergeCell ref="B256:B257"/>
    <mergeCell ref="B258:B259"/>
    <mergeCell ref="B260:B261"/>
    <mergeCell ref="B262:B263"/>
    <mergeCell ref="B264:B265"/>
    <mergeCell ref="B266:B267"/>
    <mergeCell ref="B268:B269"/>
    <mergeCell ref="B270:B271"/>
    <mergeCell ref="B272:B273"/>
    <mergeCell ref="B274:B275"/>
    <mergeCell ref="B276:B277"/>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47"/>
  <sheetViews>
    <sheetView workbookViewId="0">
      <pane ySplit="1" topLeftCell="A2" activePane="bottomLeft" state="frozen"/>
      <selection/>
      <selection pane="bottomLeft" activeCell="C2" sqref="$A2:$XFD3"/>
    </sheetView>
  </sheetViews>
  <sheetFormatPr defaultColWidth="9" defaultRowHeight="12.75" outlineLevelCol="7"/>
  <cols>
    <col min="1" max="1" width="6.375" style="1" customWidth="1"/>
    <col min="2" max="2" width="27.5" style="1" customWidth="1"/>
    <col min="3" max="3" width="8.875" style="2" customWidth="1"/>
    <col min="4" max="4" width="54.625" style="3" customWidth="1"/>
    <col min="5" max="5" width="54.625" style="4" customWidth="1"/>
    <col min="6" max="7" width="9" style="2"/>
    <col min="8" max="16384" width="9" style="1"/>
  </cols>
  <sheetData>
    <row r="1" s="1" customFormat="1" ht="40" customHeight="1" spans="1:7">
      <c r="A1" s="5" t="s">
        <v>29</v>
      </c>
      <c r="B1" s="5" t="s">
        <v>30</v>
      </c>
      <c r="C1" s="6" t="s">
        <v>31</v>
      </c>
      <c r="D1" s="7" t="s">
        <v>32</v>
      </c>
      <c r="E1" s="5" t="s">
        <v>35</v>
      </c>
      <c r="F1" s="6" t="s">
        <v>371</v>
      </c>
      <c r="G1" s="6" t="s">
        <v>372</v>
      </c>
    </row>
    <row r="2" ht="30" customHeight="1" spans="1:7">
      <c r="A2" s="8">
        <v>2</v>
      </c>
      <c r="B2" s="9" t="str">
        <f>D3</f>
        <v>疯狂的爱（沪语版）</v>
      </c>
      <c r="C2" s="10" t="s">
        <v>373</v>
      </c>
      <c r="D2" s="11" t="s">
        <v>795</v>
      </c>
      <c r="E2" s="11" t="s">
        <v>795</v>
      </c>
      <c r="F2" s="12">
        <f t="shared" ref="F2:F15" si="0">LEN(D2)</f>
        <v>10</v>
      </c>
      <c r="G2" s="12">
        <f t="shared" ref="G2:G15" si="1">LEN(E2)</f>
        <v>10</v>
      </c>
    </row>
    <row r="3" ht="30" customHeight="1" spans="1:8">
      <c r="A3" s="8"/>
      <c r="B3" s="9"/>
      <c r="C3" s="10" t="s">
        <v>42</v>
      </c>
      <c r="D3" s="13" t="s">
        <v>796</v>
      </c>
      <c r="E3" s="13" t="s">
        <v>796</v>
      </c>
      <c r="F3" s="12">
        <f t="shared" si="0"/>
        <v>9</v>
      </c>
      <c r="G3" s="12">
        <f t="shared" si="1"/>
        <v>9</v>
      </c>
      <c r="H3" s="14"/>
    </row>
    <row r="4" ht="30" customHeight="1" spans="1:7">
      <c r="A4" s="8">
        <v>3</v>
      </c>
      <c r="B4" s="9" t="str">
        <f>D5</f>
        <v>神奇宝贝</v>
      </c>
      <c r="C4" s="10" t="s">
        <v>373</v>
      </c>
      <c r="D4" s="11" t="s">
        <v>797</v>
      </c>
      <c r="E4" s="11" t="s">
        <v>797</v>
      </c>
      <c r="F4" s="12">
        <f t="shared" si="0"/>
        <v>7</v>
      </c>
      <c r="G4" s="12">
        <f t="shared" si="1"/>
        <v>7</v>
      </c>
    </row>
    <row r="5" ht="30" customHeight="1" spans="1:8">
      <c r="A5" s="8"/>
      <c r="B5" s="9"/>
      <c r="C5" s="10" t="s">
        <v>42</v>
      </c>
      <c r="D5" s="13" t="s">
        <v>798</v>
      </c>
      <c r="E5" s="13" t="s">
        <v>798</v>
      </c>
      <c r="F5" s="12">
        <f t="shared" si="0"/>
        <v>4</v>
      </c>
      <c r="G5" s="12">
        <f t="shared" si="1"/>
        <v>4</v>
      </c>
      <c r="H5" s="14"/>
    </row>
    <row r="6" ht="30" customHeight="1" spans="1:7">
      <c r="A6" s="8">
        <v>4</v>
      </c>
      <c r="B6" s="9" t="str">
        <f>D7</f>
        <v>资博《避难所的愉快聚餐》官方MV</v>
      </c>
      <c r="C6" s="10" t="s">
        <v>373</v>
      </c>
      <c r="D6" s="11" t="s">
        <v>799</v>
      </c>
      <c r="E6" s="11" t="s">
        <v>799</v>
      </c>
      <c r="F6" s="12">
        <f t="shared" si="0"/>
        <v>55</v>
      </c>
      <c r="G6" s="12">
        <f t="shared" si="1"/>
        <v>55</v>
      </c>
    </row>
    <row r="7" ht="30" customHeight="1" spans="1:8">
      <c r="A7" s="8"/>
      <c r="B7" s="9"/>
      <c r="C7" s="10" t="s">
        <v>42</v>
      </c>
      <c r="D7" s="13" t="s">
        <v>800</v>
      </c>
      <c r="E7" s="13" t="s">
        <v>800</v>
      </c>
      <c r="F7" s="12">
        <f t="shared" si="0"/>
        <v>16</v>
      </c>
      <c r="G7" s="12">
        <f t="shared" si="1"/>
        <v>16</v>
      </c>
      <c r="H7" s="14"/>
    </row>
    <row r="8" ht="30" customHeight="1" spans="1:7">
      <c r="A8" s="8">
        <v>5</v>
      </c>
      <c r="B8" s="9" t="str">
        <f>D9</f>
        <v>资博《心王》官方MV</v>
      </c>
      <c r="C8" s="10" t="s">
        <v>373</v>
      </c>
      <c r="D8" s="11" t="s">
        <v>801</v>
      </c>
      <c r="E8" s="11" t="s">
        <v>801</v>
      </c>
      <c r="F8" s="12">
        <f t="shared" si="0"/>
        <v>41</v>
      </c>
      <c r="G8" s="12">
        <f t="shared" si="1"/>
        <v>41</v>
      </c>
    </row>
    <row r="9" ht="30" customHeight="1" spans="1:8">
      <c r="A9" s="8"/>
      <c r="B9" s="9"/>
      <c r="C9" s="10" t="s">
        <v>42</v>
      </c>
      <c r="D9" s="13" t="s">
        <v>802</v>
      </c>
      <c r="E9" s="13" t="s">
        <v>802</v>
      </c>
      <c r="F9" s="12">
        <f t="shared" si="0"/>
        <v>10</v>
      </c>
      <c r="G9" s="12">
        <f t="shared" si="1"/>
        <v>10</v>
      </c>
      <c r="H9" s="14"/>
    </row>
    <row r="10" ht="30" customHeight="1" spans="1:7">
      <c r="A10" s="8">
        <v>6</v>
      </c>
      <c r="B10" s="9" t="str">
        <f>D11</f>
        <v>造浪少年</v>
      </c>
      <c r="C10" s="10" t="s">
        <v>373</v>
      </c>
      <c r="D10" s="11" t="s">
        <v>803</v>
      </c>
      <c r="E10" s="11" t="s">
        <v>803</v>
      </c>
      <c r="F10" s="12">
        <f t="shared" si="0"/>
        <v>12</v>
      </c>
      <c r="G10" s="12">
        <f t="shared" si="1"/>
        <v>12</v>
      </c>
    </row>
    <row r="11" ht="30" customHeight="1" spans="1:8">
      <c r="A11" s="8"/>
      <c r="B11" s="9"/>
      <c r="C11" s="10" t="s">
        <v>42</v>
      </c>
      <c r="D11" s="13" t="s">
        <v>804</v>
      </c>
      <c r="E11" s="13" t="s">
        <v>804</v>
      </c>
      <c r="F11" s="12">
        <f t="shared" si="0"/>
        <v>4</v>
      </c>
      <c r="G11" s="12">
        <f t="shared" si="1"/>
        <v>4</v>
      </c>
      <c r="H11" s="14"/>
    </row>
    <row r="12" ht="30" customHeight="1" spans="1:7">
      <c r="A12" s="8">
        <v>7</v>
      </c>
      <c r="B12" s="9" t="str">
        <f>D13</f>
        <v>《离家千里》（电影《里斯本丸沉没》片尾曲）MV</v>
      </c>
      <c r="C12" s="10" t="s">
        <v>373</v>
      </c>
      <c r="D12" s="11" t="s">
        <v>805</v>
      </c>
      <c r="E12" s="11" t="s">
        <v>805</v>
      </c>
      <c r="F12" s="12">
        <f t="shared" si="0"/>
        <v>18</v>
      </c>
      <c r="G12" s="12">
        <f t="shared" si="1"/>
        <v>18</v>
      </c>
    </row>
    <row r="13" ht="30" customHeight="1" spans="1:8">
      <c r="A13" s="8"/>
      <c r="B13" s="9"/>
      <c r="C13" s="10" t="s">
        <v>42</v>
      </c>
      <c r="D13" s="13" t="s">
        <v>806</v>
      </c>
      <c r="E13" s="13" t="s">
        <v>806</v>
      </c>
      <c r="F13" s="12">
        <f t="shared" si="0"/>
        <v>23</v>
      </c>
      <c r="G13" s="12">
        <f t="shared" si="1"/>
        <v>23</v>
      </c>
      <c r="H13" s="14"/>
    </row>
    <row r="14" ht="30" customHeight="1" spans="1:7">
      <c r="A14" s="8">
        <v>8</v>
      </c>
      <c r="B14" s="9" t="str">
        <f>D15</f>
        <v>对不起（电影《盐湖计划》主题曲）</v>
      </c>
      <c r="C14" s="10" t="s">
        <v>373</v>
      </c>
      <c r="D14" s="11" t="s">
        <v>807</v>
      </c>
      <c r="E14" s="11" t="s">
        <v>807</v>
      </c>
      <c r="F14" s="12">
        <f t="shared" si="0"/>
        <v>5</v>
      </c>
      <c r="G14" s="12">
        <f t="shared" si="1"/>
        <v>5</v>
      </c>
    </row>
    <row r="15" ht="30" customHeight="1" spans="1:8">
      <c r="A15" s="8"/>
      <c r="B15" s="9"/>
      <c r="C15" s="10" t="s">
        <v>42</v>
      </c>
      <c r="D15" s="13" t="s">
        <v>808</v>
      </c>
      <c r="E15" s="13" t="s">
        <v>808</v>
      </c>
      <c r="F15" s="12">
        <f t="shared" si="0"/>
        <v>16</v>
      </c>
      <c r="G15" s="12">
        <f t="shared" si="1"/>
        <v>16</v>
      </c>
      <c r="H15" s="14"/>
    </row>
    <row r="16" ht="30" customHeight="1" spans="1:7">
      <c r="A16" s="8">
        <v>9</v>
      </c>
      <c r="B16" s="9" t="str">
        <f>D17</f>
        <v>赋情衷（《幻乐森林》影视剧片尾曲）</v>
      </c>
      <c r="C16" s="10" t="s">
        <v>373</v>
      </c>
      <c r="D16" s="11" t="s">
        <v>809</v>
      </c>
      <c r="E16" s="11" t="s">
        <v>809</v>
      </c>
      <c r="F16" s="12">
        <f t="shared" ref="F16:F41" si="2">LEN(D16)</f>
        <v>80</v>
      </c>
      <c r="G16" s="12">
        <f t="shared" ref="G16:G41" si="3">LEN(E16)</f>
        <v>80</v>
      </c>
    </row>
    <row r="17" ht="30" customHeight="1" spans="1:8">
      <c r="A17" s="8"/>
      <c r="B17" s="9"/>
      <c r="C17" s="10" t="s">
        <v>42</v>
      </c>
      <c r="D17" s="13" t="s">
        <v>810</v>
      </c>
      <c r="E17" s="13" t="s">
        <v>810</v>
      </c>
      <c r="F17" s="12">
        <f t="shared" si="2"/>
        <v>17</v>
      </c>
      <c r="G17" s="12">
        <f t="shared" si="3"/>
        <v>17</v>
      </c>
      <c r="H17" s="14"/>
    </row>
    <row r="18" ht="30" customHeight="1" spans="1:7">
      <c r="A18" s="8">
        <v>10</v>
      </c>
      <c r="B18" s="9" t="str">
        <f>D19</f>
        <v>寻岸（《暗夜与黎明》电视剧主题曲）</v>
      </c>
      <c r="C18" s="10" t="s">
        <v>373</v>
      </c>
      <c r="D18" s="11" t="s">
        <v>811</v>
      </c>
      <c r="E18" s="11" t="s">
        <v>811</v>
      </c>
      <c r="F18" s="12">
        <f t="shared" si="2"/>
        <v>69</v>
      </c>
      <c r="G18" s="12">
        <f t="shared" si="3"/>
        <v>69</v>
      </c>
    </row>
    <row r="19" ht="30" customHeight="1" spans="1:8">
      <c r="A19" s="8"/>
      <c r="B19" s="9"/>
      <c r="C19" s="10" t="s">
        <v>42</v>
      </c>
      <c r="D19" s="13" t="s">
        <v>812</v>
      </c>
      <c r="E19" s="13" t="s">
        <v>812</v>
      </c>
      <c r="F19" s="12">
        <f t="shared" si="2"/>
        <v>17</v>
      </c>
      <c r="G19" s="12">
        <f t="shared" si="3"/>
        <v>17</v>
      </c>
      <c r="H19" s="14"/>
    </row>
    <row r="20" ht="30" customHeight="1" spans="1:7">
      <c r="A20" s="8">
        <v>11</v>
      </c>
      <c r="B20" s="9" t="str">
        <f>D21</f>
        <v>You are the one（《你的谎言也动听》影视剧主题曲）</v>
      </c>
      <c r="C20" s="10" t="s">
        <v>373</v>
      </c>
      <c r="D20" s="15" t="s">
        <v>813</v>
      </c>
      <c r="E20" s="15" t="s">
        <v>813</v>
      </c>
      <c r="F20" s="12">
        <f t="shared" si="2"/>
        <v>73</v>
      </c>
      <c r="G20" s="12">
        <f t="shared" si="3"/>
        <v>73</v>
      </c>
    </row>
    <row r="21" ht="30" customHeight="1" spans="1:8">
      <c r="A21" s="8"/>
      <c r="B21" s="9"/>
      <c r="C21" s="10" t="s">
        <v>42</v>
      </c>
      <c r="D21" s="13" t="s">
        <v>814</v>
      </c>
      <c r="E21" s="13" t="s">
        <v>814</v>
      </c>
      <c r="F21" s="12">
        <f t="shared" si="2"/>
        <v>32</v>
      </c>
      <c r="G21" s="12">
        <f t="shared" si="3"/>
        <v>32</v>
      </c>
      <c r="H21" s="14"/>
    </row>
    <row r="22" ht="30" customHeight="1" spans="1:7">
      <c r="A22" s="8">
        <v>12</v>
      </c>
      <c r="B22" s="9" t="str">
        <f>D23</f>
        <v>第一班飞机</v>
      </c>
      <c r="C22" s="10" t="s">
        <v>373</v>
      </c>
      <c r="D22" s="15" t="s">
        <v>815</v>
      </c>
      <c r="E22" s="15" t="s">
        <v>815</v>
      </c>
      <c r="F22" s="12">
        <f t="shared" si="2"/>
        <v>12</v>
      </c>
      <c r="G22" s="12">
        <f t="shared" si="3"/>
        <v>12</v>
      </c>
    </row>
    <row r="23" ht="30" customHeight="1" spans="1:8">
      <c r="A23" s="8"/>
      <c r="B23" s="9"/>
      <c r="C23" s="10" t="s">
        <v>42</v>
      </c>
      <c r="D23" s="13" t="s">
        <v>816</v>
      </c>
      <c r="E23" s="13" t="s">
        <v>816</v>
      </c>
      <c r="F23" s="12">
        <f t="shared" si="2"/>
        <v>5</v>
      </c>
      <c r="G23" s="12">
        <f t="shared" si="3"/>
        <v>5</v>
      </c>
      <c r="H23" s="14"/>
    </row>
    <row r="24" ht="30" customHeight="1" spans="1:7">
      <c r="A24" s="8">
        <v>13</v>
      </c>
      <c r="B24" s="9" t="str">
        <f>D25</f>
        <v>云天明</v>
      </c>
      <c r="C24" s="10" t="s">
        <v>373</v>
      </c>
      <c r="D24" s="11" t="s">
        <v>817</v>
      </c>
      <c r="E24" s="11" t="s">
        <v>817</v>
      </c>
      <c r="F24" s="12">
        <f t="shared" si="2"/>
        <v>12</v>
      </c>
      <c r="G24" s="12">
        <f t="shared" si="3"/>
        <v>12</v>
      </c>
    </row>
    <row r="25" ht="30" customHeight="1" spans="1:8">
      <c r="A25" s="8"/>
      <c r="B25" s="9"/>
      <c r="C25" s="10" t="s">
        <v>42</v>
      </c>
      <c r="D25" s="13" t="s">
        <v>818</v>
      </c>
      <c r="E25" s="13" t="s">
        <v>818</v>
      </c>
      <c r="F25" s="12">
        <f t="shared" si="2"/>
        <v>3</v>
      </c>
      <c r="G25" s="12">
        <f t="shared" si="3"/>
        <v>3</v>
      </c>
      <c r="H25" s="14"/>
    </row>
    <row r="26" ht="30" customHeight="1" spans="1:7">
      <c r="A26" s="8">
        <v>14</v>
      </c>
      <c r="B26" s="9" t="str">
        <f>D27</f>
        <v>Bedtime Story</v>
      </c>
      <c r="C26" s="10" t="s">
        <v>373</v>
      </c>
      <c r="D26" s="11" t="s">
        <v>819</v>
      </c>
      <c r="E26" s="11" t="s">
        <v>819</v>
      </c>
      <c r="F26" s="12">
        <f t="shared" si="2"/>
        <v>13</v>
      </c>
      <c r="G26" s="12">
        <f t="shared" si="3"/>
        <v>13</v>
      </c>
    </row>
    <row r="27" ht="30" customHeight="1" spans="1:8">
      <c r="A27" s="8"/>
      <c r="B27" s="9"/>
      <c r="C27" s="10" t="s">
        <v>42</v>
      </c>
      <c r="D27" s="13" t="s">
        <v>819</v>
      </c>
      <c r="E27" s="13" t="s">
        <v>819</v>
      </c>
      <c r="F27" s="12">
        <f t="shared" si="2"/>
        <v>13</v>
      </c>
      <c r="G27" s="12">
        <f t="shared" si="3"/>
        <v>13</v>
      </c>
      <c r="H27" s="14"/>
    </row>
    <row r="28" ht="30" customHeight="1" spans="1:7">
      <c r="A28" s="8">
        <v>15</v>
      </c>
      <c r="B28" s="9" t="str">
        <f>D29</f>
        <v>不去管</v>
      </c>
      <c r="C28" s="10" t="s">
        <v>373</v>
      </c>
      <c r="D28" s="11" t="s">
        <v>820</v>
      </c>
      <c r="E28" s="11" t="s">
        <v>820</v>
      </c>
      <c r="F28" s="12">
        <f t="shared" si="2"/>
        <v>10</v>
      </c>
      <c r="G28" s="12">
        <f t="shared" si="3"/>
        <v>10</v>
      </c>
    </row>
    <row r="29" ht="30" customHeight="1" spans="1:8">
      <c r="A29" s="8"/>
      <c r="B29" s="9"/>
      <c r="C29" s="10" t="s">
        <v>42</v>
      </c>
      <c r="D29" s="13" t="s">
        <v>821</v>
      </c>
      <c r="E29" s="13" t="s">
        <v>821</v>
      </c>
      <c r="F29" s="12">
        <f t="shared" si="2"/>
        <v>3</v>
      </c>
      <c r="G29" s="12">
        <f t="shared" si="3"/>
        <v>3</v>
      </c>
      <c r="H29" s="14"/>
    </row>
    <row r="30" ht="30" customHeight="1" spans="1:7">
      <c r="A30" s="8">
        <v>16</v>
      </c>
      <c r="B30" s="9" t="str">
        <f>D31</f>
        <v>预感</v>
      </c>
      <c r="C30" s="10" t="s">
        <v>373</v>
      </c>
      <c r="D30" s="11" t="s">
        <v>822</v>
      </c>
      <c r="E30" s="11" t="s">
        <v>822</v>
      </c>
      <c r="F30" s="12">
        <f t="shared" si="2"/>
        <v>11</v>
      </c>
      <c r="G30" s="12">
        <f t="shared" si="3"/>
        <v>11</v>
      </c>
    </row>
    <row r="31" ht="30" customHeight="1" spans="1:8">
      <c r="A31" s="8"/>
      <c r="B31" s="9"/>
      <c r="C31" s="10" t="s">
        <v>42</v>
      </c>
      <c r="D31" s="13" t="s">
        <v>823</v>
      </c>
      <c r="E31" s="13" t="s">
        <v>823</v>
      </c>
      <c r="F31" s="12">
        <f t="shared" si="2"/>
        <v>2</v>
      </c>
      <c r="G31" s="12">
        <f t="shared" si="3"/>
        <v>2</v>
      </c>
      <c r="H31" s="14"/>
    </row>
    <row r="32" ht="30" customHeight="1" spans="1:7">
      <c r="A32" s="8">
        <v>17</v>
      </c>
      <c r="B32" s="9" t="str">
        <f>D33</f>
        <v>Mama Said</v>
      </c>
      <c r="C32" s="10" t="s">
        <v>373</v>
      </c>
      <c r="D32" s="11" t="s">
        <v>824</v>
      </c>
      <c r="E32" s="11" t="s">
        <v>824</v>
      </c>
      <c r="F32" s="12">
        <f t="shared" si="2"/>
        <v>9</v>
      </c>
      <c r="G32" s="12">
        <f t="shared" si="3"/>
        <v>9</v>
      </c>
    </row>
    <row r="33" ht="30" customHeight="1" spans="1:8">
      <c r="A33" s="8"/>
      <c r="B33" s="9"/>
      <c r="C33" s="10" t="s">
        <v>42</v>
      </c>
      <c r="D33" s="13" t="s">
        <v>824</v>
      </c>
      <c r="E33" s="13" t="s">
        <v>824</v>
      </c>
      <c r="F33" s="12">
        <f t="shared" si="2"/>
        <v>9</v>
      </c>
      <c r="G33" s="12">
        <f t="shared" si="3"/>
        <v>9</v>
      </c>
      <c r="H33" s="14"/>
    </row>
    <row r="34" ht="30" customHeight="1" spans="1:7">
      <c r="A34" s="8">
        <v>18</v>
      </c>
      <c r="B34" s="9" t="str">
        <f>D35</f>
        <v>麋鹿</v>
      </c>
      <c r="C34" s="10" t="s">
        <v>373</v>
      </c>
      <c r="D34" s="11" t="s">
        <v>825</v>
      </c>
      <c r="E34" s="11" t="s">
        <v>825</v>
      </c>
      <c r="F34" s="12">
        <f t="shared" si="2"/>
        <v>28</v>
      </c>
      <c r="G34" s="12">
        <f t="shared" si="3"/>
        <v>28</v>
      </c>
    </row>
    <row r="35" ht="30" customHeight="1" spans="1:8">
      <c r="A35" s="8"/>
      <c r="B35" s="9"/>
      <c r="C35" s="10" t="s">
        <v>42</v>
      </c>
      <c r="D35" s="13" t="s">
        <v>826</v>
      </c>
      <c r="E35" s="13" t="s">
        <v>826</v>
      </c>
      <c r="F35" s="12">
        <f t="shared" si="2"/>
        <v>2</v>
      </c>
      <c r="G35" s="12">
        <f t="shared" si="3"/>
        <v>2</v>
      </c>
      <c r="H35" s="14"/>
    </row>
    <row r="36" ht="30" customHeight="1" spans="1:7">
      <c r="A36" s="8">
        <v>19</v>
      </c>
      <c r="B36" s="9" t="str">
        <f>D37</f>
        <v>非遗里的“一带一路”故事 藏毯：经纬间彰显民族自信</v>
      </c>
      <c r="C36" s="10" t="s">
        <v>373</v>
      </c>
      <c r="D36" s="11" t="s">
        <v>827</v>
      </c>
      <c r="E36" s="11" t="s">
        <v>827</v>
      </c>
      <c r="F36" s="12">
        <f t="shared" si="2"/>
        <v>137</v>
      </c>
      <c r="G36" s="12">
        <f t="shared" si="3"/>
        <v>137</v>
      </c>
    </row>
    <row r="37" ht="30" customHeight="1" spans="1:8">
      <c r="A37" s="8"/>
      <c r="B37" s="9"/>
      <c r="C37" s="10" t="s">
        <v>42</v>
      </c>
      <c r="D37" s="13" t="s">
        <v>828</v>
      </c>
      <c r="E37" s="13" t="s">
        <v>828</v>
      </c>
      <c r="F37" s="12">
        <f t="shared" si="2"/>
        <v>25</v>
      </c>
      <c r="G37" s="12">
        <f t="shared" si="3"/>
        <v>25</v>
      </c>
      <c r="H37" s="14"/>
    </row>
    <row r="38" ht="30" customHeight="1" spans="1:7">
      <c r="A38" s="8">
        <v>20</v>
      </c>
      <c r="B38" s="9" t="str">
        <f>D39</f>
        <v>非遗里的“一带一路”故事 茶文化之旅</v>
      </c>
      <c r="C38" s="10" t="s">
        <v>373</v>
      </c>
      <c r="D38" s="11" t="s">
        <v>829</v>
      </c>
      <c r="E38" s="11" t="s">
        <v>829</v>
      </c>
      <c r="F38" s="12">
        <f t="shared" si="2"/>
        <v>91</v>
      </c>
      <c r="G38" s="12">
        <f t="shared" si="3"/>
        <v>91</v>
      </c>
    </row>
    <row r="39" ht="30" customHeight="1" spans="1:8">
      <c r="A39" s="8"/>
      <c r="B39" s="9"/>
      <c r="C39" s="10" t="s">
        <v>42</v>
      </c>
      <c r="D39" s="13" t="s">
        <v>830</v>
      </c>
      <c r="E39" s="13" t="s">
        <v>830</v>
      </c>
      <c r="F39" s="12">
        <f t="shared" si="2"/>
        <v>18</v>
      </c>
      <c r="G39" s="12">
        <f t="shared" si="3"/>
        <v>18</v>
      </c>
      <c r="H39" s="14"/>
    </row>
    <row r="40" ht="30" customHeight="1" spans="1:7">
      <c r="A40" s="8">
        <v>21</v>
      </c>
      <c r="B40" s="9" t="str">
        <f>D41</f>
        <v>非遗里的“一带一路”故事 龙泉青瓷：中国文化的世界名片</v>
      </c>
      <c r="C40" s="10" t="s">
        <v>373</v>
      </c>
      <c r="D40" s="11" t="s">
        <v>831</v>
      </c>
      <c r="E40" s="11" t="s">
        <v>831</v>
      </c>
      <c r="F40" s="12">
        <f t="shared" ref="F40:F83" si="4">LEN(D40)</f>
        <v>132</v>
      </c>
      <c r="G40" s="12">
        <f t="shared" ref="G40:G83" si="5">LEN(E40)</f>
        <v>132</v>
      </c>
    </row>
    <row r="41" ht="30" customHeight="1" spans="1:8">
      <c r="A41" s="8"/>
      <c r="B41" s="9"/>
      <c r="C41" s="10" t="s">
        <v>42</v>
      </c>
      <c r="D41" s="13" t="s">
        <v>832</v>
      </c>
      <c r="E41" s="13" t="s">
        <v>832</v>
      </c>
      <c r="F41" s="12">
        <f t="shared" si="4"/>
        <v>27</v>
      </c>
      <c r="G41" s="12">
        <f t="shared" si="5"/>
        <v>27</v>
      </c>
      <c r="H41" s="14"/>
    </row>
    <row r="42" ht="30" customHeight="1" spans="1:7">
      <c r="A42" s="8">
        <v>22</v>
      </c>
      <c r="B42" s="9" t="str">
        <f>D43</f>
        <v>非遗里的“一带一路”故事 蒙古长调：古老歌声的当代回响</v>
      </c>
      <c r="C42" s="10" t="s">
        <v>373</v>
      </c>
      <c r="D42" s="11" t="s">
        <v>833</v>
      </c>
      <c r="E42" s="11" t="s">
        <v>833</v>
      </c>
      <c r="F42" s="12">
        <f t="shared" si="4"/>
        <v>125</v>
      </c>
      <c r="G42" s="12">
        <f t="shared" si="5"/>
        <v>125</v>
      </c>
    </row>
    <row r="43" ht="30" customHeight="1" spans="1:8">
      <c r="A43" s="8"/>
      <c r="B43" s="9"/>
      <c r="C43" s="10" t="s">
        <v>42</v>
      </c>
      <c r="D43" s="13" t="s">
        <v>834</v>
      </c>
      <c r="E43" s="13" t="s">
        <v>834</v>
      </c>
      <c r="F43" s="12">
        <f t="shared" si="4"/>
        <v>27</v>
      </c>
      <c r="G43" s="12">
        <f t="shared" si="5"/>
        <v>27</v>
      </c>
      <c r="H43" s="14"/>
    </row>
    <row r="44" ht="30" customHeight="1" spans="1:7">
      <c r="A44" s="8">
        <v>23</v>
      </c>
      <c r="B44" s="9" t="str">
        <f>D45</f>
        <v>非遗里的“一带一路”故事 英雄史诗《玛纳斯》何以传唱千年？</v>
      </c>
      <c r="C44" s="10" t="s">
        <v>373</v>
      </c>
      <c r="D44" s="11" t="s">
        <v>835</v>
      </c>
      <c r="E44" s="11" t="s">
        <v>835</v>
      </c>
      <c r="F44" s="12">
        <f t="shared" si="4"/>
        <v>123</v>
      </c>
      <c r="G44" s="12">
        <f t="shared" si="5"/>
        <v>123</v>
      </c>
    </row>
    <row r="45" ht="30" customHeight="1" spans="1:8">
      <c r="A45" s="8"/>
      <c r="B45" s="9"/>
      <c r="C45" s="10" t="s">
        <v>42</v>
      </c>
      <c r="D45" s="13" t="s">
        <v>836</v>
      </c>
      <c r="E45" s="13" t="s">
        <v>836</v>
      </c>
      <c r="F45" s="12">
        <f t="shared" si="4"/>
        <v>29</v>
      </c>
      <c r="G45" s="12">
        <f t="shared" si="5"/>
        <v>29</v>
      </c>
      <c r="H45" s="14"/>
    </row>
    <row r="46" ht="30" customHeight="1" spans="1:7">
      <c r="A46" s="8">
        <v>24</v>
      </c>
      <c r="B46" s="9" t="str">
        <f>D47</f>
        <v>非遗里的“一带一路”故事 永春香：海上丝路的香氛密码</v>
      </c>
      <c r="C46" s="10" t="s">
        <v>373</v>
      </c>
      <c r="D46" s="11" t="s">
        <v>837</v>
      </c>
      <c r="E46" s="11" t="s">
        <v>837</v>
      </c>
      <c r="F46" s="12">
        <f t="shared" si="4"/>
        <v>138</v>
      </c>
      <c r="G46" s="12">
        <f t="shared" si="5"/>
        <v>138</v>
      </c>
    </row>
    <row r="47" ht="30" customHeight="1" spans="1:8">
      <c r="A47" s="8"/>
      <c r="B47" s="9"/>
      <c r="C47" s="10" t="s">
        <v>42</v>
      </c>
      <c r="D47" s="13" t="s">
        <v>838</v>
      </c>
      <c r="E47" s="13" t="s">
        <v>838</v>
      </c>
      <c r="F47" s="12">
        <f t="shared" si="4"/>
        <v>26</v>
      </c>
      <c r="G47" s="12">
        <f t="shared" si="5"/>
        <v>26</v>
      </c>
      <c r="H47" s="14"/>
    </row>
  </sheetData>
  <mergeCells count="46">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Revision History</vt:lpstr>
      <vt:lpstr>Movie</vt:lpstr>
      <vt:lpstr>TV</vt:lpstr>
      <vt:lpstr>Short video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Envee</cp:lastModifiedBy>
  <dcterms:created xsi:type="dcterms:W3CDTF">2022-07-14T03:41:00Z</dcterms:created>
  <dcterms:modified xsi:type="dcterms:W3CDTF">2025-01-02T00:47:02Z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A890297347404F26B4DCC54C8DA268D5_13</vt:lpwstr>
  </property>
  <property fmtid="{D5CDD505-2E9C-101B-9397-08002B2CF9AE}" pid="3" name="KSOProductBuildVer">
    <vt:lpwstr>2052-12.1.0.19302</vt:lpwstr>
  </property>
  <property fmtid="{D5CDD505-2E9C-101B-9397-08002B2CF9AE}" pid="4" name="KSOReadingLayout">
    <vt:bool>true</vt:bool>
  </property>
</Properties>
</file>