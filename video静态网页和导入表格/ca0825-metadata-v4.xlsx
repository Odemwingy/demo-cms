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activeTab="1"/>
  </bookViews>
  <sheets>
    <sheet name="Revision History" sheetId="4" r:id="rId1"/>
    <sheet name="Movie" sheetId="2" r:id="rId2"/>
    <sheet name="TV" sheetId="3" r:id="rId3"/>
    <sheet name="Short video" sheetId="1" r:id="rId4"/>
  </sheets>
  <definedNames>
    <definedName name="_xlnm._FilterDatabase" localSheetId="1" hidden="1">Movie!$A$1:$K$90</definedName>
    <definedName name="_xlnm._FilterDatabase" localSheetId="2" hidden="1">TV!$A$1:$G$287</definedName>
    <definedName name="_xlnm._FilterDatabase" localSheetId="3" hidden="1">'Short video'!$A$1:$G$95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<sst xmlns="http://schemas.openxmlformats.org/spreadsheetml/2006/main" count="1630" uniqueCount="886">
  <si>
    <t>Versions</t>
  </si>
  <si>
    <t>Updates</t>
  </si>
  <si>
    <t>Made by</t>
  </si>
  <si>
    <t>Date</t>
  </si>
  <si>
    <t>V1</t>
  </si>
  <si>
    <t>Initial</t>
  </si>
  <si>
    <t>Envee</t>
  </si>
  <si>
    <t>2025.6.17</t>
  </si>
  <si>
    <t>V2</t>
  </si>
  <si>
    <t>修改《太极张三丰》英文title，标黄</t>
  </si>
  <si>
    <t>2025.6.18</t>
  </si>
  <si>
    <t>V3</t>
  </si>
  <si>
    <t>删除短视频《最初的温柔MV》；
修改《汉唐文化》中英简介，标黄；
新增《野生救援公益影像》，标黄</t>
  </si>
  <si>
    <t>2025.6.23</t>
  </si>
  <si>
    <t>V4</t>
  </si>
  <si>
    <t>删除电影《海角七号》</t>
  </si>
  <si>
    <t>2025.6.30</t>
  </si>
  <si>
    <t>V5</t>
  </si>
  <si>
    <t>V6</t>
  </si>
  <si>
    <t>V7</t>
  </si>
  <si>
    <t>V8</t>
  </si>
  <si>
    <t>Video ID</t>
  </si>
  <si>
    <t>Video to Receive</t>
  </si>
  <si>
    <t>Language</t>
  </si>
  <si>
    <t>Release Title</t>
  </si>
  <si>
    <t>Director</t>
  </si>
  <si>
    <t>Actor</t>
  </si>
  <si>
    <t>Synopsis</t>
  </si>
  <si>
    <t>Title</t>
  </si>
  <si>
    <r>
      <rPr>
        <sz val="10"/>
        <color theme="1"/>
        <rFont val="宋体"/>
        <charset val="134"/>
      </rPr>
      <t>英</t>
    </r>
  </si>
  <si>
    <t>Legends of The Condor Heroes: The Gallants</t>
  </si>
  <si>
    <t>Hark Tsui</t>
  </si>
  <si>
    <t>Zhan Xiao, Dafei Zhuang</t>
  </si>
  <si>
    <t>The Mongols, led by Genghis Khan, wanted to go south to destroy the Song Dynasty. Martial Arts Masters in the Central Plains of China fought to defend Xiangyang.</t>
  </si>
  <si>
    <t>中</t>
  </si>
  <si>
    <t>射雕英雄传：侠之大者</t>
  </si>
  <si>
    <t>徐克</t>
  </si>
  <si>
    <t>肖战 / 庄达菲</t>
  </si>
  <si>
    <t>郭靖偶得绝世武功成为大侠，凭借赤子之心，他与黄蓉为了百姓在铁骑箭雨中守护边关。</t>
  </si>
  <si>
    <t>Stuntman</t>
  </si>
  <si>
    <t>Albert Koon Yiu Leung, Herbert Leung Kun-Seun</t>
  </si>
  <si>
    <t>Terrance Lau, Wai Tung, Philip Ng</t>
  </si>
  <si>
    <t>A washed-up stunt director is struggling to find his way in a changing industry. Best Action Choreography (Nominee) of The 43rd Hong Kong Film Awards.</t>
  </si>
  <si>
    <t>武替道</t>
  </si>
  <si>
    <t>梁冠尧 / 梁冠舜</t>
  </si>
  <si>
    <t>刘俊谦 / 董玮 / 伍允龙</t>
  </si>
  <si>
    <t>本已息影多年的动作指导李森，为完成昔日拍档导演人生最后一部作品重出江湖。第43届香港电影金像奖 最佳动作设计（提名）。</t>
  </si>
  <si>
    <t>Kung Fu Cult Master</t>
  </si>
  <si>
    <t>Jing Wong</t>
  </si>
  <si>
    <t>Jet Li, Sharla Cheung</t>
  </si>
  <si>
    <t>After his parents were killed, Zhang Wuji accidentally mastered peerless martial arts. Upon discovering the Mongol princess Zhao Min's plot to annihilate the Ming Cult, he decided to settle the past once and for all.</t>
  </si>
  <si>
    <t>倚天屠龙记之魔教教主</t>
  </si>
  <si>
    <t>王晶</t>
  </si>
  <si>
    <t>李连杰 / 张敏</t>
  </si>
  <si>
    <t>父母被害后张无忌偶然学会绝世武功，得知蒙古郡主赵敏歼灭明教的阴谋后他决定为过去做个了断。</t>
  </si>
  <si>
    <t>Dragon Chronicles: The Maidens of Heavenly Mountain</t>
  </si>
  <si>
    <t>Andy Chin</t>
  </si>
  <si>
    <t>Brigitte Lin, Li Gong</t>
  </si>
  <si>
    <t>Xiaoyaozi was betrayed and harmed by his fellow disciple Ding Chunqiu. Before his death, he passed his century-old cultivation to Xu Zhu, entrusting him to cleanse their sect of the traitor. Thus began a tale of vengeance.</t>
  </si>
  <si>
    <t>新天龙八部之天山童姥</t>
  </si>
  <si>
    <t>钱永强</t>
  </si>
  <si>
    <t>林青霞 / 巩俐</t>
  </si>
  <si>
    <t>逍遥子被同门叛徒丁春秋暗害；他将百年功力传给虚竹，以期代他清理门户，恩怨情仇由此揭开。</t>
  </si>
  <si>
    <t>The Tai-Chi Master</t>
  </si>
  <si>
    <t>Woo-ping Yuen</t>
  </si>
  <si>
    <t>Jet Li, Michelle Yeoh</t>
  </si>
  <si>
    <t>Two friends, ex Shaolin monks, part ways as they brush with the ongoing rebellion against the government. The ambitious one rises up to be a powerful military commander, while his betrayed friend resorts to learn the calm ways of Tai Chi.</t>
  </si>
  <si>
    <t>太极张三丰</t>
  </si>
  <si>
    <t>袁和平</t>
  </si>
  <si>
    <t>李连杰 / 杨紫琼</t>
  </si>
  <si>
    <t>张君宝与董天宝自幼在少林寺长大，但两人因志向不同而分道扬镳，一代太极宗师即将诞生。</t>
  </si>
  <si>
    <t>Cliff Walkers</t>
  </si>
  <si>
    <t>Zhang Yimou</t>
  </si>
  <si>
    <t>Zhang Yi, Yu Hewei, Qin Hailu</t>
  </si>
  <si>
    <t>Secret agents engage in intellectual battles with the enemy.</t>
  </si>
  <si>
    <t>悬崖之上</t>
  </si>
  <si>
    <t>张艺谋</t>
  </si>
  <si>
    <t>张译 / 于和伟 / 秦海璐</t>
  </si>
  <si>
    <t>讲述了特工们在严峻考验下与敌人斗智斗勇，执行秘密行动的故事。</t>
  </si>
  <si>
    <t>Paradox</t>
  </si>
  <si>
    <t>Wilson Yip</t>
  </si>
  <si>
    <t>Louis Koo, Yue Wu, Tony Jaa, Ka Tung Lam, Chris Collins</t>
  </si>
  <si>
    <t>A Hong Kong policeman goes to Thailand to find his daughter and discovers a complicated case with mysterious forces. The 12th Asian Film Awards (2018), Best Actor: Louis Koo.</t>
  </si>
  <si>
    <t>杀破狼·贪狼</t>
  </si>
  <si>
    <t>叶伟信</t>
  </si>
  <si>
    <t>古天乐 / 吴樾 / 托尼·贾 / 林家栋 / 高战</t>
  </si>
  <si>
    <t>香港警察李忠志赴泰寻女，与崔杰调查遇神秘势力，发现案中有案。第12届亚洲电影大奖（2018）最佳男主角 古天乐。</t>
  </si>
  <si>
    <t>The White Storm</t>
  </si>
  <si>
    <t>Benny Chan</t>
  </si>
  <si>
    <t>Louis Koo, Nick Cheung, Sean Lau</t>
  </si>
  <si>
    <t>Three brothers encountered anti undercover agents during a drug crackdown.</t>
  </si>
  <si>
    <t>扫毒</t>
  </si>
  <si>
    <t>陈木胜</t>
  </si>
  <si>
    <t>古天乐 / 张家辉 / 刘青云</t>
  </si>
  <si>
    <t>共同效力于毒品调查科的三个好兄弟，在执行跨国大型扫毒行动时遭遇反卧底。</t>
  </si>
  <si>
    <t>Project Gutenberg</t>
  </si>
  <si>
    <t>Felix Chong</t>
  </si>
  <si>
    <t>Yun-Fat Chow, Aaron Kwok, Jingchu Zhang, Wenjuan Feng</t>
  </si>
  <si>
    <t>Li Wen, extradited to Hong Kong while in prison, is pressured to reveal "The Painter", with his past with Ruan Wen emerging. The 38th Hong Kong Film Awards (2019) Best Director: Felix Chong, Best Screenplay: Felix Chong.</t>
  </si>
  <si>
    <t>无双</t>
  </si>
  <si>
    <t>庄文强</t>
  </si>
  <si>
    <t>周润发 / 郭富城 / 张静初 / 冯文娟</t>
  </si>
  <si>
    <t>身陷囹圄的李问被引渡回港，警方逼其供出假钞组织首脑“画家”，他与阮文过往浮出水面。第38届香港电影金像奖（2019）最佳导演 庄文强，最佳编剧 庄文强。</t>
  </si>
  <si>
    <t>New Life</t>
  </si>
  <si>
    <t>Hongjie Dong</t>
  </si>
  <si>
    <t>Zifeng Zhang, Jingchun Wang, Zixian Zhang</t>
  </si>
  <si>
    <t>The touching story between the girl and the puppy.</t>
  </si>
  <si>
    <t>我会好好的</t>
  </si>
  <si>
    <t>董宏杰</t>
  </si>
  <si>
    <t>张子枫 / 王景春 / 张子贤</t>
  </si>
  <si>
    <t>该片讲述了女孩赵小满在流浪小狗的陪伴下与家庭和解，与身患绝症的“小意”告别的故事。</t>
  </si>
  <si>
    <t>Mumu</t>
  </si>
  <si>
    <t>Mo Sha</t>
  </si>
  <si>
    <t>Yixing Zhang, Luoan Li, Yao Huang</t>
  </si>
  <si>
    <t>A deaf man named Xiaoma and his daughter Mumu's story.</t>
  </si>
  <si>
    <t>不说话的爱</t>
  </si>
  <si>
    <t>沙漠</t>
  </si>
  <si>
    <t>张艺兴 / 李珞桉 / 黄尧</t>
  </si>
  <si>
    <t>该片讲述了聋人小马和女儿木木被犯罪团伙盯上，小马一步步被骗入了犯罪的深渊的故事。</t>
  </si>
  <si>
    <t>Fire on the Plain</t>
  </si>
  <si>
    <t>Ji Zhang</t>
  </si>
  <si>
    <t>Dongyu Zhou, Haoran Liu, Ting Mei</t>
  </si>
  <si>
    <t>Taxi homicides occur frequently in a Northeast town. The 69th San Sebastián International Film Festival.</t>
  </si>
  <si>
    <t>平原上的火焰</t>
  </si>
  <si>
    <t>张骥</t>
  </si>
  <si>
    <t>周冬雨 / 刘昊然 / 梅婷</t>
  </si>
  <si>
    <t>东北小镇出租车命案频发，李斐与庄树密谋失败。八年后秘密与真相交锋，谁将坠入深渊？第69届圣塞巴斯蒂安国际电影节（提名）。</t>
  </si>
  <si>
    <t>The Way Out</t>
  </si>
  <si>
    <t>Hairuo Zeng</t>
  </si>
  <si>
    <t>Yang Xiao, Jessie Li, Minghao Chen</t>
  </si>
  <si>
    <t>He Liwei, rehab-bound for paranoia, falls.</t>
  </si>
  <si>
    <t>阳光照耀青春里</t>
  </si>
  <si>
    <t>曾海若</t>
  </si>
  <si>
    <t>肖央 / 春夏 / 陈明昊</t>
  </si>
  <si>
    <t>程序员何立为因偏执被送康复院，与林春春相恋，在逃离时陷入对真实世界的困惑。</t>
  </si>
  <si>
    <t>Wolf Totem</t>
  </si>
  <si>
    <t>Jean-Jacques Annaud</t>
  </si>
  <si>
    <t>Shaofeng Feng, Shawn Dou, Ankhnyam Rachaa</t>
  </si>
  <si>
    <t>Herdsmen and wolves fight each other for survival. Best Story Film of The 30th Golden Rooster Award for Chinese Films.</t>
  </si>
  <si>
    <t>狼图腾</t>
  </si>
  <si>
    <t>让-雅克·阿诺</t>
  </si>
  <si>
    <t>冯绍峰 / 窦骁 / 昂哈妮玛</t>
  </si>
  <si>
    <t>影片讲述了在内蒙古大草原上，牧民与狼为了生存而彼此展开搏杀的故事。第30届中国电影金鸡奖最佳故事片。</t>
  </si>
  <si>
    <t>River Road</t>
  </si>
  <si>
    <t>Ruijun Li</t>
  </si>
  <si>
    <t>Long Tang, Songtao Guo, Wenxin Bai</t>
  </si>
  <si>
    <t>In order to find his father, the young man rode a camel across thousands of miles. Outstanding Children Film of The 16th Huabiao Film Awards.</t>
  </si>
  <si>
    <t>家在水草丰茂的地方</t>
  </si>
  <si>
    <t>李睿珺</t>
  </si>
  <si>
    <t>汤龙 / 郭嵩涛 / 白文信</t>
  </si>
  <si>
    <t>一对心存隔阂的裕固族少年因寻找父亲和家乡，骑着骆驼在西部奇景中穿越千里。第16届中国电影华表奖优秀少儿题材影片。</t>
  </si>
  <si>
    <t>Kekexili: Mountain Patrol</t>
  </si>
  <si>
    <t>Lu Chuan</t>
  </si>
  <si>
    <t>Dobrgyal, Zhang Lei</t>
  </si>
  <si>
    <t>Volunteers protect antelope against poachers in the severe mountains of Xizang. Best Asian Film of The 25th Hong Kong Film Awards.</t>
  </si>
  <si>
    <t>可可西里</t>
  </si>
  <si>
    <t>陆川</t>
  </si>
  <si>
    <t>多布杰 / 张垒</t>
  </si>
  <si>
    <t>记者尕玉和巡山队员为了保护可可西里的藏羚羊和生态环境，与盗猎分子顽强抗争。第25届香港电影金像奖最佳亚洲电影。</t>
  </si>
  <si>
    <t>Only the River Flows</t>
  </si>
  <si>
    <t>Shujun Wei</t>
  </si>
  <si>
    <t>Yilong Zhu, Meihuizi Zeng, Tianlai Hou</t>
  </si>
  <si>
    <t>Chief police investigates a series of murders in rural China in the 1990s. The Best Film of The 7th Pingyao International Film Exhibition.</t>
  </si>
  <si>
    <t>河边的错误</t>
  </si>
  <si>
    <t>魏书钧</t>
  </si>
  <si>
    <t>朱一龙 / 曾美慧孜 / 侯天来</t>
  </si>
  <si>
    <t>一桩吊诡凶案牵扯出多名嫌疑人，刑警队长马哲被无法言喻的真相不断拨弄。第7届平遥国际电影展费穆荣誉最佳影片。</t>
  </si>
  <si>
    <t>12 Citizens</t>
  </si>
  <si>
    <t>Xu Ang</t>
  </si>
  <si>
    <t>He Bing, Han Tongsheng</t>
  </si>
  <si>
    <t>A "murder case" triggered a fierce court battle. Best Feature of The 18th Shanghai International Film Festival.</t>
  </si>
  <si>
    <t>十二公民</t>
  </si>
  <si>
    <t>徐昂</t>
  </si>
  <si>
    <t>何冰 / 韩童生</t>
  </si>
  <si>
    <t>电影讲述了当代中国一个由富二代“杀人案”引发了最为激烈的法庭智斗的故事。第18届上海国际电影节电影频道传媒大奖最佳影片。</t>
  </si>
  <si>
    <t>Saving Mr. Wu</t>
  </si>
  <si>
    <t>Sheng Ding</t>
  </si>
  <si>
    <t>Andy Lau, Ye Liu, Qianyuan Wang</t>
  </si>
  <si>
    <t>Mr. Wu is kidnapped by four unpredictable criminals disguised as police officers. Outstanding Film of The 16th Huabiao Film Awards.</t>
  </si>
  <si>
    <t>解救吾先生</t>
  </si>
  <si>
    <t>丁晟</t>
  </si>
  <si>
    <t>刘德华 / 刘烨 / 王千源</t>
  </si>
  <si>
    <t>一场以警察解救“吾先生”与绑匪经历20个小时全力施救的惊险故事。第16届中国电影华表奖优秀故事片奖。</t>
  </si>
  <si>
    <t>The Missing Gun</t>
  </si>
  <si>
    <t>Jiang Wen, Ning Jing, Wu Yujuan</t>
  </si>
  <si>
    <t>A police wakes up one morning to discover that his gun is missing.</t>
  </si>
  <si>
    <t>寻枪</t>
  </si>
  <si>
    <t>姜文 / 宁静 / 伍宇娟</t>
  </si>
  <si>
    <t>一夜梦醒后，一名警察发现自己的枪不见了，于是他走上了一条不寻常的寻枪之路。</t>
  </si>
  <si>
    <t>The Dead End</t>
  </si>
  <si>
    <t>Baoping Cao</t>
  </si>
  <si>
    <t>Chao Deng, Yihong Duan, Tao Guo, Luodan Wang</t>
  </si>
  <si>
    <t>Seven years ago, suspects of a mass murder in Fujian were at large. Now in Xiamen, a sheriff senses the connection and their fates are being pushed to an end. The 31st Golden Rooster Awards of Chinese Film (2017) Best Actor: Chao Deng, The 13th Changchun Film Festival in China (2016) Golden Deer Award for Best Supporting Actress: Luodan Wang.</t>
  </si>
  <si>
    <t>烈日灼心</t>
  </si>
  <si>
    <t>曹保平</t>
  </si>
  <si>
    <t>邓超 / 段奕宏 / 郭涛 / 王珞丹</t>
  </si>
  <si>
    <t>七年前福建灭门案嫌犯逍遥，现三人在厦门生活，警长察觉关联，命运被推向结局。第31届中国电影金鸡奖（2017）最佳男主角 邓超，第13届中国长春电影节（2016）金鹿奖 最佳女配角 王珞丹。</t>
  </si>
  <si>
    <t>Down The Line</t>
  </si>
  <si>
    <t>Rusty Nixon</t>
  </si>
  <si>
    <t>James Clayton, Mark Burgess, Bree Crosby</t>
  </si>
  <si>
    <t>A comedian is trapped in his memory chain, and only has the chance to regain control of his body by constantly fighting against his future self.</t>
  </si>
  <si>
    <t>线性人生</t>
  </si>
  <si>
    <t>拉斯蒂·尼克松</t>
  </si>
  <si>
    <t>詹姆斯·克莱顿 / 马克·伯吉斯 / 布里·克罗斯比</t>
  </si>
  <si>
    <t>一名喜剧演员被困在了自己的记忆链条中，只有不断地与明天的自己斗争，才有机会重新掌握身体权。</t>
  </si>
  <si>
    <t>Night Train to Lisbon</t>
  </si>
  <si>
    <t>Bille August</t>
  </si>
  <si>
    <t>Jeremy Irons, Jack Huston</t>
  </si>
  <si>
    <t>Swiss Professor Raimund Gregorius abandons his lectures and buttoned-down life to embark on a thrilling adventure that will take him on a journey to the very heart of himself.</t>
  </si>
  <si>
    <t>去里斯本的夜车</t>
  </si>
  <si>
    <t>比利·奥古斯特</t>
  </si>
  <si>
    <t>杰瑞米·艾恩斯 / 杰克·休斯顿</t>
  </si>
  <si>
    <t>教授被神秘女子留下的书吸引来到作者亚玛德的家乡里斯本，一段几十年前的恩怨情仇逐渐被揭开。</t>
  </si>
  <si>
    <t>Portraits Trompeurs</t>
  </si>
  <si>
    <t>Patricia Mazuy</t>
  </si>
  <si>
    <t>Isabelle Huppert, Hafsia Herzi</t>
  </si>
  <si>
    <t>The wives of two inmates serving time in the same penitentiary develop a surprising kinship.</t>
  </si>
  <si>
    <t>法</t>
  </si>
  <si>
    <t>La prisonnière de Bordeaux</t>
  </si>
  <si>
    <t>波尔多囚犯</t>
  </si>
  <si>
    <t>帕特里西亚·玛佐</t>
  </si>
  <si>
    <t>伊莎贝尔·于佩尔 / 阿弗西娅·埃尔奇</t>
  </si>
  <si>
    <t>阿尔玛与米娜在来探望监狱中的丈夫时相遇，两个背景迥异的女人因为各自丈夫而产生了友情。</t>
  </si>
  <si>
    <t>Our Eternal Summer</t>
  </si>
  <si>
    <t>Emilie Aussel</t>
  </si>
  <si>
    <t>Agathe Talrich, Marcia Feugeas, Matthieu Lucci, Idir Azougli</t>
  </si>
  <si>
    <t>At 18, during a summer of life and love, the sudden loss of a friend leads to a fateful encounter and the realization of impermanence. The 74th Locarno International Film Festival (2021) Special Jury Prize of the Concorso Cineasti del Presente section: Emilie Aussel.</t>
  </si>
  <si>
    <t>L'Été l'éternité</t>
  </si>
  <si>
    <t>永恒夏日</t>
  </si>
  <si>
    <t>艾米莉·奥塞尔</t>
  </si>
  <si>
    <t>阿加特·塔利希 / 玛西亚·福格斯 / 马蒂厄·卢奇 / 伊迪尔·阿祖格利</t>
  </si>
  <si>
    <t>18岁的夏日，在体验生活与爱情时突失挚友，经历决定性邂逅，领悟永恒之难。第74届洛迦诺国际电影节（2021）当代电影人单元评审团特别奖 艾米莉·奥塞尔。</t>
  </si>
  <si>
    <t>Undercover</t>
  </si>
  <si>
    <t>Arantxa Echevarría</t>
  </si>
  <si>
    <t>Carolina Yuste, Luis Tosar</t>
  </si>
  <si>
    <t>After spending several years infiltrating the circles of the Abertzale left as another young sympathizer of the terrorist group ETA, a police officer gets what she was looking for: ETA contacts her. Winner of Best Film and Best Leading Actress at The 39th Goya Awards (2025).</t>
  </si>
  <si>
    <t>卧底</t>
  </si>
  <si>
    <t>阿兰查·艾奇瓦莉亚</t>
  </si>
  <si>
    <t>卡罗琳娜·尤斯特 / 路易斯·托萨尔</t>
  </si>
  <si>
    <t>警校学员莫妮卡在恐怖组织中卧底多年。当上级决定终止任务时，莫妮卡知道真正的行动刚刚开始。第39届西班牙戈雅奖（2025）最佳影片、最佳女主角。</t>
  </si>
  <si>
    <t>Frida - Viva La Vida</t>
  </si>
  <si>
    <t>Giovanni Troilo</t>
  </si>
  <si>
    <t>Asia Argento</t>
  </si>
  <si>
    <t>Giovanni Troilo's documentary in six chapters shows Frida Kahlo, covering her life, art, cultural impact, narrated by Asia Argento.</t>
  </si>
  <si>
    <t>弗里达：生命万岁</t>
  </si>
  <si>
    <t>乔瓦尼·特罗伊洛</t>
  </si>
  <si>
    <t>艾莎·阿基多</t>
  </si>
  <si>
    <t>乔瓦尼・特罗伊洛纪录片以六章展现弗里达・卡罗，涉其生活、艺术及文化影响等，由亚细亚・阿根托讲述。</t>
  </si>
  <si>
    <t>The Eight Mountains</t>
  </si>
  <si>
    <t>Felix Van Groeningen, Charlotte Vandermeersch</t>
  </si>
  <si>
    <t>Luca Marinelli, Alessandro Borghi, Lupo Barbiero, Cristiano Sassella</t>
  </si>
  <si>
    <t>Eight Mountains tells story of growth and friendship. They explore life and find true meaning of friendship. Jury Prize, In Competition, The 75th Cannes Film Festival (2022).</t>
  </si>
  <si>
    <t>八座山</t>
  </si>
  <si>
    <t>菲力斯·范·古宁根 / 夏洛特·冯黛梅尔许</t>
  </si>
  <si>
    <t>卢卡·马里内利 / 亚历桑德罗·博尔吉 / 卢波·巴尔别罗 / 克里斯蒂亚诺·萨塞拉</t>
  </si>
  <si>
    <t>《八座山》讲述孩子成长与友情，他们在人生中探索，最终发现永恒友谊真谛。第75届戛纳电影节（2022）主竞赛单元 评审团奖。</t>
  </si>
  <si>
    <t>Inside the Uffizi</t>
  </si>
  <si>
    <t>Corinna Belz, Enrique Sánchez Lansch</t>
  </si>
  <si>
    <t>/</t>
  </si>
  <si>
    <t>The 2017 Shanghai International Film Festival hit documentary shows the behind - the - scenes of Uffizi Gallery and its treasures from a German director's perspective.</t>
  </si>
  <si>
    <t>进入乌菲兹</t>
  </si>
  <si>
    <t>科琳娜·贝尓茨 / 恩里克·桑切斯·兰奇</t>
  </si>
  <si>
    <t>2017年上海国际电影节热门纪录片，从德籍主管视角展现乌菲兹美术馆幕后及珍贵藏品。</t>
  </si>
  <si>
    <t>Alpha.</t>
  </si>
  <si>
    <t>Jan-Willem van Ewijk</t>
  </si>
  <si>
    <t>Reinout Scholten van Aschat, Gijs Scholten van Aschat</t>
  </si>
  <si>
    <t>A father and his son venture into the snow-capped mountains where they clash both with each other and with the merciless nature that surrounds them. Winner of Label Europa Cinemas at The 81st Venice Film Festival (2024).</t>
  </si>
  <si>
    <t>人之初</t>
  </si>
  <si>
    <t>扬-威廉·范·埃维克</t>
  </si>
  <si>
    <t>雷努特·舒尔腾·范·艾查特 / 吉斯·舒尔腾·范·艾查特</t>
  </si>
  <si>
    <t>莱因与父亲吉斯在雪山中探险，由于莱因一时任性将两人陷入险地，父子相携能否走出困境？第81届威尼斯电影节（2024）欧洲电影标志奖。</t>
  </si>
  <si>
    <t>Department Q: A Conspiracy of Faith</t>
  </si>
  <si>
    <t>Hans Petter Moland</t>
  </si>
  <si>
    <t>Nikolaj Lie Kaas, Fares Fares</t>
  </si>
  <si>
    <t>After Merritt's rescue, a series of mysterious deaths occur one after another. The clues point directly to Carl's hidden identity, and danger looms.</t>
  </si>
  <si>
    <t>悬案密码3：信仰的阴谋</t>
  </si>
  <si>
    <t>汉斯·皮特·莫朗</t>
  </si>
  <si>
    <t>尼古拉·雷·卡斯 / 法瑞斯·法瑞斯</t>
  </si>
  <si>
    <t>梅瑞特获救后，新的神秘死亡事件接连发生，线索直指卡尔的隐秘身世，危险也随之而来。</t>
  </si>
  <si>
    <t>Department Q: The Absent One</t>
  </si>
  <si>
    <t>Mikkel Nørgaard</t>
  </si>
  <si>
    <t>Many years ago, a brother and sister died miserably, turning it into a cold case. Detective Carl, who is in charge of the case, re-investigates it. However, he discovers that there are astonishing secrets hidden within the upper echelons of society, and danger is approaching.</t>
  </si>
  <si>
    <t>悬案密码2：野鸡杀手</t>
  </si>
  <si>
    <t>米凯尔·诺加德</t>
  </si>
  <si>
    <t>多年前兄妹惨死成悬案，负责警探卡尔重查，却发现上流社会藏惊人秘密，危险逼近。</t>
  </si>
  <si>
    <t>Department Q: The Keeper of Lost Causes</t>
  </si>
  <si>
    <t>Parliamentarian Merritt is imprisoned by a mysterious kidnapper with unsolvable puzzles. Carl persists in the search, and the truth is linked to an old car accident.</t>
  </si>
  <si>
    <t>悬案密码1：笼里的女人</t>
  </si>
  <si>
    <t>议员梅瑞特被神秘绑匪以无解难题囚禁，卡尔执着追寻，真相与陈年车祸相关。</t>
  </si>
  <si>
    <t>Ala Changso</t>
  </si>
  <si>
    <t>Sonthar Gyal</t>
  </si>
  <si>
    <t>Yungdrung Gyal, Nimasongsong, Sechok Gyal</t>
  </si>
  <si>
    <t>A woman conceals her illness and decides to go on a pilgrimage to Lhasa. Grand Jury Prize of The 21st Shanghai International Film Festival.</t>
  </si>
  <si>
    <t>阿拉姜色</t>
  </si>
  <si>
    <t>松太加</t>
  </si>
  <si>
    <t>容中尔甲 / 尼玛颂宋 / 赛却加</t>
  </si>
  <si>
    <t>年轻的母亲患病，丈夫与儿子陪她踏上了为前夫尽遗愿的拉萨之旅。第21届上海国际电影节金爵奖评委会大奖。</t>
  </si>
  <si>
    <t>Breakup Buddies</t>
  </si>
  <si>
    <t>Hao Ning</t>
  </si>
  <si>
    <t>Bo Huang, Zheng Xu, Quan Yuan, Dongyu Zhou</t>
  </si>
  <si>
    <t>Geng Hao had a very funny and crazy journey of hunting beauty.</t>
  </si>
  <si>
    <t>心花路放</t>
  </si>
  <si>
    <t>宁浩</t>
  </si>
  <si>
    <t>黄渤 / 徐峥 / 袁泉 / 周冬雨</t>
  </si>
  <si>
    <t>耿浩的一段非常搞笑疯狂的猎艳之旅。</t>
  </si>
  <si>
    <t>Get Help</t>
  </si>
  <si>
    <t>Tiziano Russo</t>
  </si>
  <si>
    <t>Asia Argento, Pierpaolo Spollon</t>
  </si>
  <si>
    <t>Sandra's boyfriend broke up with her without warning. Unwilling to accept it, she decided to impersonate his psychologist and began a double-life performance.</t>
  </si>
  <si>
    <t>快来帮帮我</t>
  </si>
  <si>
    <t>蒂齐亚诺·鲁索</t>
  </si>
  <si>
    <t>艾莎·阿基多 / 皮尔保罗·斯波隆</t>
  </si>
  <si>
    <t>桑德拉被十年的男友斯无预警分手，不甘心的她决定假扮男友的心理医生开始了双重身份的演出。</t>
  </si>
  <si>
    <t>The Visitors</t>
  </si>
  <si>
    <t>Jean-Marie Poiré</t>
  </si>
  <si>
    <t>Christian Clavier, Jean Reno, Valérie Lemercier, Marie-Anne Chazel</t>
  </si>
  <si>
    <t>The count and his servant travel through time and space to the modern era, triggering a series of absurd and interesting stories.</t>
  </si>
  <si>
    <t>Les Visiteurs</t>
  </si>
  <si>
    <t>时空急转弯</t>
  </si>
  <si>
    <t>让-马力·普瓦雷</t>
  </si>
  <si>
    <t>克里斯汀·克拉维尔 / 让·雷诺 / 瓦莱丽·勒梅西埃 / 玛丽-安妮·查泽尔</t>
  </si>
  <si>
    <t>伯爵和仆人穿越时空来到现代，引发一连串荒诞有趣的故事。</t>
  </si>
  <si>
    <t>I Am What I Am 2</t>
  </si>
  <si>
    <t>Haipeng Sun</t>
  </si>
  <si>
    <t>Xin Li, Hao Guo, Yexiong Chen</t>
  </si>
  <si>
    <t>A Juan participates in the competition in order to treat his father's illness.</t>
  </si>
  <si>
    <t>雄狮少年2</t>
  </si>
  <si>
    <t>孙海鹏</t>
  </si>
  <si>
    <t>李昕 / 郭皓 / 陈业雄</t>
  </si>
  <si>
    <t>在上海打工的阿娟为了赚钱给父亲治病，代表没落的传武拳馆参加“上海格斗之夜”武术比赛。</t>
  </si>
  <si>
    <t>Qiaohu and the Fantastic Flying Ship</t>
  </si>
  <si>
    <t>Tomohiro Kawamura, Zhen Wang</t>
  </si>
  <si>
    <t>Ye Li, Dawei Shen</t>
  </si>
  <si>
    <t>To save the Green Forest Kingdom, Qiaohu and his friends decided to design and build a giant airship to collect clouds and create artificial rain.</t>
  </si>
  <si>
    <t>巧虎大飞船历险记</t>
  </si>
  <si>
    <t>河村友宏 / 王臻</t>
  </si>
  <si>
    <t>李晔 / 沈达威</t>
  </si>
  <si>
    <t>为了拯救绿森林王国，巧虎和小伙伴们决定设计制作一艘大飞船，用来采集云彩人工降雨。</t>
  </si>
  <si>
    <t>Qiaohu and the Island of Rainbow Carnations</t>
  </si>
  <si>
    <t>Qiaohu and his friends meets a mouse boy from the mirror portal named Xiaojing who asks Qiaohu for help on a quest to restore the rainbow flower in his world.</t>
  </si>
  <si>
    <t>巧虎魔法岛历险记</t>
  </si>
  <si>
    <t>巧虎和小伙伴们正在准备给妈妈的母亲节礼物，一个神秘少年却把他们带到了神奇的魔法岛。</t>
  </si>
  <si>
    <t>200% Wolf</t>
  </si>
  <si>
    <t>Alexs Stadermann</t>
  </si>
  <si>
    <t>Ilai Swindells, Samara Weaving</t>
  </si>
  <si>
    <t>When Freddy Lupin's wayward wish transforms him into a werewolf and deposits a mischievous moon sprite on earth, Freddy must restore the cosmic order before the earth and moon collide.</t>
  </si>
  <si>
    <t>纯种狼2</t>
  </si>
  <si>
    <t>亚力克斯·施塔德曼</t>
  </si>
  <si>
    <t>伊莱·斯温德尔 / 萨玛拉·维文</t>
  </si>
  <si>
    <t>狼人家的领袖福来弟总算成了真狼人，却意外招来了调皮捣蛋的月狼精灵，地月之间的大混乱开始了。</t>
  </si>
  <si>
    <t>Asterix Versus Caesar</t>
  </si>
  <si>
    <t>Gaëtan Brizzi, Paul Brizzi</t>
  </si>
  <si>
    <t>Roger Carel, Pierre Mondy, Serge Sauvion</t>
  </si>
  <si>
    <t>The Gaulish warriors launch a fierce confrontation against Caesar, a passionate adventure story of guarding their homeland.</t>
  </si>
  <si>
    <t>高卢勇士斗凯撒</t>
  </si>
  <si>
    <t>盖坦·布里兹 / 保罗·布里兹</t>
  </si>
  <si>
    <t>何热·卡尔 / 皮埃尔·蒙迪 / 塞尔日·索维翁</t>
  </si>
  <si>
    <t>高卢勇士们与凯撒展开激烈对抗，守护家园的热血冒险故事。</t>
  </si>
  <si>
    <t>New Onboard</t>
  </si>
  <si>
    <t>Enjoy your dream flight with our superb collection of audio-visual entertaining content. Welcome aboard this Air China flight. This month, we are offering not only the latest and hottest Hollywood and Chinese movies that are now being shown in theaters around the world, but also more than 100 classic Chinese and foreign movies. Relax and enjoy your flight!</t>
  </si>
  <si>
    <t>佳片速递</t>
  </si>
  <si>
    <t>梦幻视听，乐享飞行。欢迎您搭乘中国国际航空公司的航班。本月国航不但为您精选了全球热映的好莱坞与中文最新电影，还有百余部中外经典佳片供您赏阅。国航带您放松心情，尽享舒适旅程。</t>
  </si>
  <si>
    <t>title</t>
  </si>
  <si>
    <t>synopsis</t>
  </si>
  <si>
    <t>英</t>
  </si>
  <si>
    <t>Hantang Culture</t>
  </si>
  <si>
    <t>This episode presents the bestowal of insignia of Chevalière de l'Ordre des Arts et Lettres to Jessica Yu, Founder of Hantang Culture, and the special screening project "Chinese Women's Cinema Week".</t>
  </si>
  <si>
    <t>汉唐文化</t>
  </si>
  <si>
    <t>呈现郁为琦女士荣获“法兰西共和国艺术与文学勋章”，创造中的她：中国女性导演作品展映周等。</t>
  </si>
  <si>
    <t>WildAid Public Service Announcement Showcase</t>
  </si>
  <si>
    <t>WildAid is an environmental non-profit that drives impact through its unique model: "Conservation Through Communication." #ActionStartsTheMovement</t>
  </si>
  <si>
    <t>野生救援公益影像</t>
  </si>
  <si>
    <t>野生救援是非营利国际环境保护机构，工作模式是“以借传播来保护”。#生动源自行动</t>
  </si>
  <si>
    <t>Panda Stories Ep01</t>
  </si>
  <si>
    <t>The cooperation between China and other countries with pandas as the medium.</t>
  </si>
  <si>
    <t>熊猫叙事 1</t>
  </si>
  <si>
    <t>讲述中国与世界各国以熊猫为媒开展科研合作与情感交流的故事。</t>
  </si>
  <si>
    <t>Milk: A Running River of Civilization 2</t>
  </si>
  <si>
    <t>The world's first milk food and humanities documentary produced by Chen Xiaoqing's team.</t>
  </si>
  <si>
    <t>牛奶是部文明史 2</t>
  </si>
  <si>
    <t>陈晓卿团队制作的全球首部牛奶美食人文纪录片。</t>
  </si>
  <si>
    <t>Milk: A Running River of Civilization 1</t>
  </si>
  <si>
    <t>牛奶是部文明史 1</t>
  </si>
  <si>
    <t>Qaidam Basin 2 The Bountiful Basin</t>
  </si>
  <si>
    <t>Starting from the perspectives of geography, history, climate and products of the Qaidam Basin, this paper tells the story of the vicissitudes of this land, its product resources, ecological protection and explores the construction of future bases.</t>
  </si>
  <si>
    <t>柴达木 2 聚宝天盆</t>
  </si>
  <si>
    <t>从柴达木盆地的地理、历史、气候、物产等视角入手，讲述这一方土地的沧桑变迁、物产资源、生态保护以及探索未来的基地建设。</t>
  </si>
  <si>
    <t>Qaidam Basin 1 Beneath the Kunlun Mountains</t>
  </si>
  <si>
    <t>柴达木 1 昆仑山下</t>
  </si>
  <si>
    <t>A Country Of Silk Throughout History 2</t>
  </si>
  <si>
    <t>The contribution of Chinese silk to the world economy, trade, science and technology, and cultural exchanges reflects the innovative characteristics of silk and the "Silk Country" that remain youthful and vigorous.</t>
  </si>
  <si>
    <t>丝绸之国 2</t>
  </si>
  <si>
    <t>中国丝绸对世界经济贸易、科技、文化交流的贡献，体现丝绸与“丝绸之国”青春不老、生生不息的创新特质。</t>
  </si>
  <si>
    <t>A Country Of Silk Throughout History 1</t>
  </si>
  <si>
    <t>丝绸之国 1</t>
  </si>
  <si>
    <t>Encountering the Most Exquisite Song Lyrics 7 Through Countless Leagues' Neath Sun and Moon</t>
  </si>
  <si>
    <t>Starting from the classic Song Ci, this paper tells the great Ci writers and Ci works of the Song Dynasty and the moving stories behind them, and through the analysis of the values and outlook on life of the Song literati, realizes the spiritual power behind the culture, presents a work that is both ideological, artistic, story-telling and in line with contemporary aesthetics.</t>
  </si>
  <si>
    <t>遇见最美宋词 7 八千里路云和月</t>
  </si>
  <si>
    <t>从经典宋词入手，讲述宋代伟大词人、词作及其背后的动人故事，并通过对宋代文人价值观和人生观的解析，体悟文化背后的精神力量，呈现出一部兼具思想性、艺术性、故事性并符合当代审美的作品。</t>
  </si>
  <si>
    <t>Encountering the Most Exquisite Song Lyrics 6 Through Life's Storms I Stroll With Ease</t>
  </si>
  <si>
    <t>遇见最美宋词 6 一蓑烟雨任平生</t>
  </si>
  <si>
    <t>Encountering the Most Exquisite Song Lyrics 5 The Real Wilderness is Human Hearts</t>
  </si>
  <si>
    <t>遇见最美宋词 5 别有人间行路难</t>
  </si>
  <si>
    <t>Bradley Walsh: Egypt's Cosmic Codes EP01 Written in the Stars</t>
  </si>
  <si>
    <t>Bradley Walsh seeks answers to some of ancient history's greatest mysteries.</t>
  </si>
  <si>
    <t>埃及宇宙密码 1 繁星之间</t>
  </si>
  <si>
    <t>探索调查埃及最具标志性的古代遗址，探索神秘的埃及世界。</t>
  </si>
  <si>
    <t>Food Markets Ep20</t>
  </si>
  <si>
    <t>Going to the local market when we visit a foreign city is something we all love to do. Markets attract us for their colours, smells, people, sounds and taste.</t>
  </si>
  <si>
    <t>行走世界菜市场 20</t>
  </si>
  <si>
    <t>城市的菜市场养活了大量的居民，但我们对食品市场的实际运作方式了解多少？走入全球24个大型城市的菜市场，从一个全新的角度描绘了城市供应系统的变化。</t>
  </si>
  <si>
    <t>Food Markets Ep19</t>
  </si>
  <si>
    <t>行走世界菜市场 19</t>
  </si>
  <si>
    <t>On the Wilderness S03E05 Oasis in the Desert</t>
  </si>
  <si>
    <t>Show the deep connection and subtle relationship between people from all over China and nature in the wilderness.</t>
  </si>
  <si>
    <t>荒野之上 第三季 5 沙漠绿野</t>
  </si>
  <si>
    <t>展现中国各地人在荒野之上与自然之间的深厚联系与微妙关系。</t>
  </si>
  <si>
    <t>Natural Legend: Nature's Greatest Genius 3</t>
  </si>
  <si>
    <t>Focus on the legend of life in the animal and plant world, and explore and reveal the mysterious mystery of the universe. A platform full of magic natural life legend and the charm of astronomical and geographical wonders is carefully built.</t>
  </si>
  <si>
    <t>自然传奇 大自然最伟大的天才 3</t>
  </si>
  <si>
    <t>聚焦动植物世界生命传奇故事、探寻揭示宇宙万象的神奇奥秘。精心打造一个充满神奇自然生命传奇、展现天文地理奇观魅力的平台。</t>
  </si>
  <si>
    <t>Natural Legend: Nature's Greatest Genius 2</t>
  </si>
  <si>
    <t>自然传奇 大自然最伟大的天才 2</t>
  </si>
  <si>
    <t>Natural Legend: Nature's Greatest Genius 1</t>
  </si>
  <si>
    <t>自然传奇 大自然最伟大的天才 1</t>
  </si>
  <si>
    <t>Last of the Giants S03E08</t>
  </si>
  <si>
    <t>Legendary adventurer Cyril Chauquet (Chasing Monsters) and his team of adventure filmmakers risk life and limb to save the last of our planet's giant fish.</t>
  </si>
  <si>
    <t>追踪巨型鱼 第三季 8</t>
  </si>
  <si>
    <t>进入世界各地的荒野河谷，寻找那些稀有珍贵的巨型鱼类。</t>
  </si>
  <si>
    <t>Last of the Giants S03E07</t>
  </si>
  <si>
    <t>追踪巨型鱼 第三季 7</t>
  </si>
  <si>
    <t>Sandstorm Ep12</t>
  </si>
  <si>
    <t>Two police have resumed the investigation into a murder case that occurred 8 years ago.</t>
  </si>
  <si>
    <t>沙尘暴 12</t>
  </si>
  <si>
    <t>一老一新两位风格各异的刑警排除万难，在重启调查八年前的一桩杀人案时，扫清阴霾、抓获真凶。</t>
  </si>
  <si>
    <t>Sandstorm Ep11</t>
  </si>
  <si>
    <t>沙尘暴 11</t>
  </si>
  <si>
    <t>Sandstorm Ep10</t>
  </si>
  <si>
    <t>沙尘暴 10</t>
  </si>
  <si>
    <t>Sandstorm Ep09</t>
  </si>
  <si>
    <t>沙尘暴 9</t>
  </si>
  <si>
    <t>Sandstorm Ep08</t>
  </si>
  <si>
    <t>沙尘暴 8</t>
  </si>
  <si>
    <t>Sandstorm Ep07</t>
  </si>
  <si>
    <t>沙尘暴 7</t>
  </si>
  <si>
    <t>Sandstorm Ep06</t>
  </si>
  <si>
    <t>沙尘暴 6</t>
  </si>
  <si>
    <t>Sandstorm Ep05</t>
  </si>
  <si>
    <t>沙尘暴 5</t>
  </si>
  <si>
    <t>Sandstorm Ep04</t>
  </si>
  <si>
    <t>沙尘暴 4</t>
  </si>
  <si>
    <t>Sandstorm Ep03</t>
  </si>
  <si>
    <t>沙尘暴 3</t>
  </si>
  <si>
    <t>Sandstorm Ep02</t>
  </si>
  <si>
    <t>沙尘暴 2</t>
  </si>
  <si>
    <t>Sandstorm Ep01</t>
  </si>
  <si>
    <t>沙尘暴 1</t>
  </si>
  <si>
    <t>Ludwig S01E06</t>
  </si>
  <si>
    <t>While seeking to unravel the mystery of his twin brother's disappearance, reclusive puzzle-designer John 'Ludwig' Taylor takes on his twin brother James's identity as DCI on Cambridge's major crimes squad.</t>
  </si>
  <si>
    <t>谜探路德维希 第一季 6</t>
  </si>
  <si>
    <t>在试图揭开双胞胎兄弟失踪之谜的过程中，隐居的拼图设计师约翰·“路德维希”·泰勒冒用他兄弟詹姆斯的身份，成为剑桥重大犯罪小组的首席侦探。</t>
  </si>
  <si>
    <t>Ludwig S01E05</t>
  </si>
  <si>
    <t>谜探路德维希 第一季 5</t>
  </si>
  <si>
    <t>Ludwig S01E04</t>
  </si>
  <si>
    <t>谜探路德维希 第一季 4</t>
  </si>
  <si>
    <t>Ludwig S01E03</t>
  </si>
  <si>
    <t>谜探路德维希 第一季 3</t>
  </si>
  <si>
    <t>Ludwig S01E02</t>
  </si>
  <si>
    <t>谜探路德维希 第一季 2</t>
  </si>
  <si>
    <t>Ludwig S01E01</t>
  </si>
  <si>
    <t>谜探路德维希 第一季 1</t>
  </si>
  <si>
    <t>Air Panorama International Outbound</t>
  </si>
  <si>
    <t>Air Panorama collects short videos from across the world that focus on people and events making headlines. The aim of the videos is to explore the small beauties in everyday life. The contents capture diverse topics ranging from business brands and charity work to travel, food and entertainment. Air Panorama is committed to creating meaningful and substantial in-flight cultural experience.</t>
  </si>
  <si>
    <t>Désolé, ce programme n'est pas disponible en français.</t>
  </si>
  <si>
    <t>空中博览8月国际去程</t>
  </si>
  <si>
    <t>《空中博览》全球热搜综合短视频集萃栏目。打造精品化短视频合集，将镜头对准时代下的人和物，探索与人们生活美好点滴，内容以热点性、文化性、多元性为特点，涵盖各界KOL、旅游、美食、娱乐、商业品牌、公益等，致力于打造有料、有情怀的飞行文化体验。</t>
  </si>
  <si>
    <t>Air Panorama International Inbound</t>
  </si>
  <si>
    <t>空中博览8月国际回程</t>
  </si>
  <si>
    <t>Air Panorama Domestic Outbound</t>
  </si>
  <si>
    <t>空中博览8月国内去程</t>
  </si>
  <si>
    <t>Air Panorama Domestic Inbound</t>
  </si>
  <si>
    <t>空中博览8月国内回程</t>
  </si>
  <si>
    <t>Altay in The Legend of Zelda: Breath of the Wild 1</t>
  </si>
  <si>
    <t>Take a self-driving tour to Altay in summer and witness the perfect integration of flowers and icebergs.</t>
  </si>
  <si>
    <t>旷野之息阿勒泰 1</t>
  </si>
  <si>
    <t>夏天到阿勒泰自驾游，见证鲜花与冰山的完美融合。</t>
  </si>
  <si>
    <t>What Makes Dujiangyan 2300 Years Old? 1</t>
  </si>
  <si>
    <t>Why can Dujiangyan Irrigation Project make Chengdu the "Tianfu", the largest irrigation area in China, and has been used for 2300 years?</t>
  </si>
  <si>
    <t>都江堰何以2300年 1</t>
  </si>
  <si>
    <t>都江堰为何能让成都成“天府”、撑起中国最大灌区，且2300年沿用至今？</t>
  </si>
  <si>
    <t>Jingdezhen 1</t>
  </si>
  <si>
    <t>Decrypting the Charm of Jingdezhen, the Millennium Porcelain Capital of Jiangxi Province.</t>
  </si>
  <si>
    <t>景德镇 1</t>
  </si>
  <si>
    <t>解密江西千年瓷都景德镇的魅力。</t>
  </si>
  <si>
    <t>Wuyuan 1</t>
  </si>
  <si>
    <t>See all the stunning scenery of Wuyuan, Jiangxi in one video.</t>
  </si>
  <si>
    <t>婺源 1</t>
  </si>
  <si>
    <t>一条视频看尽江西婺源的绝色美景。</t>
  </si>
  <si>
    <t>Cairo, Egypt 1</t>
  </si>
  <si>
    <t>On my first visit to Egypt, I originally thought the pyramids would be the most stunning. However, I encountered many unexpected surprises in Cairo. I can't wait to share this wonderful journey with you.</t>
  </si>
  <si>
    <t>埃及开罗 1</t>
  </si>
  <si>
    <t>初访埃及，原以为金字塔最震撼，却在开罗邂逅诸多惊喜，盼分享奇妙之旅。</t>
  </si>
  <si>
    <t>Mianyang of Sichuan: Where Nature Meets Legend 1</t>
  </si>
  <si>
    <t>Mianyang is a "treasure" city, home to the largest number of wild giant pandas, the "heart of nuclear weapons," and the hometown of Li Bai, yet it remains as low-key as a hermit swordsman.</t>
  </si>
  <si>
    <t>四川绵阳：以山河为重器 1</t>
  </si>
  <si>
    <t>绵阳是座“宝藏”城市，有最多野生大熊猫、“核武心脏”，还是李白故乡，却低调如侠客。</t>
  </si>
  <si>
    <t>Heading to Antarctica, Is It Difficult? 1</t>
  </si>
  <si>
    <t>This issue discusses the hardcore technology of China's strongest icebreaker, the Snow Dragon 2.</t>
  </si>
  <si>
    <t>去南极很难吗 1</t>
  </si>
  <si>
    <t>本期讲述中国最强破冰船“雪龙2号”的硬核科技。</t>
  </si>
  <si>
    <t>Go for Happiness·Mountains and Seas Ep8</t>
  </si>
  <si>
    <t>Recording the musical journeys of six guests, traveling to Shaanxi, Dubai and Qingdao.</t>
  </si>
  <si>
    <t>快乐再出发·山海季 第8期</t>
  </si>
  <si>
    <t>节目记录六位嘉宾的音乐旅程，首次走出国门，依次前往中国陕西、迪拜和中国青岛，实现跨国游。</t>
  </si>
  <si>
    <t>Go for Happiness·Mountains and Seas Ep7</t>
  </si>
  <si>
    <t>快乐再出发·山海季 第7期</t>
  </si>
  <si>
    <t>Go for Happiness·Mountains and Seas Ep6</t>
  </si>
  <si>
    <t>快乐再出发·山海季 第6期</t>
  </si>
  <si>
    <t>Macau Double Line Season 2 Ride the Wind and Waves</t>
  </si>
  <si>
    <t>From a more diversified perspective and experience, we strive to show the "shopping paradise" of Macau.</t>
  </si>
  <si>
    <t>澳门双行线 第二季 乘风逐浪</t>
  </si>
  <si>
    <t>从更丰富多元的视角与体验，竭力展示“购物天堂”的澳门。</t>
  </si>
  <si>
    <t>Macau Double Line Season 2 Reluctant to Part</t>
  </si>
  <si>
    <t>澳门双行线 第二季 依依不舍</t>
  </si>
  <si>
    <t>Historic Town of Cultural Significance 2 Liuhe, Jiangsu</t>
  </si>
  <si>
    <t>Focusing on the stories of individual "people", the vivid destinies of the individuals interweave with the profound cultural heritage of the ancient town, interpreting the warmth of the word "humanistic".</t>
  </si>
  <si>
    <t>人文名镇 2 江苏浏河</t>
  </si>
  <si>
    <t>聚焦一个个“人”的故事，个体的鲜活命运与古镇深厚的文脉交织，诠释出“人文”二字的温度。</t>
  </si>
  <si>
    <t>Historic Town of Cultural Significance 1 Nanxun, Zhejiang</t>
  </si>
  <si>
    <t>人文名镇 1 浙江南浔</t>
  </si>
  <si>
    <t>Ancient Architectural Masterpieces 20250119</t>
  </si>
  <si>
    <t>It shows the superb skills and great wisdom of ancient Chinese architecture, as well as the creative transformation and innovative development in the present.</t>
  </si>
  <si>
    <t>传世古建 20250119</t>
  </si>
  <si>
    <t>展现中国古建筑的高超技艺和伟大智慧，以及在当下的创造性转化和创新性发展。</t>
  </si>
  <si>
    <t>Portillo's Andalucia Ep04</t>
  </si>
  <si>
    <t>Michael Portillo explores Andalucia, meeting locals who share their passions.</t>
  </si>
  <si>
    <t>漫游安达卢西亚 4</t>
  </si>
  <si>
    <t>跟随迈克尔·波蒂略探索西班牙安达卢西亚地区，了解这些地区多样化的建筑、美食传统和民间手艺。</t>
  </si>
  <si>
    <t>Portillo's Andalucia Ep03</t>
  </si>
  <si>
    <t>漫游安达卢西亚 3</t>
  </si>
  <si>
    <t>The Garfield Show Ep20</t>
  </si>
  <si>
    <t>A lasagne-loving pussycat adventures and explores the differences between good and bad, and right and wrong.</t>
  </si>
  <si>
    <t>加菲猫的幸福生活 20</t>
  </si>
  <si>
    <t>超级活泼可爱的加菲猫回来啦！看起来好吃懒做的他也会有机会成为盖世英雄。</t>
  </si>
  <si>
    <t>The Garfield Show Ep19</t>
  </si>
  <si>
    <t>加菲猫的幸福生活 19</t>
  </si>
  <si>
    <t>If History Is a Group of Cats Season 2 The Spring and Autumn and the Warring States Periods Ep04 Strike Terror in the Southeast</t>
  </si>
  <si>
    <t>This animation is based on historical literature and records such as the Twenty-Four Histories. It is both entertaining and educational.</t>
  </si>
  <si>
    <t>如果历史是一群喵 第二季 春秋战国篇 4 威震东南</t>
  </si>
  <si>
    <t>该动画依据二十四史等文献资料编绘，在保证趣味性的基础上也具有一定的知识性。</t>
  </si>
  <si>
    <t>If History Is a Group of Cats Season 2 The Spring and Autumn and the Warring States Periods Ep03 Astonish the World with a Single Brilliant Feat</t>
  </si>
  <si>
    <t>如果历史是一群喵 第二季 春秋战国篇 3 一鸣惊人</t>
  </si>
  <si>
    <t>The Panda and the Gallic Rooster 4</t>
  </si>
  <si>
    <t>Panda Hehe and Cute Chicken Leo will take you on a cross-cultural friendship journey together!</t>
  </si>
  <si>
    <t>熊猫和高卢鸡 4</t>
  </si>
  <si>
    <t>熊猫和和与萌鸡利奥，共同带你开启跨文化友情之旅！</t>
  </si>
  <si>
    <t>The Panda and the Gallic Rooster 3</t>
  </si>
  <si>
    <t>熊猫和高卢鸡 3</t>
  </si>
  <si>
    <t>Little Genius Luban 8</t>
  </si>
  <si>
    <t>With the inheritance of craftsman culture and the promotion of craftsman spirit as the core, focusing on Chinese mortise and tenon technology, Nankang "Little Luban" IP is built with the influence of carpenter Luban, and the story of Chinese craftsman is interpreted through the animation form with strong communication power and affinity.</t>
  </si>
  <si>
    <t>天才小鲁班 8</t>
  </si>
  <si>
    <t>以传承匠人文化、弘扬匠人精神为核心，聚焦中国榫卯技术，借助木匠鼻祖鲁班的影响力打造南康“小鲁班”IP，通过传播力、亲和力强的动漫形式，诠释中国匠人故事。</t>
  </si>
  <si>
    <t>Little Genius Luban 7</t>
  </si>
  <si>
    <t>天才小鲁班 7</t>
  </si>
  <si>
    <t>GG Bond: Dinosaur Diary S07E08</t>
  </si>
  <si>
    <t>The story follows Super Spy GG Bond and his companions as they work hard to assist Dr. Confused in transferring dinosaurs from Dinosaur Planet to the Ark.</t>
  </si>
  <si>
    <t>猪猪侠之恐龙日记 第七季 8</t>
  </si>
  <si>
    <t>超星特工猪猪侠和他的同伴，为协助迷糊博士把恐龙星上的恐龙转移到方舟而努力的故事。</t>
  </si>
  <si>
    <t>GG Bond: Dinosaur Diary S07E07</t>
  </si>
  <si>
    <t>猪猪侠之恐龙日记 第七季 7</t>
  </si>
  <si>
    <t>The New Journey to the West Adventure 8</t>
  </si>
  <si>
    <t>It tells the story of four people getting along with each other every day, subduing demons along the way, and embodying the spirit of the journey to the West in the difficulties.</t>
  </si>
  <si>
    <t>新西游历险记 8</t>
  </si>
  <si>
    <t>讲述了师徒四人日常相处、一路上降妖除魔、九九八十一难中尽致体现西游精神的故事。</t>
  </si>
  <si>
    <t>The New Journey to the West Adventure 7</t>
  </si>
  <si>
    <t>新西游历险记 7</t>
  </si>
  <si>
    <t>Young Hero Nezha 10</t>
  </si>
  <si>
    <t>The story is set at the end of the Shang Dynasty. It tells the story of Nezha, the protagonist living in the Bo Dao City, who comes to the world in a magical way and then learns martial arts, punishes evil and promotes good, leads the people to build tea horses, trade, enrich the people and strengthen the army, and has the world in mind.</t>
  </si>
  <si>
    <t>少年英雄小哪吒 10</t>
  </si>
  <si>
    <t>故事以商朝末期为主要时代背景，讲述生活在僰道城的主人公哪吒神奇降世，而后从文习武、惩恶扬善、带领人们兴茶马、走商贸、富民强兵，心怀天下的故事。</t>
  </si>
  <si>
    <t>Young Hero Nezha 9</t>
  </si>
  <si>
    <t>少年英雄小哪吒 9</t>
  </si>
  <si>
    <t>The Story of Chinese Characters 6</t>
  </si>
  <si>
    <t>Enter the world of Chinese characters full of knowledge and laughter, establish a deep emotion with Chinese characters, experience the fun of learning, and lay a solid foundation for future growth.</t>
  </si>
  <si>
    <t>汉字故事 6</t>
  </si>
  <si>
    <t>走进充满知识和欢笑的汉字世界，与汉字结下深厚的情感，体验到学习的乐趣，为未来的成长打下坚实的基础。</t>
  </si>
  <si>
    <t>The Story of Chinese Characters 5</t>
  </si>
  <si>
    <t>汉字故事 5</t>
  </si>
  <si>
    <t>Hockey Whirlwind S02E08</t>
  </si>
  <si>
    <t>In the Whirlwind Ice Hockey Club, Shang Jin grew up to be a positive and persistent youth with a sense of collective honor.</t>
  </si>
  <si>
    <t>冰球旋风 第二季 8</t>
  </si>
  <si>
    <t>在旋风冰球俱乐部，尚进成长为一名积极向上、坚毅执着的有着集体荣誉感的青春少年。</t>
  </si>
  <si>
    <t>Hockey Whirlwind S02E07</t>
  </si>
  <si>
    <t>冰球旋风 第二季 7</t>
  </si>
  <si>
    <t>Magic School Bus S12E08</t>
  </si>
  <si>
    <t>The Magic School Bus transforms into different shapes to help kids explore nature and animals, overcoming challenges on their journey.</t>
  </si>
  <si>
    <t>百变校巴 第十二季 8</t>
  </si>
  <si>
    <t>百变校巴通过各种形态的变身帮助小朋友们探索大自然小动物，解决一路上的危机。</t>
  </si>
  <si>
    <t>Magic School Bus S12E07</t>
  </si>
  <si>
    <t>百变校巴 第十二季 7</t>
  </si>
  <si>
    <t>Boonie Bears Project Monster 2 (19-20)</t>
  </si>
  <si>
    <t>In order to maintain the harmony and peace of the forest and the safety of the animal partners, the thrilling and amusing battle for the energy stone fragments began.</t>
  </si>
  <si>
    <t>熊出没 怪兽计划2（19-20）</t>
  </si>
  <si>
    <t>为了维护森林的和谐安宁和动物伙伴们的安全，于是，惊险而逗趣的能量石碎片争夺战开始了。</t>
  </si>
  <si>
    <t>Legends of Mountains and Seas 18</t>
  </si>
  <si>
    <t>The animation is based on legends and historical books such as "Classic of Mountains and Seas", "Records of the Grand Historian(Shi Ji)", "Yue Jue Shu" and "History of the Later Han Dynasty", and chooses Da Yu as the protagonist, showing the persistent spirit of exploration of the ancestors of the Chinese nation.</t>
  </si>
  <si>
    <t>山海传奇 18</t>
  </si>
  <si>
    <t>动画片取材于《山海经》《史记》《越绝书》《后汉书》等神话传说及历史典籍，选取大禹为主角，呈现中华民族先民执着的探索精神。</t>
  </si>
  <si>
    <t>Legends of Mountains and Seas 17</t>
  </si>
  <si>
    <t>山海传奇 17</t>
  </si>
  <si>
    <t>Xun Wei An Hui Ep02</t>
  </si>
  <si>
    <t>It aims to spread Anhui cuisine culture and light up the map of Anhui cuisine flavor.</t>
  </si>
  <si>
    <t>寻味安徽 2</t>
  </si>
  <si>
    <t>《寻味安徽》旨在传播安徽美食文化，点亮安徽各地美食风味地图。</t>
  </si>
  <si>
    <t>The Pride Of Hunan Cuisine Ep01 Rice Noodles Part02</t>
  </si>
  <si>
    <t>Reflect the culinary culture and local customs of Hunan through its cuisine.</t>
  </si>
  <si>
    <t>傲椒的湘菜 1 一粉解湘愁（下）</t>
  </si>
  <si>
    <t>以湘菜为入口，通过美食反映湖南饮食文化和风土人情。</t>
  </si>
  <si>
    <t>The Pride Of Hunan Cuisine Ep01 Rice Noodles Part01</t>
  </si>
  <si>
    <t>傲椒的湘菜 1 一粉解湘愁（上）</t>
  </si>
  <si>
    <t>Welcome To Camp Ep02</t>
  </si>
  <si>
    <t>Introduce the current situation of camping as an outdoor activity.</t>
  </si>
  <si>
    <t>欢迎到营地来 2</t>
  </si>
  <si>
    <t>介绍露营这项户外活动的现状、探究露营受欢迎的原因，突出露营的精神内核与正向能量。</t>
  </si>
  <si>
    <t>Taste of Hebei Season 3 Grand Canal Gastronomy 2 The Pulse of Xingxiang</t>
  </si>
  <si>
    <t>Focusing on the cuisine of Yan and Zhao, through the aroma of the food, the audience can smell the rural flavor, hear the simple local accent, perceive the spiritual temperament, and taste the faint homesickness.</t>
  </si>
  <si>
    <t>冀味儿 第三季 运河风味 2 烟火邢襄</t>
  </si>
  <si>
    <t>聚焦燕赵美食，透过美食香气，观众闻得到乡土气息，听得见朴素乡音，窥得着精神气质，品得出淡淡乡愁。</t>
  </si>
  <si>
    <t>Taste of Hebei Season 3 Grand Canal Gastronomy 1 Handan's Breadbasket: Where Mountains Meet Fertile Valleys</t>
  </si>
  <si>
    <t>冀味儿 第三季 运河风味 1 邯山沃野</t>
  </si>
  <si>
    <t>Exploring Civilization by Farming 7 Gaolan, Gansu Shichuan Ancient Pear Garden</t>
  </si>
  <si>
    <t>Focusing on the conservation, inheritance, development, utilization and innovation achievements of China's important agricultural cultural heritage, exploring the Chinese nation's concept of sustainable development in accordance with the laws of nature from a global perspective, vividly presenting the genetic code of Chinese civilization carried by farming civilization, and showing how the ancient farming civilization develops and innovates through inheritance. It is a Chinese modernization story of harmonious coexistence between man and nature.</t>
  </si>
  <si>
    <t>农耕探文明 7 甘肃皋兰 什川古梨园</t>
  </si>
  <si>
    <t>聚焦我国重要农业文化遗产的保护传承、开发利用和创新成果，以全球化视野挖掘中华民族遵循自然规律的可持续发展理念，生动呈现农耕文明所承载的中华文明生生不息的基因密码，展现古老的农耕文明如何在传承中发展创新，书写人与自然和谐共生的中国式现代化故事。</t>
  </si>
  <si>
    <t>Peakedness Food Moment - Chinese and French Chef Competition - The Legendary Char-Grilled Pork</t>
  </si>
  <si>
    <t>Explore Chinese and French cooking skills and food culture.</t>
  </si>
  <si>
    <t>巅峰食刻—中法厨王竞技 脍炙豚香</t>
  </si>
  <si>
    <t>探寻中法两国烹饪技艺与饮食文化。</t>
  </si>
  <si>
    <t>Three Meals and Four Seasons S02 Jiangxi Chapter</t>
  </si>
  <si>
    <t>Show the local unique food and local customs, present the hot social life in the new era and the myriad weather of Chinese modernization.</t>
  </si>
  <si>
    <t>三餐四季 第二季 江西篇</t>
  </si>
  <si>
    <t>展现地方独特美食和风土人情，呈现各地新时代火热的社会生活面貌和中国式现代化的万千气象。</t>
  </si>
  <si>
    <t>Three Meals and Four Seasons S02 Fujian Chapter</t>
  </si>
  <si>
    <t>三餐四季 第二季 福建篇</t>
  </si>
  <si>
    <t>A Home among Mountains and Rivers Season 3 20241110</t>
  </si>
  <si>
    <t>Lead the audience to immerse themselves in rural production and life, visit the beautiful transformations between the mountains and rivers from the first perspective, and record the magnificent picture of rural revitalization.</t>
  </si>
  <si>
    <t>山水间的家 第三季 20241110</t>
  </si>
  <si>
    <t>带领观众沉浸式体验乡村生产生活，以第一视角探访山水间的美丽蝶变，记录乡村振兴壮美画卷。</t>
  </si>
  <si>
    <t>Takeaway Titans 1 Beef and Chicken</t>
  </si>
  <si>
    <t>Takeaway Titans seeks out the best takeaway talent and puts them to the ultimate test.</t>
  </si>
  <si>
    <t>决战外卖之巅 1 双拼汉堡</t>
  </si>
  <si>
    <t>外卖美食大赛，选出那些值得信赖的厨师和外卖美食。</t>
  </si>
  <si>
    <t>Sort Your Life Out S04E04</t>
  </si>
  <si>
    <t>Stacey Solomon and her team of experts help makeover Britain's cluttered homes.</t>
  </si>
  <si>
    <t>居家断舍离 第四季 4</t>
  </si>
  <si>
    <t>斯泰西·所罗门和她的专家团队来帮人整理房间。房主的物品都将被安置到一个仓库，斯泰西和专家们根据房主的生活习惯对它们进行筛选。经过一番断舍离后的新家会是什么样呢？我们拭目以待。</t>
  </si>
  <si>
    <t>Sort Your Life Out S04E03</t>
  </si>
  <si>
    <t>居家断舍离 第四季 3</t>
  </si>
  <si>
    <t>Tennis ATP Miami Open Final: Jakub Mensik vs Novak Djokovic</t>
  </si>
  <si>
    <t>The ATP Miami Masters men's singles final.</t>
  </si>
  <si>
    <t>网球 ATP迈阿密站决赛：门希克VS德约科维奇</t>
  </si>
  <si>
    <t>ATP迈阿密大师赛男单决赛。</t>
  </si>
  <si>
    <t>Billiards World Snooker Championship Final: Mark Williams vs Zhao Xintong</t>
  </si>
  <si>
    <t>The final of the World Snooker Championship came to an end. Zhao Xintong defeated Williams 18-12 to win the championship.</t>
  </si>
  <si>
    <t>台球 斯诺克世锦赛决赛：威廉姆斯VS赵心童</t>
  </si>
  <si>
    <t>斯诺克世锦赛决赛结束争夺，赵心童18-12战胜威廉姆斯，夺得冠军。</t>
  </si>
  <si>
    <t>Total Soccer: Top 10 World-Class Brace Goals</t>
  </si>
  <si>
    <t>A column focusing on reporting the latest events and news in international football.</t>
  </si>
  <si>
    <t>天下足球 十大世界波双响</t>
  </si>
  <si>
    <t>一个以报道国际足坛最新赛事和新闻为主的栏目。</t>
  </si>
  <si>
    <t>Basketball Park: Interview with Guo Ailun</t>
  </si>
  <si>
    <t>Basketball themed sports programs, covering entertainment basketball, NBA basketball, world basketball, etc.</t>
  </si>
  <si>
    <t>篮球公园 对话—郭艾伦</t>
  </si>
  <si>
    <t>以篮球为主题的体育节目，节目内容涵盖娱乐篮球、NBA篮球、世界篮球等。</t>
  </si>
  <si>
    <t>The Evolution of Sport Ep02</t>
  </si>
  <si>
    <t>Brand new multi sports series that explores the evolution and transformation within sport over the decades, comparing the many various changes and challenges across all eras.</t>
  </si>
  <si>
    <t>体坛进化论 2</t>
  </si>
  <si>
    <t>本片聚焦几十年间体育运动的演变与转型，对比不同时代的变革与挑战，展现体育运动自身的进化故事。</t>
  </si>
  <si>
    <t>The Front Row Ep02</t>
  </si>
  <si>
    <t>The Front Row presents the inner working of Formula 1 and a unique perspective on the requirements for team success, driver success and what is driving success for the sport in the current era.</t>
  </si>
  <si>
    <t>极速内幕 2</t>
  </si>
  <si>
    <t>深度揭秘F1赛事的运作，以独特视角解析赛车运动车队的成功要素、车手的夺冠秘诀。</t>
  </si>
  <si>
    <t>FIBA World Basketball Ep09</t>
  </si>
  <si>
    <t>The very best basketball action, news and results from the world over, every week.</t>
  </si>
  <si>
    <t>国际篮联赛事集锦 9</t>
  </si>
  <si>
    <t>最全面的国际篮联全球赛事信息，更多内幕球员访谈，尽在本片。</t>
  </si>
  <si>
    <t>Detectives' Holiday Ep06</t>
  </si>
  <si>
    <t>The members of detective club head to Malta for a "charging trip".</t>
  </si>
  <si>
    <t>名侦探的假期 6</t>
  </si>
  <si>
    <t>名侦探俱乐部成员利用三天假期前往马耳他，开启一场修炼名侦探品格的“充电之旅”。</t>
  </si>
  <si>
    <t>Detectives' Holiday Ep05</t>
  </si>
  <si>
    <t>名侦探的假期 5</t>
  </si>
  <si>
    <t>Detectives' Holiday Ep04</t>
  </si>
  <si>
    <t>名侦探的假期 4</t>
  </si>
  <si>
    <t>Detectives' Holiday Ep03</t>
  </si>
  <si>
    <t>名侦探的假期 3</t>
  </si>
  <si>
    <t>King of Comedy Ep08</t>
  </si>
  <si>
    <t>Recommend to the audience the treasure trove of stand-up comedians.</t>
  </si>
  <si>
    <t>喜剧之王单口季 8</t>
  </si>
  <si>
    <t>对单口喜剧行业十分关注的几位气氛组组长、组员携手单口喜剧老友，向观众推荐各地宝藏单口喜剧演员。</t>
  </si>
  <si>
    <t>King of Comedy Ep07</t>
  </si>
  <si>
    <t>喜剧之王单口季 7</t>
  </si>
  <si>
    <t>Super Sketch Show S01E16</t>
  </si>
  <si>
    <t>Original comedy variety show.</t>
  </si>
  <si>
    <t>一年一度喜剧大赛 第一季 16</t>
  </si>
  <si>
    <t>原创喜剧竞演综艺。</t>
  </si>
  <si>
    <t>Super Sketch Show S01E15</t>
  </si>
  <si>
    <t>一年一度喜剧大赛 第一季 15</t>
  </si>
  <si>
    <t>Open the Door and Be Happy 20250414</t>
  </si>
  <si>
    <t>The program encourages ordinary people to realize their family dreams through games, excavates and shows the brilliance of ordinary people's humanity through various artistic methods, and resonates with the audience emotionally.</t>
  </si>
  <si>
    <t>开门大吉 20250414</t>
  </si>
  <si>
    <t>节目鼓励普通人通过游戏闯关的方式实现自己的家庭梦想，通过多种艺术方法挖掘、展现普通人的人性光辉，和观众进行情感共鸣。</t>
  </si>
  <si>
    <t>The Traitors(UK) S02E12</t>
  </si>
  <si>
    <t>Twenty-two strangers compete in a series of missions for a chance to win £120k.</t>
  </si>
  <si>
    <t>背叛者（英版）第二季 12</t>
  </si>
  <si>
    <t>英国版狼人杀。22个互不相识的陌生人要找出隐藏在他们之中的背叛者，最终获胜者将得到12万英镑的奖金。</t>
  </si>
  <si>
    <t>The Traitors(UK) S02E11</t>
  </si>
  <si>
    <t>背叛者（英版）第二季 11</t>
  </si>
  <si>
    <t>The Traitors(UK) S02E10</t>
  </si>
  <si>
    <t>背叛者（英版）第二季 10</t>
  </si>
  <si>
    <t>The Traitors(UK) S02E09</t>
  </si>
  <si>
    <t>背叛者（英版）第二季 9</t>
  </si>
  <si>
    <t>Time Concert S02E08</t>
  </si>
  <si>
    <t>Singers embark on a journey of sharing music and telling the stories behind the music.</t>
  </si>
  <si>
    <t>时光音乐会 第二季 8</t>
  </si>
  <si>
    <t>音乐人们以“新人”姿态开启音乐分享之旅，倾情演绎经典歌曲，讲述音乐背后的故事。</t>
  </si>
  <si>
    <t>Time Concert S02E07</t>
  </si>
  <si>
    <t>时光音乐会 第二季 7</t>
  </si>
  <si>
    <t>Time Concert S02E06</t>
  </si>
  <si>
    <t>时光音乐会 第二季 6</t>
  </si>
  <si>
    <t>Time Concert S02E05</t>
  </si>
  <si>
    <t>时光音乐会 第二季 5</t>
  </si>
  <si>
    <t>Time Concert S02E04</t>
  </si>
  <si>
    <t>时光音乐会 第二季 4</t>
  </si>
  <si>
    <t>Melodies of the Middle Kingdom 2</t>
  </si>
  <si>
    <t>Focus on traditional Chinese music and showcase the charm of China's fine traditional culture.</t>
  </si>
  <si>
    <t>弦歌中华 2</t>
  </si>
  <si>
    <t>聚焦中国传统音乐，展现中华优秀传统文化魅力。</t>
  </si>
  <si>
    <t>Folk Songs of China For the Pure Joy Edition 20250518</t>
  </si>
  <si>
    <t>This paper introduces the original ecological folk song art of Chinese nationality and folk, and vigorously promotes the development of Chinese original ecological folk song.</t>
  </si>
  <si>
    <t>民歌中国 纯享版 20250518</t>
  </si>
  <si>
    <t>介绍中国民族、民间的原生态民歌艺术，并大力推动中国原生态民歌的发展。</t>
  </si>
  <si>
    <t>Folk Songs of China For the Pure Joy Edition 20250517</t>
  </si>
  <si>
    <t>民歌中国 纯享版 20250517</t>
  </si>
  <si>
    <t>TOP Music Program 20240901</t>
  </si>
  <si>
    <t>New audio-visual music sharing class all media programs.</t>
  </si>
  <si>
    <t>TOP音乐咖 20240901</t>
  </si>
  <si>
    <t>新视听音乐分享类全媒体节目。</t>
  </si>
  <si>
    <t>TOP Music Program 20240825</t>
  </si>
  <si>
    <t>TOP音乐咖 20240825</t>
  </si>
  <si>
    <t>Wonderful Music Collection: My Love Says to You 20250518</t>
  </si>
  <si>
    <t>Wonderful Music Collection is an editorial comprehensive music show by CCTV-15 Music Channel, which compiles the best classic songs and the most popular hits.</t>
  </si>
  <si>
    <t>精彩音乐汇 我的爱对你说 20250518</t>
  </si>
  <si>
    <t>《精彩音乐汇》是CCTV-15音乐频道一档编辑性综合音乐类节目。汇聚最好听的经典老歌，网罗最热门的流行金曲。</t>
  </si>
  <si>
    <t>Wonderful Music Collection: My Love Says to You 20250517</t>
  </si>
  <si>
    <t>精彩音乐汇 我的爱对你说 20250517</t>
  </si>
  <si>
    <t>Across China 5 You in the Distant Place (Part 2)</t>
  </si>
  <si>
    <t>Showcasing China's stunning landscapes, rivers and mountains.</t>
  </si>
  <si>
    <t>风度中国 5 我带着风景，走向远方的你（下）</t>
  </si>
  <si>
    <t>节目展示中国的绝美地貌与大好河山，诠释蕴藏在山川江海背后的人文情怀与文化底蕴。</t>
  </si>
  <si>
    <t>Across China 5 You in the Distant Place (Part 1)</t>
  </si>
  <si>
    <t>风度中国 5 我带着风景，走向远方的你（上）</t>
  </si>
  <si>
    <t>Across China 4 Distant Future (Part 2)</t>
  </si>
  <si>
    <t>风度中国 4 为你预支一些未来的远方（下）</t>
  </si>
  <si>
    <t>Across China 4 Distant Future (Part 1)</t>
  </si>
  <si>
    <t>风度中国 4 为你预支一些未来的远方（上）</t>
  </si>
  <si>
    <t>Aerial China Ep04</t>
  </si>
  <si>
    <t>It like a magnificent epic picture, inspires our love and pride for this land.</t>
  </si>
  <si>
    <t>航拍中国 4</t>
  </si>
  <si>
    <t>该片如一幅壮丽的史诗画卷，让我们重新认识中国，更激发了我们对这片土地的热爱与自豪。</t>
  </si>
  <si>
    <t>Aerial China Ep03</t>
  </si>
  <si>
    <t>航拍中国 3</t>
  </si>
  <si>
    <t>China Beyond Compare S02E12 Wulan: Chaka Salt Lake, A Pure Journey for the Soul</t>
  </si>
  <si>
    <t>It takes the audience into a beautiful China that is both familiar and strange.</t>
  </si>
  <si>
    <t>最美中国 第二季 12 乌兰：茶卡盐湖，纯净心灵之旅</t>
  </si>
  <si>
    <t>以民族节日、科技发展、节气传统为选题，深入中国全境，带观众走进一个既熟悉又陌生的美丽中国。</t>
  </si>
  <si>
    <t>Cornerstone of a Great Nation S02E07 For National Building Materials</t>
  </si>
  <si>
    <t>Centering on the theme of "the weight of the country and the lifeblood of the people", the development achievements of state-owned enterprises in ensuring people's livelihood, scientific and technological innovation and consolidating the foundation of the national economy will be deeply explored.</t>
  </si>
  <si>
    <t>大国基石 第二季 7 为国建材</t>
  </si>
  <si>
    <t>围绕“国之重器、民之命脉”的主题，深入挖掘国资央企在民生保障、科技创新以及夯实国民经济基础方面的发展成果。</t>
  </si>
  <si>
    <t>Cornerstone of a Great Nation S02E06 The Eastern Awakening</t>
  </si>
  <si>
    <t>大国基石 第二季 6 风起东方</t>
  </si>
  <si>
    <t>China in Intangible Cultural Heritage Season 3 Fujian</t>
  </si>
  <si>
    <t>Pay tribute to the originality of inheritance, focus on the innovative application of intangible cultural heritage, and show the face of the new era through intangible cultural heritage. The program opened a new mode of intangible cultural heritage empowerment, and set off bursts of "intangible cultural heritage fever" in the country.</t>
  </si>
  <si>
    <t>非遗里的中国 第三季 福建篇</t>
  </si>
  <si>
    <t>致敬传承匠心，聚焦非遗创新应用，通过非遗展现新时代面貌。节目开启非遗赋能的新文旅样态，在全国掀起阵阵“非遗热”。</t>
  </si>
  <si>
    <t>Smart China Ep3</t>
  </si>
  <si>
    <t>The series introduces unique new products and technologies of China.</t>
  </si>
  <si>
    <t>智慧中国 3</t>
  </si>
  <si>
    <t>该片探讨了中国日新月异的创新科技，以及如何以破纪录的速度改变人们的生活。</t>
  </si>
  <si>
    <t>Wonderful Navigation</t>
  </si>
  <si>
    <t>Enjoy your dream flight with our superb collection of audio-visual entertaining content. Welcome aboard this Air China flight. This month, we are offering a wide variety of Chinese and international drama series, documentaries on Chinese and Western culture and the hottest sports programs. In addition to those, we also have comedy, travel shows and children's programs in store that are hand-tailored to your taste. Relax and enjoy your flight!</t>
  </si>
  <si>
    <t>精彩导航</t>
  </si>
  <si>
    <t>梦幻视听，乐享飞行。欢迎您搭乘中国国际航空公司的航班。本月国航为您汇聚了丰富多样的中外剧集，品味中西文化的纪录节目和最时尚的体育节目。此外，我们还准备了幽默、旅游、儿童等类型的节目，让您放松心情，享受飞行。</t>
  </si>
  <si>
    <t>One Glance, Worlds Apart</t>
  </si>
  <si>
    <t>咫尺一眼（《念无双》影视剧片尾曲）</t>
  </si>
  <si>
    <t>Powerful</t>
  </si>
  <si>
    <t>飒（《念无双》影视剧插曲）</t>
  </si>
  <si>
    <t>Burning Sin</t>
  </si>
  <si>
    <t>燃罪（《燃罪》影视剧主题曲）</t>
  </si>
  <si>
    <t>Song of Lanxian (Theme Song for the 9th Anniversary of the Mobile Game "Ask Taoism")</t>
  </si>
  <si>
    <t>揽仙歌（《问道》手游9周年主题曲）</t>
  </si>
  <si>
    <t>home.</t>
  </si>
  <si>
    <t>Soy Milk and Fried Dough Sticks</t>
  </si>
  <si>
    <t>豆浆油条</t>
  </si>
  <si>
    <t>The Summer Blown by the Wind</t>
  </si>
  <si>
    <t>被风吹过的夏天</t>
  </si>
  <si>
    <t>I Know</t>
  </si>
  <si>
    <t>我知道</t>
  </si>
  <si>
    <t>Love Breaks In</t>
  </si>
  <si>
    <t>爱情闯进门</t>
  </si>
  <si>
    <t>The Best Singer</t>
  </si>
  <si>
    <t>最佳歌手</t>
  </si>
  <si>
    <t>Dark Green Nails</t>
  </si>
  <si>
    <t>墨绿指甲</t>
  </si>
  <si>
    <t>Big Star</t>
  </si>
  <si>
    <t>大明星</t>
  </si>
  <si>
    <t>Little World (Interlude of the TV Series "Fated to My Fortune")</t>
  </si>
  <si>
    <t>小小世界（《爱情自有天意》插曲）</t>
  </si>
  <si>
    <t>Eternal Ages (Opening Theme Song of the TV Series "The Journey of Flower")</t>
  </si>
  <si>
    <t>千古（电视剧《花千骨》片头曲）</t>
  </si>
  <si>
    <t>Spaceman</t>
  </si>
  <si>
    <t>Silence Has Bought the Entire Lake</t>
  </si>
  <si>
    <t>寂静买下了整座湖</t>
  </si>
  <si>
    <t>Love From Retro</t>
  </si>
  <si>
    <t>Love From Retro（瑞秋的爱）</t>
  </si>
  <si>
    <t>Go to the Seaside Again</t>
  </si>
  <si>
    <t>再去海边</t>
  </si>
  <si>
    <t>This Summer</t>
  </si>
  <si>
    <t>这个夏天</t>
  </si>
  <si>
    <t>If the moon hadn't come MV</t>
  </si>
  <si>
    <t>若月亮没来MV</t>
  </si>
  <si>
    <t>Mud MV</t>
  </si>
  <si>
    <t>泥巴MV</t>
  </si>
  <si>
    <t>My skateboard shoes MV</t>
  </si>
  <si>
    <t>我的滑板鞋MV</t>
  </si>
  <si>
    <t>Guo Zhaojiang, a Post-85 Scientist: Unearthing World-Class Results from the Ground</t>
  </si>
  <si>
    <t>“85后”科学家郭兆将：从地里“刨”出国际一流成果</t>
  </si>
  <si>
    <t>Han Xiqiu, "Daughter of the Sea": Deep-Sea Mining and Treasure Hunting, Riding the Waves of the Ocean</t>
  </si>
  <si>
    <t>“海的女儿”韩喜球：深海探矿寻宝 在大洋中乘风破浪</t>
  </si>
  <si>
    <t>Teacher Lu, the Bone Player: How She Made Paleontology a Hot Field</t>
  </si>
  <si>
    <t>“玩骨头的卢老师” 她让冷门的古生物学“热”了起来</t>
  </si>
  <si>
    <t>Fang Shouxian: Knocking on the Door of the Microscopic World, Building High-Energy Accelerators for China</t>
  </si>
  <si>
    <t>方守贤：叩击微观世界大门 为祖国造高能加速器</t>
  </si>
  <si>
    <t>Fu Qiaomei: Using Ancient DNA Technology to Map Human Evolution</t>
  </si>
  <si>
    <t>付巧妹：用古DNA技术“绘”人类演变图谱</t>
  </si>
  <si>
    <t>Guo Tiancai: Forty-Six Years of Consistent Dedication, Diagnosing High Wheat Yields</t>
  </si>
  <si>
    <t>郭天财：四十六年如一日 为小麦高产“问诊把脉”</t>
  </si>
  <si>
    <t>A Century of Transformation: The Railway Evolves from a "Person" to a "Big" Character</t>
  </si>
  <si>
    <t>跨越百年 这条铁路从“人”字变成“大”字</t>
  </si>
  <si>
    <t>Li Min: Guided by the Stars, Marking the Precision of Beidou</t>
  </si>
  <si>
    <t>李敏：星辰为引 标注北斗精度</t>
  </si>
  <si>
    <t>A Journey of Thousands of Miles: Why Don't Migratory Birds Get Lost? This Scientist Reveals the Answer</t>
  </si>
  <si>
    <t>万里迁徙，候鸟为何不迷路？这位科学家揭秘答案</t>
  </si>
  <si>
    <t>You Wei: Youth Shines in the "Xihe Chasing the Sun" Project</t>
  </si>
  <si>
    <t>尤伟：青春在“羲和逐日”中闪光</t>
  </si>
  <si>
    <t>The World's First HTR-PM Nuclear Power Plant</t>
  </si>
  <si>
    <t>“固若金汤”的核电站：全球首座高温气冷堆核电站示范工程</t>
  </si>
  <si>
    <t>Lunar Samples Retrieved by Chang'e-5</t>
  </si>
  <si>
    <t>带着月球“土特产”回家：嫦娥五号</t>
  </si>
  <si>
    <t>China Sky Eye: Five-Hundred-Meter Aperture Spherical Radio Telescope (FAST)</t>
  </si>
  <si>
    <t>洞悉宇宙的“中国天眼”——500米口径球面射电望远镜</t>
  </si>
  <si>
    <t>Large High Altitude Air Shower Observatory</t>
  </si>
  <si>
    <t>高海拔宇宙线观测站</t>
  </si>
  <si>
    <t>China's Largest Domestic Shield Tunneling Machine: "Jinghua"</t>
  </si>
  <si>
    <t>国产最大直径盾构机“京华号”</t>
  </si>
  <si>
    <t>National Microbiology Data Center</t>
  </si>
  <si>
    <t>国家微生物科学数据中心</t>
  </si>
  <si>
    <t>The Precision "Scissors" of Gene Editing</t>
  </si>
  <si>
    <t>基因编辑的精准“剪刀”</t>
  </si>
  <si>
    <t>Polar Scientific Research Vessel "Xue Long 2"</t>
  </si>
  <si>
    <t>极地科学考察船“雪龙2”号</t>
  </si>
  <si>
    <t>Primary Thermometer for Low Temperature Zone</t>
  </si>
  <si>
    <t>极低温区基准级测温装置</t>
  </si>
  <si>
    <t>All-in-One Imaging Diagnostic Device: Integrated PET-MR</t>
  </si>
  <si>
    <t>全能影像诊断设备：一体化PET_MR</t>
  </si>
  <si>
    <t>Exploring Earth's "Fourth Pole": The Full-Ocean-Depth Manned Submersible, "Fendouzhe"</t>
  </si>
  <si>
    <t>探秘地球“第四极”：全海深载人潜水器“奋斗者”号</t>
  </si>
  <si>
    <t>In Pursuit of the Ideal Clean Energy of the Future: EAST (Experimental Advanced Superconducting Tokamak)</t>
  </si>
  <si>
    <t>探求未来理想的清洁能源：东方超环</t>
  </si>
  <si>
    <t>The Spark of Interstellar Exploration: China's First Mars Rover, Zhurong</t>
  </si>
  <si>
    <t>星际探测的火种：首辆火星车祝融号</t>
  </si>
  <si>
    <t>China's Space Station: Here We Come!</t>
  </si>
  <si>
    <t>中国空间站：“太空，我们来了！”</t>
  </si>
  <si>
    <t>China's Quantum Supremacy Milestone: The Quantum Computer, Jiuzhang</t>
  </si>
  <si>
    <t>中国实现“量子优越性”的里程碑 量子计算机“九章”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</si>
</sst>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_-;\-&quot;$&quot;* #,##0.00_-;_-&quot;$&quot;* &quot;-&quot;??_-;_-@_-"/>
    <numFmt numFmtId="177" formatCode="[$-409]General"/>
    <numFmt numFmtId="178" formatCode="0.0_ "/>
    <numFmt numFmtId="179" formatCode="[$-F800]dddd\,\ mmmm\ dd\,\ yyyy"/>
  </numFmts>
  <fonts count="33">
    <font>
      <sz val="11"/>
      <color theme="1"/>
      <name val="宋体"/>
      <charset val="134"/>
      <scheme val="minor"/>
    </font>
    <font>
      <sz val="10"/>
      <color theme="1"/>
      <name val="Arial"/>
      <charset val="134"/>
    </font>
    <font>
      <sz val="10"/>
      <name val="Arial"/>
      <charset val="134"/>
    </font>
    <font>
      <b/>
      <sz val="10"/>
      <color theme="1"/>
      <name val="Arial"/>
      <charset val="134"/>
    </font>
    <font>
      <b/>
      <sz val="10"/>
      <name val="Arial"/>
      <charset val="134"/>
    </font>
    <font>
      <sz val="10"/>
      <color theme="1"/>
      <name val="宋体"/>
      <charset val="134"/>
    </font>
    <font>
      <sz val="10"/>
      <color theme="1"/>
      <name val="宋体"/>
      <charset val="134"/>
      <scheme val="major"/>
    </font>
    <font>
      <sz val="10"/>
      <color theme="1"/>
      <name val="宋体"/>
      <charset val="134"/>
      <scheme val="minor"/>
    </font>
    <font>
      <sz val="10"/>
      <name val="宋体"/>
      <charset val="134"/>
      <scheme val="minor"/>
    </font>
    <font>
      <sz val="6"/>
      <color theme="1"/>
      <name val="Arial"/>
      <charset val="134"/>
    </font>
    <font>
      <b/>
      <sz val="12"/>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Verdana"/>
      <charset val="134"/>
    </font>
    <font>
      <sz val="12"/>
      <name val="Times New Roman"/>
      <charset val="134"/>
    </font>
  </fonts>
  <fills count="36">
    <fill>
      <patternFill patternType="none"/>
    </fill>
    <fill>
      <patternFill patternType="gray125"/>
    </fill>
    <fill>
      <patternFill patternType="solid">
        <fgColor theme="0" tint="-0.25"/>
        <bgColor indexed="64"/>
      </patternFill>
    </fill>
    <fill>
      <patternFill patternType="solid">
        <fgColor rgb="FFFFFF00"/>
        <bgColor indexed="64"/>
      </patternFill>
    </fill>
    <fill>
      <patternFill patternType="solid">
        <fgColor rgb="FFD883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 fillId="0" borderId="0"/>
    <xf numFmtId="0" fontId="31" fillId="0" borderId="0" applyNumberFormat="0" applyFill="0" applyBorder="0" applyProtection="0">
      <alignment vertical="top" wrapText="1"/>
    </xf>
    <xf numFmtId="0" fontId="0" fillId="0" borderId="0" applyBorder="0">
      <alignment vertical="center"/>
    </xf>
    <xf numFmtId="0" fontId="32" fillId="0" borderId="0">
      <alignment vertical="center"/>
    </xf>
    <xf numFmtId="176" fontId="31" fillId="0" borderId="0" applyFont="0" applyFill="0" applyBorder="0" applyAlignment="0" applyProtection="0"/>
  </cellStyleXfs>
  <cellXfs count="70">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1" xfId="0" applyNumberFormat="1" applyFont="1" applyBorder="1" applyAlignment="1">
      <alignment horizontal="center" vertical="center"/>
    </xf>
    <xf numFmtId="0" fontId="1" fillId="0" borderId="1" xfId="0" applyNumberFormat="1" applyFont="1" applyBorder="1" applyAlignment="1">
      <alignment horizontal="left" vertical="center"/>
    </xf>
    <xf numFmtId="0" fontId="5" fillId="0" borderId="1" xfId="0" applyFont="1" applyBorder="1" applyAlignment="1">
      <alignment horizontal="center" vertical="center"/>
    </xf>
    <xf numFmtId="0" fontId="2" fillId="0" borderId="1" xfId="0" applyNumberFormat="1" applyFont="1" applyFill="1" applyBorder="1" applyAlignment="1">
      <alignment horizontal="left" vertical="center"/>
    </xf>
    <xf numFmtId="0" fontId="1" fillId="0" borderId="1" xfId="0" applyFont="1" applyBorder="1" applyAlignment="1">
      <alignment horizontal="center" vertical="center"/>
    </xf>
    <xf numFmtId="0" fontId="6" fillId="0" borderId="1" xfId="0" applyNumberFormat="1" applyFont="1" applyFill="1" applyBorder="1" applyAlignment="1">
      <alignment horizontal="left" vertical="center"/>
    </xf>
    <xf numFmtId="0" fontId="1" fillId="0" borderId="0" xfId="0" applyNumberFormat="1" applyFont="1">
      <alignment vertical="center"/>
    </xf>
    <xf numFmtId="0" fontId="1" fillId="0" borderId="0" xfId="0" applyFont="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xf>
    <xf numFmtId="0" fontId="5" fillId="0" borderId="1"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xf>
    <xf numFmtId="0" fontId="5" fillId="0"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2" fillId="3"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5" fillId="3"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xf>
    <xf numFmtId="0" fontId="5" fillId="4" borderId="1" xfId="0" applyFont="1" applyFill="1" applyBorder="1" applyAlignment="1">
      <alignment horizontal="center" vertical="center"/>
    </xf>
    <xf numFmtId="177" fontId="2"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177" fontId="1" fillId="0" borderId="0" xfId="0" applyNumberFormat="1" applyFont="1">
      <alignment vertical="center"/>
    </xf>
    <xf numFmtId="178" fontId="7"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3" fillId="0" borderId="0" xfId="0" applyFont="1">
      <alignment vertical="center"/>
    </xf>
    <xf numFmtId="0" fontId="1" fillId="0" borderId="0" xfId="0" applyFont="1" applyAlignment="1">
      <alignment horizontal="left" vertical="center"/>
    </xf>
    <xf numFmtId="0" fontId="1" fillId="0" borderId="2" xfId="0" applyFont="1" applyBorder="1" applyAlignment="1">
      <alignment horizontal="center" vertical="center"/>
    </xf>
    <xf numFmtId="0" fontId="5" fillId="0" borderId="2" xfId="0" applyFont="1" applyBorder="1" applyAlignment="1">
      <alignment horizontal="center" vertical="center"/>
    </xf>
    <xf numFmtId="1"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xf>
    <xf numFmtId="0" fontId="1" fillId="0" borderId="3"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1" fontId="7" fillId="0" borderId="1" xfId="0" applyNumberFormat="1" applyFont="1" applyFill="1" applyBorder="1" applyAlignment="1">
      <alignment horizontal="left" vertical="center"/>
    </xf>
    <xf numFmtId="0" fontId="7" fillId="0" borderId="1" xfId="0" applyNumberFormat="1" applyFont="1" applyFill="1" applyBorder="1" applyAlignment="1">
      <alignment horizontal="left" vertical="center"/>
    </xf>
    <xf numFmtId="1" fontId="1" fillId="3" borderId="1" xfId="0" applyNumberFormat="1" applyFont="1" applyFill="1" applyBorder="1" applyAlignment="1">
      <alignment horizontal="left" vertical="center"/>
    </xf>
    <xf numFmtId="1" fontId="7"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79" fontId="7" fillId="0" borderId="1" xfId="0" applyNumberFormat="1" applyFont="1" applyFill="1" applyBorder="1" applyAlignment="1">
      <alignment horizontal="left" vertical="center"/>
    </xf>
    <xf numFmtId="0" fontId="8" fillId="0" borderId="1" xfId="0" applyNumberFormat="1" applyFont="1" applyFill="1" applyBorder="1" applyAlignment="1">
      <alignment horizontal="left" vertical="center"/>
    </xf>
    <xf numFmtId="0" fontId="1" fillId="0" borderId="4" xfId="0" applyFont="1" applyBorder="1" applyAlignment="1">
      <alignment horizontal="center" vertical="center"/>
    </xf>
    <xf numFmtId="0" fontId="5" fillId="0" borderId="4" xfId="0" applyFont="1" applyBorder="1" applyAlignment="1">
      <alignment horizontal="center" vertical="center"/>
    </xf>
    <xf numFmtId="1" fontId="8" fillId="0" borderId="1" xfId="0" applyNumberFormat="1" applyFont="1" applyFill="1" applyBorder="1" applyAlignment="1">
      <alignment horizontal="left" vertical="center"/>
    </xf>
    <xf numFmtId="177"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NumberFormat="1" applyFont="1" applyBorder="1" applyAlignment="1">
      <alignment horizontal="left" vertical="center" wrapText="1"/>
    </xf>
    <xf numFmtId="0"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7" fillId="0" borderId="1" xfId="0" applyNumberFormat="1" applyFont="1" applyBorder="1" applyAlignment="1">
      <alignment horizontal="left" vertical="center" wrapText="1"/>
    </xf>
    <xf numFmtId="0" fontId="9" fillId="0" borderId="0" xfId="0" applyFont="1" applyAlignment="1">
      <alignment horizontal="left" vertical="center" wrapText="1"/>
    </xf>
    <xf numFmtId="0" fontId="10"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177" fontId="11" fillId="0" borderId="1" xfId="0" applyNumberFormat="1"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FE 2" xfId="49"/>
    <cellStyle name="常规 2" xfId="50"/>
    <cellStyle name="常规 5" xfId="51"/>
    <cellStyle name="常规 32" xfId="52"/>
    <cellStyle name="Currency 2" xfId="53"/>
  </cellStyles>
  <tableStyles count="0" defaultTableStyle="TableStyleMedium2" defaultPivotStyle="PivotStyleLight16"/>
  <colors>
    <mruColors>
      <color rgb="00D883F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4"/>
  <sheetViews>
    <sheetView workbookViewId="0">
      <selection activeCell="L10" sqref="L10"/>
    </sheetView>
  </sheetViews>
  <sheetFormatPr defaultColWidth="9" defaultRowHeight="13.5" outlineLevelCol="3"/>
  <cols>
    <col min="1" max="1" width="10.25" customWidth="1"/>
    <col min="2" max="2" width="55.375" customWidth="1"/>
    <col min="3" max="3" width="13.5" customWidth="1"/>
    <col min="4" max="4" width="12.5" customWidth="1"/>
  </cols>
  <sheetData>
    <row r="1" ht="20" customHeight="1" spans="1:4">
      <c r="A1" s="66" t="s">
        <v>0</v>
      </c>
      <c r="B1" s="66" t="s">
        <v>1</v>
      </c>
      <c r="C1" s="66" t="s">
        <v>2</v>
      </c>
      <c r="D1" s="66" t="s">
        <v>3</v>
      </c>
    </row>
    <row r="2" ht="20" customHeight="1" spans="1:4">
      <c r="A2" s="67" t="s">
        <v>4</v>
      </c>
      <c r="B2" s="67" t="s">
        <v>5</v>
      </c>
      <c r="C2" s="67" t="s">
        <v>6</v>
      </c>
      <c r="D2" s="67" t="s">
        <v>7</v>
      </c>
    </row>
    <row r="3" ht="50" customHeight="1" spans="1:4">
      <c r="A3" s="67" t="s">
        <v>8</v>
      </c>
      <c r="B3" s="68" t="s">
        <v>9</v>
      </c>
      <c r="C3" s="67" t="s">
        <v>6</v>
      </c>
      <c r="D3" s="67" t="s">
        <v>10</v>
      </c>
    </row>
    <row r="4" ht="66" customHeight="1" spans="1:4">
      <c r="A4" s="67" t="s">
        <v>11</v>
      </c>
      <c r="B4" s="68" t="s">
        <v>12</v>
      </c>
      <c r="C4" s="67" t="s">
        <v>6</v>
      </c>
      <c r="D4" s="67" t="s">
        <v>13</v>
      </c>
    </row>
    <row r="5" ht="29" customHeight="1" spans="1:4">
      <c r="A5" s="67" t="s">
        <v>14</v>
      </c>
      <c r="B5" s="69" t="s">
        <v>15</v>
      </c>
      <c r="C5" s="67" t="s">
        <v>6</v>
      </c>
      <c r="D5" s="67" t="s">
        <v>16</v>
      </c>
    </row>
    <row r="6" ht="27" customHeight="1" spans="1:4">
      <c r="A6" s="67" t="s">
        <v>17</v>
      </c>
      <c r="B6" s="68"/>
      <c r="C6" s="67"/>
      <c r="D6" s="67"/>
    </row>
    <row r="7" ht="42" customHeight="1" spans="1:4">
      <c r="A7" s="67" t="s">
        <v>18</v>
      </c>
      <c r="B7" s="68"/>
      <c r="C7" s="67"/>
      <c r="D7" s="67"/>
    </row>
    <row r="8" ht="36" customHeight="1" spans="1:4">
      <c r="A8" s="67" t="s">
        <v>19</v>
      </c>
      <c r="B8" s="68"/>
      <c r="C8" s="67"/>
      <c r="D8" s="67"/>
    </row>
    <row r="9" ht="20" customHeight="1" spans="1:4">
      <c r="A9" s="67" t="s">
        <v>20</v>
      </c>
      <c r="B9" s="67"/>
      <c r="C9" s="67"/>
      <c r="D9" s="67"/>
    </row>
    <row r="10" ht="20" customHeight="1" spans="1:4">
      <c r="A10" s="67"/>
      <c r="B10" s="67"/>
      <c r="C10" s="67"/>
      <c r="D10" s="67"/>
    </row>
    <row r="11" ht="20" customHeight="1"/>
    <row r="12" ht="20" customHeight="1"/>
    <row r="13" ht="20" customHeight="1"/>
    <row r="14" ht="20"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100"/>
  <sheetViews>
    <sheetView tabSelected="1" workbookViewId="0">
      <pane ySplit="1" topLeftCell="A67" activePane="bottomLeft" state="frozen"/>
      <selection/>
      <selection pane="bottomLeft" activeCell="C76" sqref="$A76:$XFD77"/>
    </sheetView>
  </sheetViews>
  <sheetFormatPr defaultColWidth="9" defaultRowHeight="12.75"/>
  <cols>
    <col min="1" max="1" width="5" style="2" customWidth="1"/>
    <col min="2" max="2" width="20.7" style="2" customWidth="1"/>
    <col min="3" max="3" width="12.125" style="2" customWidth="1"/>
    <col min="4" max="4" width="29.125" style="41" customWidth="1"/>
    <col min="5" max="5" width="21.5" style="41" customWidth="1"/>
    <col min="6" max="6" width="43.875" style="41" customWidth="1"/>
    <col min="7" max="7" width="97.625" style="4" customWidth="1"/>
    <col min="8" max="11" width="9" style="2"/>
    <col min="12" max="16384" width="9" style="1"/>
  </cols>
  <sheetData>
    <row r="1" s="40" customFormat="1" ht="39" customHeight="1" spans="1:11">
      <c r="A1" s="6" t="s">
        <v>21</v>
      </c>
      <c r="B1" s="6" t="s">
        <v>22</v>
      </c>
      <c r="C1" s="6" t="s">
        <v>23</v>
      </c>
      <c r="D1" s="6" t="s">
        <v>24</v>
      </c>
      <c r="E1" s="6" t="s">
        <v>25</v>
      </c>
      <c r="F1" s="6" t="s">
        <v>26</v>
      </c>
      <c r="G1" s="5" t="s">
        <v>27</v>
      </c>
      <c r="H1" s="6" t="s">
        <v>28</v>
      </c>
      <c r="I1" s="6" t="s">
        <v>25</v>
      </c>
      <c r="J1" s="6" t="s">
        <v>26</v>
      </c>
      <c r="K1" s="6" t="s">
        <v>27</v>
      </c>
    </row>
    <row r="2" ht="40" customHeight="1" spans="1:11">
      <c r="A2" s="42">
        <v>1</v>
      </c>
      <c r="B2" s="43" t="str">
        <f>D3</f>
        <v>射雕英雄传：侠之大者</v>
      </c>
      <c r="C2" s="12" t="s">
        <v>29</v>
      </c>
      <c r="D2" s="44" t="s">
        <v>30</v>
      </c>
      <c r="E2" s="45" t="s">
        <v>31</v>
      </c>
      <c r="F2" s="11" t="s">
        <v>32</v>
      </c>
      <c r="G2" s="27" t="s">
        <v>33</v>
      </c>
      <c r="H2" s="12">
        <f>LEN(D2)</f>
        <v>42</v>
      </c>
      <c r="I2" s="12">
        <f>LEN(E2)</f>
        <v>9</v>
      </c>
      <c r="J2" s="12">
        <f>LEN(F2)</f>
        <v>23</v>
      </c>
      <c r="K2" s="12">
        <f>LEN(G2)</f>
        <v>161</v>
      </c>
    </row>
    <row r="3" ht="40" customHeight="1" spans="1:11">
      <c r="A3" s="46"/>
      <c r="B3" s="47"/>
      <c r="C3" s="48" t="s">
        <v>34</v>
      </c>
      <c r="D3" s="49" t="s">
        <v>35</v>
      </c>
      <c r="E3" s="50" t="s">
        <v>36</v>
      </c>
      <c r="F3" s="50" t="s">
        <v>37</v>
      </c>
      <c r="G3" s="29" t="s">
        <v>38</v>
      </c>
      <c r="H3" s="12">
        <f>LEN(D3)</f>
        <v>10</v>
      </c>
      <c r="I3" s="12">
        <f>LEN(E3)</f>
        <v>2</v>
      </c>
      <c r="J3" s="12">
        <f>LEN(F3)</f>
        <v>8</v>
      </c>
      <c r="K3" s="12">
        <f>LEN(G3)</f>
        <v>39</v>
      </c>
    </row>
    <row r="4" ht="40" customHeight="1" spans="1:11">
      <c r="A4" s="42">
        <v>2</v>
      </c>
      <c r="B4" s="43" t="str">
        <f>D5</f>
        <v>武替道</v>
      </c>
      <c r="C4" s="12" t="s">
        <v>29</v>
      </c>
      <c r="D4" s="44" t="s">
        <v>39</v>
      </c>
      <c r="E4" s="45" t="s">
        <v>40</v>
      </c>
      <c r="F4" s="11" t="s">
        <v>41</v>
      </c>
      <c r="G4" s="27" t="s">
        <v>42</v>
      </c>
      <c r="H4" s="12">
        <f>LEN(D4)</f>
        <v>8</v>
      </c>
      <c r="I4" s="12">
        <f>LEN(E4)</f>
        <v>45</v>
      </c>
      <c r="J4" s="12">
        <f>LEN(F4)</f>
        <v>33</v>
      </c>
      <c r="K4" s="12">
        <f>LEN(G4)</f>
        <v>150</v>
      </c>
    </row>
    <row r="5" ht="40" customHeight="1" spans="1:11">
      <c r="A5" s="46"/>
      <c r="B5" s="47"/>
      <c r="C5" s="48" t="s">
        <v>34</v>
      </c>
      <c r="D5" s="50" t="s">
        <v>43</v>
      </c>
      <c r="E5" s="50" t="s">
        <v>44</v>
      </c>
      <c r="F5" s="50" t="s">
        <v>45</v>
      </c>
      <c r="G5" s="29" t="s">
        <v>46</v>
      </c>
      <c r="H5" s="12">
        <f>LEN(D5)</f>
        <v>3</v>
      </c>
      <c r="I5" s="12">
        <f>LEN(E5)</f>
        <v>9</v>
      </c>
      <c r="J5" s="12">
        <f>LEN(F5)</f>
        <v>14</v>
      </c>
      <c r="K5" s="12">
        <f>LEN(G5)</f>
        <v>59</v>
      </c>
    </row>
    <row r="6" ht="40" customHeight="1" spans="1:11">
      <c r="A6" s="42">
        <v>3</v>
      </c>
      <c r="B6" s="43" t="str">
        <f>D7</f>
        <v>倚天屠龙记之魔教教主</v>
      </c>
      <c r="C6" s="12" t="s">
        <v>29</v>
      </c>
      <c r="D6" s="44" t="s">
        <v>47</v>
      </c>
      <c r="E6" s="45" t="s">
        <v>48</v>
      </c>
      <c r="F6" s="11" t="s">
        <v>49</v>
      </c>
      <c r="G6" s="27" t="s">
        <v>50</v>
      </c>
      <c r="H6" s="12">
        <f t="shared" ref="H6:H54" si="0">LEN(D6)</f>
        <v>19</v>
      </c>
      <c r="I6" s="12">
        <f t="shared" ref="I6:I54" si="1">LEN(E6)</f>
        <v>9</v>
      </c>
      <c r="J6" s="12">
        <f t="shared" ref="J6:J54" si="2">LEN(F6)</f>
        <v>21</v>
      </c>
      <c r="K6" s="12">
        <f t="shared" ref="K6:K54" si="3">LEN(G6)</f>
        <v>216</v>
      </c>
    </row>
    <row r="7" ht="40" customHeight="1" spans="1:11">
      <c r="A7" s="46"/>
      <c r="B7" s="47"/>
      <c r="C7" s="48" t="s">
        <v>34</v>
      </c>
      <c r="D7" s="49" t="s">
        <v>51</v>
      </c>
      <c r="E7" s="50" t="s">
        <v>52</v>
      </c>
      <c r="F7" s="50" t="s">
        <v>53</v>
      </c>
      <c r="G7" s="29" t="s">
        <v>54</v>
      </c>
      <c r="H7" s="12">
        <f t="shared" si="0"/>
        <v>10</v>
      </c>
      <c r="I7" s="12">
        <f t="shared" si="1"/>
        <v>2</v>
      </c>
      <c r="J7" s="12">
        <f t="shared" si="2"/>
        <v>8</v>
      </c>
      <c r="K7" s="12">
        <f t="shared" si="3"/>
        <v>44</v>
      </c>
    </row>
    <row r="8" ht="40" customHeight="1" spans="1:11">
      <c r="A8" s="42">
        <v>4</v>
      </c>
      <c r="B8" s="43" t="str">
        <f>D9</f>
        <v>新天龙八部之天山童姥</v>
      </c>
      <c r="C8" s="12" t="s">
        <v>29</v>
      </c>
      <c r="D8" s="44" t="s">
        <v>55</v>
      </c>
      <c r="E8" s="45" t="s">
        <v>56</v>
      </c>
      <c r="F8" s="11" t="s">
        <v>57</v>
      </c>
      <c r="G8" s="27" t="s">
        <v>58</v>
      </c>
      <c r="H8" s="12">
        <f t="shared" si="0"/>
        <v>51</v>
      </c>
      <c r="I8" s="12">
        <f t="shared" si="1"/>
        <v>9</v>
      </c>
      <c r="J8" s="12">
        <f t="shared" si="2"/>
        <v>21</v>
      </c>
      <c r="K8" s="12">
        <f t="shared" si="3"/>
        <v>222</v>
      </c>
    </row>
    <row r="9" ht="40" customHeight="1" spans="1:11">
      <c r="A9" s="46"/>
      <c r="B9" s="47"/>
      <c r="C9" s="48" t="s">
        <v>34</v>
      </c>
      <c r="D9" s="49" t="s">
        <v>59</v>
      </c>
      <c r="E9" s="50" t="s">
        <v>60</v>
      </c>
      <c r="F9" s="50" t="s">
        <v>61</v>
      </c>
      <c r="G9" s="29" t="s">
        <v>62</v>
      </c>
      <c r="H9" s="12">
        <f t="shared" si="0"/>
        <v>10</v>
      </c>
      <c r="I9" s="12">
        <f t="shared" si="1"/>
        <v>3</v>
      </c>
      <c r="J9" s="12">
        <f t="shared" si="2"/>
        <v>8</v>
      </c>
      <c r="K9" s="12">
        <f t="shared" si="3"/>
        <v>43</v>
      </c>
    </row>
    <row r="10" ht="40" customHeight="1" spans="1:11">
      <c r="A10" s="42">
        <v>5</v>
      </c>
      <c r="B10" s="43" t="str">
        <f>D11</f>
        <v>太极张三丰</v>
      </c>
      <c r="C10" s="12" t="s">
        <v>29</v>
      </c>
      <c r="D10" s="51" t="s">
        <v>63</v>
      </c>
      <c r="E10" s="45" t="s">
        <v>64</v>
      </c>
      <c r="F10" s="11" t="s">
        <v>65</v>
      </c>
      <c r="G10" s="27" t="s">
        <v>66</v>
      </c>
      <c r="H10" s="12">
        <f t="shared" si="0"/>
        <v>18</v>
      </c>
      <c r="I10" s="12">
        <f t="shared" si="1"/>
        <v>13</v>
      </c>
      <c r="J10" s="12">
        <f t="shared" si="2"/>
        <v>21</v>
      </c>
      <c r="K10" s="12">
        <f t="shared" si="3"/>
        <v>238</v>
      </c>
    </row>
    <row r="11" ht="40" customHeight="1" spans="1:11">
      <c r="A11" s="46"/>
      <c r="B11" s="47"/>
      <c r="C11" s="48" t="s">
        <v>34</v>
      </c>
      <c r="D11" s="49" t="s">
        <v>67</v>
      </c>
      <c r="E11" s="50" t="s">
        <v>68</v>
      </c>
      <c r="F11" s="50" t="s">
        <v>69</v>
      </c>
      <c r="G11" s="29" t="s">
        <v>70</v>
      </c>
      <c r="H11" s="12">
        <f t="shared" si="0"/>
        <v>5</v>
      </c>
      <c r="I11" s="12">
        <f t="shared" si="1"/>
        <v>3</v>
      </c>
      <c r="J11" s="12">
        <f t="shared" si="2"/>
        <v>9</v>
      </c>
      <c r="K11" s="12">
        <f t="shared" si="3"/>
        <v>41</v>
      </c>
    </row>
    <row r="12" ht="40" customHeight="1" spans="1:11">
      <c r="A12" s="42">
        <v>6</v>
      </c>
      <c r="B12" s="43" t="str">
        <f>D13</f>
        <v>悬崖之上</v>
      </c>
      <c r="C12" s="12" t="s">
        <v>29</v>
      </c>
      <c r="D12" s="44" t="s">
        <v>71</v>
      </c>
      <c r="E12" s="45" t="s">
        <v>72</v>
      </c>
      <c r="F12" s="11" t="s">
        <v>73</v>
      </c>
      <c r="G12" s="27" t="s">
        <v>74</v>
      </c>
      <c r="H12" s="12">
        <f t="shared" si="0"/>
        <v>13</v>
      </c>
      <c r="I12" s="12">
        <f t="shared" si="1"/>
        <v>11</v>
      </c>
      <c r="J12" s="12">
        <f t="shared" si="2"/>
        <v>29</v>
      </c>
      <c r="K12" s="12">
        <f t="shared" si="3"/>
        <v>60</v>
      </c>
    </row>
    <row r="13" ht="40" customHeight="1" spans="1:11">
      <c r="A13" s="46"/>
      <c r="B13" s="47"/>
      <c r="C13" s="48" t="s">
        <v>34</v>
      </c>
      <c r="D13" s="50" t="s">
        <v>75</v>
      </c>
      <c r="E13" s="50" t="s">
        <v>76</v>
      </c>
      <c r="F13" s="50" t="s">
        <v>77</v>
      </c>
      <c r="G13" s="29" t="s">
        <v>78</v>
      </c>
      <c r="H13" s="12">
        <f t="shared" si="0"/>
        <v>4</v>
      </c>
      <c r="I13" s="12">
        <f t="shared" si="1"/>
        <v>3</v>
      </c>
      <c r="J13" s="12">
        <f t="shared" si="2"/>
        <v>14</v>
      </c>
      <c r="K13" s="12">
        <f t="shared" si="3"/>
        <v>30</v>
      </c>
    </row>
    <row r="14" ht="40" customHeight="1" spans="1:11">
      <c r="A14" s="42">
        <v>7</v>
      </c>
      <c r="B14" s="43" t="str">
        <f>D15</f>
        <v>杀破狼·贪狼</v>
      </c>
      <c r="C14" s="12" t="s">
        <v>29</v>
      </c>
      <c r="D14" s="45" t="s">
        <v>79</v>
      </c>
      <c r="E14" s="45" t="s">
        <v>80</v>
      </c>
      <c r="F14" s="11" t="s">
        <v>81</v>
      </c>
      <c r="G14" s="27" t="s">
        <v>82</v>
      </c>
      <c r="H14" s="12">
        <f t="shared" si="0"/>
        <v>7</v>
      </c>
      <c r="I14" s="12">
        <f t="shared" si="1"/>
        <v>10</v>
      </c>
      <c r="J14" s="12">
        <f t="shared" si="2"/>
        <v>55</v>
      </c>
      <c r="K14" s="12">
        <f t="shared" si="3"/>
        <v>174</v>
      </c>
    </row>
    <row r="15" ht="40" customHeight="1" spans="1:11">
      <c r="A15" s="46"/>
      <c r="B15" s="47"/>
      <c r="C15" s="48" t="s">
        <v>34</v>
      </c>
      <c r="D15" s="50" t="s">
        <v>83</v>
      </c>
      <c r="E15" s="50" t="s">
        <v>84</v>
      </c>
      <c r="F15" s="50" t="s">
        <v>85</v>
      </c>
      <c r="G15" s="29" t="s">
        <v>86</v>
      </c>
      <c r="H15" s="12">
        <f t="shared" si="0"/>
        <v>6</v>
      </c>
      <c r="I15" s="12">
        <f t="shared" si="1"/>
        <v>3</v>
      </c>
      <c r="J15" s="12">
        <f t="shared" si="2"/>
        <v>26</v>
      </c>
      <c r="K15" s="12">
        <f t="shared" si="3"/>
        <v>56</v>
      </c>
    </row>
    <row r="16" ht="40" customHeight="1" spans="1:11">
      <c r="A16" s="42">
        <v>8</v>
      </c>
      <c r="B16" s="43" t="str">
        <f>D17</f>
        <v>扫毒</v>
      </c>
      <c r="C16" s="12" t="s">
        <v>29</v>
      </c>
      <c r="D16" s="44" t="s">
        <v>87</v>
      </c>
      <c r="E16" s="45" t="s">
        <v>88</v>
      </c>
      <c r="F16" s="11" t="s">
        <v>89</v>
      </c>
      <c r="G16" s="27" t="s">
        <v>90</v>
      </c>
      <c r="H16" s="12">
        <f t="shared" si="0"/>
        <v>15</v>
      </c>
      <c r="I16" s="12">
        <f t="shared" si="1"/>
        <v>10</v>
      </c>
      <c r="J16" s="12">
        <f t="shared" si="2"/>
        <v>32</v>
      </c>
      <c r="K16" s="12">
        <f t="shared" si="3"/>
        <v>74</v>
      </c>
    </row>
    <row r="17" ht="40" customHeight="1" spans="1:11">
      <c r="A17" s="46"/>
      <c r="B17" s="47"/>
      <c r="C17" s="48" t="s">
        <v>34</v>
      </c>
      <c r="D17" s="50" t="s">
        <v>91</v>
      </c>
      <c r="E17" s="50" t="s">
        <v>92</v>
      </c>
      <c r="F17" s="50" t="s">
        <v>93</v>
      </c>
      <c r="G17" s="29" t="s">
        <v>94</v>
      </c>
      <c r="H17" s="12">
        <f t="shared" si="0"/>
        <v>2</v>
      </c>
      <c r="I17" s="12">
        <f t="shared" si="1"/>
        <v>3</v>
      </c>
      <c r="J17" s="12">
        <f t="shared" si="2"/>
        <v>15</v>
      </c>
      <c r="K17" s="12">
        <f t="shared" si="3"/>
        <v>35</v>
      </c>
    </row>
    <row r="18" ht="40" customHeight="1" spans="1:11">
      <c r="A18" s="42">
        <v>9</v>
      </c>
      <c r="B18" s="43" t="str">
        <f>D19</f>
        <v>无双</v>
      </c>
      <c r="C18" s="12" t="s">
        <v>29</v>
      </c>
      <c r="D18" s="45" t="s">
        <v>95</v>
      </c>
      <c r="E18" s="45" t="s">
        <v>96</v>
      </c>
      <c r="F18" s="11" t="s">
        <v>97</v>
      </c>
      <c r="G18" s="27" t="s">
        <v>98</v>
      </c>
      <c r="H18" s="12">
        <f t="shared" si="0"/>
        <v>17</v>
      </c>
      <c r="I18" s="12">
        <f t="shared" si="1"/>
        <v>11</v>
      </c>
      <c r="J18" s="12">
        <f t="shared" si="2"/>
        <v>53</v>
      </c>
      <c r="K18" s="12">
        <f t="shared" si="3"/>
        <v>220</v>
      </c>
    </row>
    <row r="19" ht="40" customHeight="1" spans="1:11">
      <c r="A19" s="46"/>
      <c r="B19" s="47"/>
      <c r="C19" s="52" t="s">
        <v>34</v>
      </c>
      <c r="D19" s="50" t="s">
        <v>99</v>
      </c>
      <c r="E19" s="50" t="s">
        <v>100</v>
      </c>
      <c r="F19" s="50" t="s">
        <v>101</v>
      </c>
      <c r="G19" s="29" t="s">
        <v>102</v>
      </c>
      <c r="H19" s="12">
        <f t="shared" si="0"/>
        <v>2</v>
      </c>
      <c r="I19" s="12">
        <f t="shared" si="1"/>
        <v>3</v>
      </c>
      <c r="J19" s="12">
        <f t="shared" si="2"/>
        <v>21</v>
      </c>
      <c r="K19" s="12">
        <f t="shared" si="3"/>
        <v>76</v>
      </c>
    </row>
    <row r="20" ht="40" customHeight="1" spans="1:11">
      <c r="A20" s="42">
        <v>10</v>
      </c>
      <c r="B20" s="43" t="str">
        <f>D21</f>
        <v>我会好好的</v>
      </c>
      <c r="C20" s="53" t="s">
        <v>29</v>
      </c>
      <c r="D20" s="45" t="s">
        <v>103</v>
      </c>
      <c r="E20" s="45" t="s">
        <v>104</v>
      </c>
      <c r="F20" s="11" t="s">
        <v>105</v>
      </c>
      <c r="G20" s="27" t="s">
        <v>106</v>
      </c>
      <c r="H20" s="12">
        <f t="shared" si="0"/>
        <v>8</v>
      </c>
      <c r="I20" s="12">
        <f t="shared" si="1"/>
        <v>12</v>
      </c>
      <c r="J20" s="12">
        <f t="shared" si="2"/>
        <v>41</v>
      </c>
      <c r="K20" s="12">
        <f t="shared" si="3"/>
        <v>50</v>
      </c>
    </row>
    <row r="21" ht="40" customHeight="1" spans="1:11">
      <c r="A21" s="46"/>
      <c r="B21" s="47"/>
      <c r="C21" s="48" t="s">
        <v>34</v>
      </c>
      <c r="D21" s="50" t="s">
        <v>107</v>
      </c>
      <c r="E21" s="50" t="s">
        <v>108</v>
      </c>
      <c r="F21" s="50" t="s">
        <v>109</v>
      </c>
      <c r="G21" s="29" t="s">
        <v>110</v>
      </c>
      <c r="H21" s="12">
        <f t="shared" si="0"/>
        <v>5</v>
      </c>
      <c r="I21" s="12">
        <f t="shared" si="1"/>
        <v>3</v>
      </c>
      <c r="J21" s="12">
        <f t="shared" si="2"/>
        <v>15</v>
      </c>
      <c r="K21" s="12">
        <f t="shared" si="3"/>
        <v>41</v>
      </c>
    </row>
    <row r="22" ht="40" customHeight="1" spans="1:11">
      <c r="A22" s="42">
        <v>11</v>
      </c>
      <c r="B22" s="43" t="str">
        <f>D23</f>
        <v>不说话的爱</v>
      </c>
      <c r="C22" s="12" t="s">
        <v>29</v>
      </c>
      <c r="D22" s="45" t="s">
        <v>111</v>
      </c>
      <c r="E22" s="45" t="s">
        <v>112</v>
      </c>
      <c r="F22" s="11" t="s">
        <v>113</v>
      </c>
      <c r="G22" s="27" t="s">
        <v>114</v>
      </c>
      <c r="H22" s="12">
        <f t="shared" si="0"/>
        <v>4</v>
      </c>
      <c r="I22" s="12">
        <f t="shared" si="1"/>
        <v>6</v>
      </c>
      <c r="J22" s="12">
        <f t="shared" si="2"/>
        <v>33</v>
      </c>
      <c r="K22" s="12">
        <f t="shared" si="3"/>
        <v>54</v>
      </c>
    </row>
    <row r="23" ht="40" customHeight="1" spans="1:11">
      <c r="A23" s="46"/>
      <c r="B23" s="47"/>
      <c r="C23" s="48" t="s">
        <v>34</v>
      </c>
      <c r="D23" s="50" t="s">
        <v>115</v>
      </c>
      <c r="E23" s="50" t="s">
        <v>116</v>
      </c>
      <c r="F23" s="50" t="s">
        <v>117</v>
      </c>
      <c r="G23" s="29" t="s">
        <v>118</v>
      </c>
      <c r="H23" s="12">
        <f t="shared" si="0"/>
        <v>5</v>
      </c>
      <c r="I23" s="12">
        <f t="shared" si="1"/>
        <v>2</v>
      </c>
      <c r="J23" s="12">
        <f t="shared" si="2"/>
        <v>14</v>
      </c>
      <c r="K23" s="12">
        <f t="shared" si="3"/>
        <v>40</v>
      </c>
    </row>
    <row r="24" ht="33" customHeight="1" spans="1:11">
      <c r="A24" s="42">
        <v>12</v>
      </c>
      <c r="B24" s="43" t="str">
        <f>D25</f>
        <v>平原上的火焰</v>
      </c>
      <c r="C24" s="12" t="s">
        <v>29</v>
      </c>
      <c r="D24" s="45" t="s">
        <v>119</v>
      </c>
      <c r="E24" s="45" t="s">
        <v>120</v>
      </c>
      <c r="F24" s="45" t="s">
        <v>121</v>
      </c>
      <c r="G24" s="27" t="s">
        <v>122</v>
      </c>
      <c r="H24" s="12">
        <f t="shared" si="0"/>
        <v>17</v>
      </c>
      <c r="I24" s="12">
        <f t="shared" si="1"/>
        <v>8</v>
      </c>
      <c r="J24" s="12">
        <f t="shared" si="2"/>
        <v>33</v>
      </c>
      <c r="K24" s="12">
        <f t="shared" si="3"/>
        <v>104</v>
      </c>
    </row>
    <row r="25" ht="33" customHeight="1" spans="1:11">
      <c r="A25" s="46"/>
      <c r="B25" s="47"/>
      <c r="C25" s="48" t="s">
        <v>34</v>
      </c>
      <c r="D25" s="54" t="s">
        <v>123</v>
      </c>
      <c r="E25" s="50" t="s">
        <v>124</v>
      </c>
      <c r="F25" s="50" t="s">
        <v>125</v>
      </c>
      <c r="G25" s="29" t="s">
        <v>126</v>
      </c>
      <c r="H25" s="12">
        <f t="shared" si="0"/>
        <v>6</v>
      </c>
      <c r="I25" s="12">
        <f t="shared" si="1"/>
        <v>2</v>
      </c>
      <c r="J25" s="12">
        <f t="shared" si="2"/>
        <v>14</v>
      </c>
      <c r="K25" s="12">
        <f t="shared" si="3"/>
        <v>60</v>
      </c>
    </row>
    <row r="26" ht="33" customHeight="1" spans="1:11">
      <c r="A26" s="42">
        <v>13</v>
      </c>
      <c r="B26" s="43" t="str">
        <f>D27</f>
        <v>阳光照耀青春里</v>
      </c>
      <c r="C26" s="12" t="s">
        <v>29</v>
      </c>
      <c r="D26" s="45" t="s">
        <v>127</v>
      </c>
      <c r="E26" s="45" t="s">
        <v>128</v>
      </c>
      <c r="F26" s="45" t="s">
        <v>129</v>
      </c>
      <c r="G26" s="27" t="s">
        <v>130</v>
      </c>
      <c r="H26" s="12">
        <f t="shared" si="0"/>
        <v>11</v>
      </c>
      <c r="I26" s="12">
        <f t="shared" si="1"/>
        <v>11</v>
      </c>
      <c r="J26" s="12">
        <f t="shared" si="2"/>
        <v>34</v>
      </c>
      <c r="K26" s="12">
        <f t="shared" si="3"/>
        <v>42</v>
      </c>
    </row>
    <row r="27" ht="33" customHeight="1" spans="1:11">
      <c r="A27" s="46"/>
      <c r="B27" s="47"/>
      <c r="C27" s="48" t="s">
        <v>34</v>
      </c>
      <c r="D27" s="54" t="s">
        <v>131</v>
      </c>
      <c r="E27" s="50" t="s">
        <v>132</v>
      </c>
      <c r="F27" s="50" t="s">
        <v>133</v>
      </c>
      <c r="G27" s="29" t="s">
        <v>134</v>
      </c>
      <c r="H27" s="12">
        <f t="shared" si="0"/>
        <v>7</v>
      </c>
      <c r="I27" s="12">
        <f t="shared" si="1"/>
        <v>3</v>
      </c>
      <c r="J27" s="12">
        <f t="shared" si="2"/>
        <v>13</v>
      </c>
      <c r="K27" s="12">
        <f t="shared" si="3"/>
        <v>37</v>
      </c>
    </row>
    <row r="28" ht="33" customHeight="1" spans="1:11">
      <c r="A28" s="42">
        <v>14</v>
      </c>
      <c r="B28" s="43" t="str">
        <f>D29</f>
        <v>狼图腾</v>
      </c>
      <c r="C28" s="12" t="s">
        <v>29</v>
      </c>
      <c r="D28" s="44" t="s">
        <v>135</v>
      </c>
      <c r="E28" s="45" t="s">
        <v>136</v>
      </c>
      <c r="F28" s="45" t="s">
        <v>137</v>
      </c>
      <c r="G28" s="27" t="s">
        <v>138</v>
      </c>
      <c r="H28" s="12">
        <f t="shared" si="0"/>
        <v>10</v>
      </c>
      <c r="I28" s="12">
        <f t="shared" si="1"/>
        <v>19</v>
      </c>
      <c r="J28" s="12">
        <f t="shared" si="2"/>
        <v>41</v>
      </c>
      <c r="K28" s="12">
        <f t="shared" si="3"/>
        <v>118</v>
      </c>
    </row>
    <row r="29" ht="33" customHeight="1" spans="1:11">
      <c r="A29" s="46"/>
      <c r="B29" s="47"/>
      <c r="C29" s="48" t="s">
        <v>34</v>
      </c>
      <c r="D29" s="50" t="s">
        <v>139</v>
      </c>
      <c r="E29" s="50" t="s">
        <v>140</v>
      </c>
      <c r="F29" s="50" t="s">
        <v>141</v>
      </c>
      <c r="G29" s="29" t="s">
        <v>142</v>
      </c>
      <c r="H29" s="12">
        <f t="shared" si="0"/>
        <v>3</v>
      </c>
      <c r="I29" s="12">
        <f t="shared" si="1"/>
        <v>7</v>
      </c>
      <c r="J29" s="12">
        <f t="shared" si="2"/>
        <v>15</v>
      </c>
      <c r="K29" s="12">
        <f t="shared" si="3"/>
        <v>50</v>
      </c>
    </row>
    <row r="30" ht="33" customHeight="1" spans="1:11">
      <c r="A30" s="42">
        <v>15</v>
      </c>
      <c r="B30" s="43" t="str">
        <f>D31</f>
        <v>家在水草丰茂的地方</v>
      </c>
      <c r="C30" s="12" t="s">
        <v>29</v>
      </c>
      <c r="D30" s="44" t="s">
        <v>143</v>
      </c>
      <c r="E30" s="45" t="s">
        <v>144</v>
      </c>
      <c r="F30" s="45" t="s">
        <v>145</v>
      </c>
      <c r="G30" s="27" t="s">
        <v>146</v>
      </c>
      <c r="H30" s="12">
        <f t="shared" si="0"/>
        <v>10</v>
      </c>
      <c r="I30" s="12">
        <f t="shared" si="1"/>
        <v>9</v>
      </c>
      <c r="J30" s="12">
        <f t="shared" si="2"/>
        <v>34</v>
      </c>
      <c r="K30" s="12">
        <f t="shared" si="3"/>
        <v>141</v>
      </c>
    </row>
    <row r="31" ht="33" customHeight="1" spans="1:11">
      <c r="A31" s="46"/>
      <c r="B31" s="47"/>
      <c r="C31" s="48" t="s">
        <v>34</v>
      </c>
      <c r="D31" s="50" t="s">
        <v>147</v>
      </c>
      <c r="E31" s="50" t="s">
        <v>148</v>
      </c>
      <c r="F31" s="50" t="s">
        <v>149</v>
      </c>
      <c r="G31" s="29" t="s">
        <v>150</v>
      </c>
      <c r="H31" s="12">
        <f t="shared" si="0"/>
        <v>9</v>
      </c>
      <c r="I31" s="12">
        <f t="shared" si="1"/>
        <v>3</v>
      </c>
      <c r="J31" s="12">
        <f t="shared" si="2"/>
        <v>14</v>
      </c>
      <c r="K31" s="12">
        <f t="shared" si="3"/>
        <v>56</v>
      </c>
    </row>
    <row r="32" ht="33" customHeight="1" spans="1:11">
      <c r="A32" s="42">
        <v>16</v>
      </c>
      <c r="B32" s="43" t="str">
        <f>D33</f>
        <v>可可西里</v>
      </c>
      <c r="C32" s="12" t="s">
        <v>29</v>
      </c>
      <c r="D32" s="44" t="s">
        <v>151</v>
      </c>
      <c r="E32" s="45" t="s">
        <v>152</v>
      </c>
      <c r="F32" s="45" t="s">
        <v>153</v>
      </c>
      <c r="G32" s="27" t="s">
        <v>154</v>
      </c>
      <c r="H32" s="12">
        <f t="shared" si="0"/>
        <v>25</v>
      </c>
      <c r="I32" s="12">
        <f t="shared" si="1"/>
        <v>8</v>
      </c>
      <c r="J32" s="12">
        <f t="shared" si="2"/>
        <v>19</v>
      </c>
      <c r="K32" s="12">
        <f t="shared" si="3"/>
        <v>130</v>
      </c>
    </row>
    <row r="33" ht="33" customHeight="1" spans="1:11">
      <c r="A33" s="46"/>
      <c r="B33" s="47"/>
      <c r="C33" s="48" t="s">
        <v>34</v>
      </c>
      <c r="D33" s="50" t="s">
        <v>155</v>
      </c>
      <c r="E33" s="50" t="s">
        <v>156</v>
      </c>
      <c r="F33" s="50" t="s">
        <v>157</v>
      </c>
      <c r="G33" s="29" t="s">
        <v>158</v>
      </c>
      <c r="H33" s="12">
        <f t="shared" si="0"/>
        <v>4</v>
      </c>
      <c r="I33" s="12">
        <f t="shared" si="1"/>
        <v>2</v>
      </c>
      <c r="J33" s="12">
        <f t="shared" si="2"/>
        <v>8</v>
      </c>
      <c r="K33" s="12">
        <f t="shared" si="3"/>
        <v>55</v>
      </c>
    </row>
    <row r="34" ht="33" customHeight="1" spans="1:11">
      <c r="A34" s="42">
        <v>17</v>
      </c>
      <c r="B34" s="43" t="str">
        <f>D35</f>
        <v>河边的错误</v>
      </c>
      <c r="C34" s="12" t="s">
        <v>29</v>
      </c>
      <c r="D34" s="44" t="s">
        <v>159</v>
      </c>
      <c r="E34" s="45" t="s">
        <v>160</v>
      </c>
      <c r="F34" s="45" t="s">
        <v>161</v>
      </c>
      <c r="G34" s="27" t="s">
        <v>162</v>
      </c>
      <c r="H34" s="12">
        <f t="shared" si="0"/>
        <v>20</v>
      </c>
      <c r="I34" s="12">
        <f t="shared" si="1"/>
        <v>10</v>
      </c>
      <c r="J34" s="12">
        <f t="shared" si="2"/>
        <v>38</v>
      </c>
      <c r="K34" s="12">
        <f t="shared" si="3"/>
        <v>138</v>
      </c>
    </row>
    <row r="35" ht="33" customHeight="1" spans="1:11">
      <c r="A35" s="46"/>
      <c r="B35" s="47"/>
      <c r="C35" s="48" t="s">
        <v>34</v>
      </c>
      <c r="D35" s="50" t="s">
        <v>163</v>
      </c>
      <c r="E35" s="50" t="s">
        <v>164</v>
      </c>
      <c r="F35" s="50" t="s">
        <v>165</v>
      </c>
      <c r="G35" s="29" t="s">
        <v>166</v>
      </c>
      <c r="H35" s="12">
        <f t="shared" si="0"/>
        <v>5</v>
      </c>
      <c r="I35" s="12">
        <f t="shared" si="1"/>
        <v>3</v>
      </c>
      <c r="J35" s="12">
        <f t="shared" si="2"/>
        <v>16</v>
      </c>
      <c r="K35" s="12">
        <f t="shared" si="3"/>
        <v>53</v>
      </c>
    </row>
    <row r="36" ht="33" customHeight="1" spans="1:11">
      <c r="A36" s="42">
        <v>18</v>
      </c>
      <c r="B36" s="43" t="str">
        <f>D37</f>
        <v>十二公民</v>
      </c>
      <c r="C36" s="12" t="s">
        <v>29</v>
      </c>
      <c r="D36" s="44" t="s">
        <v>167</v>
      </c>
      <c r="E36" s="45" t="s">
        <v>168</v>
      </c>
      <c r="F36" s="45" t="s">
        <v>169</v>
      </c>
      <c r="G36" s="27" t="s">
        <v>170</v>
      </c>
      <c r="H36" s="12">
        <f t="shared" si="0"/>
        <v>11</v>
      </c>
      <c r="I36" s="12">
        <f t="shared" si="1"/>
        <v>6</v>
      </c>
      <c r="J36" s="12">
        <f t="shared" si="2"/>
        <v>22</v>
      </c>
      <c r="K36" s="12">
        <f t="shared" si="3"/>
        <v>111</v>
      </c>
    </row>
    <row r="37" ht="33" customHeight="1" spans="1:11">
      <c r="A37" s="46"/>
      <c r="B37" s="47"/>
      <c r="C37" s="48" t="s">
        <v>34</v>
      </c>
      <c r="D37" s="50" t="s">
        <v>171</v>
      </c>
      <c r="E37" s="50" t="s">
        <v>172</v>
      </c>
      <c r="F37" s="50" t="s">
        <v>173</v>
      </c>
      <c r="G37" s="29" t="s">
        <v>174</v>
      </c>
      <c r="H37" s="12">
        <f t="shared" si="0"/>
        <v>4</v>
      </c>
      <c r="I37" s="12">
        <f t="shared" si="1"/>
        <v>2</v>
      </c>
      <c r="J37" s="12">
        <f t="shared" si="2"/>
        <v>8</v>
      </c>
      <c r="K37" s="12">
        <f t="shared" si="3"/>
        <v>60</v>
      </c>
    </row>
    <row r="38" ht="33" customHeight="1" spans="1:11">
      <c r="A38" s="42">
        <v>19</v>
      </c>
      <c r="B38" s="43" t="str">
        <f>D39</f>
        <v>解救吾先生</v>
      </c>
      <c r="C38" s="12" t="s">
        <v>29</v>
      </c>
      <c r="D38" s="44" t="s">
        <v>175</v>
      </c>
      <c r="E38" s="45" t="s">
        <v>176</v>
      </c>
      <c r="F38" s="45" t="s">
        <v>177</v>
      </c>
      <c r="G38" s="27" t="s">
        <v>178</v>
      </c>
      <c r="H38" s="12">
        <f t="shared" si="0"/>
        <v>13</v>
      </c>
      <c r="I38" s="12">
        <f t="shared" si="1"/>
        <v>10</v>
      </c>
      <c r="J38" s="12">
        <f t="shared" si="2"/>
        <v>31</v>
      </c>
      <c r="K38" s="12">
        <f t="shared" si="3"/>
        <v>131</v>
      </c>
    </row>
    <row r="39" ht="33" customHeight="1" spans="1:11">
      <c r="A39" s="46"/>
      <c r="B39" s="47"/>
      <c r="C39" s="48" t="s">
        <v>34</v>
      </c>
      <c r="D39" s="50" t="s">
        <v>179</v>
      </c>
      <c r="E39" s="55" t="s">
        <v>180</v>
      </c>
      <c r="F39" s="55" t="s">
        <v>181</v>
      </c>
      <c r="G39" s="29" t="s">
        <v>182</v>
      </c>
      <c r="H39" s="12">
        <f t="shared" si="0"/>
        <v>5</v>
      </c>
      <c r="I39" s="12">
        <f t="shared" si="1"/>
        <v>2</v>
      </c>
      <c r="J39" s="12">
        <f t="shared" si="2"/>
        <v>14</v>
      </c>
      <c r="K39" s="12">
        <f t="shared" si="3"/>
        <v>50</v>
      </c>
    </row>
    <row r="40" ht="33" customHeight="1" spans="1:11">
      <c r="A40" s="42">
        <v>20</v>
      </c>
      <c r="B40" s="43" t="str">
        <f>D41</f>
        <v>寻枪</v>
      </c>
      <c r="C40" s="12" t="s">
        <v>29</v>
      </c>
      <c r="D40" s="44" t="s">
        <v>183</v>
      </c>
      <c r="E40" s="45" t="s">
        <v>152</v>
      </c>
      <c r="F40" s="45" t="s">
        <v>184</v>
      </c>
      <c r="G40" s="27" t="s">
        <v>185</v>
      </c>
      <c r="H40" s="12">
        <f t="shared" si="0"/>
        <v>15</v>
      </c>
      <c r="I40" s="12">
        <f t="shared" si="1"/>
        <v>8</v>
      </c>
      <c r="J40" s="12">
        <f t="shared" si="2"/>
        <v>31</v>
      </c>
      <c r="K40" s="12">
        <f t="shared" si="3"/>
        <v>66</v>
      </c>
    </row>
    <row r="41" ht="33" customHeight="1" spans="1:11">
      <c r="A41" s="46"/>
      <c r="B41" s="47"/>
      <c r="C41" s="48" t="s">
        <v>34</v>
      </c>
      <c r="D41" s="50" t="s">
        <v>186</v>
      </c>
      <c r="E41" s="50" t="s">
        <v>156</v>
      </c>
      <c r="F41" s="50" t="s">
        <v>187</v>
      </c>
      <c r="G41" s="29" t="s">
        <v>188</v>
      </c>
      <c r="H41" s="12">
        <f t="shared" si="0"/>
        <v>2</v>
      </c>
      <c r="I41" s="12">
        <f t="shared" si="1"/>
        <v>2</v>
      </c>
      <c r="J41" s="12">
        <f t="shared" si="2"/>
        <v>13</v>
      </c>
      <c r="K41" s="12">
        <f t="shared" si="3"/>
        <v>37</v>
      </c>
    </row>
    <row r="42" ht="33" customHeight="1" spans="1:11">
      <c r="A42" s="42">
        <v>21</v>
      </c>
      <c r="B42" s="43" t="str">
        <f>D43</f>
        <v>烈日灼心</v>
      </c>
      <c r="C42" s="12" t="s">
        <v>29</v>
      </c>
      <c r="D42" s="45" t="s">
        <v>189</v>
      </c>
      <c r="E42" s="45" t="s">
        <v>190</v>
      </c>
      <c r="F42" s="45" t="s">
        <v>191</v>
      </c>
      <c r="G42" s="27" t="s">
        <v>192</v>
      </c>
      <c r="H42" s="12">
        <f t="shared" si="0"/>
        <v>12</v>
      </c>
      <c r="I42" s="12">
        <f t="shared" si="1"/>
        <v>11</v>
      </c>
      <c r="J42" s="12">
        <f t="shared" si="2"/>
        <v>44</v>
      </c>
      <c r="K42" s="12">
        <f t="shared" si="3"/>
        <v>344</v>
      </c>
    </row>
    <row r="43" ht="33" customHeight="1" spans="1:11">
      <c r="A43" s="46"/>
      <c r="B43" s="47"/>
      <c r="C43" s="48" t="s">
        <v>34</v>
      </c>
      <c r="D43" s="50" t="s">
        <v>193</v>
      </c>
      <c r="E43" s="50" t="s">
        <v>194</v>
      </c>
      <c r="F43" s="50" t="s">
        <v>195</v>
      </c>
      <c r="G43" s="29" t="s">
        <v>196</v>
      </c>
      <c r="H43" s="12">
        <f t="shared" si="0"/>
        <v>4</v>
      </c>
      <c r="I43" s="12">
        <f t="shared" si="1"/>
        <v>3</v>
      </c>
      <c r="J43" s="12">
        <f t="shared" si="2"/>
        <v>19</v>
      </c>
      <c r="K43" s="12">
        <f t="shared" si="3"/>
        <v>94</v>
      </c>
    </row>
    <row r="44" ht="33" customHeight="1" spans="1:11">
      <c r="A44" s="42">
        <v>22</v>
      </c>
      <c r="B44" s="43" t="str">
        <f>D45</f>
        <v>线性人生</v>
      </c>
      <c r="C44" s="12" t="s">
        <v>29</v>
      </c>
      <c r="D44" s="44" t="s">
        <v>197</v>
      </c>
      <c r="E44" s="45" t="s">
        <v>198</v>
      </c>
      <c r="F44" s="45" t="s">
        <v>199</v>
      </c>
      <c r="G44" s="27" t="s">
        <v>200</v>
      </c>
      <c r="H44" s="12">
        <f t="shared" si="0"/>
        <v>13</v>
      </c>
      <c r="I44" s="12">
        <f t="shared" si="1"/>
        <v>11</v>
      </c>
      <c r="J44" s="12">
        <f t="shared" si="2"/>
        <v>40</v>
      </c>
      <c r="K44" s="12">
        <f t="shared" si="3"/>
        <v>144</v>
      </c>
    </row>
    <row r="45" ht="33" customHeight="1" spans="1:11">
      <c r="A45" s="46"/>
      <c r="B45" s="47"/>
      <c r="C45" s="48" t="s">
        <v>34</v>
      </c>
      <c r="D45" s="49" t="s">
        <v>201</v>
      </c>
      <c r="E45" s="50" t="s">
        <v>202</v>
      </c>
      <c r="F45" s="50" t="s">
        <v>203</v>
      </c>
      <c r="G45" s="29" t="s">
        <v>204</v>
      </c>
      <c r="H45" s="12">
        <f t="shared" si="0"/>
        <v>4</v>
      </c>
      <c r="I45" s="12">
        <f t="shared" si="1"/>
        <v>7</v>
      </c>
      <c r="J45" s="12">
        <f t="shared" si="2"/>
        <v>26</v>
      </c>
      <c r="K45" s="12">
        <f t="shared" si="3"/>
        <v>45</v>
      </c>
    </row>
    <row r="46" ht="33" customHeight="1" spans="1:11">
      <c r="A46" s="42">
        <v>23</v>
      </c>
      <c r="B46" s="43" t="str">
        <f>D47</f>
        <v>去里斯本的夜车</v>
      </c>
      <c r="C46" s="12" t="s">
        <v>29</v>
      </c>
      <c r="D46" s="44" t="s">
        <v>205</v>
      </c>
      <c r="E46" s="45" t="s">
        <v>206</v>
      </c>
      <c r="F46" s="45" t="s">
        <v>207</v>
      </c>
      <c r="G46" s="27" t="s">
        <v>208</v>
      </c>
      <c r="H46" s="12">
        <f t="shared" si="0"/>
        <v>21</v>
      </c>
      <c r="I46" s="12">
        <f t="shared" si="1"/>
        <v>12</v>
      </c>
      <c r="J46" s="12">
        <f t="shared" si="2"/>
        <v>25</v>
      </c>
      <c r="K46" s="12">
        <f t="shared" si="3"/>
        <v>175</v>
      </c>
    </row>
    <row r="47" ht="33" customHeight="1" spans="1:11">
      <c r="A47" s="46"/>
      <c r="B47" s="47"/>
      <c r="C47" s="48" t="s">
        <v>34</v>
      </c>
      <c r="D47" s="49" t="s">
        <v>209</v>
      </c>
      <c r="E47" s="50" t="s">
        <v>210</v>
      </c>
      <c r="F47" s="50" t="s">
        <v>211</v>
      </c>
      <c r="G47" s="29" t="s">
        <v>212</v>
      </c>
      <c r="H47" s="12">
        <f t="shared" si="0"/>
        <v>7</v>
      </c>
      <c r="I47" s="12">
        <f t="shared" si="1"/>
        <v>7</v>
      </c>
      <c r="J47" s="12">
        <f t="shared" si="2"/>
        <v>16</v>
      </c>
      <c r="K47" s="12">
        <f t="shared" si="3"/>
        <v>44</v>
      </c>
    </row>
    <row r="48" ht="33" customHeight="1" spans="1:11">
      <c r="A48" s="42">
        <v>24</v>
      </c>
      <c r="B48" s="43" t="str">
        <f>D50</f>
        <v>波尔多囚犯</v>
      </c>
      <c r="C48" s="12" t="s">
        <v>29</v>
      </c>
      <c r="D48" s="44" t="s">
        <v>213</v>
      </c>
      <c r="E48" s="45" t="s">
        <v>214</v>
      </c>
      <c r="F48" s="45" t="s">
        <v>215</v>
      </c>
      <c r="G48" s="27" t="s">
        <v>216</v>
      </c>
      <c r="H48" s="12">
        <f t="shared" si="0"/>
        <v>19</v>
      </c>
      <c r="I48" s="12">
        <f t="shared" si="1"/>
        <v>14</v>
      </c>
      <c r="J48" s="12">
        <f t="shared" si="2"/>
        <v>30</v>
      </c>
      <c r="K48" s="12">
        <f t="shared" si="3"/>
        <v>92</v>
      </c>
    </row>
    <row r="49" ht="33" customHeight="1" spans="1:11">
      <c r="A49" s="56"/>
      <c r="B49" s="57"/>
      <c r="C49" s="32" t="s">
        <v>217</v>
      </c>
      <c r="D49" s="44" t="s">
        <v>218</v>
      </c>
      <c r="E49" s="45" t="s">
        <v>214</v>
      </c>
      <c r="F49" s="45" t="s">
        <v>215</v>
      </c>
      <c r="G49" s="27" t="s">
        <v>216</v>
      </c>
      <c r="H49" s="12">
        <f t="shared" si="0"/>
        <v>26</v>
      </c>
      <c r="I49" s="12">
        <f t="shared" si="1"/>
        <v>14</v>
      </c>
      <c r="J49" s="12">
        <f t="shared" si="2"/>
        <v>30</v>
      </c>
      <c r="K49" s="12">
        <f t="shared" si="3"/>
        <v>92</v>
      </c>
    </row>
    <row r="50" ht="33" customHeight="1" spans="1:11">
      <c r="A50" s="46"/>
      <c r="B50" s="47"/>
      <c r="C50" s="48" t="s">
        <v>34</v>
      </c>
      <c r="D50" s="49" t="s">
        <v>219</v>
      </c>
      <c r="E50" s="50" t="s">
        <v>220</v>
      </c>
      <c r="F50" s="50" t="s">
        <v>221</v>
      </c>
      <c r="G50" s="29" t="s">
        <v>222</v>
      </c>
      <c r="H50" s="12">
        <f t="shared" si="0"/>
        <v>5</v>
      </c>
      <c r="I50" s="12">
        <f t="shared" si="1"/>
        <v>8</v>
      </c>
      <c r="J50" s="12">
        <f t="shared" si="2"/>
        <v>19</v>
      </c>
      <c r="K50" s="12">
        <f t="shared" si="3"/>
        <v>42</v>
      </c>
    </row>
    <row r="51" ht="33" customHeight="1" spans="1:11">
      <c r="A51" s="42">
        <v>25</v>
      </c>
      <c r="B51" s="43" t="str">
        <f>D53</f>
        <v>永恒夏日</v>
      </c>
      <c r="C51" s="12" t="s">
        <v>29</v>
      </c>
      <c r="D51" s="45" t="s">
        <v>223</v>
      </c>
      <c r="E51" s="45" t="s">
        <v>224</v>
      </c>
      <c r="F51" s="45" t="s">
        <v>225</v>
      </c>
      <c r="G51" s="27" t="s">
        <v>226</v>
      </c>
      <c r="H51" s="12">
        <f t="shared" si="0"/>
        <v>18</v>
      </c>
      <c r="I51" s="12">
        <f t="shared" si="1"/>
        <v>13</v>
      </c>
      <c r="J51" s="12">
        <f t="shared" si="2"/>
        <v>60</v>
      </c>
      <c r="K51" s="12">
        <f t="shared" si="3"/>
        <v>267</v>
      </c>
    </row>
    <row r="52" ht="33" customHeight="1" spans="1:11">
      <c r="A52" s="56"/>
      <c r="B52" s="57"/>
      <c r="C52" s="32" t="s">
        <v>217</v>
      </c>
      <c r="D52" s="45" t="s">
        <v>227</v>
      </c>
      <c r="E52" s="45" t="s">
        <v>224</v>
      </c>
      <c r="F52" s="45" t="s">
        <v>225</v>
      </c>
      <c r="G52" s="27" t="s">
        <v>226</v>
      </c>
      <c r="H52" s="12">
        <f t="shared" si="0"/>
        <v>16</v>
      </c>
      <c r="I52" s="12">
        <f t="shared" si="1"/>
        <v>13</v>
      </c>
      <c r="J52" s="12">
        <f t="shared" si="2"/>
        <v>60</v>
      </c>
      <c r="K52" s="12">
        <f t="shared" si="3"/>
        <v>267</v>
      </c>
    </row>
    <row r="53" ht="33" customHeight="1" spans="1:11">
      <c r="A53" s="46"/>
      <c r="B53" s="47"/>
      <c r="C53" s="48" t="s">
        <v>34</v>
      </c>
      <c r="D53" s="50" t="s">
        <v>228</v>
      </c>
      <c r="E53" s="50" t="s">
        <v>229</v>
      </c>
      <c r="F53" s="50" t="s">
        <v>230</v>
      </c>
      <c r="G53" s="29" t="s">
        <v>231</v>
      </c>
      <c r="H53" s="12">
        <f t="shared" ref="H53:H71" si="4">LEN(D53)</f>
        <v>4</v>
      </c>
      <c r="I53" s="12">
        <f t="shared" ref="I53:I71" si="5">LEN(E53)</f>
        <v>7</v>
      </c>
      <c r="J53" s="12">
        <f t="shared" ref="J53:J71" si="6">LEN(F53)</f>
        <v>37</v>
      </c>
      <c r="K53" s="12">
        <f t="shared" ref="K53:K71" si="7">LEN(G53)</f>
        <v>76</v>
      </c>
    </row>
    <row r="54" ht="33" customHeight="1" spans="1:11">
      <c r="A54" s="42">
        <v>26</v>
      </c>
      <c r="B54" s="43" t="str">
        <f>D55</f>
        <v>卧底</v>
      </c>
      <c r="C54" s="12" t="s">
        <v>29</v>
      </c>
      <c r="D54" s="44" t="s">
        <v>232</v>
      </c>
      <c r="E54" s="45" t="s">
        <v>233</v>
      </c>
      <c r="F54" s="45" t="s">
        <v>234</v>
      </c>
      <c r="G54" s="27" t="s">
        <v>235</v>
      </c>
      <c r="H54" s="12">
        <f t="shared" si="4"/>
        <v>10</v>
      </c>
      <c r="I54" s="12">
        <f t="shared" si="5"/>
        <v>18</v>
      </c>
      <c r="J54" s="12">
        <f t="shared" si="6"/>
        <v>26</v>
      </c>
      <c r="K54" s="12">
        <f t="shared" si="7"/>
        <v>275</v>
      </c>
    </row>
    <row r="55" ht="33" customHeight="1" spans="1:11">
      <c r="A55" s="46"/>
      <c r="B55" s="47"/>
      <c r="C55" s="48" t="s">
        <v>34</v>
      </c>
      <c r="D55" s="49" t="s">
        <v>236</v>
      </c>
      <c r="E55" s="50" t="s">
        <v>237</v>
      </c>
      <c r="F55" s="50" t="s">
        <v>238</v>
      </c>
      <c r="G55" s="29" t="s">
        <v>239</v>
      </c>
      <c r="H55" s="12">
        <f t="shared" si="4"/>
        <v>2</v>
      </c>
      <c r="I55" s="12">
        <f t="shared" si="5"/>
        <v>9</v>
      </c>
      <c r="J55" s="12">
        <f t="shared" si="6"/>
        <v>18</v>
      </c>
      <c r="K55" s="12">
        <f t="shared" si="7"/>
        <v>71</v>
      </c>
    </row>
    <row r="56" ht="33" customHeight="1" spans="1:11">
      <c r="A56" s="42">
        <v>27</v>
      </c>
      <c r="B56" s="43" t="str">
        <f>D57</f>
        <v>弗里达：生命万岁</v>
      </c>
      <c r="C56" s="12" t="s">
        <v>29</v>
      </c>
      <c r="D56" s="45" t="s">
        <v>240</v>
      </c>
      <c r="E56" s="45" t="s">
        <v>241</v>
      </c>
      <c r="F56" s="45" t="s">
        <v>242</v>
      </c>
      <c r="G56" s="27" t="s">
        <v>243</v>
      </c>
      <c r="H56" s="12">
        <f t="shared" si="4"/>
        <v>20</v>
      </c>
      <c r="I56" s="12">
        <f t="shared" si="5"/>
        <v>15</v>
      </c>
      <c r="J56" s="12">
        <f t="shared" si="6"/>
        <v>12</v>
      </c>
      <c r="K56" s="12">
        <f t="shared" si="7"/>
        <v>131</v>
      </c>
    </row>
    <row r="57" ht="33" customHeight="1" spans="1:11">
      <c r="A57" s="46"/>
      <c r="B57" s="47"/>
      <c r="C57" s="48" t="s">
        <v>34</v>
      </c>
      <c r="D57" s="50" t="s">
        <v>244</v>
      </c>
      <c r="E57" s="50" t="s">
        <v>245</v>
      </c>
      <c r="F57" s="50" t="s">
        <v>246</v>
      </c>
      <c r="G57" s="29" t="s">
        <v>247</v>
      </c>
      <c r="H57" s="12">
        <f t="shared" si="4"/>
        <v>8</v>
      </c>
      <c r="I57" s="12">
        <f t="shared" si="5"/>
        <v>8</v>
      </c>
      <c r="J57" s="12">
        <f t="shared" si="6"/>
        <v>6</v>
      </c>
      <c r="K57" s="12">
        <f t="shared" si="7"/>
        <v>48</v>
      </c>
    </row>
    <row r="58" ht="33" customHeight="1" spans="1:11">
      <c r="A58" s="42">
        <v>28</v>
      </c>
      <c r="B58" s="43" t="str">
        <f>D59</f>
        <v>八座山</v>
      </c>
      <c r="C58" s="12" t="s">
        <v>29</v>
      </c>
      <c r="D58" s="45" t="s">
        <v>248</v>
      </c>
      <c r="E58" s="45" t="s">
        <v>249</v>
      </c>
      <c r="F58" s="45" t="s">
        <v>250</v>
      </c>
      <c r="G58" s="27" t="s">
        <v>251</v>
      </c>
      <c r="H58" s="12">
        <f t="shared" si="4"/>
        <v>19</v>
      </c>
      <c r="I58" s="12">
        <f t="shared" si="5"/>
        <v>45</v>
      </c>
      <c r="J58" s="12">
        <f t="shared" si="6"/>
        <v>68</v>
      </c>
      <c r="K58" s="12">
        <f t="shared" si="7"/>
        <v>174</v>
      </c>
    </row>
    <row r="59" ht="33" customHeight="1" spans="1:11">
      <c r="A59" s="46"/>
      <c r="B59" s="47"/>
      <c r="C59" s="48" t="s">
        <v>34</v>
      </c>
      <c r="D59" s="50" t="s">
        <v>252</v>
      </c>
      <c r="E59" s="50" t="s">
        <v>253</v>
      </c>
      <c r="F59" s="50" t="s">
        <v>254</v>
      </c>
      <c r="G59" s="29" t="s">
        <v>255</v>
      </c>
      <c r="H59" s="12">
        <f t="shared" si="4"/>
        <v>3</v>
      </c>
      <c r="I59" s="12">
        <f t="shared" si="5"/>
        <v>21</v>
      </c>
      <c r="J59" s="12">
        <f t="shared" si="6"/>
        <v>42</v>
      </c>
      <c r="K59" s="12">
        <f t="shared" si="7"/>
        <v>61</v>
      </c>
    </row>
    <row r="60" ht="33" customHeight="1" spans="1:11">
      <c r="A60" s="42">
        <v>29</v>
      </c>
      <c r="B60" s="43" t="str">
        <f>D61</f>
        <v>进入乌菲兹</v>
      </c>
      <c r="C60" s="12" t="s">
        <v>29</v>
      </c>
      <c r="D60" s="45" t="s">
        <v>256</v>
      </c>
      <c r="E60" s="45" t="s">
        <v>257</v>
      </c>
      <c r="F60" s="45" t="s">
        <v>258</v>
      </c>
      <c r="G60" s="27" t="s">
        <v>259</v>
      </c>
      <c r="H60" s="12">
        <f t="shared" si="4"/>
        <v>17</v>
      </c>
      <c r="I60" s="12">
        <f t="shared" si="5"/>
        <v>36</v>
      </c>
      <c r="J60" s="12">
        <f t="shared" si="6"/>
        <v>1</v>
      </c>
      <c r="K60" s="12">
        <f t="shared" si="7"/>
        <v>167</v>
      </c>
    </row>
    <row r="61" ht="33" customHeight="1" spans="1:11">
      <c r="A61" s="46"/>
      <c r="B61" s="47"/>
      <c r="C61" s="48" t="s">
        <v>34</v>
      </c>
      <c r="D61" s="50" t="s">
        <v>260</v>
      </c>
      <c r="E61" s="55" t="s">
        <v>261</v>
      </c>
      <c r="F61" s="55" t="s">
        <v>258</v>
      </c>
      <c r="G61" s="29" t="s">
        <v>262</v>
      </c>
      <c r="H61" s="12">
        <f t="shared" si="4"/>
        <v>5</v>
      </c>
      <c r="I61" s="12">
        <f t="shared" si="5"/>
        <v>20</v>
      </c>
      <c r="J61" s="12">
        <f t="shared" si="6"/>
        <v>1</v>
      </c>
      <c r="K61" s="12">
        <f t="shared" si="7"/>
        <v>41</v>
      </c>
    </row>
    <row r="62" ht="33" customHeight="1" spans="1:11">
      <c r="A62" s="42">
        <v>30</v>
      </c>
      <c r="B62" s="43" t="str">
        <f>D63</f>
        <v>人之初</v>
      </c>
      <c r="C62" s="12" t="s">
        <v>29</v>
      </c>
      <c r="D62" s="44" t="s">
        <v>263</v>
      </c>
      <c r="E62" s="45" t="s">
        <v>264</v>
      </c>
      <c r="F62" s="45" t="s">
        <v>265</v>
      </c>
      <c r="G62" s="27" t="s">
        <v>266</v>
      </c>
      <c r="H62" s="12">
        <f t="shared" si="4"/>
        <v>6</v>
      </c>
      <c r="I62" s="12">
        <f t="shared" si="5"/>
        <v>20</v>
      </c>
      <c r="J62" s="12">
        <f t="shared" si="6"/>
        <v>53</v>
      </c>
      <c r="K62" s="12">
        <f t="shared" si="7"/>
        <v>220</v>
      </c>
    </row>
    <row r="63" ht="33" customHeight="1" spans="1:11">
      <c r="A63" s="46"/>
      <c r="B63" s="47"/>
      <c r="C63" s="48" t="s">
        <v>34</v>
      </c>
      <c r="D63" s="49" t="s">
        <v>267</v>
      </c>
      <c r="E63" s="55" t="s">
        <v>268</v>
      </c>
      <c r="F63" s="55" t="s">
        <v>269</v>
      </c>
      <c r="G63" s="29" t="s">
        <v>270</v>
      </c>
      <c r="H63" s="12">
        <f t="shared" si="4"/>
        <v>3</v>
      </c>
      <c r="I63" s="12">
        <f t="shared" si="5"/>
        <v>10</v>
      </c>
      <c r="J63" s="12">
        <f t="shared" si="6"/>
        <v>28</v>
      </c>
      <c r="K63" s="12">
        <f t="shared" si="7"/>
        <v>65</v>
      </c>
    </row>
    <row r="64" ht="33" customHeight="1" spans="1:11">
      <c r="A64" s="42">
        <v>31</v>
      </c>
      <c r="B64" s="43" t="str">
        <f>D65</f>
        <v>悬案密码3：信仰的阴谋</v>
      </c>
      <c r="C64" s="12" t="s">
        <v>29</v>
      </c>
      <c r="D64" s="44" t="s">
        <v>271</v>
      </c>
      <c r="E64" s="45" t="s">
        <v>272</v>
      </c>
      <c r="F64" s="45" t="s">
        <v>273</v>
      </c>
      <c r="G64" s="27" t="s">
        <v>274</v>
      </c>
      <c r="H64" s="12">
        <f t="shared" si="4"/>
        <v>35</v>
      </c>
      <c r="I64" s="12">
        <f t="shared" si="5"/>
        <v>18</v>
      </c>
      <c r="J64" s="12">
        <f t="shared" si="6"/>
        <v>29</v>
      </c>
      <c r="K64" s="12">
        <f t="shared" si="7"/>
        <v>148</v>
      </c>
    </row>
    <row r="65" ht="33" customHeight="1" spans="1:11">
      <c r="A65" s="46"/>
      <c r="B65" s="47"/>
      <c r="C65" s="48" t="s">
        <v>34</v>
      </c>
      <c r="D65" s="50" t="s">
        <v>275</v>
      </c>
      <c r="E65" s="55" t="s">
        <v>276</v>
      </c>
      <c r="F65" s="55" t="s">
        <v>277</v>
      </c>
      <c r="G65" s="29" t="s">
        <v>278</v>
      </c>
      <c r="H65" s="12">
        <f t="shared" si="4"/>
        <v>11</v>
      </c>
      <c r="I65" s="12">
        <f t="shared" si="5"/>
        <v>8</v>
      </c>
      <c r="J65" s="12">
        <f t="shared" si="6"/>
        <v>18</v>
      </c>
      <c r="K65" s="12">
        <f t="shared" si="7"/>
        <v>40</v>
      </c>
    </row>
    <row r="66" ht="33" customHeight="1" spans="1:11">
      <c r="A66" s="42">
        <v>32</v>
      </c>
      <c r="B66" s="43" t="str">
        <f>D67</f>
        <v>悬案密码2：野鸡杀手</v>
      </c>
      <c r="C66" s="12" t="s">
        <v>29</v>
      </c>
      <c r="D66" s="44" t="s">
        <v>279</v>
      </c>
      <c r="E66" s="45" t="s">
        <v>280</v>
      </c>
      <c r="F66" s="45" t="s">
        <v>273</v>
      </c>
      <c r="G66" s="27" t="s">
        <v>281</v>
      </c>
      <c r="H66" s="12">
        <f t="shared" si="4"/>
        <v>28</v>
      </c>
      <c r="I66" s="12">
        <f t="shared" si="5"/>
        <v>15</v>
      </c>
      <c r="J66" s="12">
        <f t="shared" si="6"/>
        <v>29</v>
      </c>
      <c r="K66" s="12">
        <f t="shared" si="7"/>
        <v>276</v>
      </c>
    </row>
    <row r="67" ht="33" customHeight="1" spans="1:11">
      <c r="A67" s="46"/>
      <c r="B67" s="47"/>
      <c r="C67" s="48" t="s">
        <v>34</v>
      </c>
      <c r="D67" s="50" t="s">
        <v>282</v>
      </c>
      <c r="E67" s="50" t="s">
        <v>283</v>
      </c>
      <c r="F67" s="50" t="s">
        <v>277</v>
      </c>
      <c r="G67" s="29" t="s">
        <v>284</v>
      </c>
      <c r="H67" s="12">
        <f t="shared" si="4"/>
        <v>10</v>
      </c>
      <c r="I67" s="12">
        <f t="shared" si="5"/>
        <v>7</v>
      </c>
      <c r="J67" s="12">
        <f t="shared" si="6"/>
        <v>18</v>
      </c>
      <c r="K67" s="12">
        <f t="shared" si="7"/>
        <v>38</v>
      </c>
    </row>
    <row r="68" ht="33" customHeight="1" spans="1:11">
      <c r="A68" s="42">
        <v>33</v>
      </c>
      <c r="B68" s="43" t="str">
        <f>D69</f>
        <v>悬案密码1：笼里的女人</v>
      </c>
      <c r="C68" s="12" t="s">
        <v>29</v>
      </c>
      <c r="D68" s="44" t="s">
        <v>285</v>
      </c>
      <c r="E68" s="45" t="s">
        <v>280</v>
      </c>
      <c r="F68" s="45" t="s">
        <v>273</v>
      </c>
      <c r="G68" s="27" t="s">
        <v>286</v>
      </c>
      <c r="H68" s="12">
        <f t="shared" si="4"/>
        <v>39</v>
      </c>
      <c r="I68" s="12">
        <f t="shared" si="5"/>
        <v>15</v>
      </c>
      <c r="J68" s="12">
        <f t="shared" si="6"/>
        <v>29</v>
      </c>
      <c r="K68" s="12">
        <f t="shared" si="7"/>
        <v>165</v>
      </c>
    </row>
    <row r="69" ht="33" customHeight="1" spans="1:11">
      <c r="A69" s="46"/>
      <c r="B69" s="47"/>
      <c r="C69" s="48" t="s">
        <v>34</v>
      </c>
      <c r="D69" s="50" t="s">
        <v>287</v>
      </c>
      <c r="E69" s="50" t="s">
        <v>283</v>
      </c>
      <c r="F69" s="50" t="s">
        <v>277</v>
      </c>
      <c r="G69" s="29" t="s">
        <v>288</v>
      </c>
      <c r="H69" s="12">
        <f t="shared" si="4"/>
        <v>11</v>
      </c>
      <c r="I69" s="12">
        <f t="shared" si="5"/>
        <v>7</v>
      </c>
      <c r="J69" s="12">
        <f t="shared" si="6"/>
        <v>18</v>
      </c>
      <c r="K69" s="12">
        <f t="shared" si="7"/>
        <v>35</v>
      </c>
    </row>
    <row r="70" ht="33" customHeight="1" spans="1:11">
      <c r="A70" s="42">
        <v>34</v>
      </c>
      <c r="B70" s="43" t="str">
        <f>D71</f>
        <v>阿拉姜色</v>
      </c>
      <c r="C70" s="12" t="s">
        <v>29</v>
      </c>
      <c r="D70" s="44" t="s">
        <v>289</v>
      </c>
      <c r="E70" s="45" t="s">
        <v>290</v>
      </c>
      <c r="F70" s="45" t="s">
        <v>291</v>
      </c>
      <c r="G70" s="27" t="s">
        <v>292</v>
      </c>
      <c r="H70" s="12">
        <f t="shared" si="4"/>
        <v>11</v>
      </c>
      <c r="I70" s="12">
        <f t="shared" si="5"/>
        <v>12</v>
      </c>
      <c r="J70" s="12">
        <f t="shared" si="6"/>
        <v>41</v>
      </c>
      <c r="K70" s="12">
        <f t="shared" si="7"/>
        <v>139</v>
      </c>
    </row>
    <row r="71" ht="33" customHeight="1" spans="1:11">
      <c r="A71" s="46"/>
      <c r="B71" s="47"/>
      <c r="C71" s="48" t="s">
        <v>34</v>
      </c>
      <c r="D71" s="50" t="s">
        <v>293</v>
      </c>
      <c r="E71" s="50" t="s">
        <v>294</v>
      </c>
      <c r="F71" s="50" t="s">
        <v>295</v>
      </c>
      <c r="G71" s="29" t="s">
        <v>296</v>
      </c>
      <c r="H71" s="12">
        <f t="shared" si="4"/>
        <v>4</v>
      </c>
      <c r="I71" s="12">
        <f t="shared" si="5"/>
        <v>3</v>
      </c>
      <c r="J71" s="12">
        <f t="shared" si="6"/>
        <v>17</v>
      </c>
      <c r="K71" s="12">
        <f t="shared" si="7"/>
        <v>50</v>
      </c>
    </row>
    <row r="72" ht="33" customHeight="1" spans="1:11">
      <c r="A72" s="42">
        <v>35</v>
      </c>
      <c r="B72" s="43" t="str">
        <f>D73</f>
        <v>心花路放</v>
      </c>
      <c r="C72" s="12" t="s">
        <v>29</v>
      </c>
      <c r="D72" s="44" t="s">
        <v>297</v>
      </c>
      <c r="E72" s="45" t="s">
        <v>298</v>
      </c>
      <c r="F72" s="45" t="s">
        <v>299</v>
      </c>
      <c r="G72" s="27" t="s">
        <v>300</v>
      </c>
      <c r="H72" s="12">
        <f>LEN(D72)</f>
        <v>15</v>
      </c>
      <c r="I72" s="12">
        <f>LEN(E72)</f>
        <v>8</v>
      </c>
      <c r="J72" s="12">
        <f>LEN(F72)</f>
        <v>42</v>
      </c>
      <c r="K72" s="12">
        <f>LEN(G72)</f>
        <v>62</v>
      </c>
    </row>
    <row r="73" ht="33" customHeight="1" spans="1:11">
      <c r="A73" s="46"/>
      <c r="B73" s="47"/>
      <c r="C73" s="48" t="s">
        <v>34</v>
      </c>
      <c r="D73" s="50" t="s">
        <v>301</v>
      </c>
      <c r="E73" s="50" t="s">
        <v>302</v>
      </c>
      <c r="F73" s="50" t="s">
        <v>303</v>
      </c>
      <c r="G73" s="29" t="s">
        <v>304</v>
      </c>
      <c r="H73" s="12">
        <f>LEN(D73)</f>
        <v>4</v>
      </c>
      <c r="I73" s="12">
        <f>LEN(E73)</f>
        <v>2</v>
      </c>
      <c r="J73" s="12">
        <f>LEN(F73)</f>
        <v>18</v>
      </c>
      <c r="K73" s="12">
        <f>LEN(G73)</f>
        <v>17</v>
      </c>
    </row>
    <row r="74" ht="33" customHeight="1" spans="1:11">
      <c r="A74" s="42">
        <v>36</v>
      </c>
      <c r="B74" s="43" t="str">
        <f>D75</f>
        <v>快来帮帮我</v>
      </c>
      <c r="C74" s="12" t="s">
        <v>29</v>
      </c>
      <c r="D74" s="44" t="s">
        <v>305</v>
      </c>
      <c r="E74" s="45" t="s">
        <v>306</v>
      </c>
      <c r="F74" s="45" t="s">
        <v>307</v>
      </c>
      <c r="G74" s="27" t="s">
        <v>308</v>
      </c>
      <c r="H74" s="12">
        <f>LEN(D74)</f>
        <v>8</v>
      </c>
      <c r="I74" s="12">
        <f>LEN(E74)</f>
        <v>13</v>
      </c>
      <c r="J74" s="12">
        <f>LEN(F74)</f>
        <v>31</v>
      </c>
      <c r="K74" s="12">
        <f>LEN(G74)</f>
        <v>158</v>
      </c>
    </row>
    <row r="75" ht="33" customHeight="1" spans="1:11">
      <c r="A75" s="46"/>
      <c r="B75" s="47"/>
      <c r="C75" s="48" t="s">
        <v>34</v>
      </c>
      <c r="D75" s="58" t="s">
        <v>309</v>
      </c>
      <c r="E75" s="50" t="s">
        <v>310</v>
      </c>
      <c r="F75" s="50" t="s">
        <v>311</v>
      </c>
      <c r="G75" s="29" t="s">
        <v>312</v>
      </c>
      <c r="H75" s="12">
        <f>LEN(D75)</f>
        <v>5</v>
      </c>
      <c r="I75" s="12">
        <f>LEN(E75)</f>
        <v>7</v>
      </c>
      <c r="J75" s="12">
        <f>LEN(F75)</f>
        <v>17</v>
      </c>
      <c r="K75" s="12">
        <f>LEN(G75)</f>
        <v>43</v>
      </c>
    </row>
    <row r="76" ht="33" customHeight="1" spans="1:11">
      <c r="A76" s="42">
        <v>38</v>
      </c>
      <c r="B76" s="43" t="str">
        <f>D78</f>
        <v>时空急转弯</v>
      </c>
      <c r="C76" s="12" t="s">
        <v>29</v>
      </c>
      <c r="D76" s="45" t="s">
        <v>313</v>
      </c>
      <c r="E76" s="45" t="s">
        <v>314</v>
      </c>
      <c r="F76" s="45" t="s">
        <v>315</v>
      </c>
      <c r="G76" s="27" t="s">
        <v>316</v>
      </c>
      <c r="H76" s="12">
        <f t="shared" ref="H76:H90" si="8">LEN(D76)</f>
        <v>12</v>
      </c>
      <c r="I76" s="12">
        <f t="shared" ref="I76:I90" si="9">LEN(E76)</f>
        <v>16</v>
      </c>
      <c r="J76" s="12">
        <f t="shared" ref="J76:J90" si="10">LEN(F76)</f>
        <v>66</v>
      </c>
      <c r="K76" s="12">
        <f t="shared" ref="K76:K90" si="11">LEN(G76)</f>
        <v>129</v>
      </c>
    </row>
    <row r="77" ht="33" customHeight="1" spans="1:11">
      <c r="A77" s="56"/>
      <c r="B77" s="57"/>
      <c r="C77" s="32" t="s">
        <v>217</v>
      </c>
      <c r="D77" s="45" t="s">
        <v>317</v>
      </c>
      <c r="E77" s="45" t="s">
        <v>314</v>
      </c>
      <c r="F77" s="45" t="s">
        <v>315</v>
      </c>
      <c r="G77" s="27" t="s">
        <v>316</v>
      </c>
      <c r="H77" s="12">
        <f t="shared" si="8"/>
        <v>13</v>
      </c>
      <c r="I77" s="12">
        <f t="shared" si="9"/>
        <v>16</v>
      </c>
      <c r="J77" s="12">
        <f t="shared" si="10"/>
        <v>66</v>
      </c>
      <c r="K77" s="12">
        <f t="shared" si="11"/>
        <v>129</v>
      </c>
    </row>
    <row r="78" ht="33" customHeight="1" spans="1:11">
      <c r="A78" s="46"/>
      <c r="B78" s="47"/>
      <c r="C78" s="48" t="s">
        <v>34</v>
      </c>
      <c r="D78" s="50" t="s">
        <v>318</v>
      </c>
      <c r="E78" s="50" t="s">
        <v>319</v>
      </c>
      <c r="F78" s="50" t="s">
        <v>320</v>
      </c>
      <c r="G78" s="29" t="s">
        <v>321</v>
      </c>
      <c r="H78" s="12">
        <f t="shared" si="8"/>
        <v>5</v>
      </c>
      <c r="I78" s="12">
        <f t="shared" si="9"/>
        <v>8</v>
      </c>
      <c r="J78" s="12">
        <f t="shared" si="10"/>
        <v>39</v>
      </c>
      <c r="K78" s="12">
        <f t="shared" si="11"/>
        <v>27</v>
      </c>
    </row>
    <row r="79" ht="33" customHeight="1" spans="1:11">
      <c r="A79" s="42">
        <v>39</v>
      </c>
      <c r="B79" s="43" t="str">
        <f>D80</f>
        <v>雄狮少年2</v>
      </c>
      <c r="C79" s="12" t="s">
        <v>29</v>
      </c>
      <c r="D79" s="45" t="s">
        <v>322</v>
      </c>
      <c r="E79" s="45" t="s">
        <v>323</v>
      </c>
      <c r="F79" s="45" t="s">
        <v>324</v>
      </c>
      <c r="G79" s="27" t="s">
        <v>325</v>
      </c>
      <c r="H79" s="12">
        <f t="shared" si="8"/>
        <v>16</v>
      </c>
      <c r="I79" s="12">
        <f t="shared" si="9"/>
        <v>11</v>
      </c>
      <c r="J79" s="12">
        <f t="shared" si="10"/>
        <v>29</v>
      </c>
      <c r="K79" s="12">
        <f t="shared" si="11"/>
        <v>78</v>
      </c>
    </row>
    <row r="80" ht="33" customHeight="1" spans="1:11">
      <c r="A80" s="46"/>
      <c r="B80" s="47"/>
      <c r="C80" s="48" t="s">
        <v>34</v>
      </c>
      <c r="D80" s="54" t="s">
        <v>326</v>
      </c>
      <c r="E80" s="55" t="s">
        <v>327</v>
      </c>
      <c r="F80" s="50" t="s">
        <v>328</v>
      </c>
      <c r="G80" s="29" t="s">
        <v>329</v>
      </c>
      <c r="H80" s="12">
        <f t="shared" si="8"/>
        <v>5</v>
      </c>
      <c r="I80" s="12">
        <f t="shared" si="9"/>
        <v>3</v>
      </c>
      <c r="J80" s="12">
        <f t="shared" si="10"/>
        <v>13</v>
      </c>
      <c r="K80" s="12">
        <f t="shared" si="11"/>
        <v>42</v>
      </c>
    </row>
    <row r="81" ht="33" customHeight="1" spans="1:11">
      <c r="A81" s="42">
        <v>40</v>
      </c>
      <c r="B81" s="43" t="str">
        <f>D82</f>
        <v>巧虎大飞船历险记</v>
      </c>
      <c r="C81" s="12" t="s">
        <v>29</v>
      </c>
      <c r="D81" s="44" t="s">
        <v>330</v>
      </c>
      <c r="E81" s="45" t="s">
        <v>331</v>
      </c>
      <c r="F81" s="45" t="s">
        <v>332</v>
      </c>
      <c r="G81" s="27" t="s">
        <v>333</v>
      </c>
      <c r="H81" s="12">
        <f t="shared" si="8"/>
        <v>36</v>
      </c>
      <c r="I81" s="12">
        <f t="shared" si="9"/>
        <v>28</v>
      </c>
      <c r="J81" s="12">
        <f t="shared" si="10"/>
        <v>17</v>
      </c>
      <c r="K81" s="12">
        <f t="shared" si="11"/>
        <v>146</v>
      </c>
    </row>
    <row r="82" ht="33" customHeight="1" spans="1:11">
      <c r="A82" s="46"/>
      <c r="B82" s="47"/>
      <c r="C82" s="48" t="s">
        <v>34</v>
      </c>
      <c r="D82" s="49" t="s">
        <v>334</v>
      </c>
      <c r="E82" s="50" t="s">
        <v>335</v>
      </c>
      <c r="F82" s="50" t="s">
        <v>336</v>
      </c>
      <c r="G82" s="29" t="s">
        <v>337</v>
      </c>
      <c r="H82" s="12">
        <f t="shared" si="8"/>
        <v>8</v>
      </c>
      <c r="I82" s="12">
        <f t="shared" si="9"/>
        <v>9</v>
      </c>
      <c r="J82" s="12">
        <f t="shared" si="10"/>
        <v>8</v>
      </c>
      <c r="K82" s="12">
        <f t="shared" si="11"/>
        <v>40</v>
      </c>
    </row>
    <row r="83" ht="33" customHeight="1" spans="1:11">
      <c r="A83" s="42">
        <v>41</v>
      </c>
      <c r="B83" s="43" t="str">
        <f>D84</f>
        <v>巧虎魔法岛历险记</v>
      </c>
      <c r="C83" s="12" t="s">
        <v>29</v>
      </c>
      <c r="D83" s="44" t="s">
        <v>338</v>
      </c>
      <c r="E83" s="45" t="s">
        <v>331</v>
      </c>
      <c r="F83" s="45" t="s">
        <v>332</v>
      </c>
      <c r="G83" s="27" t="s">
        <v>339</v>
      </c>
      <c r="H83" s="12">
        <f t="shared" si="8"/>
        <v>43</v>
      </c>
      <c r="I83" s="12">
        <f t="shared" si="9"/>
        <v>28</v>
      </c>
      <c r="J83" s="12">
        <f t="shared" si="10"/>
        <v>17</v>
      </c>
      <c r="K83" s="12">
        <f t="shared" si="11"/>
        <v>158</v>
      </c>
    </row>
    <row r="84" ht="33" customHeight="1" spans="1:11">
      <c r="A84" s="46"/>
      <c r="B84" s="47"/>
      <c r="C84" s="48" t="s">
        <v>34</v>
      </c>
      <c r="D84" s="49" t="s">
        <v>340</v>
      </c>
      <c r="E84" s="50" t="s">
        <v>335</v>
      </c>
      <c r="F84" s="50" t="s">
        <v>336</v>
      </c>
      <c r="G84" s="29" t="s">
        <v>341</v>
      </c>
      <c r="H84" s="12">
        <f t="shared" si="8"/>
        <v>8</v>
      </c>
      <c r="I84" s="12">
        <f t="shared" si="9"/>
        <v>9</v>
      </c>
      <c r="J84" s="12">
        <f t="shared" si="10"/>
        <v>8</v>
      </c>
      <c r="K84" s="12">
        <f t="shared" si="11"/>
        <v>41</v>
      </c>
    </row>
    <row r="85" ht="33" customHeight="1" spans="1:11">
      <c r="A85" s="42">
        <v>42</v>
      </c>
      <c r="B85" s="43" t="str">
        <f>D86</f>
        <v>纯种狼2</v>
      </c>
      <c r="C85" s="12" t="s">
        <v>29</v>
      </c>
      <c r="D85" s="44" t="s">
        <v>342</v>
      </c>
      <c r="E85" s="45" t="s">
        <v>343</v>
      </c>
      <c r="F85" s="45" t="s">
        <v>344</v>
      </c>
      <c r="G85" s="27" t="s">
        <v>345</v>
      </c>
      <c r="H85" s="12">
        <f t="shared" si="8"/>
        <v>9</v>
      </c>
      <c r="I85" s="12">
        <f t="shared" si="9"/>
        <v>16</v>
      </c>
      <c r="J85" s="12">
        <f t="shared" si="10"/>
        <v>30</v>
      </c>
      <c r="K85" s="12">
        <f t="shared" si="11"/>
        <v>184</v>
      </c>
    </row>
    <row r="86" ht="33" customHeight="1" spans="1:11">
      <c r="A86" s="46"/>
      <c r="B86" s="47"/>
      <c r="C86" s="48" t="s">
        <v>34</v>
      </c>
      <c r="D86" s="49" t="s">
        <v>346</v>
      </c>
      <c r="E86" s="50" t="s">
        <v>347</v>
      </c>
      <c r="F86" s="50" t="s">
        <v>348</v>
      </c>
      <c r="G86" s="29" t="s">
        <v>349</v>
      </c>
      <c r="H86" s="12">
        <f t="shared" si="8"/>
        <v>4</v>
      </c>
      <c r="I86" s="12">
        <f t="shared" si="9"/>
        <v>9</v>
      </c>
      <c r="J86" s="12">
        <f t="shared" si="10"/>
        <v>16</v>
      </c>
      <c r="K86" s="12">
        <f t="shared" si="11"/>
        <v>45</v>
      </c>
    </row>
    <row r="87" ht="33" customHeight="1" spans="1:11">
      <c r="A87" s="42">
        <v>43</v>
      </c>
      <c r="B87" s="43" t="str">
        <f>D88</f>
        <v>高卢勇士斗凯撒</v>
      </c>
      <c r="C87" s="12" t="s">
        <v>29</v>
      </c>
      <c r="D87" s="45" t="s">
        <v>350</v>
      </c>
      <c r="E87" s="45" t="s">
        <v>351</v>
      </c>
      <c r="F87" s="45" t="s">
        <v>352</v>
      </c>
      <c r="G87" s="27" t="s">
        <v>353</v>
      </c>
      <c r="H87" s="12">
        <f t="shared" si="8"/>
        <v>21</v>
      </c>
      <c r="I87" s="12">
        <f t="shared" si="9"/>
        <v>26</v>
      </c>
      <c r="J87" s="12">
        <f t="shared" si="10"/>
        <v>40</v>
      </c>
      <c r="K87" s="12">
        <f t="shared" si="11"/>
        <v>123</v>
      </c>
    </row>
    <row r="88" ht="33" customHeight="1" spans="1:11">
      <c r="A88" s="46"/>
      <c r="B88" s="47"/>
      <c r="C88" s="48" t="s">
        <v>34</v>
      </c>
      <c r="D88" s="50" t="s">
        <v>354</v>
      </c>
      <c r="E88" s="50" t="s">
        <v>355</v>
      </c>
      <c r="F88" s="50" t="s">
        <v>356</v>
      </c>
      <c r="G88" s="29" t="s">
        <v>357</v>
      </c>
      <c r="H88" s="12">
        <f t="shared" si="8"/>
        <v>7</v>
      </c>
      <c r="I88" s="12">
        <f t="shared" si="9"/>
        <v>15</v>
      </c>
      <c r="J88" s="12">
        <f t="shared" si="10"/>
        <v>24</v>
      </c>
      <c r="K88" s="12">
        <f t="shared" si="11"/>
        <v>27</v>
      </c>
    </row>
    <row r="89" ht="33" customHeight="1" spans="1:11">
      <c r="A89" s="42">
        <v>44</v>
      </c>
      <c r="B89" s="43" t="str">
        <f>D90</f>
        <v>佳片速递</v>
      </c>
      <c r="C89" s="12" t="s">
        <v>29</v>
      </c>
      <c r="D89" s="59" t="s">
        <v>358</v>
      </c>
      <c r="E89" s="60"/>
      <c r="F89" s="60"/>
      <c r="G89" s="61" t="s">
        <v>359</v>
      </c>
      <c r="H89" s="12">
        <f t="shared" si="8"/>
        <v>11</v>
      </c>
      <c r="I89" s="12">
        <f t="shared" si="9"/>
        <v>0</v>
      </c>
      <c r="J89" s="12">
        <f t="shared" si="10"/>
        <v>0</v>
      </c>
      <c r="K89" s="12">
        <f t="shared" si="11"/>
        <v>358</v>
      </c>
    </row>
    <row r="90" ht="32" customHeight="1" spans="1:11">
      <c r="A90" s="46"/>
      <c r="B90" s="47"/>
      <c r="C90" s="48" t="s">
        <v>34</v>
      </c>
      <c r="D90" s="62" t="s">
        <v>360</v>
      </c>
      <c r="E90" s="63"/>
      <c r="F90" s="63"/>
      <c r="G90" s="64" t="s">
        <v>361</v>
      </c>
      <c r="H90" s="12">
        <f t="shared" si="8"/>
        <v>4</v>
      </c>
      <c r="I90" s="12">
        <f t="shared" si="9"/>
        <v>0</v>
      </c>
      <c r="J90" s="12">
        <f t="shared" si="10"/>
        <v>0</v>
      </c>
      <c r="K90" s="12">
        <f t="shared" si="11"/>
        <v>86</v>
      </c>
    </row>
    <row r="100" spans="7:7">
      <c r="G100" s="65"/>
    </row>
  </sheetData>
  <mergeCells count="8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50"/>
    <mergeCell ref="A51:A53"/>
    <mergeCell ref="A54:A55"/>
    <mergeCell ref="A56:A57"/>
    <mergeCell ref="A58:A59"/>
    <mergeCell ref="A60:A61"/>
    <mergeCell ref="A62:A63"/>
    <mergeCell ref="A64:A65"/>
    <mergeCell ref="A66:A67"/>
    <mergeCell ref="A68:A69"/>
    <mergeCell ref="A70:A71"/>
    <mergeCell ref="A72:A73"/>
    <mergeCell ref="A74:A75"/>
    <mergeCell ref="A76:A78"/>
    <mergeCell ref="A79:A80"/>
    <mergeCell ref="A81:A82"/>
    <mergeCell ref="A83:A84"/>
    <mergeCell ref="A85:A86"/>
    <mergeCell ref="A87:A88"/>
    <mergeCell ref="A89:A90"/>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50"/>
    <mergeCell ref="B51:B53"/>
    <mergeCell ref="B54:B55"/>
    <mergeCell ref="B56:B57"/>
    <mergeCell ref="B58:B59"/>
    <mergeCell ref="B60:B61"/>
    <mergeCell ref="B62:B63"/>
    <mergeCell ref="B64:B65"/>
    <mergeCell ref="B66:B67"/>
    <mergeCell ref="B68:B69"/>
    <mergeCell ref="B70:B71"/>
    <mergeCell ref="B72:B73"/>
    <mergeCell ref="B74:B75"/>
    <mergeCell ref="B76:B78"/>
    <mergeCell ref="B79:B80"/>
    <mergeCell ref="B81:B82"/>
    <mergeCell ref="B83:B84"/>
    <mergeCell ref="B85:B86"/>
    <mergeCell ref="B87:B88"/>
    <mergeCell ref="B89:B90"/>
  </mergeCells>
  <dataValidations count="1">
    <dataValidation allowBlank="1" showInputMessage="1" showErrorMessage="1" sqref="G24:G75 G76:G90"/>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287"/>
  <sheetViews>
    <sheetView workbookViewId="0">
      <pane ySplit="1" topLeftCell="A2" activePane="bottomLeft" state="frozen"/>
      <selection/>
      <selection pane="bottomLeft" activeCell="E4" sqref="E4"/>
    </sheetView>
  </sheetViews>
  <sheetFormatPr defaultColWidth="9" defaultRowHeight="36" customHeight="1" outlineLevelCol="7"/>
  <cols>
    <col min="1" max="1" width="5.625" style="1" customWidth="1"/>
    <col min="2" max="2" width="32.125" style="1" customWidth="1"/>
    <col min="3" max="3" width="9" style="2"/>
    <col min="4" max="4" width="75" style="15" customWidth="1"/>
    <col min="5" max="5" width="83.125" style="4" customWidth="1"/>
    <col min="6" max="7" width="9" style="2"/>
    <col min="8" max="16384" width="9" style="1"/>
  </cols>
  <sheetData>
    <row r="1" customHeight="1" spans="1:7">
      <c r="A1" s="6" t="s">
        <v>21</v>
      </c>
      <c r="B1" s="6" t="s">
        <v>22</v>
      </c>
      <c r="C1" s="6" t="s">
        <v>23</v>
      </c>
      <c r="D1" s="5" t="s">
        <v>24</v>
      </c>
      <c r="E1" s="5" t="s">
        <v>27</v>
      </c>
      <c r="F1" s="6" t="s">
        <v>362</v>
      </c>
      <c r="G1" s="6" t="s">
        <v>363</v>
      </c>
    </row>
    <row r="2" customHeight="1" spans="1:8">
      <c r="A2" s="16">
        <v>1</v>
      </c>
      <c r="B2" s="17" t="str">
        <f>D3</f>
        <v>汉唐文化</v>
      </c>
      <c r="C2" s="18" t="s">
        <v>364</v>
      </c>
      <c r="D2" s="19" t="s">
        <v>365</v>
      </c>
      <c r="E2" s="20" t="s">
        <v>366</v>
      </c>
      <c r="F2" s="21">
        <f>LEN(D2)</f>
        <v>15</v>
      </c>
      <c r="G2" s="21">
        <f>LEN(E2)</f>
        <v>199</v>
      </c>
      <c r="H2" s="14"/>
    </row>
    <row r="3" customHeight="1" spans="1:7">
      <c r="A3" s="22"/>
      <c r="B3" s="23"/>
      <c r="C3" s="18" t="s">
        <v>34</v>
      </c>
      <c r="D3" s="24" t="s">
        <v>367</v>
      </c>
      <c r="E3" s="25" t="s">
        <v>368</v>
      </c>
      <c r="F3" s="21">
        <f>LEN(D3)</f>
        <v>4</v>
      </c>
      <c r="G3" s="21">
        <f>LEN(E3)</f>
        <v>44</v>
      </c>
    </row>
    <row r="4" customHeight="1" spans="1:7">
      <c r="A4" s="16">
        <v>2</v>
      </c>
      <c r="B4" s="17" t="str">
        <f>D5</f>
        <v>野生救援公益影像</v>
      </c>
      <c r="C4" s="18" t="s">
        <v>364</v>
      </c>
      <c r="D4" s="26" t="s">
        <v>369</v>
      </c>
      <c r="E4" s="27" t="s">
        <v>370</v>
      </c>
      <c r="F4" s="21">
        <f>LEN(D4)</f>
        <v>44</v>
      </c>
      <c r="G4" s="21">
        <f>LEN(E4)</f>
        <v>146</v>
      </c>
    </row>
    <row r="5" customHeight="1" spans="1:7">
      <c r="A5" s="22"/>
      <c r="B5" s="23"/>
      <c r="C5" s="18" t="s">
        <v>34</v>
      </c>
      <c r="D5" s="28" t="s">
        <v>371</v>
      </c>
      <c r="E5" s="29" t="s">
        <v>372</v>
      </c>
      <c r="F5" s="21">
        <f>LEN(D5)</f>
        <v>8</v>
      </c>
      <c r="G5" s="21">
        <f>LEN(E5)</f>
        <v>39</v>
      </c>
    </row>
    <row r="6" customHeight="1" spans="1:8">
      <c r="A6" s="16">
        <v>3</v>
      </c>
      <c r="B6" s="17" t="str">
        <f>D7</f>
        <v>熊猫叙事 1</v>
      </c>
      <c r="C6" s="18" t="s">
        <v>364</v>
      </c>
      <c r="D6" s="19" t="s">
        <v>373</v>
      </c>
      <c r="E6" s="27" t="s">
        <v>374</v>
      </c>
      <c r="F6" s="21">
        <f t="shared" ref="F6:F68" si="0">LEN(D6)</f>
        <v>18</v>
      </c>
      <c r="G6" s="21">
        <f t="shared" ref="G6:G68" si="1">LEN(E6)</f>
        <v>76</v>
      </c>
      <c r="H6" s="14"/>
    </row>
    <row r="7" customHeight="1" spans="1:7">
      <c r="A7" s="22"/>
      <c r="B7" s="23"/>
      <c r="C7" s="18" t="s">
        <v>34</v>
      </c>
      <c r="D7" s="24" t="s">
        <v>375</v>
      </c>
      <c r="E7" s="29" t="s">
        <v>376</v>
      </c>
      <c r="F7" s="21">
        <f t="shared" si="0"/>
        <v>6</v>
      </c>
      <c r="G7" s="21">
        <f t="shared" si="1"/>
        <v>29</v>
      </c>
    </row>
    <row r="8" customHeight="1" spans="1:8">
      <c r="A8" s="16">
        <v>4</v>
      </c>
      <c r="B8" s="17" t="str">
        <f>D9</f>
        <v>牛奶是部文明史 2</v>
      </c>
      <c r="C8" s="18" t="s">
        <v>364</v>
      </c>
      <c r="D8" s="19" t="s">
        <v>377</v>
      </c>
      <c r="E8" s="27" t="s">
        <v>378</v>
      </c>
      <c r="F8" s="21">
        <f t="shared" si="0"/>
        <v>39</v>
      </c>
      <c r="G8" s="21">
        <f t="shared" si="1"/>
        <v>88</v>
      </c>
      <c r="H8" s="14"/>
    </row>
    <row r="9" customHeight="1" spans="1:7">
      <c r="A9" s="22"/>
      <c r="B9" s="23"/>
      <c r="C9" s="18" t="s">
        <v>34</v>
      </c>
      <c r="D9" s="24" t="s">
        <v>379</v>
      </c>
      <c r="E9" s="29" t="s">
        <v>380</v>
      </c>
      <c r="F9" s="21">
        <f t="shared" si="0"/>
        <v>9</v>
      </c>
      <c r="G9" s="21">
        <f t="shared" si="1"/>
        <v>22</v>
      </c>
    </row>
    <row r="10" customHeight="1" spans="1:8">
      <c r="A10" s="16">
        <v>5</v>
      </c>
      <c r="B10" s="17" t="str">
        <f>D11</f>
        <v>牛奶是部文明史 1</v>
      </c>
      <c r="C10" s="18" t="s">
        <v>364</v>
      </c>
      <c r="D10" s="19" t="s">
        <v>381</v>
      </c>
      <c r="E10" s="27" t="s">
        <v>378</v>
      </c>
      <c r="F10" s="21">
        <f t="shared" si="0"/>
        <v>39</v>
      </c>
      <c r="G10" s="21">
        <f t="shared" si="1"/>
        <v>88</v>
      </c>
      <c r="H10" s="14"/>
    </row>
    <row r="11" customHeight="1" spans="1:7">
      <c r="A11" s="22"/>
      <c r="B11" s="23"/>
      <c r="C11" s="18" t="s">
        <v>34</v>
      </c>
      <c r="D11" s="24" t="s">
        <v>382</v>
      </c>
      <c r="E11" s="29" t="s">
        <v>380</v>
      </c>
      <c r="F11" s="21">
        <f t="shared" si="0"/>
        <v>9</v>
      </c>
      <c r="G11" s="21">
        <f t="shared" si="1"/>
        <v>22</v>
      </c>
    </row>
    <row r="12" customHeight="1" spans="1:8">
      <c r="A12" s="16">
        <v>6</v>
      </c>
      <c r="B12" s="17" t="str">
        <f>D13</f>
        <v>柴达木 2 聚宝天盆</v>
      </c>
      <c r="C12" s="18" t="s">
        <v>364</v>
      </c>
      <c r="D12" s="19" t="s">
        <v>383</v>
      </c>
      <c r="E12" s="27" t="s">
        <v>384</v>
      </c>
      <c r="F12" s="21">
        <f t="shared" si="0"/>
        <v>34</v>
      </c>
      <c r="G12" s="21">
        <f t="shared" si="1"/>
        <v>248</v>
      </c>
      <c r="H12" s="14"/>
    </row>
    <row r="13" customHeight="1" spans="1:7">
      <c r="A13" s="22"/>
      <c r="B13" s="23"/>
      <c r="C13" s="18" t="s">
        <v>34</v>
      </c>
      <c r="D13" s="24" t="s">
        <v>385</v>
      </c>
      <c r="E13" s="29" t="s">
        <v>386</v>
      </c>
      <c r="F13" s="21">
        <f t="shared" si="0"/>
        <v>10</v>
      </c>
      <c r="G13" s="21">
        <f t="shared" si="1"/>
        <v>58</v>
      </c>
    </row>
    <row r="14" customHeight="1" spans="1:8">
      <c r="A14" s="16">
        <v>7</v>
      </c>
      <c r="B14" s="17" t="str">
        <f>D15</f>
        <v>柴达木 1 昆仑山下</v>
      </c>
      <c r="C14" s="18" t="s">
        <v>364</v>
      </c>
      <c r="D14" s="19" t="s">
        <v>387</v>
      </c>
      <c r="E14" s="27" t="s">
        <v>384</v>
      </c>
      <c r="F14" s="21">
        <f t="shared" si="0"/>
        <v>43</v>
      </c>
      <c r="G14" s="21">
        <f t="shared" si="1"/>
        <v>248</v>
      </c>
      <c r="H14" s="14"/>
    </row>
    <row r="15" customHeight="1" spans="1:7">
      <c r="A15" s="22"/>
      <c r="B15" s="23"/>
      <c r="C15" s="18" t="s">
        <v>34</v>
      </c>
      <c r="D15" s="24" t="s">
        <v>388</v>
      </c>
      <c r="E15" s="29" t="s">
        <v>386</v>
      </c>
      <c r="F15" s="21">
        <f t="shared" si="0"/>
        <v>10</v>
      </c>
      <c r="G15" s="21">
        <f t="shared" si="1"/>
        <v>58</v>
      </c>
    </row>
    <row r="16" customHeight="1" spans="1:8">
      <c r="A16" s="16">
        <v>8</v>
      </c>
      <c r="B16" s="17" t="str">
        <f>D17</f>
        <v>丝绸之国 2</v>
      </c>
      <c r="C16" s="18" t="s">
        <v>364</v>
      </c>
      <c r="D16" s="19" t="s">
        <v>389</v>
      </c>
      <c r="E16" s="27" t="s">
        <v>390</v>
      </c>
      <c r="F16" s="21">
        <f t="shared" si="0"/>
        <v>38</v>
      </c>
      <c r="G16" s="21">
        <f t="shared" si="1"/>
        <v>214</v>
      </c>
      <c r="H16" s="14"/>
    </row>
    <row r="17" customHeight="1" spans="1:7">
      <c r="A17" s="22"/>
      <c r="B17" s="23"/>
      <c r="C17" s="18" t="s">
        <v>34</v>
      </c>
      <c r="D17" s="24" t="s">
        <v>391</v>
      </c>
      <c r="E17" s="29" t="s">
        <v>392</v>
      </c>
      <c r="F17" s="21">
        <f t="shared" si="0"/>
        <v>6</v>
      </c>
      <c r="G17" s="21">
        <f t="shared" si="1"/>
        <v>49</v>
      </c>
    </row>
    <row r="18" customHeight="1" spans="1:8">
      <c r="A18" s="16">
        <v>9</v>
      </c>
      <c r="B18" s="17" t="str">
        <f>D19</f>
        <v>丝绸之国 1</v>
      </c>
      <c r="C18" s="18" t="s">
        <v>364</v>
      </c>
      <c r="D18" s="19" t="s">
        <v>393</v>
      </c>
      <c r="E18" s="27" t="s">
        <v>390</v>
      </c>
      <c r="F18" s="21">
        <f t="shared" si="0"/>
        <v>38</v>
      </c>
      <c r="G18" s="21">
        <f t="shared" si="1"/>
        <v>214</v>
      </c>
      <c r="H18" s="14"/>
    </row>
    <row r="19" customHeight="1" spans="1:7">
      <c r="A19" s="22"/>
      <c r="B19" s="23"/>
      <c r="C19" s="18" t="s">
        <v>34</v>
      </c>
      <c r="D19" s="24" t="s">
        <v>394</v>
      </c>
      <c r="E19" s="29" t="s">
        <v>392</v>
      </c>
      <c r="F19" s="21">
        <f t="shared" si="0"/>
        <v>6</v>
      </c>
      <c r="G19" s="21">
        <f t="shared" si="1"/>
        <v>49</v>
      </c>
    </row>
    <row r="20" customHeight="1" spans="1:8">
      <c r="A20" s="16">
        <v>10</v>
      </c>
      <c r="B20" s="17" t="str">
        <f>D21</f>
        <v>遇见最美宋词 7 八千里路云和月</v>
      </c>
      <c r="C20" s="18" t="s">
        <v>364</v>
      </c>
      <c r="D20" s="19" t="s">
        <v>395</v>
      </c>
      <c r="E20" s="27" t="s">
        <v>396</v>
      </c>
      <c r="F20" s="21">
        <f t="shared" si="0"/>
        <v>91</v>
      </c>
      <c r="G20" s="21">
        <f t="shared" si="1"/>
        <v>379</v>
      </c>
      <c r="H20" s="14"/>
    </row>
    <row r="21" customHeight="1" spans="1:7">
      <c r="A21" s="22"/>
      <c r="B21" s="23"/>
      <c r="C21" s="18" t="s">
        <v>34</v>
      </c>
      <c r="D21" s="24" t="s">
        <v>397</v>
      </c>
      <c r="E21" s="29" t="s">
        <v>398</v>
      </c>
      <c r="F21" s="21">
        <f t="shared" si="0"/>
        <v>16</v>
      </c>
      <c r="G21" s="21">
        <f t="shared" si="1"/>
        <v>89</v>
      </c>
    </row>
    <row r="22" customHeight="1" spans="1:8">
      <c r="A22" s="16">
        <v>11</v>
      </c>
      <c r="B22" s="17" t="str">
        <f>D23</f>
        <v>遇见最美宋词 6 一蓑烟雨任平生</v>
      </c>
      <c r="C22" s="18" t="s">
        <v>364</v>
      </c>
      <c r="D22" s="19" t="s">
        <v>399</v>
      </c>
      <c r="E22" s="27" t="s">
        <v>396</v>
      </c>
      <c r="F22" s="21">
        <f t="shared" si="0"/>
        <v>86</v>
      </c>
      <c r="G22" s="21">
        <f t="shared" si="1"/>
        <v>379</v>
      </c>
      <c r="H22" s="14"/>
    </row>
    <row r="23" customHeight="1" spans="1:7">
      <c r="A23" s="22"/>
      <c r="B23" s="23"/>
      <c r="C23" s="18" t="s">
        <v>34</v>
      </c>
      <c r="D23" s="24" t="s">
        <v>400</v>
      </c>
      <c r="E23" s="29" t="s">
        <v>398</v>
      </c>
      <c r="F23" s="21">
        <f t="shared" si="0"/>
        <v>16</v>
      </c>
      <c r="G23" s="21">
        <f t="shared" si="1"/>
        <v>89</v>
      </c>
    </row>
    <row r="24" customHeight="1" spans="1:8">
      <c r="A24" s="16">
        <v>12</v>
      </c>
      <c r="B24" s="17" t="str">
        <f>D25</f>
        <v>遇见最美宋词 5 别有人间行路难</v>
      </c>
      <c r="C24" s="18" t="s">
        <v>364</v>
      </c>
      <c r="D24" s="19" t="s">
        <v>401</v>
      </c>
      <c r="E24" s="27" t="s">
        <v>396</v>
      </c>
      <c r="F24" s="21">
        <f t="shared" si="0"/>
        <v>81</v>
      </c>
      <c r="G24" s="21">
        <f t="shared" si="1"/>
        <v>379</v>
      </c>
      <c r="H24" s="14"/>
    </row>
    <row r="25" customHeight="1" spans="1:7">
      <c r="A25" s="22"/>
      <c r="B25" s="23"/>
      <c r="C25" s="18" t="s">
        <v>34</v>
      </c>
      <c r="D25" s="24" t="s">
        <v>402</v>
      </c>
      <c r="E25" s="29" t="s">
        <v>398</v>
      </c>
      <c r="F25" s="21">
        <f t="shared" si="0"/>
        <v>16</v>
      </c>
      <c r="G25" s="21">
        <f t="shared" si="1"/>
        <v>89</v>
      </c>
    </row>
    <row r="26" customHeight="1" spans="1:8">
      <c r="A26" s="16">
        <v>13</v>
      </c>
      <c r="B26" s="17" t="str">
        <f>D27</f>
        <v>埃及宇宙密码 1 繁星之间</v>
      </c>
      <c r="C26" s="18" t="s">
        <v>364</v>
      </c>
      <c r="D26" s="19" t="s">
        <v>403</v>
      </c>
      <c r="E26" s="27" t="s">
        <v>404</v>
      </c>
      <c r="F26" s="21">
        <f t="shared" si="0"/>
        <v>61</v>
      </c>
      <c r="G26" s="21">
        <f t="shared" si="1"/>
        <v>76</v>
      </c>
      <c r="H26" s="14"/>
    </row>
    <row r="27" customHeight="1" spans="1:7">
      <c r="A27" s="22"/>
      <c r="B27" s="23"/>
      <c r="C27" s="18" t="s">
        <v>34</v>
      </c>
      <c r="D27" s="24" t="s">
        <v>405</v>
      </c>
      <c r="E27" s="29" t="s">
        <v>406</v>
      </c>
      <c r="F27" s="21">
        <f t="shared" si="0"/>
        <v>13</v>
      </c>
      <c r="G27" s="21">
        <f t="shared" si="1"/>
        <v>27</v>
      </c>
    </row>
    <row r="28" customHeight="1" spans="1:8">
      <c r="A28" s="16">
        <v>14</v>
      </c>
      <c r="B28" s="17" t="str">
        <f>D29</f>
        <v>行走世界菜市场 20</v>
      </c>
      <c r="C28" s="18" t="s">
        <v>364</v>
      </c>
      <c r="D28" s="19" t="s">
        <v>407</v>
      </c>
      <c r="E28" s="27" t="s">
        <v>408</v>
      </c>
      <c r="F28" s="21">
        <f t="shared" si="0"/>
        <v>17</v>
      </c>
      <c r="G28" s="21">
        <f t="shared" si="1"/>
        <v>158</v>
      </c>
      <c r="H28" s="14"/>
    </row>
    <row r="29" customHeight="1" spans="1:7">
      <c r="A29" s="22"/>
      <c r="B29" s="23"/>
      <c r="C29" s="18" t="s">
        <v>34</v>
      </c>
      <c r="D29" s="24" t="s">
        <v>409</v>
      </c>
      <c r="E29" s="29" t="s">
        <v>410</v>
      </c>
      <c r="F29" s="21">
        <f t="shared" si="0"/>
        <v>10</v>
      </c>
      <c r="G29" s="21">
        <f t="shared" si="1"/>
        <v>72</v>
      </c>
    </row>
    <row r="30" customHeight="1" spans="1:8">
      <c r="A30" s="16">
        <v>15</v>
      </c>
      <c r="B30" s="17" t="str">
        <f>D31</f>
        <v>行走世界菜市场 19</v>
      </c>
      <c r="C30" s="18" t="s">
        <v>364</v>
      </c>
      <c r="D30" s="19" t="s">
        <v>411</v>
      </c>
      <c r="E30" s="27" t="s">
        <v>408</v>
      </c>
      <c r="F30" s="21">
        <f t="shared" si="0"/>
        <v>17</v>
      </c>
      <c r="G30" s="21">
        <f t="shared" si="1"/>
        <v>158</v>
      </c>
      <c r="H30" s="14"/>
    </row>
    <row r="31" customHeight="1" spans="1:7">
      <c r="A31" s="22"/>
      <c r="B31" s="23"/>
      <c r="C31" s="18" t="s">
        <v>34</v>
      </c>
      <c r="D31" s="24" t="s">
        <v>412</v>
      </c>
      <c r="E31" s="29" t="s">
        <v>410</v>
      </c>
      <c r="F31" s="21">
        <f t="shared" si="0"/>
        <v>10</v>
      </c>
      <c r="G31" s="21">
        <f t="shared" si="1"/>
        <v>72</v>
      </c>
    </row>
    <row r="32" customHeight="1" spans="1:8">
      <c r="A32" s="16">
        <v>16</v>
      </c>
      <c r="B32" s="17" t="str">
        <f>D33</f>
        <v>荒野之上 第三季 5 沙漠绿野</v>
      </c>
      <c r="C32" s="18" t="s">
        <v>364</v>
      </c>
      <c r="D32" s="19" t="s">
        <v>413</v>
      </c>
      <c r="E32" s="27" t="s">
        <v>414</v>
      </c>
      <c r="F32" s="21">
        <f t="shared" si="0"/>
        <v>44</v>
      </c>
      <c r="G32" s="21">
        <f t="shared" si="1"/>
        <v>113</v>
      </c>
      <c r="H32" s="14"/>
    </row>
    <row r="33" customHeight="1" spans="1:7">
      <c r="A33" s="22"/>
      <c r="B33" s="23"/>
      <c r="C33" s="18" t="s">
        <v>34</v>
      </c>
      <c r="D33" s="24" t="s">
        <v>415</v>
      </c>
      <c r="E33" s="29" t="s">
        <v>416</v>
      </c>
      <c r="F33" s="21">
        <f t="shared" si="0"/>
        <v>15</v>
      </c>
      <c r="G33" s="21">
        <f t="shared" si="1"/>
        <v>28</v>
      </c>
    </row>
    <row r="34" customHeight="1" spans="1:8">
      <c r="A34" s="16">
        <v>17</v>
      </c>
      <c r="B34" s="17" t="str">
        <f>D35</f>
        <v>自然传奇 大自然最伟大的天才 3</v>
      </c>
      <c r="C34" s="18" t="s">
        <v>364</v>
      </c>
      <c r="D34" s="19" t="s">
        <v>417</v>
      </c>
      <c r="E34" s="27" t="s">
        <v>418</v>
      </c>
      <c r="F34" s="21">
        <f t="shared" si="0"/>
        <v>42</v>
      </c>
      <c r="G34" s="21">
        <f t="shared" si="1"/>
        <v>241</v>
      </c>
      <c r="H34" s="14"/>
    </row>
    <row r="35" customHeight="1" spans="1:7">
      <c r="A35" s="22"/>
      <c r="B35" s="23"/>
      <c r="C35" s="18" t="s">
        <v>34</v>
      </c>
      <c r="D35" s="24" t="s">
        <v>419</v>
      </c>
      <c r="E35" s="29" t="s">
        <v>420</v>
      </c>
      <c r="F35" s="21">
        <f t="shared" si="0"/>
        <v>16</v>
      </c>
      <c r="G35" s="21">
        <f t="shared" si="1"/>
        <v>59</v>
      </c>
    </row>
    <row r="36" customHeight="1" spans="1:8">
      <c r="A36" s="16">
        <v>18</v>
      </c>
      <c r="B36" s="17" t="str">
        <f>D37</f>
        <v>自然传奇 大自然最伟大的天才 2</v>
      </c>
      <c r="C36" s="18" t="s">
        <v>364</v>
      </c>
      <c r="D36" s="19" t="s">
        <v>421</v>
      </c>
      <c r="E36" s="27" t="s">
        <v>418</v>
      </c>
      <c r="F36" s="21">
        <f t="shared" si="0"/>
        <v>42</v>
      </c>
      <c r="G36" s="21">
        <f t="shared" si="1"/>
        <v>241</v>
      </c>
      <c r="H36" s="14"/>
    </row>
    <row r="37" customHeight="1" spans="1:7">
      <c r="A37" s="22"/>
      <c r="B37" s="23"/>
      <c r="C37" s="18" t="s">
        <v>34</v>
      </c>
      <c r="D37" s="24" t="s">
        <v>422</v>
      </c>
      <c r="E37" s="29" t="s">
        <v>420</v>
      </c>
      <c r="F37" s="21">
        <f t="shared" si="0"/>
        <v>16</v>
      </c>
      <c r="G37" s="21">
        <f t="shared" si="1"/>
        <v>59</v>
      </c>
    </row>
    <row r="38" customHeight="1" spans="1:8">
      <c r="A38" s="16">
        <v>19</v>
      </c>
      <c r="B38" s="17" t="str">
        <f>D39</f>
        <v>自然传奇 大自然最伟大的天才 1</v>
      </c>
      <c r="C38" s="18" t="s">
        <v>364</v>
      </c>
      <c r="D38" s="19" t="s">
        <v>423</v>
      </c>
      <c r="E38" s="27" t="s">
        <v>418</v>
      </c>
      <c r="F38" s="21">
        <f t="shared" si="0"/>
        <v>42</v>
      </c>
      <c r="G38" s="21">
        <f t="shared" si="1"/>
        <v>241</v>
      </c>
      <c r="H38" s="14"/>
    </row>
    <row r="39" customHeight="1" spans="1:7">
      <c r="A39" s="22"/>
      <c r="B39" s="23"/>
      <c r="C39" s="18" t="s">
        <v>34</v>
      </c>
      <c r="D39" s="24" t="s">
        <v>424</v>
      </c>
      <c r="E39" s="29" t="s">
        <v>420</v>
      </c>
      <c r="F39" s="21">
        <f t="shared" si="0"/>
        <v>16</v>
      </c>
      <c r="G39" s="21">
        <f t="shared" si="1"/>
        <v>59</v>
      </c>
    </row>
    <row r="40" customHeight="1" spans="1:7">
      <c r="A40" s="16">
        <v>20</v>
      </c>
      <c r="B40" s="17" t="str">
        <f>D41</f>
        <v>追踪巨型鱼 第三季 8</v>
      </c>
      <c r="C40" s="18" t="s">
        <v>364</v>
      </c>
      <c r="D40" s="24" t="s">
        <v>425</v>
      </c>
      <c r="E40" s="27" t="s">
        <v>426</v>
      </c>
      <c r="F40" s="21">
        <f t="shared" si="0"/>
        <v>25</v>
      </c>
      <c r="G40" s="21">
        <f t="shared" si="1"/>
        <v>155</v>
      </c>
    </row>
    <row r="41" customHeight="1" spans="1:7">
      <c r="A41" s="22"/>
      <c r="B41" s="23"/>
      <c r="C41" s="18" t="s">
        <v>34</v>
      </c>
      <c r="D41" s="24" t="s">
        <v>427</v>
      </c>
      <c r="E41" s="29" t="s">
        <v>428</v>
      </c>
      <c r="F41" s="21">
        <f t="shared" si="0"/>
        <v>11</v>
      </c>
      <c r="G41" s="21">
        <f t="shared" si="1"/>
        <v>26</v>
      </c>
    </row>
    <row r="42" customHeight="1" spans="1:8">
      <c r="A42" s="16">
        <v>21</v>
      </c>
      <c r="B42" s="17" t="str">
        <f>D43</f>
        <v>追踪巨型鱼 第三季 7</v>
      </c>
      <c r="C42" s="18" t="s">
        <v>364</v>
      </c>
      <c r="D42" s="19" t="s">
        <v>429</v>
      </c>
      <c r="E42" s="27" t="s">
        <v>426</v>
      </c>
      <c r="F42" s="21">
        <f t="shared" si="0"/>
        <v>25</v>
      </c>
      <c r="G42" s="21">
        <f t="shared" si="1"/>
        <v>155</v>
      </c>
      <c r="H42" s="14"/>
    </row>
    <row r="43" customHeight="1" spans="1:7">
      <c r="A43" s="22"/>
      <c r="B43" s="23"/>
      <c r="C43" s="18" t="s">
        <v>34</v>
      </c>
      <c r="D43" s="24" t="s">
        <v>430</v>
      </c>
      <c r="E43" s="29" t="s">
        <v>428</v>
      </c>
      <c r="F43" s="21">
        <f t="shared" si="0"/>
        <v>11</v>
      </c>
      <c r="G43" s="21">
        <f t="shared" si="1"/>
        <v>26</v>
      </c>
    </row>
    <row r="44" customHeight="1" spans="1:8">
      <c r="A44" s="16">
        <v>22</v>
      </c>
      <c r="B44" s="17" t="str">
        <f>D45</f>
        <v>沙尘暴 12</v>
      </c>
      <c r="C44" s="18" t="s">
        <v>364</v>
      </c>
      <c r="D44" s="19" t="s">
        <v>431</v>
      </c>
      <c r="E44" s="27" t="s">
        <v>432</v>
      </c>
      <c r="F44" s="21">
        <f t="shared" si="0"/>
        <v>14</v>
      </c>
      <c r="G44" s="21">
        <f t="shared" si="1"/>
        <v>87</v>
      </c>
      <c r="H44" s="14"/>
    </row>
    <row r="45" customHeight="1" spans="1:7">
      <c r="A45" s="22"/>
      <c r="B45" s="23"/>
      <c r="C45" s="18" t="s">
        <v>34</v>
      </c>
      <c r="D45" s="24" t="s">
        <v>433</v>
      </c>
      <c r="E45" s="29" t="s">
        <v>434</v>
      </c>
      <c r="F45" s="21">
        <f t="shared" ref="F45:F90" si="2">LEN(D45)</f>
        <v>6</v>
      </c>
      <c r="G45" s="21">
        <f t="shared" ref="G45:G90" si="3">LEN(E45)</f>
        <v>44</v>
      </c>
    </row>
    <row r="46" customHeight="1" spans="1:8">
      <c r="A46" s="16">
        <v>23</v>
      </c>
      <c r="B46" s="17" t="str">
        <f>D47</f>
        <v>沙尘暴 11</v>
      </c>
      <c r="C46" s="18" t="s">
        <v>364</v>
      </c>
      <c r="D46" s="19" t="s">
        <v>435</v>
      </c>
      <c r="E46" s="27" t="s">
        <v>432</v>
      </c>
      <c r="F46" s="21">
        <f t="shared" si="2"/>
        <v>14</v>
      </c>
      <c r="G46" s="21">
        <f t="shared" si="3"/>
        <v>87</v>
      </c>
      <c r="H46" s="14"/>
    </row>
    <row r="47" customHeight="1" spans="1:7">
      <c r="A47" s="22"/>
      <c r="B47" s="23"/>
      <c r="C47" s="18" t="s">
        <v>34</v>
      </c>
      <c r="D47" s="24" t="s">
        <v>436</v>
      </c>
      <c r="E47" s="29" t="s">
        <v>434</v>
      </c>
      <c r="F47" s="21">
        <f t="shared" si="2"/>
        <v>6</v>
      </c>
      <c r="G47" s="21">
        <f t="shared" si="3"/>
        <v>44</v>
      </c>
    </row>
    <row r="48" customHeight="1" spans="1:8">
      <c r="A48" s="16">
        <v>24</v>
      </c>
      <c r="B48" s="17" t="str">
        <f>D49</f>
        <v>沙尘暴 10</v>
      </c>
      <c r="C48" s="18" t="s">
        <v>364</v>
      </c>
      <c r="D48" s="19" t="s">
        <v>437</v>
      </c>
      <c r="E48" s="27" t="s">
        <v>432</v>
      </c>
      <c r="F48" s="21">
        <f t="shared" si="2"/>
        <v>14</v>
      </c>
      <c r="G48" s="21">
        <f t="shared" si="3"/>
        <v>87</v>
      </c>
      <c r="H48" s="14"/>
    </row>
    <row r="49" customHeight="1" spans="1:7">
      <c r="A49" s="22"/>
      <c r="B49" s="23"/>
      <c r="C49" s="18" t="s">
        <v>34</v>
      </c>
      <c r="D49" s="24" t="s">
        <v>438</v>
      </c>
      <c r="E49" s="29" t="s">
        <v>434</v>
      </c>
      <c r="F49" s="21">
        <f t="shared" si="2"/>
        <v>6</v>
      </c>
      <c r="G49" s="21">
        <f t="shared" si="3"/>
        <v>44</v>
      </c>
    </row>
    <row r="50" customHeight="1" spans="1:8">
      <c r="A50" s="16">
        <v>25</v>
      </c>
      <c r="B50" s="17" t="str">
        <f>D51</f>
        <v>沙尘暴 9</v>
      </c>
      <c r="C50" s="18" t="s">
        <v>364</v>
      </c>
      <c r="D50" s="19" t="s">
        <v>439</v>
      </c>
      <c r="E50" s="27" t="s">
        <v>432</v>
      </c>
      <c r="F50" s="21">
        <f t="shared" si="2"/>
        <v>14</v>
      </c>
      <c r="G50" s="21">
        <f t="shared" si="3"/>
        <v>87</v>
      </c>
      <c r="H50" s="14"/>
    </row>
    <row r="51" customHeight="1" spans="1:7">
      <c r="A51" s="22"/>
      <c r="B51" s="23"/>
      <c r="C51" s="18" t="s">
        <v>34</v>
      </c>
      <c r="D51" s="24" t="s">
        <v>440</v>
      </c>
      <c r="E51" s="29" t="s">
        <v>434</v>
      </c>
      <c r="F51" s="21">
        <f t="shared" si="2"/>
        <v>5</v>
      </c>
      <c r="G51" s="21">
        <f t="shared" si="3"/>
        <v>44</v>
      </c>
    </row>
    <row r="52" customHeight="1" spans="1:8">
      <c r="A52" s="16">
        <v>26</v>
      </c>
      <c r="B52" s="17" t="str">
        <f>D53</f>
        <v>沙尘暴 8</v>
      </c>
      <c r="C52" s="18" t="s">
        <v>364</v>
      </c>
      <c r="D52" s="19" t="s">
        <v>441</v>
      </c>
      <c r="E52" s="27" t="s">
        <v>432</v>
      </c>
      <c r="F52" s="21">
        <f t="shared" si="2"/>
        <v>14</v>
      </c>
      <c r="G52" s="21">
        <f t="shared" si="3"/>
        <v>87</v>
      </c>
      <c r="H52" s="14"/>
    </row>
    <row r="53" customHeight="1" spans="1:7">
      <c r="A53" s="22"/>
      <c r="B53" s="23"/>
      <c r="C53" s="18" t="s">
        <v>34</v>
      </c>
      <c r="D53" s="24" t="s">
        <v>442</v>
      </c>
      <c r="E53" s="29" t="s">
        <v>434</v>
      </c>
      <c r="F53" s="21">
        <f t="shared" si="2"/>
        <v>5</v>
      </c>
      <c r="G53" s="21">
        <f t="shared" si="3"/>
        <v>44</v>
      </c>
    </row>
    <row r="54" customHeight="1" spans="1:8">
      <c r="A54" s="16">
        <v>27</v>
      </c>
      <c r="B54" s="17" t="str">
        <f>D55</f>
        <v>沙尘暴 7</v>
      </c>
      <c r="C54" s="18" t="s">
        <v>364</v>
      </c>
      <c r="D54" s="19" t="s">
        <v>443</v>
      </c>
      <c r="E54" s="27" t="s">
        <v>432</v>
      </c>
      <c r="F54" s="21">
        <f t="shared" si="2"/>
        <v>14</v>
      </c>
      <c r="G54" s="21">
        <f t="shared" si="3"/>
        <v>87</v>
      </c>
      <c r="H54" s="14"/>
    </row>
    <row r="55" customHeight="1" spans="1:7">
      <c r="A55" s="22"/>
      <c r="B55" s="23"/>
      <c r="C55" s="18" t="s">
        <v>34</v>
      </c>
      <c r="D55" s="24" t="s">
        <v>444</v>
      </c>
      <c r="E55" s="29" t="s">
        <v>434</v>
      </c>
      <c r="F55" s="21">
        <f t="shared" si="2"/>
        <v>5</v>
      </c>
      <c r="G55" s="21">
        <f t="shared" si="3"/>
        <v>44</v>
      </c>
    </row>
    <row r="56" customHeight="1" spans="1:8">
      <c r="A56" s="16">
        <v>28</v>
      </c>
      <c r="B56" s="17" t="str">
        <f>D57</f>
        <v>沙尘暴 6</v>
      </c>
      <c r="C56" s="18" t="s">
        <v>364</v>
      </c>
      <c r="D56" s="19" t="s">
        <v>445</v>
      </c>
      <c r="E56" s="27" t="s">
        <v>432</v>
      </c>
      <c r="F56" s="21">
        <f t="shared" si="2"/>
        <v>14</v>
      </c>
      <c r="G56" s="21">
        <f t="shared" si="3"/>
        <v>87</v>
      </c>
      <c r="H56" s="14"/>
    </row>
    <row r="57" customHeight="1" spans="1:7">
      <c r="A57" s="22"/>
      <c r="B57" s="23"/>
      <c r="C57" s="18" t="s">
        <v>34</v>
      </c>
      <c r="D57" s="24" t="s">
        <v>446</v>
      </c>
      <c r="E57" s="29" t="s">
        <v>434</v>
      </c>
      <c r="F57" s="21">
        <f t="shared" si="2"/>
        <v>5</v>
      </c>
      <c r="G57" s="21">
        <f t="shared" si="3"/>
        <v>44</v>
      </c>
    </row>
    <row r="58" customHeight="1" spans="1:8">
      <c r="A58" s="16">
        <v>29</v>
      </c>
      <c r="B58" s="17" t="str">
        <f>D59</f>
        <v>沙尘暴 5</v>
      </c>
      <c r="C58" s="18" t="s">
        <v>364</v>
      </c>
      <c r="D58" s="19" t="s">
        <v>447</v>
      </c>
      <c r="E58" s="27" t="s">
        <v>432</v>
      </c>
      <c r="F58" s="21">
        <f t="shared" si="2"/>
        <v>14</v>
      </c>
      <c r="G58" s="21">
        <f t="shared" si="3"/>
        <v>87</v>
      </c>
      <c r="H58" s="14"/>
    </row>
    <row r="59" customHeight="1" spans="1:7">
      <c r="A59" s="22"/>
      <c r="B59" s="23"/>
      <c r="C59" s="18" t="s">
        <v>34</v>
      </c>
      <c r="D59" s="24" t="s">
        <v>448</v>
      </c>
      <c r="E59" s="29" t="s">
        <v>434</v>
      </c>
      <c r="F59" s="21">
        <f t="shared" si="2"/>
        <v>5</v>
      </c>
      <c r="G59" s="21">
        <f t="shared" si="3"/>
        <v>44</v>
      </c>
    </row>
    <row r="60" customHeight="1" spans="1:8">
      <c r="A60" s="16">
        <v>30</v>
      </c>
      <c r="B60" s="17" t="str">
        <f>D61</f>
        <v>沙尘暴 4</v>
      </c>
      <c r="C60" s="18" t="s">
        <v>364</v>
      </c>
      <c r="D60" s="19" t="s">
        <v>449</v>
      </c>
      <c r="E60" s="27" t="s">
        <v>432</v>
      </c>
      <c r="F60" s="21">
        <f t="shared" si="2"/>
        <v>14</v>
      </c>
      <c r="G60" s="21">
        <f t="shared" si="3"/>
        <v>87</v>
      </c>
      <c r="H60" s="14"/>
    </row>
    <row r="61" customHeight="1" spans="1:7">
      <c r="A61" s="22"/>
      <c r="B61" s="23"/>
      <c r="C61" s="18" t="s">
        <v>34</v>
      </c>
      <c r="D61" s="24" t="s">
        <v>450</v>
      </c>
      <c r="E61" s="29" t="s">
        <v>434</v>
      </c>
      <c r="F61" s="21">
        <f t="shared" si="2"/>
        <v>5</v>
      </c>
      <c r="G61" s="21">
        <f t="shared" si="3"/>
        <v>44</v>
      </c>
    </row>
    <row r="62" customHeight="1" spans="1:8">
      <c r="A62" s="16">
        <v>31</v>
      </c>
      <c r="B62" s="17" t="str">
        <f>D63</f>
        <v>沙尘暴 3</v>
      </c>
      <c r="C62" s="18" t="s">
        <v>364</v>
      </c>
      <c r="D62" s="19" t="s">
        <v>451</v>
      </c>
      <c r="E62" s="27" t="s">
        <v>432</v>
      </c>
      <c r="F62" s="21">
        <f t="shared" si="2"/>
        <v>14</v>
      </c>
      <c r="G62" s="21">
        <f t="shared" si="3"/>
        <v>87</v>
      </c>
      <c r="H62" s="14"/>
    </row>
    <row r="63" customHeight="1" spans="1:7">
      <c r="A63" s="22"/>
      <c r="B63" s="23"/>
      <c r="C63" s="18" t="s">
        <v>34</v>
      </c>
      <c r="D63" s="24" t="s">
        <v>452</v>
      </c>
      <c r="E63" s="29" t="s">
        <v>434</v>
      </c>
      <c r="F63" s="21">
        <f t="shared" si="2"/>
        <v>5</v>
      </c>
      <c r="G63" s="21">
        <f t="shared" si="3"/>
        <v>44</v>
      </c>
    </row>
    <row r="64" customHeight="1" spans="1:8">
      <c r="A64" s="16">
        <v>32</v>
      </c>
      <c r="B64" s="17" t="str">
        <f>D65</f>
        <v>沙尘暴 2</v>
      </c>
      <c r="C64" s="18" t="s">
        <v>364</v>
      </c>
      <c r="D64" s="19" t="s">
        <v>453</v>
      </c>
      <c r="E64" s="27" t="s">
        <v>432</v>
      </c>
      <c r="F64" s="21">
        <f t="shared" si="2"/>
        <v>14</v>
      </c>
      <c r="G64" s="21">
        <f t="shared" si="3"/>
        <v>87</v>
      </c>
      <c r="H64" s="14"/>
    </row>
    <row r="65" customHeight="1" spans="1:7">
      <c r="A65" s="22"/>
      <c r="B65" s="23"/>
      <c r="C65" s="18" t="s">
        <v>34</v>
      </c>
      <c r="D65" s="24" t="s">
        <v>454</v>
      </c>
      <c r="E65" s="29" t="s">
        <v>434</v>
      </c>
      <c r="F65" s="21">
        <f t="shared" si="2"/>
        <v>5</v>
      </c>
      <c r="G65" s="21">
        <f t="shared" si="3"/>
        <v>44</v>
      </c>
    </row>
    <row r="66" customHeight="1" spans="1:8">
      <c r="A66" s="16">
        <v>33</v>
      </c>
      <c r="B66" s="17" t="str">
        <f>D67</f>
        <v>沙尘暴 1</v>
      </c>
      <c r="C66" s="18" t="s">
        <v>364</v>
      </c>
      <c r="D66" s="19" t="s">
        <v>455</v>
      </c>
      <c r="E66" s="27" t="s">
        <v>432</v>
      </c>
      <c r="F66" s="21">
        <f t="shared" si="2"/>
        <v>14</v>
      </c>
      <c r="G66" s="21">
        <f t="shared" si="3"/>
        <v>87</v>
      </c>
      <c r="H66" s="14"/>
    </row>
    <row r="67" customHeight="1" spans="1:7">
      <c r="A67" s="22"/>
      <c r="B67" s="23"/>
      <c r="C67" s="18" t="s">
        <v>34</v>
      </c>
      <c r="D67" s="24" t="s">
        <v>456</v>
      </c>
      <c r="E67" s="29" t="s">
        <v>434</v>
      </c>
      <c r="F67" s="21">
        <f t="shared" si="2"/>
        <v>5</v>
      </c>
      <c r="G67" s="21">
        <f t="shared" si="3"/>
        <v>44</v>
      </c>
    </row>
    <row r="68" customHeight="1" spans="1:8">
      <c r="A68" s="16">
        <v>34</v>
      </c>
      <c r="B68" s="17" t="str">
        <f>D69</f>
        <v>谜探路德维希 第一季 6</v>
      </c>
      <c r="C68" s="18" t="s">
        <v>364</v>
      </c>
      <c r="D68" s="19" t="s">
        <v>457</v>
      </c>
      <c r="E68" s="27" t="s">
        <v>458</v>
      </c>
      <c r="F68" s="21">
        <f t="shared" si="2"/>
        <v>13</v>
      </c>
      <c r="G68" s="21">
        <f t="shared" si="3"/>
        <v>205</v>
      </c>
      <c r="H68" s="14"/>
    </row>
    <row r="69" customHeight="1" spans="1:7">
      <c r="A69" s="22"/>
      <c r="B69" s="23"/>
      <c r="C69" s="18" t="s">
        <v>34</v>
      </c>
      <c r="D69" s="24" t="s">
        <v>459</v>
      </c>
      <c r="E69" s="29" t="s">
        <v>460</v>
      </c>
      <c r="F69" s="21">
        <f t="shared" si="2"/>
        <v>12</v>
      </c>
      <c r="G69" s="21">
        <f t="shared" si="3"/>
        <v>67</v>
      </c>
    </row>
    <row r="70" customHeight="1" spans="1:8">
      <c r="A70" s="16">
        <v>35</v>
      </c>
      <c r="B70" s="17" t="str">
        <f>D71</f>
        <v>谜探路德维希 第一季 5</v>
      </c>
      <c r="C70" s="18" t="s">
        <v>364</v>
      </c>
      <c r="D70" s="19" t="s">
        <v>461</v>
      </c>
      <c r="E70" s="27" t="s">
        <v>458</v>
      </c>
      <c r="F70" s="21">
        <f t="shared" si="2"/>
        <v>13</v>
      </c>
      <c r="G70" s="21">
        <f t="shared" si="3"/>
        <v>205</v>
      </c>
      <c r="H70" s="14"/>
    </row>
    <row r="71" customHeight="1" spans="1:7">
      <c r="A71" s="22"/>
      <c r="B71" s="23"/>
      <c r="C71" s="18" t="s">
        <v>34</v>
      </c>
      <c r="D71" s="24" t="s">
        <v>462</v>
      </c>
      <c r="E71" s="29" t="s">
        <v>460</v>
      </c>
      <c r="F71" s="21">
        <f t="shared" si="2"/>
        <v>12</v>
      </c>
      <c r="G71" s="21">
        <f t="shared" si="3"/>
        <v>67</v>
      </c>
    </row>
    <row r="72" customHeight="1" spans="1:8">
      <c r="A72" s="16">
        <v>36</v>
      </c>
      <c r="B72" s="17" t="str">
        <f>D73</f>
        <v>谜探路德维希 第一季 4</v>
      </c>
      <c r="C72" s="18" t="s">
        <v>364</v>
      </c>
      <c r="D72" s="19" t="s">
        <v>463</v>
      </c>
      <c r="E72" s="27" t="s">
        <v>458</v>
      </c>
      <c r="F72" s="21">
        <f t="shared" si="2"/>
        <v>13</v>
      </c>
      <c r="G72" s="21">
        <f t="shared" si="3"/>
        <v>205</v>
      </c>
      <c r="H72" s="14"/>
    </row>
    <row r="73" customHeight="1" spans="1:7">
      <c r="A73" s="22"/>
      <c r="B73" s="23"/>
      <c r="C73" s="18" t="s">
        <v>34</v>
      </c>
      <c r="D73" s="24" t="s">
        <v>464</v>
      </c>
      <c r="E73" s="29" t="s">
        <v>460</v>
      </c>
      <c r="F73" s="21">
        <f t="shared" si="2"/>
        <v>12</v>
      </c>
      <c r="G73" s="21">
        <f t="shared" si="3"/>
        <v>67</v>
      </c>
    </row>
    <row r="74" customHeight="1" spans="1:8">
      <c r="A74" s="16">
        <v>37</v>
      </c>
      <c r="B74" s="17" t="str">
        <f>D75</f>
        <v>谜探路德维希 第一季 3</v>
      </c>
      <c r="C74" s="18" t="s">
        <v>364</v>
      </c>
      <c r="D74" s="19" t="s">
        <v>465</v>
      </c>
      <c r="E74" s="27" t="s">
        <v>458</v>
      </c>
      <c r="F74" s="21">
        <f t="shared" si="2"/>
        <v>13</v>
      </c>
      <c r="G74" s="21">
        <f t="shared" si="3"/>
        <v>205</v>
      </c>
      <c r="H74" s="14"/>
    </row>
    <row r="75" customHeight="1" spans="1:7">
      <c r="A75" s="22"/>
      <c r="B75" s="23"/>
      <c r="C75" s="18" t="s">
        <v>34</v>
      </c>
      <c r="D75" s="24" t="s">
        <v>466</v>
      </c>
      <c r="E75" s="29" t="s">
        <v>460</v>
      </c>
      <c r="F75" s="21">
        <f t="shared" si="2"/>
        <v>12</v>
      </c>
      <c r="G75" s="21">
        <f t="shared" si="3"/>
        <v>67</v>
      </c>
    </row>
    <row r="76" customHeight="1" spans="1:8">
      <c r="A76" s="16">
        <v>38</v>
      </c>
      <c r="B76" s="17" t="str">
        <f>D77</f>
        <v>谜探路德维希 第一季 2</v>
      </c>
      <c r="C76" s="18" t="s">
        <v>364</v>
      </c>
      <c r="D76" s="19" t="s">
        <v>467</v>
      </c>
      <c r="E76" s="27" t="s">
        <v>458</v>
      </c>
      <c r="F76" s="21">
        <f t="shared" si="2"/>
        <v>13</v>
      </c>
      <c r="G76" s="21">
        <f t="shared" si="3"/>
        <v>205</v>
      </c>
      <c r="H76" s="14"/>
    </row>
    <row r="77" customHeight="1" spans="1:7">
      <c r="A77" s="22"/>
      <c r="B77" s="23"/>
      <c r="C77" s="18" t="s">
        <v>34</v>
      </c>
      <c r="D77" s="24" t="s">
        <v>468</v>
      </c>
      <c r="E77" s="29" t="s">
        <v>460</v>
      </c>
      <c r="F77" s="21">
        <f t="shared" si="2"/>
        <v>12</v>
      </c>
      <c r="G77" s="21">
        <f t="shared" si="3"/>
        <v>67</v>
      </c>
    </row>
    <row r="78" customHeight="1" spans="1:8">
      <c r="A78" s="16">
        <v>39</v>
      </c>
      <c r="B78" s="17" t="str">
        <f>D79</f>
        <v>谜探路德维希 第一季 1</v>
      </c>
      <c r="C78" s="18" t="s">
        <v>364</v>
      </c>
      <c r="D78" s="19" t="s">
        <v>469</v>
      </c>
      <c r="E78" s="27" t="s">
        <v>458</v>
      </c>
      <c r="F78" s="21">
        <f t="shared" si="2"/>
        <v>13</v>
      </c>
      <c r="G78" s="21">
        <f t="shared" si="3"/>
        <v>205</v>
      </c>
      <c r="H78" s="14"/>
    </row>
    <row r="79" customHeight="1" spans="1:7">
      <c r="A79" s="22"/>
      <c r="B79" s="23"/>
      <c r="C79" s="18" t="s">
        <v>34</v>
      </c>
      <c r="D79" s="24" t="s">
        <v>470</v>
      </c>
      <c r="E79" s="29" t="s">
        <v>460</v>
      </c>
      <c r="F79" s="21">
        <f t="shared" si="2"/>
        <v>12</v>
      </c>
      <c r="G79" s="21">
        <f t="shared" si="3"/>
        <v>67</v>
      </c>
    </row>
    <row r="80" customHeight="1" spans="1:8">
      <c r="A80" s="16">
        <v>40</v>
      </c>
      <c r="B80" s="17" t="str">
        <f>D82</f>
        <v>空中博览8月国际去程</v>
      </c>
      <c r="C80" s="18" t="s">
        <v>364</v>
      </c>
      <c r="D80" s="19" t="s">
        <v>471</v>
      </c>
      <c r="E80" s="27" t="s">
        <v>472</v>
      </c>
      <c r="F80" s="21">
        <f t="shared" si="2"/>
        <v>35</v>
      </c>
      <c r="G80" s="21">
        <f t="shared" si="3"/>
        <v>392</v>
      </c>
      <c r="H80" s="14"/>
    </row>
    <row r="81" customHeight="1" spans="1:8">
      <c r="A81" s="30"/>
      <c r="B81" s="31"/>
      <c r="C81" s="32" t="s">
        <v>217</v>
      </c>
      <c r="D81" s="19" t="s">
        <v>471</v>
      </c>
      <c r="E81" s="27" t="s">
        <v>473</v>
      </c>
      <c r="F81" s="21">
        <f t="shared" si="2"/>
        <v>35</v>
      </c>
      <c r="G81" s="21">
        <f t="shared" si="3"/>
        <v>54</v>
      </c>
      <c r="H81" s="14"/>
    </row>
    <row r="82" customHeight="1" spans="1:7">
      <c r="A82" s="22"/>
      <c r="B82" s="23"/>
      <c r="C82" s="18" t="s">
        <v>34</v>
      </c>
      <c r="D82" s="24" t="s">
        <v>474</v>
      </c>
      <c r="E82" s="29" t="s">
        <v>475</v>
      </c>
      <c r="F82" s="21">
        <f t="shared" si="2"/>
        <v>10</v>
      </c>
      <c r="G82" s="21">
        <f t="shared" si="3"/>
        <v>119</v>
      </c>
    </row>
    <row r="83" customHeight="1" spans="1:8">
      <c r="A83" s="16">
        <v>41</v>
      </c>
      <c r="B83" s="17" t="str">
        <f>D85</f>
        <v>空中博览8月国际回程</v>
      </c>
      <c r="C83" s="18" t="s">
        <v>364</v>
      </c>
      <c r="D83" s="19" t="s">
        <v>476</v>
      </c>
      <c r="E83" s="27" t="s">
        <v>472</v>
      </c>
      <c r="F83" s="21">
        <f t="shared" si="2"/>
        <v>34</v>
      </c>
      <c r="G83" s="21">
        <f t="shared" si="3"/>
        <v>392</v>
      </c>
      <c r="H83" s="14"/>
    </row>
    <row r="84" customHeight="1" spans="1:8">
      <c r="A84" s="30"/>
      <c r="B84" s="31"/>
      <c r="C84" s="32" t="s">
        <v>217</v>
      </c>
      <c r="D84" s="19" t="s">
        <v>476</v>
      </c>
      <c r="E84" s="27" t="s">
        <v>473</v>
      </c>
      <c r="F84" s="21">
        <f t="shared" si="2"/>
        <v>34</v>
      </c>
      <c r="G84" s="21">
        <f t="shared" si="3"/>
        <v>54</v>
      </c>
      <c r="H84" s="14"/>
    </row>
    <row r="85" customHeight="1" spans="1:7">
      <c r="A85" s="22"/>
      <c r="B85" s="23"/>
      <c r="C85" s="18" t="s">
        <v>34</v>
      </c>
      <c r="D85" s="24" t="s">
        <v>477</v>
      </c>
      <c r="E85" s="29" t="s">
        <v>475</v>
      </c>
      <c r="F85" s="21">
        <f t="shared" si="2"/>
        <v>10</v>
      </c>
      <c r="G85" s="21">
        <f t="shared" si="3"/>
        <v>119</v>
      </c>
    </row>
    <row r="86" customHeight="1" spans="1:8">
      <c r="A86" s="16">
        <v>42</v>
      </c>
      <c r="B86" s="17" t="str">
        <f>D88</f>
        <v>空中博览8月国内去程</v>
      </c>
      <c r="C86" s="18" t="s">
        <v>364</v>
      </c>
      <c r="D86" s="19" t="s">
        <v>478</v>
      </c>
      <c r="E86" s="27" t="s">
        <v>472</v>
      </c>
      <c r="F86" s="21">
        <f t="shared" si="2"/>
        <v>30</v>
      </c>
      <c r="G86" s="21">
        <f t="shared" si="3"/>
        <v>392</v>
      </c>
      <c r="H86" s="14"/>
    </row>
    <row r="87" customHeight="1" spans="1:8">
      <c r="A87" s="30"/>
      <c r="B87" s="31"/>
      <c r="C87" s="32" t="s">
        <v>217</v>
      </c>
      <c r="D87" s="19" t="s">
        <v>478</v>
      </c>
      <c r="E87" s="27" t="s">
        <v>473</v>
      </c>
      <c r="F87" s="21">
        <f t="shared" si="2"/>
        <v>30</v>
      </c>
      <c r="G87" s="21">
        <f t="shared" si="3"/>
        <v>54</v>
      </c>
      <c r="H87" s="14"/>
    </row>
    <row r="88" customHeight="1" spans="1:7">
      <c r="A88" s="22"/>
      <c r="B88" s="23"/>
      <c r="C88" s="18" t="s">
        <v>34</v>
      </c>
      <c r="D88" s="24" t="s">
        <v>479</v>
      </c>
      <c r="E88" s="29" t="s">
        <v>475</v>
      </c>
      <c r="F88" s="21">
        <f t="shared" si="2"/>
        <v>10</v>
      </c>
      <c r="G88" s="21">
        <f t="shared" si="3"/>
        <v>119</v>
      </c>
    </row>
    <row r="89" customHeight="1" spans="1:8">
      <c r="A89" s="16">
        <v>43</v>
      </c>
      <c r="B89" s="17" t="str">
        <f>D91</f>
        <v>空中博览8月国内回程</v>
      </c>
      <c r="C89" s="18" t="s">
        <v>364</v>
      </c>
      <c r="D89" s="19" t="s">
        <v>480</v>
      </c>
      <c r="E89" s="27" t="s">
        <v>472</v>
      </c>
      <c r="F89" s="21">
        <f t="shared" si="2"/>
        <v>29</v>
      </c>
      <c r="G89" s="21">
        <f t="shared" si="3"/>
        <v>392</v>
      </c>
      <c r="H89" s="14"/>
    </row>
    <row r="90" customHeight="1" spans="1:8">
      <c r="A90" s="30"/>
      <c r="B90" s="31"/>
      <c r="C90" s="32" t="s">
        <v>217</v>
      </c>
      <c r="D90" s="19" t="s">
        <v>480</v>
      </c>
      <c r="E90" s="27" t="s">
        <v>473</v>
      </c>
      <c r="F90" s="21">
        <f t="shared" si="2"/>
        <v>29</v>
      </c>
      <c r="G90" s="21">
        <f t="shared" si="3"/>
        <v>54</v>
      </c>
      <c r="H90" s="14"/>
    </row>
    <row r="91" customHeight="1" spans="1:7">
      <c r="A91" s="22"/>
      <c r="B91" s="23"/>
      <c r="C91" s="18" t="s">
        <v>34</v>
      </c>
      <c r="D91" s="24" t="s">
        <v>481</v>
      </c>
      <c r="E91" s="29" t="s">
        <v>475</v>
      </c>
      <c r="F91" s="21">
        <f t="shared" ref="F91:F112" si="4">LEN(D91)</f>
        <v>10</v>
      </c>
      <c r="G91" s="21">
        <f t="shared" ref="G91:G112" si="5">LEN(E91)</f>
        <v>119</v>
      </c>
    </row>
    <row r="92" customHeight="1" spans="1:8">
      <c r="A92" s="16">
        <v>44</v>
      </c>
      <c r="B92" s="17" t="str">
        <f>D93</f>
        <v>旷野之息阿勒泰 1</v>
      </c>
      <c r="C92" s="18" t="s">
        <v>364</v>
      </c>
      <c r="D92" s="19" t="s">
        <v>482</v>
      </c>
      <c r="E92" s="27" t="s">
        <v>483</v>
      </c>
      <c r="F92" s="21">
        <f t="shared" si="4"/>
        <v>50</v>
      </c>
      <c r="G92" s="21">
        <f t="shared" si="5"/>
        <v>104</v>
      </c>
      <c r="H92" s="14"/>
    </row>
    <row r="93" customHeight="1" spans="1:7">
      <c r="A93" s="22"/>
      <c r="B93" s="23"/>
      <c r="C93" s="18" t="s">
        <v>34</v>
      </c>
      <c r="D93" s="24" t="s">
        <v>484</v>
      </c>
      <c r="E93" s="29" t="s">
        <v>485</v>
      </c>
      <c r="F93" s="21">
        <f t="shared" si="4"/>
        <v>9</v>
      </c>
      <c r="G93" s="21">
        <f t="shared" si="5"/>
        <v>23</v>
      </c>
    </row>
    <row r="94" customHeight="1" spans="1:8">
      <c r="A94" s="16">
        <v>45</v>
      </c>
      <c r="B94" s="17" t="str">
        <f>D95</f>
        <v>都江堰何以2300年 1</v>
      </c>
      <c r="C94" s="18" t="s">
        <v>364</v>
      </c>
      <c r="D94" s="19" t="s">
        <v>486</v>
      </c>
      <c r="E94" s="27" t="s">
        <v>487</v>
      </c>
      <c r="F94" s="21">
        <f t="shared" si="4"/>
        <v>39</v>
      </c>
      <c r="G94" s="21">
        <f t="shared" si="5"/>
        <v>136</v>
      </c>
      <c r="H94" s="14"/>
    </row>
    <row r="95" customHeight="1" spans="1:7">
      <c r="A95" s="22"/>
      <c r="B95" s="23"/>
      <c r="C95" s="18" t="s">
        <v>34</v>
      </c>
      <c r="D95" s="24" t="s">
        <v>488</v>
      </c>
      <c r="E95" s="29" t="s">
        <v>489</v>
      </c>
      <c r="F95" s="21">
        <f t="shared" si="4"/>
        <v>12</v>
      </c>
      <c r="G95" s="21">
        <f t="shared" si="5"/>
        <v>35</v>
      </c>
    </row>
    <row r="96" customHeight="1" spans="1:8">
      <c r="A96" s="16">
        <v>46</v>
      </c>
      <c r="B96" s="17" t="str">
        <f>D97</f>
        <v>景德镇 1</v>
      </c>
      <c r="C96" s="18" t="s">
        <v>364</v>
      </c>
      <c r="D96" s="19" t="s">
        <v>490</v>
      </c>
      <c r="E96" s="27" t="s">
        <v>491</v>
      </c>
      <c r="F96" s="21">
        <f t="shared" si="4"/>
        <v>12</v>
      </c>
      <c r="G96" s="21">
        <f t="shared" si="5"/>
        <v>89</v>
      </c>
      <c r="H96" s="14"/>
    </row>
    <row r="97" customHeight="1" spans="1:7">
      <c r="A97" s="22"/>
      <c r="B97" s="23"/>
      <c r="C97" s="18" t="s">
        <v>34</v>
      </c>
      <c r="D97" s="24" t="s">
        <v>492</v>
      </c>
      <c r="E97" s="29" t="s">
        <v>493</v>
      </c>
      <c r="F97" s="21">
        <f t="shared" si="4"/>
        <v>5</v>
      </c>
      <c r="G97" s="21">
        <f t="shared" si="5"/>
        <v>15</v>
      </c>
    </row>
    <row r="98" customHeight="1" spans="1:8">
      <c r="A98" s="16">
        <v>47</v>
      </c>
      <c r="B98" s="17" t="str">
        <f>D99</f>
        <v>婺源 1</v>
      </c>
      <c r="C98" s="18" t="s">
        <v>364</v>
      </c>
      <c r="D98" s="19" t="s">
        <v>494</v>
      </c>
      <c r="E98" s="27" t="s">
        <v>495</v>
      </c>
      <c r="F98" s="21">
        <f t="shared" si="4"/>
        <v>8</v>
      </c>
      <c r="G98" s="21">
        <f t="shared" si="5"/>
        <v>61</v>
      </c>
      <c r="H98" s="14"/>
    </row>
    <row r="99" customHeight="1" spans="1:7">
      <c r="A99" s="22"/>
      <c r="B99" s="23"/>
      <c r="C99" s="18" t="s">
        <v>34</v>
      </c>
      <c r="D99" s="24" t="s">
        <v>496</v>
      </c>
      <c r="E99" s="29" t="s">
        <v>497</v>
      </c>
      <c r="F99" s="21">
        <f t="shared" si="4"/>
        <v>4</v>
      </c>
      <c r="G99" s="21">
        <f t="shared" si="5"/>
        <v>16</v>
      </c>
    </row>
    <row r="100" customHeight="1" spans="1:8">
      <c r="A100" s="16">
        <v>48</v>
      </c>
      <c r="B100" s="17" t="str">
        <f>D101</f>
        <v>埃及开罗 1</v>
      </c>
      <c r="C100" s="18" t="s">
        <v>364</v>
      </c>
      <c r="D100" s="19" t="s">
        <v>498</v>
      </c>
      <c r="E100" s="27" t="s">
        <v>499</v>
      </c>
      <c r="F100" s="21">
        <f t="shared" si="4"/>
        <v>14</v>
      </c>
      <c r="G100" s="21">
        <f t="shared" si="5"/>
        <v>203</v>
      </c>
      <c r="H100" s="14"/>
    </row>
    <row r="101" customHeight="1" spans="1:7">
      <c r="A101" s="22"/>
      <c r="B101" s="23"/>
      <c r="C101" s="18" t="s">
        <v>34</v>
      </c>
      <c r="D101" s="24" t="s">
        <v>500</v>
      </c>
      <c r="E101" s="29" t="s">
        <v>501</v>
      </c>
      <c r="F101" s="21">
        <f t="shared" si="4"/>
        <v>6</v>
      </c>
      <c r="G101" s="21">
        <f t="shared" si="5"/>
        <v>34</v>
      </c>
    </row>
    <row r="102" customHeight="1" spans="1:8">
      <c r="A102" s="16">
        <v>49</v>
      </c>
      <c r="B102" s="17" t="str">
        <f>D103</f>
        <v>四川绵阳：以山河为重器 1</v>
      </c>
      <c r="C102" s="18" t="s">
        <v>364</v>
      </c>
      <c r="D102" s="19" t="s">
        <v>502</v>
      </c>
      <c r="E102" s="27" t="s">
        <v>503</v>
      </c>
      <c r="F102" s="21">
        <f t="shared" si="4"/>
        <v>48</v>
      </c>
      <c r="G102" s="21">
        <f t="shared" si="5"/>
        <v>188</v>
      </c>
      <c r="H102" s="14"/>
    </row>
    <row r="103" customHeight="1" spans="1:7">
      <c r="A103" s="22"/>
      <c r="B103" s="23"/>
      <c r="C103" s="18" t="s">
        <v>34</v>
      </c>
      <c r="D103" s="24" t="s">
        <v>504</v>
      </c>
      <c r="E103" s="29" t="s">
        <v>505</v>
      </c>
      <c r="F103" s="21">
        <f t="shared" si="4"/>
        <v>13</v>
      </c>
      <c r="G103" s="21">
        <f t="shared" si="5"/>
        <v>41</v>
      </c>
    </row>
    <row r="104" customHeight="1" spans="1:8">
      <c r="A104" s="16">
        <v>50</v>
      </c>
      <c r="B104" s="17" t="str">
        <f>D105</f>
        <v>去南极很难吗 1</v>
      </c>
      <c r="C104" s="18" t="s">
        <v>364</v>
      </c>
      <c r="D104" s="19" t="s">
        <v>506</v>
      </c>
      <c r="E104" s="27" t="s">
        <v>507</v>
      </c>
      <c r="F104" s="21">
        <f t="shared" si="4"/>
        <v>41</v>
      </c>
      <c r="G104" s="21">
        <f t="shared" si="5"/>
        <v>96</v>
      </c>
      <c r="H104" s="14"/>
    </row>
    <row r="105" customHeight="1" spans="1:7">
      <c r="A105" s="22"/>
      <c r="B105" s="23"/>
      <c r="C105" s="18" t="s">
        <v>34</v>
      </c>
      <c r="D105" s="24" t="s">
        <v>508</v>
      </c>
      <c r="E105" s="29" t="s">
        <v>509</v>
      </c>
      <c r="F105" s="21">
        <f t="shared" si="4"/>
        <v>8</v>
      </c>
      <c r="G105" s="21">
        <f t="shared" si="5"/>
        <v>23</v>
      </c>
    </row>
    <row r="106" customHeight="1" spans="1:8">
      <c r="A106" s="16">
        <v>51</v>
      </c>
      <c r="B106" s="17" t="str">
        <f>D107</f>
        <v>快乐再出发·山海季 第8期</v>
      </c>
      <c r="C106" s="18" t="s">
        <v>364</v>
      </c>
      <c r="D106" s="19" t="s">
        <v>510</v>
      </c>
      <c r="E106" s="27" t="s">
        <v>511</v>
      </c>
      <c r="F106" s="21">
        <f t="shared" si="4"/>
        <v>39</v>
      </c>
      <c r="G106" s="21">
        <f t="shared" si="5"/>
        <v>86</v>
      </c>
      <c r="H106" s="14"/>
    </row>
    <row r="107" customHeight="1" spans="1:7">
      <c r="A107" s="22"/>
      <c r="B107" s="23"/>
      <c r="C107" s="18" t="s">
        <v>34</v>
      </c>
      <c r="D107" s="24" t="s">
        <v>512</v>
      </c>
      <c r="E107" s="29" t="s">
        <v>513</v>
      </c>
      <c r="F107" s="21">
        <f t="shared" si="4"/>
        <v>13</v>
      </c>
      <c r="G107" s="21">
        <f t="shared" si="5"/>
        <v>44</v>
      </c>
    </row>
    <row r="108" customHeight="1" spans="1:8">
      <c r="A108" s="16">
        <v>52</v>
      </c>
      <c r="B108" s="17" t="str">
        <f>D109</f>
        <v>快乐再出发·山海季 第7期</v>
      </c>
      <c r="C108" s="18" t="s">
        <v>364</v>
      </c>
      <c r="D108" s="19" t="s">
        <v>514</v>
      </c>
      <c r="E108" s="27" t="s">
        <v>511</v>
      </c>
      <c r="F108" s="21">
        <f t="shared" si="4"/>
        <v>39</v>
      </c>
      <c r="G108" s="21">
        <f t="shared" si="5"/>
        <v>86</v>
      </c>
      <c r="H108" s="14"/>
    </row>
    <row r="109" customHeight="1" spans="1:7">
      <c r="A109" s="22"/>
      <c r="B109" s="23"/>
      <c r="C109" s="18" t="s">
        <v>34</v>
      </c>
      <c r="D109" s="24" t="s">
        <v>515</v>
      </c>
      <c r="E109" s="29" t="s">
        <v>513</v>
      </c>
      <c r="F109" s="21">
        <f t="shared" si="4"/>
        <v>13</v>
      </c>
      <c r="G109" s="21">
        <f t="shared" si="5"/>
        <v>44</v>
      </c>
    </row>
    <row r="110" customHeight="1" spans="1:8">
      <c r="A110" s="16">
        <v>53</v>
      </c>
      <c r="B110" s="17" t="str">
        <f>D111</f>
        <v>快乐再出发·山海季 第6期</v>
      </c>
      <c r="C110" s="18" t="s">
        <v>364</v>
      </c>
      <c r="D110" s="19" t="s">
        <v>516</v>
      </c>
      <c r="E110" s="27" t="s">
        <v>511</v>
      </c>
      <c r="F110" s="21">
        <f t="shared" si="4"/>
        <v>39</v>
      </c>
      <c r="G110" s="21">
        <f t="shared" si="5"/>
        <v>86</v>
      </c>
      <c r="H110" s="14"/>
    </row>
    <row r="111" customHeight="1" spans="1:7">
      <c r="A111" s="22"/>
      <c r="B111" s="23"/>
      <c r="C111" s="18" t="s">
        <v>34</v>
      </c>
      <c r="D111" s="24" t="s">
        <v>517</v>
      </c>
      <c r="E111" s="29" t="s">
        <v>513</v>
      </c>
      <c r="F111" s="21">
        <f t="shared" si="4"/>
        <v>13</v>
      </c>
      <c r="G111" s="21">
        <f t="shared" si="5"/>
        <v>44</v>
      </c>
    </row>
    <row r="112" customHeight="1" spans="1:8">
      <c r="A112" s="16">
        <v>54</v>
      </c>
      <c r="B112" s="17" t="str">
        <f>D113</f>
        <v>澳门双行线 第二季 乘风逐浪</v>
      </c>
      <c r="C112" s="18" t="s">
        <v>364</v>
      </c>
      <c r="D112" s="33" t="s">
        <v>518</v>
      </c>
      <c r="E112" s="27" t="s">
        <v>519</v>
      </c>
      <c r="F112" s="21">
        <f t="shared" si="4"/>
        <v>50</v>
      </c>
      <c r="G112" s="21">
        <f t="shared" si="5"/>
        <v>103</v>
      </c>
      <c r="H112" s="14"/>
    </row>
    <row r="113" customHeight="1" spans="1:7">
      <c r="A113" s="22"/>
      <c r="B113" s="23"/>
      <c r="C113" s="18" t="s">
        <v>34</v>
      </c>
      <c r="D113" s="34" t="s">
        <v>520</v>
      </c>
      <c r="E113" s="29" t="s">
        <v>521</v>
      </c>
      <c r="F113" s="21">
        <f t="shared" ref="F113:F144" si="6">LEN(D113)</f>
        <v>14</v>
      </c>
      <c r="G113" s="21">
        <f t="shared" ref="G113:G144" si="7">LEN(E113)</f>
        <v>27</v>
      </c>
    </row>
    <row r="114" customHeight="1" spans="1:8">
      <c r="A114" s="16">
        <v>55</v>
      </c>
      <c r="B114" s="17" t="str">
        <f>D115</f>
        <v>澳门双行线 第二季 依依不舍</v>
      </c>
      <c r="C114" s="18" t="s">
        <v>364</v>
      </c>
      <c r="D114" s="33" t="s">
        <v>522</v>
      </c>
      <c r="E114" s="27" t="s">
        <v>519</v>
      </c>
      <c r="F114" s="21">
        <f t="shared" si="6"/>
        <v>44</v>
      </c>
      <c r="G114" s="21">
        <f t="shared" si="7"/>
        <v>103</v>
      </c>
      <c r="H114" s="35"/>
    </row>
    <row r="115" customHeight="1" spans="1:7">
      <c r="A115" s="22"/>
      <c r="B115" s="23"/>
      <c r="C115" s="18" t="s">
        <v>34</v>
      </c>
      <c r="D115" s="34" t="s">
        <v>523</v>
      </c>
      <c r="E115" s="29" t="s">
        <v>521</v>
      </c>
      <c r="F115" s="21">
        <f t="shared" si="6"/>
        <v>14</v>
      </c>
      <c r="G115" s="21">
        <f t="shared" si="7"/>
        <v>27</v>
      </c>
    </row>
    <row r="116" customHeight="1" spans="1:8">
      <c r="A116" s="16">
        <v>56</v>
      </c>
      <c r="B116" s="17" t="str">
        <f>D117</f>
        <v>人文名镇 2 江苏浏河</v>
      </c>
      <c r="C116" s="18" t="s">
        <v>364</v>
      </c>
      <c r="D116" s="33" t="s">
        <v>524</v>
      </c>
      <c r="E116" s="27" t="s">
        <v>525</v>
      </c>
      <c r="F116" s="21">
        <f t="shared" si="6"/>
        <v>55</v>
      </c>
      <c r="G116" s="21">
        <f t="shared" si="7"/>
        <v>204</v>
      </c>
      <c r="H116" s="35"/>
    </row>
    <row r="117" customHeight="1" spans="1:7">
      <c r="A117" s="22"/>
      <c r="B117" s="23"/>
      <c r="C117" s="18" t="s">
        <v>34</v>
      </c>
      <c r="D117" s="34" t="s">
        <v>526</v>
      </c>
      <c r="E117" s="29" t="s">
        <v>527</v>
      </c>
      <c r="F117" s="21">
        <f t="shared" si="6"/>
        <v>11</v>
      </c>
      <c r="G117" s="21">
        <f t="shared" si="7"/>
        <v>43</v>
      </c>
    </row>
    <row r="118" customHeight="1" spans="1:8">
      <c r="A118" s="16">
        <v>57</v>
      </c>
      <c r="B118" s="17" t="str">
        <f>D119</f>
        <v>人文名镇 1 浙江南浔</v>
      </c>
      <c r="C118" s="18" t="s">
        <v>364</v>
      </c>
      <c r="D118" s="33" t="s">
        <v>528</v>
      </c>
      <c r="E118" s="27" t="s">
        <v>525</v>
      </c>
      <c r="F118" s="21">
        <f t="shared" si="6"/>
        <v>57</v>
      </c>
      <c r="G118" s="21">
        <f t="shared" si="7"/>
        <v>204</v>
      </c>
      <c r="H118" s="35"/>
    </row>
    <row r="119" customHeight="1" spans="1:7">
      <c r="A119" s="22"/>
      <c r="B119" s="23"/>
      <c r="C119" s="18" t="s">
        <v>34</v>
      </c>
      <c r="D119" s="34" t="s">
        <v>529</v>
      </c>
      <c r="E119" s="29" t="s">
        <v>527</v>
      </c>
      <c r="F119" s="21">
        <f t="shared" si="6"/>
        <v>11</v>
      </c>
      <c r="G119" s="21">
        <f t="shared" si="7"/>
        <v>43</v>
      </c>
    </row>
    <row r="120" customHeight="1" spans="1:8">
      <c r="A120" s="16">
        <v>58</v>
      </c>
      <c r="B120" s="17" t="str">
        <f>D121</f>
        <v>传世古建 20250119</v>
      </c>
      <c r="C120" s="18" t="s">
        <v>364</v>
      </c>
      <c r="D120" s="33" t="s">
        <v>530</v>
      </c>
      <c r="E120" s="27" t="s">
        <v>531</v>
      </c>
      <c r="F120" s="21">
        <f t="shared" si="6"/>
        <v>43</v>
      </c>
      <c r="G120" s="21">
        <f t="shared" si="7"/>
        <v>158</v>
      </c>
      <c r="H120" s="35"/>
    </row>
    <row r="121" customHeight="1" spans="1:7">
      <c r="A121" s="22"/>
      <c r="B121" s="23"/>
      <c r="C121" s="18" t="s">
        <v>34</v>
      </c>
      <c r="D121" s="24" t="s">
        <v>532</v>
      </c>
      <c r="E121" s="29" t="s">
        <v>533</v>
      </c>
      <c r="F121" s="21">
        <f t="shared" si="6"/>
        <v>13</v>
      </c>
      <c r="G121" s="21">
        <f t="shared" si="7"/>
        <v>36</v>
      </c>
    </row>
    <row r="122" customHeight="1" spans="1:8">
      <c r="A122" s="16">
        <v>59</v>
      </c>
      <c r="B122" s="17" t="str">
        <f>D123</f>
        <v>漫游安达卢西亚 4</v>
      </c>
      <c r="C122" s="18" t="s">
        <v>364</v>
      </c>
      <c r="D122" s="19" t="s">
        <v>534</v>
      </c>
      <c r="E122" s="27" t="s">
        <v>535</v>
      </c>
      <c r="F122" s="21">
        <f t="shared" si="6"/>
        <v>25</v>
      </c>
      <c r="G122" s="21">
        <f t="shared" si="7"/>
        <v>77</v>
      </c>
      <c r="H122" s="35"/>
    </row>
    <row r="123" customHeight="1" spans="1:7">
      <c r="A123" s="22"/>
      <c r="B123" s="23"/>
      <c r="C123" s="18" t="s">
        <v>34</v>
      </c>
      <c r="D123" s="24" t="s">
        <v>536</v>
      </c>
      <c r="E123" s="29" t="s">
        <v>537</v>
      </c>
      <c r="F123" s="21">
        <f t="shared" si="6"/>
        <v>9</v>
      </c>
      <c r="G123" s="21">
        <f t="shared" si="7"/>
        <v>45</v>
      </c>
    </row>
    <row r="124" customHeight="1" spans="1:8">
      <c r="A124" s="16">
        <v>60</v>
      </c>
      <c r="B124" s="17" t="str">
        <f>D125</f>
        <v>漫游安达卢西亚 3</v>
      </c>
      <c r="C124" s="18" t="s">
        <v>364</v>
      </c>
      <c r="D124" s="19" t="s">
        <v>538</v>
      </c>
      <c r="E124" s="27" t="s">
        <v>535</v>
      </c>
      <c r="F124" s="21">
        <f t="shared" si="6"/>
        <v>25</v>
      </c>
      <c r="G124" s="21">
        <f t="shared" si="7"/>
        <v>77</v>
      </c>
      <c r="H124" s="14"/>
    </row>
    <row r="125" customHeight="1" spans="1:7">
      <c r="A125" s="22"/>
      <c r="B125" s="23"/>
      <c r="C125" s="18" t="s">
        <v>34</v>
      </c>
      <c r="D125" s="24" t="s">
        <v>539</v>
      </c>
      <c r="E125" s="29" t="s">
        <v>537</v>
      </c>
      <c r="F125" s="21">
        <f t="shared" si="6"/>
        <v>9</v>
      </c>
      <c r="G125" s="21">
        <f t="shared" si="7"/>
        <v>45</v>
      </c>
    </row>
    <row r="126" customHeight="1" spans="1:8">
      <c r="A126" s="16">
        <v>61</v>
      </c>
      <c r="B126" s="17" t="str">
        <f>D127</f>
        <v>加菲猫的幸福生活 20</v>
      </c>
      <c r="C126" s="18" t="s">
        <v>364</v>
      </c>
      <c r="D126" s="19" t="s">
        <v>540</v>
      </c>
      <c r="E126" s="27" t="s">
        <v>541</v>
      </c>
      <c r="F126" s="21">
        <f t="shared" si="6"/>
        <v>22</v>
      </c>
      <c r="G126" s="21">
        <f t="shared" si="7"/>
        <v>108</v>
      </c>
      <c r="H126" s="14"/>
    </row>
    <row r="127" customHeight="1" spans="1:7">
      <c r="A127" s="22"/>
      <c r="B127" s="23"/>
      <c r="C127" s="18" t="s">
        <v>34</v>
      </c>
      <c r="D127" s="24" t="s">
        <v>542</v>
      </c>
      <c r="E127" s="29" t="s">
        <v>543</v>
      </c>
      <c r="F127" s="21">
        <f t="shared" si="6"/>
        <v>11</v>
      </c>
      <c r="G127" s="21">
        <f t="shared" si="7"/>
        <v>35</v>
      </c>
    </row>
    <row r="128" customHeight="1" spans="1:8">
      <c r="A128" s="16">
        <v>62</v>
      </c>
      <c r="B128" s="17" t="str">
        <f>D129</f>
        <v>加菲猫的幸福生活 19</v>
      </c>
      <c r="C128" s="18" t="s">
        <v>364</v>
      </c>
      <c r="D128" s="19" t="s">
        <v>544</v>
      </c>
      <c r="E128" s="27" t="s">
        <v>541</v>
      </c>
      <c r="F128" s="21">
        <f t="shared" si="6"/>
        <v>22</v>
      </c>
      <c r="G128" s="21">
        <f t="shared" si="7"/>
        <v>108</v>
      </c>
      <c r="H128" s="14"/>
    </row>
    <row r="129" customHeight="1" spans="1:7">
      <c r="A129" s="22"/>
      <c r="B129" s="23"/>
      <c r="C129" s="18" t="s">
        <v>34</v>
      </c>
      <c r="D129" s="24" t="s">
        <v>545</v>
      </c>
      <c r="E129" s="29" t="s">
        <v>543</v>
      </c>
      <c r="F129" s="21">
        <f t="shared" si="6"/>
        <v>11</v>
      </c>
      <c r="G129" s="21">
        <f t="shared" si="7"/>
        <v>35</v>
      </c>
    </row>
    <row r="130" customHeight="1" spans="1:8">
      <c r="A130" s="16">
        <v>63</v>
      </c>
      <c r="B130" s="17" t="str">
        <f>D131</f>
        <v>如果历史是一群喵 第二季 春秋战国篇 4 威震东南</v>
      </c>
      <c r="C130" s="18" t="s">
        <v>364</v>
      </c>
      <c r="D130" s="19" t="s">
        <v>546</v>
      </c>
      <c r="E130" s="27" t="s">
        <v>547</v>
      </c>
      <c r="F130" s="21">
        <f t="shared" si="6"/>
        <v>127</v>
      </c>
      <c r="G130" s="21">
        <f t="shared" si="7"/>
        <v>136</v>
      </c>
      <c r="H130" s="14"/>
    </row>
    <row r="131" customHeight="1" spans="1:7">
      <c r="A131" s="22"/>
      <c r="B131" s="23"/>
      <c r="C131" s="18" t="s">
        <v>34</v>
      </c>
      <c r="D131" s="24" t="s">
        <v>548</v>
      </c>
      <c r="E131" s="29" t="s">
        <v>549</v>
      </c>
      <c r="F131" s="21">
        <f t="shared" si="6"/>
        <v>25</v>
      </c>
      <c r="G131" s="21">
        <f t="shared" si="7"/>
        <v>37</v>
      </c>
    </row>
    <row r="132" customHeight="1" spans="1:8">
      <c r="A132" s="16">
        <v>64</v>
      </c>
      <c r="B132" s="17" t="str">
        <f>D133</f>
        <v>如果历史是一群喵 第二季 春秋战国篇 3 一鸣惊人</v>
      </c>
      <c r="C132" s="18" t="s">
        <v>364</v>
      </c>
      <c r="D132" s="19" t="s">
        <v>550</v>
      </c>
      <c r="E132" s="27" t="s">
        <v>547</v>
      </c>
      <c r="F132" s="21">
        <f t="shared" si="6"/>
        <v>144</v>
      </c>
      <c r="G132" s="21">
        <f t="shared" si="7"/>
        <v>136</v>
      </c>
      <c r="H132" s="14"/>
    </row>
    <row r="133" customHeight="1" spans="1:7">
      <c r="A133" s="22"/>
      <c r="B133" s="23"/>
      <c r="C133" s="18" t="s">
        <v>34</v>
      </c>
      <c r="D133" s="24" t="s">
        <v>551</v>
      </c>
      <c r="E133" s="29" t="s">
        <v>549</v>
      </c>
      <c r="F133" s="21">
        <f t="shared" si="6"/>
        <v>25</v>
      </c>
      <c r="G133" s="21">
        <f t="shared" si="7"/>
        <v>37</v>
      </c>
    </row>
    <row r="134" customHeight="1" spans="1:8">
      <c r="A134" s="16">
        <v>65</v>
      </c>
      <c r="B134" s="17" t="str">
        <f>D135</f>
        <v>熊猫和高卢鸡 4</v>
      </c>
      <c r="C134" s="18" t="s">
        <v>364</v>
      </c>
      <c r="D134" s="19" t="s">
        <v>552</v>
      </c>
      <c r="E134" s="27" t="s">
        <v>553</v>
      </c>
      <c r="F134" s="21">
        <f t="shared" si="6"/>
        <v>34</v>
      </c>
      <c r="G134" s="21">
        <f t="shared" si="7"/>
        <v>94</v>
      </c>
      <c r="H134" s="35"/>
    </row>
    <row r="135" customHeight="1" spans="1:7">
      <c r="A135" s="22"/>
      <c r="B135" s="23"/>
      <c r="C135" s="18" t="s">
        <v>34</v>
      </c>
      <c r="D135" s="24" t="s">
        <v>554</v>
      </c>
      <c r="E135" s="29" t="s">
        <v>555</v>
      </c>
      <c r="F135" s="21">
        <f t="shared" si="6"/>
        <v>8</v>
      </c>
      <c r="G135" s="21">
        <f t="shared" si="7"/>
        <v>24</v>
      </c>
    </row>
    <row r="136" customHeight="1" spans="1:8">
      <c r="A136" s="16">
        <v>66</v>
      </c>
      <c r="B136" s="17" t="str">
        <f>D137</f>
        <v>熊猫和高卢鸡 3</v>
      </c>
      <c r="C136" s="18" t="s">
        <v>364</v>
      </c>
      <c r="D136" s="19" t="s">
        <v>556</v>
      </c>
      <c r="E136" s="27" t="s">
        <v>553</v>
      </c>
      <c r="F136" s="21">
        <f t="shared" si="6"/>
        <v>34</v>
      </c>
      <c r="G136" s="21">
        <f t="shared" si="7"/>
        <v>94</v>
      </c>
      <c r="H136" s="35"/>
    </row>
    <row r="137" customHeight="1" spans="1:7">
      <c r="A137" s="22"/>
      <c r="B137" s="23"/>
      <c r="C137" s="18" t="s">
        <v>34</v>
      </c>
      <c r="D137" s="24" t="s">
        <v>557</v>
      </c>
      <c r="E137" s="29" t="s">
        <v>555</v>
      </c>
      <c r="F137" s="21">
        <f t="shared" si="6"/>
        <v>8</v>
      </c>
      <c r="G137" s="21">
        <f t="shared" si="7"/>
        <v>24</v>
      </c>
    </row>
    <row r="138" customHeight="1" spans="1:8">
      <c r="A138" s="16">
        <v>67</v>
      </c>
      <c r="B138" s="17" t="str">
        <f>D139</f>
        <v>天才小鲁班 8</v>
      </c>
      <c r="C138" s="18" t="s">
        <v>364</v>
      </c>
      <c r="D138" s="19" t="s">
        <v>558</v>
      </c>
      <c r="E138" s="27" t="s">
        <v>559</v>
      </c>
      <c r="F138" s="21">
        <f t="shared" si="6"/>
        <v>21</v>
      </c>
      <c r="G138" s="21">
        <f t="shared" si="7"/>
        <v>339</v>
      </c>
      <c r="H138" s="14"/>
    </row>
    <row r="139" customHeight="1" spans="1:7">
      <c r="A139" s="22"/>
      <c r="B139" s="23"/>
      <c r="C139" s="18" t="s">
        <v>34</v>
      </c>
      <c r="D139" s="24" t="s">
        <v>560</v>
      </c>
      <c r="E139" s="29" t="s">
        <v>561</v>
      </c>
      <c r="F139" s="21">
        <f t="shared" si="6"/>
        <v>7</v>
      </c>
      <c r="G139" s="21">
        <f t="shared" si="7"/>
        <v>76</v>
      </c>
    </row>
    <row r="140" customHeight="1" spans="1:8">
      <c r="A140" s="16">
        <v>68</v>
      </c>
      <c r="B140" s="17" t="str">
        <f>D141</f>
        <v>天才小鲁班 7</v>
      </c>
      <c r="C140" s="18" t="s">
        <v>364</v>
      </c>
      <c r="D140" s="19" t="s">
        <v>562</v>
      </c>
      <c r="E140" s="27" t="s">
        <v>559</v>
      </c>
      <c r="F140" s="21">
        <f t="shared" si="6"/>
        <v>21</v>
      </c>
      <c r="G140" s="21">
        <f t="shared" si="7"/>
        <v>339</v>
      </c>
      <c r="H140" s="14"/>
    </row>
    <row r="141" customHeight="1" spans="1:7">
      <c r="A141" s="22"/>
      <c r="B141" s="23"/>
      <c r="C141" s="18" t="s">
        <v>34</v>
      </c>
      <c r="D141" s="24" t="s">
        <v>563</v>
      </c>
      <c r="E141" s="29" t="s">
        <v>561</v>
      </c>
      <c r="F141" s="21">
        <f t="shared" si="6"/>
        <v>7</v>
      </c>
      <c r="G141" s="21">
        <f t="shared" si="7"/>
        <v>76</v>
      </c>
    </row>
    <row r="142" customHeight="1" spans="1:8">
      <c r="A142" s="16">
        <v>69</v>
      </c>
      <c r="B142" s="17" t="str">
        <f>D143</f>
        <v>猪猪侠之恐龙日记 第七季 8</v>
      </c>
      <c r="C142" s="18" t="s">
        <v>364</v>
      </c>
      <c r="D142" s="19" t="s">
        <v>564</v>
      </c>
      <c r="E142" s="27" t="s">
        <v>565</v>
      </c>
      <c r="F142" s="21">
        <f t="shared" si="6"/>
        <v>30</v>
      </c>
      <c r="G142" s="21">
        <f t="shared" si="7"/>
        <v>154</v>
      </c>
      <c r="H142" s="14"/>
    </row>
    <row r="143" customHeight="1" spans="1:7">
      <c r="A143" s="22"/>
      <c r="B143" s="23"/>
      <c r="C143" s="18" t="s">
        <v>34</v>
      </c>
      <c r="D143" s="24" t="s">
        <v>566</v>
      </c>
      <c r="E143" s="29" t="s">
        <v>567</v>
      </c>
      <c r="F143" s="21">
        <f t="shared" si="6"/>
        <v>14</v>
      </c>
      <c r="G143" s="21">
        <f t="shared" si="7"/>
        <v>40</v>
      </c>
    </row>
    <row r="144" customHeight="1" spans="1:8">
      <c r="A144" s="16">
        <v>70</v>
      </c>
      <c r="B144" s="17" t="str">
        <f>D145</f>
        <v>猪猪侠之恐龙日记 第七季 7</v>
      </c>
      <c r="C144" s="18" t="s">
        <v>364</v>
      </c>
      <c r="D144" s="19" t="s">
        <v>568</v>
      </c>
      <c r="E144" s="27" t="s">
        <v>565</v>
      </c>
      <c r="F144" s="21">
        <f t="shared" si="6"/>
        <v>30</v>
      </c>
      <c r="G144" s="21">
        <f t="shared" si="7"/>
        <v>154</v>
      </c>
      <c r="H144" s="14"/>
    </row>
    <row r="145" customHeight="1" spans="1:7">
      <c r="A145" s="22"/>
      <c r="B145" s="23"/>
      <c r="C145" s="18" t="s">
        <v>34</v>
      </c>
      <c r="D145" s="24" t="s">
        <v>569</v>
      </c>
      <c r="E145" s="29" t="s">
        <v>567</v>
      </c>
      <c r="F145" s="21">
        <f t="shared" ref="F145:F176" si="8">LEN(D145)</f>
        <v>14</v>
      </c>
      <c r="G145" s="21">
        <f t="shared" ref="G145:G176" si="9">LEN(E145)</f>
        <v>40</v>
      </c>
    </row>
    <row r="146" customHeight="1" spans="1:8">
      <c r="A146" s="16">
        <v>71</v>
      </c>
      <c r="B146" s="17" t="str">
        <f>D147</f>
        <v>新西游历险记 8</v>
      </c>
      <c r="C146" s="18" t="s">
        <v>364</v>
      </c>
      <c r="D146" s="19" t="s">
        <v>570</v>
      </c>
      <c r="E146" s="27" t="s">
        <v>571</v>
      </c>
      <c r="F146" s="21">
        <f t="shared" si="8"/>
        <v>39</v>
      </c>
      <c r="G146" s="21">
        <f t="shared" si="9"/>
        <v>178</v>
      </c>
      <c r="H146" s="14"/>
    </row>
    <row r="147" customHeight="1" spans="1:7">
      <c r="A147" s="22"/>
      <c r="B147" s="23"/>
      <c r="C147" s="18" t="s">
        <v>34</v>
      </c>
      <c r="D147" s="24" t="s">
        <v>572</v>
      </c>
      <c r="E147" s="29" t="s">
        <v>573</v>
      </c>
      <c r="F147" s="21">
        <f t="shared" si="8"/>
        <v>8</v>
      </c>
      <c r="G147" s="21">
        <f t="shared" si="9"/>
        <v>39</v>
      </c>
    </row>
    <row r="148" customHeight="1" spans="1:8">
      <c r="A148" s="16">
        <v>72</v>
      </c>
      <c r="B148" s="17" t="str">
        <f>D149</f>
        <v>新西游历险记 7</v>
      </c>
      <c r="C148" s="18" t="s">
        <v>364</v>
      </c>
      <c r="D148" s="19" t="s">
        <v>574</v>
      </c>
      <c r="E148" s="27" t="s">
        <v>571</v>
      </c>
      <c r="F148" s="21">
        <f t="shared" si="8"/>
        <v>39</v>
      </c>
      <c r="G148" s="21">
        <f t="shared" si="9"/>
        <v>178</v>
      </c>
      <c r="H148" s="14"/>
    </row>
    <row r="149" customHeight="1" spans="1:7">
      <c r="A149" s="22"/>
      <c r="B149" s="23"/>
      <c r="C149" s="18" t="s">
        <v>34</v>
      </c>
      <c r="D149" s="24" t="s">
        <v>575</v>
      </c>
      <c r="E149" s="29" t="s">
        <v>573</v>
      </c>
      <c r="F149" s="21">
        <f t="shared" si="8"/>
        <v>8</v>
      </c>
      <c r="G149" s="21">
        <f t="shared" si="9"/>
        <v>39</v>
      </c>
    </row>
    <row r="150" customHeight="1" spans="1:8">
      <c r="A150" s="16">
        <v>73</v>
      </c>
      <c r="B150" s="17" t="str">
        <f>D151</f>
        <v>少年英雄小哪吒 10</v>
      </c>
      <c r="C150" s="18" t="s">
        <v>364</v>
      </c>
      <c r="D150" s="19" t="s">
        <v>576</v>
      </c>
      <c r="E150" s="27" t="s">
        <v>577</v>
      </c>
      <c r="F150" s="21">
        <f t="shared" si="8"/>
        <v>19</v>
      </c>
      <c r="G150" s="21">
        <f t="shared" si="9"/>
        <v>339</v>
      </c>
      <c r="H150" s="14"/>
    </row>
    <row r="151" customHeight="1" spans="1:7">
      <c r="A151" s="22"/>
      <c r="B151" s="23"/>
      <c r="C151" s="18" t="s">
        <v>34</v>
      </c>
      <c r="D151" s="24" t="s">
        <v>578</v>
      </c>
      <c r="E151" s="29" t="s">
        <v>579</v>
      </c>
      <c r="F151" s="21">
        <f t="shared" si="8"/>
        <v>10</v>
      </c>
      <c r="G151" s="21">
        <f t="shared" si="9"/>
        <v>71</v>
      </c>
    </row>
    <row r="152" customHeight="1" spans="1:8">
      <c r="A152" s="16">
        <v>74</v>
      </c>
      <c r="B152" s="17" t="str">
        <f>D153</f>
        <v>少年英雄小哪吒 9</v>
      </c>
      <c r="C152" s="18" t="s">
        <v>364</v>
      </c>
      <c r="D152" s="19" t="s">
        <v>580</v>
      </c>
      <c r="E152" s="27" t="s">
        <v>577</v>
      </c>
      <c r="F152" s="21">
        <f t="shared" si="8"/>
        <v>18</v>
      </c>
      <c r="G152" s="21">
        <f t="shared" si="9"/>
        <v>339</v>
      </c>
      <c r="H152" s="14"/>
    </row>
    <row r="153" customHeight="1" spans="1:7">
      <c r="A153" s="22"/>
      <c r="B153" s="23"/>
      <c r="C153" s="18" t="s">
        <v>34</v>
      </c>
      <c r="D153" s="24" t="s">
        <v>581</v>
      </c>
      <c r="E153" s="29" t="s">
        <v>579</v>
      </c>
      <c r="F153" s="21">
        <f t="shared" si="8"/>
        <v>9</v>
      </c>
      <c r="G153" s="21">
        <f t="shared" si="9"/>
        <v>71</v>
      </c>
    </row>
    <row r="154" customHeight="1" spans="1:8">
      <c r="A154" s="16">
        <v>75</v>
      </c>
      <c r="B154" s="17" t="str">
        <f>D155</f>
        <v>汉字故事 6</v>
      </c>
      <c r="C154" s="18" t="s">
        <v>364</v>
      </c>
      <c r="D154" s="19" t="s">
        <v>582</v>
      </c>
      <c r="E154" s="27" t="s">
        <v>583</v>
      </c>
      <c r="F154" s="21">
        <f t="shared" si="8"/>
        <v>33</v>
      </c>
      <c r="G154" s="21">
        <f t="shared" si="9"/>
        <v>197</v>
      </c>
      <c r="H154" s="14"/>
    </row>
    <row r="155" customHeight="1" spans="1:7">
      <c r="A155" s="22"/>
      <c r="B155" s="23"/>
      <c r="C155" s="18" t="s">
        <v>34</v>
      </c>
      <c r="D155" s="24" t="s">
        <v>584</v>
      </c>
      <c r="E155" s="36" t="s">
        <v>585</v>
      </c>
      <c r="F155" s="21">
        <f t="shared" si="8"/>
        <v>6</v>
      </c>
      <c r="G155" s="21">
        <f t="shared" si="9"/>
        <v>49</v>
      </c>
    </row>
    <row r="156" customHeight="1" spans="1:8">
      <c r="A156" s="16">
        <v>76</v>
      </c>
      <c r="B156" s="17" t="str">
        <f>D157</f>
        <v>汉字故事 5</v>
      </c>
      <c r="C156" s="18" t="s">
        <v>364</v>
      </c>
      <c r="D156" s="19" t="s">
        <v>586</v>
      </c>
      <c r="E156" s="27" t="s">
        <v>583</v>
      </c>
      <c r="F156" s="21">
        <f t="shared" si="8"/>
        <v>33</v>
      </c>
      <c r="G156" s="21">
        <f t="shared" si="9"/>
        <v>197</v>
      </c>
      <c r="H156" s="14"/>
    </row>
    <row r="157" customHeight="1" spans="1:7">
      <c r="A157" s="22"/>
      <c r="B157" s="23"/>
      <c r="C157" s="18" t="s">
        <v>34</v>
      </c>
      <c r="D157" s="24" t="s">
        <v>587</v>
      </c>
      <c r="E157" s="36" t="s">
        <v>585</v>
      </c>
      <c r="F157" s="21">
        <f t="shared" si="8"/>
        <v>6</v>
      </c>
      <c r="G157" s="21">
        <f t="shared" si="9"/>
        <v>49</v>
      </c>
    </row>
    <row r="158" customHeight="1" spans="1:8">
      <c r="A158" s="16">
        <v>77</v>
      </c>
      <c r="B158" s="17" t="str">
        <f>D159</f>
        <v>冰球旋风 第二季 8</v>
      </c>
      <c r="C158" s="18" t="s">
        <v>364</v>
      </c>
      <c r="D158" s="19" t="s">
        <v>588</v>
      </c>
      <c r="E158" s="27" t="s">
        <v>589</v>
      </c>
      <c r="F158" s="21">
        <f t="shared" si="8"/>
        <v>23</v>
      </c>
      <c r="G158" s="21">
        <f t="shared" si="9"/>
        <v>123</v>
      </c>
      <c r="H158" s="14"/>
    </row>
    <row r="159" customHeight="1" spans="1:7">
      <c r="A159" s="22"/>
      <c r="B159" s="23"/>
      <c r="C159" s="18" t="s">
        <v>34</v>
      </c>
      <c r="D159" s="24" t="s">
        <v>590</v>
      </c>
      <c r="E159" s="29" t="s">
        <v>591</v>
      </c>
      <c r="F159" s="21">
        <f t="shared" si="8"/>
        <v>10</v>
      </c>
      <c r="G159" s="21">
        <f t="shared" si="9"/>
        <v>39</v>
      </c>
    </row>
    <row r="160" customHeight="1" spans="1:8">
      <c r="A160" s="16">
        <v>78</v>
      </c>
      <c r="B160" s="17" t="str">
        <f>D161</f>
        <v>冰球旋风 第二季 7</v>
      </c>
      <c r="C160" s="18" t="s">
        <v>364</v>
      </c>
      <c r="D160" s="19" t="s">
        <v>592</v>
      </c>
      <c r="E160" s="27" t="s">
        <v>589</v>
      </c>
      <c r="F160" s="21">
        <f t="shared" si="8"/>
        <v>23</v>
      </c>
      <c r="G160" s="21">
        <f t="shared" si="9"/>
        <v>123</v>
      </c>
      <c r="H160" s="14"/>
    </row>
    <row r="161" customHeight="1" spans="1:7">
      <c r="A161" s="22"/>
      <c r="B161" s="23"/>
      <c r="C161" s="18" t="s">
        <v>34</v>
      </c>
      <c r="D161" s="24" t="s">
        <v>593</v>
      </c>
      <c r="E161" s="29" t="s">
        <v>591</v>
      </c>
      <c r="F161" s="21">
        <f t="shared" si="8"/>
        <v>10</v>
      </c>
      <c r="G161" s="21">
        <f t="shared" si="9"/>
        <v>39</v>
      </c>
    </row>
    <row r="162" customHeight="1" spans="1:8">
      <c r="A162" s="16">
        <v>79</v>
      </c>
      <c r="B162" s="17" t="str">
        <f>D163</f>
        <v>百变校巴 第十二季 8</v>
      </c>
      <c r="C162" s="18" t="s">
        <v>364</v>
      </c>
      <c r="D162" s="19" t="s">
        <v>594</v>
      </c>
      <c r="E162" s="27" t="s">
        <v>595</v>
      </c>
      <c r="F162" s="21">
        <f t="shared" si="8"/>
        <v>23</v>
      </c>
      <c r="G162" s="21">
        <f t="shared" si="9"/>
        <v>134</v>
      </c>
      <c r="H162" s="14"/>
    </row>
    <row r="163" customHeight="1" spans="1:7">
      <c r="A163" s="22"/>
      <c r="B163" s="23"/>
      <c r="C163" s="18" t="s">
        <v>34</v>
      </c>
      <c r="D163" s="24" t="s">
        <v>596</v>
      </c>
      <c r="E163" s="29" t="s">
        <v>597</v>
      </c>
      <c r="F163" s="21">
        <f t="shared" si="8"/>
        <v>11</v>
      </c>
      <c r="G163" s="21">
        <f t="shared" si="9"/>
        <v>37</v>
      </c>
    </row>
    <row r="164" customHeight="1" spans="1:8">
      <c r="A164" s="16">
        <v>80</v>
      </c>
      <c r="B164" s="17" t="str">
        <f>D165</f>
        <v>百变校巴 第十二季 7</v>
      </c>
      <c r="C164" s="18" t="s">
        <v>364</v>
      </c>
      <c r="D164" s="19" t="s">
        <v>598</v>
      </c>
      <c r="E164" s="27" t="s">
        <v>595</v>
      </c>
      <c r="F164" s="21">
        <f t="shared" si="8"/>
        <v>23</v>
      </c>
      <c r="G164" s="21">
        <f t="shared" si="9"/>
        <v>134</v>
      </c>
      <c r="H164" s="14"/>
    </row>
    <row r="165" customHeight="1" spans="1:7">
      <c r="A165" s="22"/>
      <c r="B165" s="23"/>
      <c r="C165" s="18" t="s">
        <v>34</v>
      </c>
      <c r="D165" s="24" t="s">
        <v>599</v>
      </c>
      <c r="E165" s="29" t="s">
        <v>597</v>
      </c>
      <c r="F165" s="21">
        <f t="shared" si="8"/>
        <v>11</v>
      </c>
      <c r="G165" s="21">
        <f t="shared" si="9"/>
        <v>37</v>
      </c>
    </row>
    <row r="166" customHeight="1" spans="1:8">
      <c r="A166" s="16">
        <v>81</v>
      </c>
      <c r="B166" s="17" t="str">
        <f>D167</f>
        <v>熊出没 怪兽计划2（19-20）</v>
      </c>
      <c r="C166" s="18" t="s">
        <v>364</v>
      </c>
      <c r="D166" s="33" t="s">
        <v>600</v>
      </c>
      <c r="E166" s="27" t="s">
        <v>601</v>
      </c>
      <c r="F166" s="21">
        <f t="shared" si="8"/>
        <v>38</v>
      </c>
      <c r="G166" s="21">
        <f t="shared" si="9"/>
        <v>166</v>
      </c>
      <c r="H166" s="14"/>
    </row>
    <row r="167" customHeight="1" spans="1:7">
      <c r="A167" s="22"/>
      <c r="B167" s="23"/>
      <c r="C167" s="18" t="s">
        <v>34</v>
      </c>
      <c r="D167" s="24" t="s">
        <v>602</v>
      </c>
      <c r="E167" s="29" t="s">
        <v>603</v>
      </c>
      <c r="F167" s="21">
        <f t="shared" si="8"/>
        <v>16</v>
      </c>
      <c r="G167" s="21">
        <f t="shared" si="9"/>
        <v>42</v>
      </c>
    </row>
    <row r="168" customHeight="1" spans="1:8">
      <c r="A168" s="16">
        <v>82</v>
      </c>
      <c r="B168" s="17" t="str">
        <f>D169</f>
        <v>山海传奇 18</v>
      </c>
      <c r="C168" s="18" t="s">
        <v>364</v>
      </c>
      <c r="D168" s="33" t="s">
        <v>604</v>
      </c>
      <c r="E168" s="27" t="s">
        <v>605</v>
      </c>
      <c r="F168" s="21">
        <f t="shared" si="8"/>
        <v>32</v>
      </c>
      <c r="G168" s="21">
        <f t="shared" si="9"/>
        <v>314</v>
      </c>
      <c r="H168" s="14"/>
    </row>
    <row r="169" customHeight="1" spans="1:7">
      <c r="A169" s="22"/>
      <c r="B169" s="23"/>
      <c r="C169" s="18" t="s">
        <v>34</v>
      </c>
      <c r="D169" s="24" t="s">
        <v>606</v>
      </c>
      <c r="E169" s="29" t="s">
        <v>607</v>
      </c>
      <c r="F169" s="21">
        <f t="shared" si="8"/>
        <v>7</v>
      </c>
      <c r="G169" s="21">
        <f t="shared" si="9"/>
        <v>60</v>
      </c>
    </row>
    <row r="170" customHeight="1" spans="1:8">
      <c r="A170" s="16">
        <v>83</v>
      </c>
      <c r="B170" s="17" t="str">
        <f>D171</f>
        <v>山海传奇 17</v>
      </c>
      <c r="C170" s="18" t="s">
        <v>364</v>
      </c>
      <c r="D170" s="33" t="s">
        <v>608</v>
      </c>
      <c r="E170" s="27" t="s">
        <v>605</v>
      </c>
      <c r="F170" s="21">
        <f t="shared" si="8"/>
        <v>32</v>
      </c>
      <c r="G170" s="21">
        <f t="shared" si="9"/>
        <v>314</v>
      </c>
      <c r="H170" s="14"/>
    </row>
    <row r="171" customHeight="1" spans="1:7">
      <c r="A171" s="22"/>
      <c r="B171" s="23"/>
      <c r="C171" s="18" t="s">
        <v>34</v>
      </c>
      <c r="D171" s="24" t="s">
        <v>609</v>
      </c>
      <c r="E171" s="29" t="s">
        <v>607</v>
      </c>
      <c r="F171" s="21">
        <f t="shared" si="8"/>
        <v>7</v>
      </c>
      <c r="G171" s="21">
        <f t="shared" si="9"/>
        <v>60</v>
      </c>
    </row>
    <row r="172" customHeight="1" spans="1:8">
      <c r="A172" s="16">
        <v>84</v>
      </c>
      <c r="B172" s="17" t="str">
        <f>D173</f>
        <v>寻味安徽 2</v>
      </c>
      <c r="C172" s="18" t="s">
        <v>364</v>
      </c>
      <c r="D172" s="19" t="s">
        <v>610</v>
      </c>
      <c r="E172" s="27" t="s">
        <v>611</v>
      </c>
      <c r="F172" s="21">
        <f t="shared" si="8"/>
        <v>19</v>
      </c>
      <c r="G172" s="21">
        <f t="shared" si="9"/>
        <v>85</v>
      </c>
      <c r="H172" s="14"/>
    </row>
    <row r="173" customHeight="1" spans="1:7">
      <c r="A173" s="22"/>
      <c r="B173" s="23"/>
      <c r="C173" s="18" t="s">
        <v>34</v>
      </c>
      <c r="D173" s="24" t="s">
        <v>612</v>
      </c>
      <c r="E173" s="29" t="s">
        <v>613</v>
      </c>
      <c r="F173" s="21">
        <f t="shared" si="8"/>
        <v>6</v>
      </c>
      <c r="G173" s="21">
        <f t="shared" si="9"/>
        <v>30</v>
      </c>
    </row>
    <row r="174" customHeight="1" spans="1:8">
      <c r="A174" s="16">
        <v>85</v>
      </c>
      <c r="B174" s="17" t="str">
        <f>D175</f>
        <v>傲椒的湘菜 1 一粉解湘愁（下）</v>
      </c>
      <c r="C174" s="18" t="s">
        <v>364</v>
      </c>
      <c r="D174" s="19" t="s">
        <v>614</v>
      </c>
      <c r="E174" s="27" t="s">
        <v>615</v>
      </c>
      <c r="F174" s="21">
        <f t="shared" si="8"/>
        <v>51</v>
      </c>
      <c r="G174" s="21">
        <f t="shared" si="9"/>
        <v>76</v>
      </c>
      <c r="H174" s="14"/>
    </row>
    <row r="175" customHeight="1" spans="1:7">
      <c r="A175" s="22"/>
      <c r="B175" s="23"/>
      <c r="C175" s="18" t="s">
        <v>34</v>
      </c>
      <c r="D175" s="24" t="s">
        <v>616</v>
      </c>
      <c r="E175" s="29" t="s">
        <v>617</v>
      </c>
      <c r="F175" s="21">
        <f t="shared" si="8"/>
        <v>16</v>
      </c>
      <c r="G175" s="21">
        <f t="shared" si="9"/>
        <v>25</v>
      </c>
    </row>
    <row r="176" customHeight="1" spans="1:8">
      <c r="A176" s="16">
        <v>86</v>
      </c>
      <c r="B176" s="17" t="str">
        <f>D177</f>
        <v>傲椒的湘菜 1 一粉解湘愁（上）</v>
      </c>
      <c r="C176" s="18" t="s">
        <v>364</v>
      </c>
      <c r="D176" s="19" t="s">
        <v>618</v>
      </c>
      <c r="E176" s="27" t="s">
        <v>615</v>
      </c>
      <c r="F176" s="21">
        <f t="shared" si="8"/>
        <v>51</v>
      </c>
      <c r="G176" s="21">
        <f t="shared" si="9"/>
        <v>76</v>
      </c>
      <c r="H176" s="14"/>
    </row>
    <row r="177" customHeight="1" spans="1:7">
      <c r="A177" s="22"/>
      <c r="B177" s="23"/>
      <c r="C177" s="18" t="s">
        <v>34</v>
      </c>
      <c r="D177" s="24" t="s">
        <v>619</v>
      </c>
      <c r="E177" s="37" t="s">
        <v>617</v>
      </c>
      <c r="F177" s="21">
        <f t="shared" ref="F177:F221" si="10">LEN(D177)</f>
        <v>16</v>
      </c>
      <c r="G177" s="21">
        <f t="shared" ref="G177:G221" si="11">LEN(E177)</f>
        <v>25</v>
      </c>
    </row>
    <row r="178" customHeight="1" spans="1:8">
      <c r="A178" s="16">
        <v>87</v>
      </c>
      <c r="B178" s="17" t="str">
        <f>D179</f>
        <v>欢迎到营地来 2</v>
      </c>
      <c r="C178" s="18" t="s">
        <v>364</v>
      </c>
      <c r="D178" s="19" t="s">
        <v>620</v>
      </c>
      <c r="E178" s="27" t="s">
        <v>621</v>
      </c>
      <c r="F178" s="21">
        <f t="shared" si="10"/>
        <v>20</v>
      </c>
      <c r="G178" s="21">
        <f t="shared" si="11"/>
        <v>66</v>
      </c>
      <c r="H178" s="14"/>
    </row>
    <row r="179" customHeight="1" spans="1:7">
      <c r="A179" s="22"/>
      <c r="B179" s="23"/>
      <c r="C179" s="18" t="s">
        <v>34</v>
      </c>
      <c r="D179" s="24" t="s">
        <v>622</v>
      </c>
      <c r="E179" s="29" t="s">
        <v>623</v>
      </c>
      <c r="F179" s="21">
        <f t="shared" si="10"/>
        <v>8</v>
      </c>
      <c r="G179" s="21">
        <f t="shared" si="11"/>
        <v>40</v>
      </c>
    </row>
    <row r="180" customHeight="1" spans="1:8">
      <c r="A180" s="16">
        <v>88</v>
      </c>
      <c r="B180" s="17" t="str">
        <f>D181</f>
        <v>冀味儿 第三季 运河风味 2 烟火邢襄</v>
      </c>
      <c r="C180" s="18" t="s">
        <v>364</v>
      </c>
      <c r="D180" s="19" t="s">
        <v>624</v>
      </c>
      <c r="E180" s="27" t="s">
        <v>625</v>
      </c>
      <c r="F180" s="21">
        <f t="shared" si="10"/>
        <v>71</v>
      </c>
      <c r="G180" s="21">
        <f t="shared" si="11"/>
        <v>212</v>
      </c>
      <c r="H180" s="14"/>
    </row>
    <row r="181" customHeight="1" spans="1:7">
      <c r="A181" s="22"/>
      <c r="B181" s="23"/>
      <c r="C181" s="18" t="s">
        <v>34</v>
      </c>
      <c r="D181" s="24" t="s">
        <v>626</v>
      </c>
      <c r="E181" s="29" t="s">
        <v>627</v>
      </c>
      <c r="F181" s="21">
        <f t="shared" si="10"/>
        <v>19</v>
      </c>
      <c r="G181" s="21">
        <f t="shared" si="11"/>
        <v>48</v>
      </c>
    </row>
    <row r="182" customHeight="1" spans="1:8">
      <c r="A182" s="16">
        <v>89</v>
      </c>
      <c r="B182" s="17" t="str">
        <f>D183</f>
        <v>冀味儿 第三季 运河风味 1 邯山沃野</v>
      </c>
      <c r="C182" s="18" t="s">
        <v>364</v>
      </c>
      <c r="D182" s="19" t="s">
        <v>628</v>
      </c>
      <c r="E182" s="27" t="s">
        <v>625</v>
      </c>
      <c r="F182" s="21">
        <f t="shared" si="10"/>
        <v>107</v>
      </c>
      <c r="G182" s="21">
        <f t="shared" si="11"/>
        <v>212</v>
      </c>
      <c r="H182" s="14"/>
    </row>
    <row r="183" customHeight="1" spans="1:7">
      <c r="A183" s="22"/>
      <c r="B183" s="23"/>
      <c r="C183" s="18" t="s">
        <v>34</v>
      </c>
      <c r="D183" s="24" t="s">
        <v>629</v>
      </c>
      <c r="E183" s="29" t="s">
        <v>627</v>
      </c>
      <c r="F183" s="21">
        <f t="shared" si="10"/>
        <v>19</v>
      </c>
      <c r="G183" s="21">
        <f t="shared" si="11"/>
        <v>48</v>
      </c>
    </row>
    <row r="184" customHeight="1" spans="1:8">
      <c r="A184" s="16">
        <v>90</v>
      </c>
      <c r="B184" s="17" t="str">
        <f>D185</f>
        <v>农耕探文明 7 甘肃皋兰 什川古梨园</v>
      </c>
      <c r="C184" s="18" t="s">
        <v>364</v>
      </c>
      <c r="D184" s="19" t="s">
        <v>630</v>
      </c>
      <c r="E184" s="27" t="s">
        <v>631</v>
      </c>
      <c r="F184" s="21">
        <f t="shared" si="10"/>
        <v>78</v>
      </c>
      <c r="G184" s="21">
        <f t="shared" si="11"/>
        <v>551</v>
      </c>
      <c r="H184" s="14"/>
    </row>
    <row r="185" customHeight="1" spans="1:7">
      <c r="A185" s="22"/>
      <c r="B185" s="23"/>
      <c r="C185" s="18" t="s">
        <v>34</v>
      </c>
      <c r="D185" s="24" t="s">
        <v>632</v>
      </c>
      <c r="E185" s="29" t="s">
        <v>633</v>
      </c>
      <c r="F185" s="21">
        <f t="shared" si="10"/>
        <v>18</v>
      </c>
      <c r="G185" s="21">
        <f t="shared" si="11"/>
        <v>121</v>
      </c>
    </row>
    <row r="186" customHeight="1" spans="1:8">
      <c r="A186" s="16">
        <v>91</v>
      </c>
      <c r="B186" s="17" t="str">
        <f>D187</f>
        <v>巅峰食刻—中法厨王竞技 脍炙豚香</v>
      </c>
      <c r="C186" s="18" t="s">
        <v>364</v>
      </c>
      <c r="D186" s="19" t="s">
        <v>634</v>
      </c>
      <c r="E186" s="27" t="s">
        <v>635</v>
      </c>
      <c r="F186" s="21">
        <f t="shared" si="10"/>
        <v>94</v>
      </c>
      <c r="G186" s="21">
        <f t="shared" si="11"/>
        <v>59</v>
      </c>
      <c r="H186" s="14"/>
    </row>
    <row r="187" customHeight="1" spans="1:7">
      <c r="A187" s="22"/>
      <c r="B187" s="23"/>
      <c r="C187" s="18" t="s">
        <v>34</v>
      </c>
      <c r="D187" s="24" t="s">
        <v>636</v>
      </c>
      <c r="E187" s="29" t="s">
        <v>637</v>
      </c>
      <c r="F187" s="21">
        <f t="shared" si="10"/>
        <v>16</v>
      </c>
      <c r="G187" s="21">
        <f t="shared" si="11"/>
        <v>16</v>
      </c>
    </row>
    <row r="188" customHeight="1" spans="1:8">
      <c r="A188" s="16">
        <v>92</v>
      </c>
      <c r="B188" s="17" t="str">
        <f>D189</f>
        <v>三餐四季 第二季 江西篇</v>
      </c>
      <c r="C188" s="18" t="s">
        <v>364</v>
      </c>
      <c r="D188" s="19" t="s">
        <v>638</v>
      </c>
      <c r="E188" s="27" t="s">
        <v>639</v>
      </c>
      <c r="F188" s="21">
        <f t="shared" si="10"/>
        <v>48</v>
      </c>
      <c r="G188" s="21">
        <f t="shared" si="11"/>
        <v>137</v>
      </c>
      <c r="H188" s="14"/>
    </row>
    <row r="189" customHeight="1" spans="1:7">
      <c r="A189" s="22"/>
      <c r="B189" s="23"/>
      <c r="C189" s="18" t="s">
        <v>34</v>
      </c>
      <c r="D189" s="24" t="s">
        <v>640</v>
      </c>
      <c r="E189" s="29" t="s">
        <v>641</v>
      </c>
      <c r="F189" s="21">
        <f t="shared" si="10"/>
        <v>12</v>
      </c>
      <c r="G189" s="21">
        <f t="shared" si="11"/>
        <v>43</v>
      </c>
    </row>
    <row r="190" customHeight="1" spans="1:8">
      <c r="A190" s="16">
        <v>93</v>
      </c>
      <c r="B190" s="17" t="str">
        <f>D191</f>
        <v>三餐四季 第二季 福建篇</v>
      </c>
      <c r="C190" s="18" t="s">
        <v>364</v>
      </c>
      <c r="D190" s="19" t="s">
        <v>642</v>
      </c>
      <c r="E190" s="27" t="s">
        <v>639</v>
      </c>
      <c r="F190" s="21">
        <f t="shared" si="10"/>
        <v>47</v>
      </c>
      <c r="G190" s="21">
        <f t="shared" si="11"/>
        <v>137</v>
      </c>
      <c r="H190" s="14"/>
    </row>
    <row r="191" customHeight="1" spans="1:7">
      <c r="A191" s="22"/>
      <c r="B191" s="23"/>
      <c r="C191" s="18" t="s">
        <v>34</v>
      </c>
      <c r="D191" s="24" t="s">
        <v>643</v>
      </c>
      <c r="E191" s="29" t="s">
        <v>641</v>
      </c>
      <c r="F191" s="21">
        <f t="shared" si="10"/>
        <v>12</v>
      </c>
      <c r="G191" s="21">
        <f t="shared" si="11"/>
        <v>43</v>
      </c>
    </row>
    <row r="192" customHeight="1" spans="1:8">
      <c r="A192" s="16">
        <v>94</v>
      </c>
      <c r="B192" s="17" t="str">
        <f>D193</f>
        <v>山水间的家 第三季 20241110</v>
      </c>
      <c r="C192" s="18" t="s">
        <v>364</v>
      </c>
      <c r="D192" s="19" t="s">
        <v>644</v>
      </c>
      <c r="E192" s="27" t="s">
        <v>645</v>
      </c>
      <c r="F192" s="21">
        <f t="shared" si="10"/>
        <v>51</v>
      </c>
      <c r="G192" s="21">
        <f t="shared" si="11"/>
        <v>226</v>
      </c>
      <c r="H192" s="14"/>
    </row>
    <row r="193" customHeight="1" spans="1:7">
      <c r="A193" s="22"/>
      <c r="B193" s="23"/>
      <c r="C193" s="18" t="s">
        <v>34</v>
      </c>
      <c r="D193" s="24" t="s">
        <v>646</v>
      </c>
      <c r="E193" s="29" t="s">
        <v>647</v>
      </c>
      <c r="F193" s="21">
        <f t="shared" si="10"/>
        <v>18</v>
      </c>
      <c r="G193" s="21">
        <f t="shared" si="11"/>
        <v>43</v>
      </c>
    </row>
    <row r="194" customHeight="1" spans="1:8">
      <c r="A194" s="16">
        <v>95</v>
      </c>
      <c r="B194" s="17" t="str">
        <f>D195</f>
        <v>决战外卖之巅 1 双拼汉堡</v>
      </c>
      <c r="C194" s="18" t="s">
        <v>364</v>
      </c>
      <c r="D194" s="19" t="s">
        <v>648</v>
      </c>
      <c r="E194" s="27" t="s">
        <v>649</v>
      </c>
      <c r="F194" s="21">
        <f t="shared" si="10"/>
        <v>34</v>
      </c>
      <c r="G194" s="21">
        <f t="shared" si="11"/>
        <v>86</v>
      </c>
      <c r="H194" s="14"/>
    </row>
    <row r="195" customHeight="1" spans="1:7">
      <c r="A195" s="22"/>
      <c r="B195" s="23"/>
      <c r="C195" s="18" t="s">
        <v>34</v>
      </c>
      <c r="D195" s="24" t="s">
        <v>650</v>
      </c>
      <c r="E195" s="29" t="s">
        <v>651</v>
      </c>
      <c r="F195" s="21">
        <f t="shared" si="10"/>
        <v>13</v>
      </c>
      <c r="G195" s="21">
        <f t="shared" si="11"/>
        <v>24</v>
      </c>
    </row>
    <row r="196" customHeight="1" spans="1:8">
      <c r="A196" s="16">
        <v>96</v>
      </c>
      <c r="B196" s="17" t="str">
        <f>D197</f>
        <v>居家断舍离 第四季 4</v>
      </c>
      <c r="C196" s="18" t="s">
        <v>364</v>
      </c>
      <c r="D196" s="19" t="s">
        <v>652</v>
      </c>
      <c r="E196" s="27" t="s">
        <v>653</v>
      </c>
      <c r="F196" s="21">
        <f t="shared" si="10"/>
        <v>25</v>
      </c>
      <c r="G196" s="21">
        <f t="shared" si="11"/>
        <v>79</v>
      </c>
      <c r="H196" s="14"/>
    </row>
    <row r="197" customHeight="1" spans="1:7">
      <c r="A197" s="22"/>
      <c r="B197" s="23"/>
      <c r="C197" s="18" t="s">
        <v>34</v>
      </c>
      <c r="D197" s="24" t="s">
        <v>654</v>
      </c>
      <c r="E197" s="29" t="s">
        <v>655</v>
      </c>
      <c r="F197" s="21">
        <f t="shared" si="10"/>
        <v>11</v>
      </c>
      <c r="G197" s="21">
        <f t="shared" si="11"/>
        <v>87</v>
      </c>
    </row>
    <row r="198" customHeight="1" spans="1:8">
      <c r="A198" s="16">
        <v>97</v>
      </c>
      <c r="B198" s="17" t="str">
        <f>D199</f>
        <v>居家断舍离 第四季 3</v>
      </c>
      <c r="C198" s="18" t="s">
        <v>364</v>
      </c>
      <c r="D198" s="19" t="s">
        <v>656</v>
      </c>
      <c r="E198" s="27" t="s">
        <v>653</v>
      </c>
      <c r="F198" s="21">
        <f t="shared" si="10"/>
        <v>25</v>
      </c>
      <c r="G198" s="21">
        <f t="shared" si="11"/>
        <v>79</v>
      </c>
      <c r="H198" s="14"/>
    </row>
    <row r="199" customHeight="1" spans="1:7">
      <c r="A199" s="22"/>
      <c r="B199" s="23"/>
      <c r="C199" s="18" t="s">
        <v>34</v>
      </c>
      <c r="D199" s="24" t="s">
        <v>657</v>
      </c>
      <c r="E199" s="29" t="s">
        <v>655</v>
      </c>
      <c r="F199" s="21">
        <f t="shared" si="10"/>
        <v>11</v>
      </c>
      <c r="G199" s="21">
        <f t="shared" si="11"/>
        <v>87</v>
      </c>
    </row>
    <row r="200" customHeight="1" spans="1:8">
      <c r="A200" s="16">
        <v>98</v>
      </c>
      <c r="B200" s="17" t="str">
        <f>D201</f>
        <v>网球 ATP迈阿密站决赛：门希克VS德约科维奇</v>
      </c>
      <c r="C200" s="18" t="s">
        <v>364</v>
      </c>
      <c r="D200" s="19" t="s">
        <v>658</v>
      </c>
      <c r="E200" s="38" t="s">
        <v>659</v>
      </c>
      <c r="F200" s="21">
        <f t="shared" si="10"/>
        <v>59</v>
      </c>
      <c r="G200" s="21">
        <f t="shared" si="11"/>
        <v>42</v>
      </c>
      <c r="H200" s="14"/>
    </row>
    <row r="201" customHeight="1" spans="1:7">
      <c r="A201" s="22"/>
      <c r="B201" s="23"/>
      <c r="C201" s="18" t="s">
        <v>34</v>
      </c>
      <c r="D201" s="24" t="s">
        <v>660</v>
      </c>
      <c r="E201" s="29" t="s">
        <v>661</v>
      </c>
      <c r="F201" s="21">
        <f t="shared" si="10"/>
        <v>23</v>
      </c>
      <c r="G201" s="21">
        <f t="shared" si="11"/>
        <v>14</v>
      </c>
    </row>
    <row r="202" customHeight="1" spans="1:8">
      <c r="A202" s="16">
        <v>99</v>
      </c>
      <c r="B202" s="17" t="str">
        <f>D203</f>
        <v>台球 斯诺克世锦赛决赛：威廉姆斯VS赵心童</v>
      </c>
      <c r="C202" s="18" t="s">
        <v>364</v>
      </c>
      <c r="D202" s="19" t="s">
        <v>662</v>
      </c>
      <c r="E202" s="27" t="s">
        <v>663</v>
      </c>
      <c r="F202" s="21">
        <f t="shared" si="10"/>
        <v>73</v>
      </c>
      <c r="G202" s="21">
        <f t="shared" si="11"/>
        <v>121</v>
      </c>
      <c r="H202" s="14"/>
    </row>
    <row r="203" customHeight="1" spans="1:7">
      <c r="A203" s="22"/>
      <c r="B203" s="23"/>
      <c r="C203" s="18" t="s">
        <v>34</v>
      </c>
      <c r="D203" s="24" t="s">
        <v>664</v>
      </c>
      <c r="E203" s="29" t="s">
        <v>665</v>
      </c>
      <c r="F203" s="21">
        <f t="shared" si="10"/>
        <v>21</v>
      </c>
      <c r="G203" s="21">
        <f t="shared" si="11"/>
        <v>33</v>
      </c>
    </row>
    <row r="204" customHeight="1" spans="1:8">
      <c r="A204" s="16">
        <v>100</v>
      </c>
      <c r="B204" s="17" t="str">
        <f>D205</f>
        <v>天下足球 十大世界波双响</v>
      </c>
      <c r="C204" s="18" t="s">
        <v>364</v>
      </c>
      <c r="D204" s="19" t="s">
        <v>666</v>
      </c>
      <c r="E204" s="27" t="s">
        <v>667</v>
      </c>
      <c r="F204" s="21">
        <f t="shared" si="10"/>
        <v>44</v>
      </c>
      <c r="G204" s="21">
        <f t="shared" si="11"/>
        <v>84</v>
      </c>
      <c r="H204" s="14"/>
    </row>
    <row r="205" customHeight="1" spans="1:7">
      <c r="A205" s="22"/>
      <c r="B205" s="23"/>
      <c r="C205" s="18" t="s">
        <v>34</v>
      </c>
      <c r="D205" s="24" t="s">
        <v>668</v>
      </c>
      <c r="E205" s="29" t="s">
        <v>669</v>
      </c>
      <c r="F205" s="21">
        <f t="shared" si="10"/>
        <v>12</v>
      </c>
      <c r="G205" s="21">
        <f t="shared" si="11"/>
        <v>22</v>
      </c>
    </row>
    <row r="206" customHeight="1" spans="1:8">
      <c r="A206" s="16">
        <v>101</v>
      </c>
      <c r="B206" s="17" t="str">
        <f>D207</f>
        <v>篮球公园 对话—郭艾伦</v>
      </c>
      <c r="C206" s="18" t="s">
        <v>364</v>
      </c>
      <c r="D206" s="19" t="s">
        <v>670</v>
      </c>
      <c r="E206" s="27" t="s">
        <v>671</v>
      </c>
      <c r="F206" s="21">
        <f t="shared" si="10"/>
        <v>41</v>
      </c>
      <c r="G206" s="21">
        <f t="shared" si="11"/>
        <v>108</v>
      </c>
      <c r="H206" s="14"/>
    </row>
    <row r="207" customHeight="1" spans="1:7">
      <c r="A207" s="22"/>
      <c r="B207" s="23"/>
      <c r="C207" s="18" t="s">
        <v>34</v>
      </c>
      <c r="D207" s="24" t="s">
        <v>672</v>
      </c>
      <c r="E207" s="29" t="s">
        <v>673</v>
      </c>
      <c r="F207" s="21">
        <f t="shared" si="10"/>
        <v>11</v>
      </c>
      <c r="G207" s="21">
        <f t="shared" si="11"/>
        <v>35</v>
      </c>
    </row>
    <row r="208" customHeight="1" spans="1:8">
      <c r="A208" s="16">
        <v>102</v>
      </c>
      <c r="B208" s="17" t="str">
        <f>D209</f>
        <v>体坛进化论 2</v>
      </c>
      <c r="C208" s="18" t="s">
        <v>364</v>
      </c>
      <c r="D208" s="19" t="s">
        <v>674</v>
      </c>
      <c r="E208" s="27" t="s">
        <v>675</v>
      </c>
      <c r="F208" s="21">
        <f t="shared" si="10"/>
        <v>27</v>
      </c>
      <c r="G208" s="21">
        <f t="shared" si="11"/>
        <v>174</v>
      </c>
      <c r="H208" s="14"/>
    </row>
    <row r="209" customHeight="1" spans="1:7">
      <c r="A209" s="22"/>
      <c r="B209" s="23"/>
      <c r="C209" s="18" t="s">
        <v>34</v>
      </c>
      <c r="D209" s="24" t="s">
        <v>676</v>
      </c>
      <c r="E209" s="29" t="s">
        <v>677</v>
      </c>
      <c r="F209" s="21">
        <f t="shared" si="10"/>
        <v>7</v>
      </c>
      <c r="G209" s="21">
        <f t="shared" si="11"/>
        <v>46</v>
      </c>
    </row>
    <row r="210" customHeight="1" spans="1:8">
      <c r="A210" s="16">
        <v>103</v>
      </c>
      <c r="B210" s="17" t="str">
        <f>D211</f>
        <v>极速内幕 2</v>
      </c>
      <c r="C210" s="18" t="s">
        <v>364</v>
      </c>
      <c r="D210" s="19" t="s">
        <v>678</v>
      </c>
      <c r="E210" s="27" t="s">
        <v>679</v>
      </c>
      <c r="F210" s="21">
        <f t="shared" si="10"/>
        <v>18</v>
      </c>
      <c r="G210" s="21">
        <f t="shared" si="11"/>
        <v>193</v>
      </c>
      <c r="H210" s="14"/>
    </row>
    <row r="211" customHeight="1" spans="1:7">
      <c r="A211" s="22"/>
      <c r="B211" s="23"/>
      <c r="C211" s="18" t="s">
        <v>34</v>
      </c>
      <c r="D211" s="24" t="s">
        <v>680</v>
      </c>
      <c r="E211" s="29" t="s">
        <v>681</v>
      </c>
      <c r="F211" s="21">
        <f t="shared" si="10"/>
        <v>6</v>
      </c>
      <c r="G211" s="21">
        <f t="shared" si="11"/>
        <v>39</v>
      </c>
    </row>
    <row r="212" customHeight="1" spans="1:8">
      <c r="A212" s="16">
        <v>104</v>
      </c>
      <c r="B212" s="17" t="str">
        <f>D213</f>
        <v>国际篮联赛事集锦 9</v>
      </c>
      <c r="C212" s="18" t="s">
        <v>364</v>
      </c>
      <c r="D212" s="19" t="s">
        <v>682</v>
      </c>
      <c r="E212" s="27" t="s">
        <v>683</v>
      </c>
      <c r="F212" s="21">
        <f t="shared" si="10"/>
        <v>26</v>
      </c>
      <c r="G212" s="21">
        <f t="shared" si="11"/>
        <v>82</v>
      </c>
      <c r="H212" s="14"/>
    </row>
    <row r="213" customHeight="1" spans="1:7">
      <c r="A213" s="22"/>
      <c r="B213" s="23"/>
      <c r="C213" s="18" t="s">
        <v>34</v>
      </c>
      <c r="D213" s="24" t="s">
        <v>684</v>
      </c>
      <c r="E213" s="29" t="s">
        <v>685</v>
      </c>
      <c r="F213" s="21">
        <f t="shared" si="10"/>
        <v>10</v>
      </c>
      <c r="G213" s="21">
        <f t="shared" si="11"/>
        <v>29</v>
      </c>
    </row>
    <row r="214" customHeight="1" spans="1:8">
      <c r="A214" s="16">
        <v>105</v>
      </c>
      <c r="B214" s="17" t="str">
        <f>D215</f>
        <v>名侦探的假期 6</v>
      </c>
      <c r="C214" s="18" t="s">
        <v>364</v>
      </c>
      <c r="D214" s="19" t="s">
        <v>686</v>
      </c>
      <c r="E214" s="27" t="s">
        <v>687</v>
      </c>
      <c r="F214" s="21">
        <f t="shared" si="10"/>
        <v>24</v>
      </c>
      <c r="G214" s="21">
        <f t="shared" si="11"/>
        <v>66</v>
      </c>
      <c r="H214" s="14"/>
    </row>
    <row r="215" customHeight="1" spans="1:7">
      <c r="A215" s="22"/>
      <c r="B215" s="23"/>
      <c r="C215" s="18" t="s">
        <v>34</v>
      </c>
      <c r="D215" s="24" t="s">
        <v>688</v>
      </c>
      <c r="E215" s="29" t="s">
        <v>689</v>
      </c>
      <c r="F215" s="21">
        <f t="shared" si="10"/>
        <v>8</v>
      </c>
      <c r="G215" s="21">
        <f t="shared" si="11"/>
        <v>39</v>
      </c>
    </row>
    <row r="216" customHeight="1" spans="1:8">
      <c r="A216" s="16">
        <v>106</v>
      </c>
      <c r="B216" s="17" t="str">
        <f>D217</f>
        <v>名侦探的假期 5</v>
      </c>
      <c r="C216" s="18" t="s">
        <v>364</v>
      </c>
      <c r="D216" s="19" t="s">
        <v>690</v>
      </c>
      <c r="E216" s="27" t="s">
        <v>687</v>
      </c>
      <c r="F216" s="21">
        <f t="shared" si="10"/>
        <v>24</v>
      </c>
      <c r="G216" s="21">
        <f t="shared" si="11"/>
        <v>66</v>
      </c>
      <c r="H216" s="14"/>
    </row>
    <row r="217" customHeight="1" spans="1:7">
      <c r="A217" s="22"/>
      <c r="B217" s="23"/>
      <c r="C217" s="18" t="s">
        <v>34</v>
      </c>
      <c r="D217" s="24" t="s">
        <v>691</v>
      </c>
      <c r="E217" s="29" t="s">
        <v>689</v>
      </c>
      <c r="F217" s="21">
        <f t="shared" si="10"/>
        <v>8</v>
      </c>
      <c r="G217" s="21">
        <f t="shared" si="11"/>
        <v>39</v>
      </c>
    </row>
    <row r="218" customHeight="1" spans="1:8">
      <c r="A218" s="16">
        <v>107</v>
      </c>
      <c r="B218" s="17" t="str">
        <f>D219</f>
        <v>名侦探的假期 4</v>
      </c>
      <c r="C218" s="18" t="s">
        <v>364</v>
      </c>
      <c r="D218" s="19" t="s">
        <v>692</v>
      </c>
      <c r="E218" s="27" t="s">
        <v>687</v>
      </c>
      <c r="F218" s="21">
        <f t="shared" si="10"/>
        <v>24</v>
      </c>
      <c r="G218" s="21">
        <f t="shared" si="11"/>
        <v>66</v>
      </c>
      <c r="H218" s="14"/>
    </row>
    <row r="219" customHeight="1" spans="1:7">
      <c r="A219" s="22"/>
      <c r="B219" s="23"/>
      <c r="C219" s="18" t="s">
        <v>34</v>
      </c>
      <c r="D219" s="24" t="s">
        <v>693</v>
      </c>
      <c r="E219" s="29" t="s">
        <v>689</v>
      </c>
      <c r="F219" s="21">
        <f t="shared" si="10"/>
        <v>8</v>
      </c>
      <c r="G219" s="21">
        <f t="shared" si="11"/>
        <v>39</v>
      </c>
    </row>
    <row r="220" customHeight="1" spans="1:8">
      <c r="A220" s="16">
        <v>108</v>
      </c>
      <c r="B220" s="17" t="str">
        <f>D221</f>
        <v>名侦探的假期 3</v>
      </c>
      <c r="C220" s="18" t="s">
        <v>364</v>
      </c>
      <c r="D220" s="19" t="s">
        <v>694</v>
      </c>
      <c r="E220" s="27" t="s">
        <v>687</v>
      </c>
      <c r="F220" s="21">
        <f t="shared" si="10"/>
        <v>24</v>
      </c>
      <c r="G220" s="21">
        <f t="shared" si="11"/>
        <v>66</v>
      </c>
      <c r="H220" s="35"/>
    </row>
    <row r="221" customHeight="1" spans="1:7">
      <c r="A221" s="22"/>
      <c r="B221" s="23"/>
      <c r="C221" s="18" t="s">
        <v>34</v>
      </c>
      <c r="D221" s="24" t="s">
        <v>695</v>
      </c>
      <c r="E221" s="29" t="s">
        <v>689</v>
      </c>
      <c r="F221" s="21">
        <f t="shared" si="10"/>
        <v>8</v>
      </c>
      <c r="G221" s="21">
        <f t="shared" si="11"/>
        <v>39</v>
      </c>
    </row>
    <row r="222" customHeight="1" spans="1:8">
      <c r="A222" s="16">
        <v>109</v>
      </c>
      <c r="B222" s="17" t="str">
        <f>D223</f>
        <v>喜剧之王单口季 8</v>
      </c>
      <c r="C222" s="18" t="s">
        <v>364</v>
      </c>
      <c r="D222" s="19" t="s">
        <v>696</v>
      </c>
      <c r="E222" s="27" t="s">
        <v>697</v>
      </c>
      <c r="F222" s="21">
        <f t="shared" ref="F222:F253" si="12">LEN(D222)</f>
        <v>19</v>
      </c>
      <c r="G222" s="21">
        <f t="shared" ref="G222:G253" si="13">LEN(E222)</f>
        <v>67</v>
      </c>
      <c r="H222" s="35"/>
    </row>
    <row r="223" customHeight="1" spans="1:7">
      <c r="A223" s="22"/>
      <c r="B223" s="23"/>
      <c r="C223" s="18" t="s">
        <v>34</v>
      </c>
      <c r="D223" s="24" t="s">
        <v>698</v>
      </c>
      <c r="E223" s="29" t="s">
        <v>699</v>
      </c>
      <c r="F223" s="21">
        <f t="shared" si="12"/>
        <v>9</v>
      </c>
      <c r="G223" s="21">
        <f t="shared" si="13"/>
        <v>47</v>
      </c>
    </row>
    <row r="224" customHeight="1" spans="1:8">
      <c r="A224" s="16">
        <v>110</v>
      </c>
      <c r="B224" s="17" t="str">
        <f>D225</f>
        <v>喜剧之王单口季 7</v>
      </c>
      <c r="C224" s="18" t="s">
        <v>364</v>
      </c>
      <c r="D224" s="19" t="s">
        <v>700</v>
      </c>
      <c r="E224" s="27" t="s">
        <v>697</v>
      </c>
      <c r="F224" s="21">
        <f t="shared" si="12"/>
        <v>19</v>
      </c>
      <c r="G224" s="21">
        <f t="shared" si="13"/>
        <v>67</v>
      </c>
      <c r="H224" s="35"/>
    </row>
    <row r="225" customHeight="1" spans="1:7">
      <c r="A225" s="22"/>
      <c r="B225" s="23"/>
      <c r="C225" s="18" t="s">
        <v>34</v>
      </c>
      <c r="D225" s="24" t="s">
        <v>701</v>
      </c>
      <c r="E225" s="29" t="s">
        <v>699</v>
      </c>
      <c r="F225" s="21">
        <f t="shared" si="12"/>
        <v>9</v>
      </c>
      <c r="G225" s="21">
        <f t="shared" si="13"/>
        <v>47</v>
      </c>
    </row>
    <row r="226" customHeight="1" spans="1:8">
      <c r="A226" s="16">
        <v>111</v>
      </c>
      <c r="B226" s="17" t="str">
        <f>D227</f>
        <v>一年一度喜剧大赛 第一季 16</v>
      </c>
      <c r="C226" s="18" t="s">
        <v>364</v>
      </c>
      <c r="D226" s="19" t="s">
        <v>702</v>
      </c>
      <c r="E226" s="27" t="s">
        <v>703</v>
      </c>
      <c r="F226" s="21">
        <f t="shared" si="12"/>
        <v>24</v>
      </c>
      <c r="G226" s="21">
        <f t="shared" si="13"/>
        <v>29</v>
      </c>
      <c r="H226" s="35"/>
    </row>
    <row r="227" customHeight="1" spans="1:7">
      <c r="A227" s="22"/>
      <c r="B227" s="23"/>
      <c r="C227" s="18" t="s">
        <v>34</v>
      </c>
      <c r="D227" s="24" t="s">
        <v>704</v>
      </c>
      <c r="E227" s="29" t="s">
        <v>705</v>
      </c>
      <c r="F227" s="21">
        <f t="shared" si="12"/>
        <v>15</v>
      </c>
      <c r="G227" s="21">
        <f t="shared" si="13"/>
        <v>9</v>
      </c>
    </row>
    <row r="228" customHeight="1" spans="1:8">
      <c r="A228" s="16">
        <v>112</v>
      </c>
      <c r="B228" s="17" t="str">
        <f>D229</f>
        <v>一年一度喜剧大赛 第一季 15</v>
      </c>
      <c r="C228" s="18" t="s">
        <v>364</v>
      </c>
      <c r="D228" s="19" t="s">
        <v>706</v>
      </c>
      <c r="E228" s="27" t="s">
        <v>703</v>
      </c>
      <c r="F228" s="21">
        <f t="shared" si="12"/>
        <v>24</v>
      </c>
      <c r="G228" s="21">
        <f t="shared" si="13"/>
        <v>29</v>
      </c>
      <c r="H228" s="35"/>
    </row>
    <row r="229" customHeight="1" spans="1:7">
      <c r="A229" s="22"/>
      <c r="B229" s="23"/>
      <c r="C229" s="18" t="s">
        <v>34</v>
      </c>
      <c r="D229" s="24" t="s">
        <v>707</v>
      </c>
      <c r="E229" s="29" t="s">
        <v>705</v>
      </c>
      <c r="F229" s="21">
        <f t="shared" si="12"/>
        <v>15</v>
      </c>
      <c r="G229" s="21">
        <f t="shared" si="13"/>
        <v>9</v>
      </c>
    </row>
    <row r="230" customHeight="1" spans="1:8">
      <c r="A230" s="16">
        <v>113</v>
      </c>
      <c r="B230" s="17" t="str">
        <f>D231</f>
        <v>开门大吉 20250414</v>
      </c>
      <c r="C230" s="18" t="s">
        <v>364</v>
      </c>
      <c r="D230" s="19" t="s">
        <v>708</v>
      </c>
      <c r="E230" s="27" t="s">
        <v>709</v>
      </c>
      <c r="F230" s="21">
        <f t="shared" si="12"/>
        <v>35</v>
      </c>
      <c r="G230" s="21">
        <f t="shared" si="13"/>
        <v>228</v>
      </c>
      <c r="H230" s="35"/>
    </row>
    <row r="231" customHeight="1" spans="1:7">
      <c r="A231" s="22"/>
      <c r="B231" s="23"/>
      <c r="C231" s="18" t="s">
        <v>34</v>
      </c>
      <c r="D231" s="24" t="s">
        <v>710</v>
      </c>
      <c r="E231" s="29" t="s">
        <v>711</v>
      </c>
      <c r="F231" s="21">
        <f t="shared" si="12"/>
        <v>13</v>
      </c>
      <c r="G231" s="21">
        <f t="shared" si="13"/>
        <v>58</v>
      </c>
    </row>
    <row r="232" customHeight="1" spans="1:8">
      <c r="A232" s="16">
        <v>114</v>
      </c>
      <c r="B232" s="17" t="str">
        <f>D233</f>
        <v>背叛者（英版）第二季 12</v>
      </c>
      <c r="C232" s="18" t="s">
        <v>364</v>
      </c>
      <c r="D232" s="19" t="s">
        <v>712</v>
      </c>
      <c r="E232" s="27" t="s">
        <v>713</v>
      </c>
      <c r="F232" s="21">
        <f t="shared" si="12"/>
        <v>23</v>
      </c>
      <c r="G232" s="21">
        <f t="shared" si="13"/>
        <v>79</v>
      </c>
      <c r="H232" s="35"/>
    </row>
    <row r="233" customHeight="1" spans="1:7">
      <c r="A233" s="22"/>
      <c r="B233" s="23"/>
      <c r="C233" s="18" t="s">
        <v>34</v>
      </c>
      <c r="D233" s="24" t="s">
        <v>714</v>
      </c>
      <c r="E233" s="29" t="s">
        <v>715</v>
      </c>
      <c r="F233" s="21">
        <f t="shared" si="12"/>
        <v>13</v>
      </c>
      <c r="G233" s="21">
        <f t="shared" si="13"/>
        <v>50</v>
      </c>
    </row>
    <row r="234" customHeight="1" spans="1:8">
      <c r="A234" s="16">
        <v>115</v>
      </c>
      <c r="B234" s="17" t="str">
        <f>D235</f>
        <v>背叛者（英版）第二季 11</v>
      </c>
      <c r="C234" s="18" t="s">
        <v>364</v>
      </c>
      <c r="D234" s="19" t="s">
        <v>716</v>
      </c>
      <c r="E234" s="27" t="s">
        <v>713</v>
      </c>
      <c r="F234" s="21">
        <f t="shared" si="12"/>
        <v>23</v>
      </c>
      <c r="G234" s="21">
        <f t="shared" si="13"/>
        <v>79</v>
      </c>
      <c r="H234" s="35"/>
    </row>
    <row r="235" customHeight="1" spans="1:7">
      <c r="A235" s="22"/>
      <c r="B235" s="23"/>
      <c r="C235" s="18" t="s">
        <v>34</v>
      </c>
      <c r="D235" s="24" t="s">
        <v>717</v>
      </c>
      <c r="E235" s="29" t="s">
        <v>715</v>
      </c>
      <c r="F235" s="21">
        <f t="shared" si="12"/>
        <v>13</v>
      </c>
      <c r="G235" s="21">
        <f t="shared" si="13"/>
        <v>50</v>
      </c>
    </row>
    <row r="236" customHeight="1" spans="1:8">
      <c r="A236" s="16">
        <v>116</v>
      </c>
      <c r="B236" s="17" t="str">
        <f>D237</f>
        <v>背叛者（英版）第二季 10</v>
      </c>
      <c r="C236" s="18" t="s">
        <v>364</v>
      </c>
      <c r="D236" s="19" t="s">
        <v>718</v>
      </c>
      <c r="E236" s="27" t="s">
        <v>713</v>
      </c>
      <c r="F236" s="21">
        <f t="shared" si="12"/>
        <v>23</v>
      </c>
      <c r="G236" s="21">
        <f t="shared" si="13"/>
        <v>79</v>
      </c>
      <c r="H236" s="35"/>
    </row>
    <row r="237" customHeight="1" spans="1:7">
      <c r="A237" s="22"/>
      <c r="B237" s="23"/>
      <c r="C237" s="18" t="s">
        <v>34</v>
      </c>
      <c r="D237" s="24" t="s">
        <v>719</v>
      </c>
      <c r="E237" s="29" t="s">
        <v>715</v>
      </c>
      <c r="F237" s="21">
        <f t="shared" si="12"/>
        <v>13</v>
      </c>
      <c r="G237" s="21">
        <f t="shared" si="13"/>
        <v>50</v>
      </c>
    </row>
    <row r="238" customHeight="1" spans="1:8">
      <c r="A238" s="16">
        <v>117</v>
      </c>
      <c r="B238" s="17" t="str">
        <f>D239</f>
        <v>背叛者（英版）第二季 9</v>
      </c>
      <c r="C238" s="18" t="s">
        <v>364</v>
      </c>
      <c r="D238" s="19" t="s">
        <v>720</v>
      </c>
      <c r="E238" s="27" t="s">
        <v>713</v>
      </c>
      <c r="F238" s="21">
        <f t="shared" si="12"/>
        <v>23</v>
      </c>
      <c r="G238" s="21">
        <f t="shared" si="13"/>
        <v>79</v>
      </c>
      <c r="H238" s="35"/>
    </row>
    <row r="239" customHeight="1" spans="1:7">
      <c r="A239" s="22"/>
      <c r="B239" s="23"/>
      <c r="C239" s="18" t="s">
        <v>34</v>
      </c>
      <c r="D239" s="24" t="s">
        <v>721</v>
      </c>
      <c r="E239" s="29" t="s">
        <v>715</v>
      </c>
      <c r="F239" s="21">
        <f t="shared" si="12"/>
        <v>12</v>
      </c>
      <c r="G239" s="21">
        <f t="shared" si="13"/>
        <v>50</v>
      </c>
    </row>
    <row r="240" customHeight="1" spans="1:8">
      <c r="A240" s="16">
        <v>118</v>
      </c>
      <c r="B240" s="17" t="str">
        <f>D241</f>
        <v>时光音乐会 第二季 8</v>
      </c>
      <c r="C240" s="18" t="s">
        <v>364</v>
      </c>
      <c r="D240" s="19" t="s">
        <v>722</v>
      </c>
      <c r="E240" s="27" t="s">
        <v>723</v>
      </c>
      <c r="F240" s="21">
        <f t="shared" si="12"/>
        <v>19</v>
      </c>
      <c r="G240" s="21">
        <f t="shared" si="13"/>
        <v>86</v>
      </c>
      <c r="H240" s="35"/>
    </row>
    <row r="241" customHeight="1" spans="1:7">
      <c r="A241" s="22"/>
      <c r="B241" s="23"/>
      <c r="C241" s="18" t="s">
        <v>34</v>
      </c>
      <c r="D241" s="24" t="s">
        <v>724</v>
      </c>
      <c r="E241" s="29" t="s">
        <v>725</v>
      </c>
      <c r="F241" s="21">
        <f t="shared" si="12"/>
        <v>11</v>
      </c>
      <c r="G241" s="21">
        <f t="shared" si="13"/>
        <v>39</v>
      </c>
    </row>
    <row r="242" customHeight="1" spans="1:8">
      <c r="A242" s="16">
        <v>119</v>
      </c>
      <c r="B242" s="17" t="str">
        <f>D243</f>
        <v>时光音乐会 第二季 7</v>
      </c>
      <c r="C242" s="18" t="s">
        <v>364</v>
      </c>
      <c r="D242" s="19" t="s">
        <v>726</v>
      </c>
      <c r="E242" s="27" t="s">
        <v>723</v>
      </c>
      <c r="F242" s="21">
        <f t="shared" si="12"/>
        <v>19</v>
      </c>
      <c r="G242" s="21">
        <f t="shared" si="13"/>
        <v>86</v>
      </c>
      <c r="H242" s="35"/>
    </row>
    <row r="243" customHeight="1" spans="1:7">
      <c r="A243" s="22"/>
      <c r="B243" s="23"/>
      <c r="C243" s="18" t="s">
        <v>34</v>
      </c>
      <c r="D243" s="24" t="s">
        <v>727</v>
      </c>
      <c r="E243" s="29" t="s">
        <v>725</v>
      </c>
      <c r="F243" s="21">
        <f t="shared" si="12"/>
        <v>11</v>
      </c>
      <c r="G243" s="21">
        <f t="shared" si="13"/>
        <v>39</v>
      </c>
    </row>
    <row r="244" customHeight="1" spans="1:8">
      <c r="A244" s="16">
        <v>120</v>
      </c>
      <c r="B244" s="17" t="str">
        <f>D245</f>
        <v>时光音乐会 第二季 6</v>
      </c>
      <c r="C244" s="18" t="s">
        <v>364</v>
      </c>
      <c r="D244" s="19" t="s">
        <v>728</v>
      </c>
      <c r="E244" s="27" t="s">
        <v>723</v>
      </c>
      <c r="F244" s="21">
        <f t="shared" si="12"/>
        <v>19</v>
      </c>
      <c r="G244" s="21">
        <f t="shared" si="13"/>
        <v>86</v>
      </c>
      <c r="H244" s="35"/>
    </row>
    <row r="245" customHeight="1" spans="1:7">
      <c r="A245" s="22"/>
      <c r="B245" s="23"/>
      <c r="C245" s="18" t="s">
        <v>34</v>
      </c>
      <c r="D245" s="24" t="s">
        <v>729</v>
      </c>
      <c r="E245" s="29" t="s">
        <v>725</v>
      </c>
      <c r="F245" s="21">
        <f t="shared" si="12"/>
        <v>11</v>
      </c>
      <c r="G245" s="21">
        <f t="shared" si="13"/>
        <v>39</v>
      </c>
    </row>
    <row r="246" customHeight="1" spans="1:8">
      <c r="A246" s="16">
        <v>121</v>
      </c>
      <c r="B246" s="17" t="str">
        <f>D247</f>
        <v>时光音乐会 第二季 5</v>
      </c>
      <c r="C246" s="18" t="s">
        <v>364</v>
      </c>
      <c r="D246" s="19" t="s">
        <v>730</v>
      </c>
      <c r="E246" s="27" t="s">
        <v>723</v>
      </c>
      <c r="F246" s="21">
        <f t="shared" si="12"/>
        <v>19</v>
      </c>
      <c r="G246" s="21">
        <f t="shared" si="13"/>
        <v>86</v>
      </c>
      <c r="H246" s="35"/>
    </row>
    <row r="247" customHeight="1" spans="1:7">
      <c r="A247" s="22"/>
      <c r="B247" s="23"/>
      <c r="C247" s="18" t="s">
        <v>34</v>
      </c>
      <c r="D247" s="24" t="s">
        <v>731</v>
      </c>
      <c r="E247" s="29" t="s">
        <v>725</v>
      </c>
      <c r="F247" s="21">
        <f t="shared" si="12"/>
        <v>11</v>
      </c>
      <c r="G247" s="21">
        <f t="shared" si="13"/>
        <v>39</v>
      </c>
    </row>
    <row r="248" customHeight="1" spans="1:8">
      <c r="A248" s="16">
        <v>122</v>
      </c>
      <c r="B248" s="17" t="str">
        <f>D249</f>
        <v>时光音乐会 第二季 4</v>
      </c>
      <c r="C248" s="18" t="s">
        <v>364</v>
      </c>
      <c r="D248" s="19" t="s">
        <v>732</v>
      </c>
      <c r="E248" s="27" t="s">
        <v>723</v>
      </c>
      <c r="F248" s="21">
        <f t="shared" si="12"/>
        <v>19</v>
      </c>
      <c r="G248" s="21">
        <f t="shared" si="13"/>
        <v>86</v>
      </c>
      <c r="H248" s="35"/>
    </row>
    <row r="249" customHeight="1" spans="1:7">
      <c r="A249" s="22"/>
      <c r="B249" s="23"/>
      <c r="C249" s="18" t="s">
        <v>34</v>
      </c>
      <c r="D249" s="24" t="s">
        <v>733</v>
      </c>
      <c r="E249" s="29" t="s">
        <v>725</v>
      </c>
      <c r="F249" s="21">
        <f t="shared" si="12"/>
        <v>11</v>
      </c>
      <c r="G249" s="21">
        <f t="shared" si="13"/>
        <v>39</v>
      </c>
    </row>
    <row r="250" customHeight="1" spans="1:8">
      <c r="A250" s="16">
        <v>123</v>
      </c>
      <c r="B250" s="17" t="str">
        <f>D251</f>
        <v>弦歌中华 2</v>
      </c>
      <c r="C250" s="18" t="s">
        <v>364</v>
      </c>
      <c r="D250" s="33" t="s">
        <v>734</v>
      </c>
      <c r="E250" s="27" t="s">
        <v>735</v>
      </c>
      <c r="F250" s="21">
        <f t="shared" si="12"/>
        <v>32</v>
      </c>
      <c r="G250" s="21">
        <f t="shared" si="13"/>
        <v>94</v>
      </c>
      <c r="H250" s="35"/>
    </row>
    <row r="251" customHeight="1" spans="1:7">
      <c r="A251" s="22"/>
      <c r="B251" s="23"/>
      <c r="C251" s="18" t="s">
        <v>34</v>
      </c>
      <c r="D251" s="24" t="s">
        <v>736</v>
      </c>
      <c r="E251" s="29" t="s">
        <v>737</v>
      </c>
      <c r="F251" s="21">
        <f t="shared" si="12"/>
        <v>6</v>
      </c>
      <c r="G251" s="21">
        <f t="shared" si="13"/>
        <v>22</v>
      </c>
    </row>
    <row r="252" customHeight="1" spans="1:8">
      <c r="A252" s="16">
        <v>124</v>
      </c>
      <c r="B252" s="17" t="str">
        <f>D253</f>
        <v>民歌中国 纯享版 20250518</v>
      </c>
      <c r="C252" s="18" t="s">
        <v>364</v>
      </c>
      <c r="D252" s="33" t="s">
        <v>738</v>
      </c>
      <c r="E252" s="27" t="s">
        <v>739</v>
      </c>
      <c r="F252" s="21">
        <f t="shared" si="12"/>
        <v>53</v>
      </c>
      <c r="G252" s="21">
        <f t="shared" si="13"/>
        <v>174</v>
      </c>
      <c r="H252" s="35"/>
    </row>
    <row r="253" customHeight="1" spans="1:7">
      <c r="A253" s="22"/>
      <c r="B253" s="23"/>
      <c r="C253" s="18" t="s">
        <v>34</v>
      </c>
      <c r="D253" s="24" t="s">
        <v>740</v>
      </c>
      <c r="E253" s="29" t="s">
        <v>741</v>
      </c>
      <c r="F253" s="21">
        <f t="shared" si="12"/>
        <v>17</v>
      </c>
      <c r="G253" s="21">
        <f t="shared" si="13"/>
        <v>34</v>
      </c>
    </row>
    <row r="254" customHeight="1" spans="1:8">
      <c r="A254" s="16">
        <v>125</v>
      </c>
      <c r="B254" s="17" t="str">
        <f>D255</f>
        <v>民歌中国 纯享版 20250517</v>
      </c>
      <c r="C254" s="18" t="s">
        <v>364</v>
      </c>
      <c r="D254" s="33" t="s">
        <v>742</v>
      </c>
      <c r="E254" s="27" t="s">
        <v>739</v>
      </c>
      <c r="F254" s="21">
        <f t="shared" ref="F254:F285" si="14">LEN(D254)</f>
        <v>53</v>
      </c>
      <c r="G254" s="21">
        <f t="shared" ref="G254:G285" si="15">LEN(E254)</f>
        <v>174</v>
      </c>
      <c r="H254" s="35"/>
    </row>
    <row r="255" customHeight="1" spans="1:7">
      <c r="A255" s="22"/>
      <c r="B255" s="23"/>
      <c r="C255" s="18" t="s">
        <v>34</v>
      </c>
      <c r="D255" s="24" t="s">
        <v>743</v>
      </c>
      <c r="E255" s="29" t="s">
        <v>741</v>
      </c>
      <c r="F255" s="21">
        <f t="shared" si="14"/>
        <v>17</v>
      </c>
      <c r="G255" s="21">
        <f t="shared" si="15"/>
        <v>34</v>
      </c>
    </row>
    <row r="256" customHeight="1" spans="1:8">
      <c r="A256" s="16">
        <v>126</v>
      </c>
      <c r="B256" s="17" t="str">
        <f>D257</f>
        <v>TOP音乐咖 20240901</v>
      </c>
      <c r="C256" s="18" t="s">
        <v>364</v>
      </c>
      <c r="D256" s="33" t="s">
        <v>744</v>
      </c>
      <c r="E256" s="27" t="s">
        <v>745</v>
      </c>
      <c r="F256" s="21">
        <f t="shared" si="14"/>
        <v>26</v>
      </c>
      <c r="G256" s="21">
        <f t="shared" si="15"/>
        <v>56</v>
      </c>
      <c r="H256" s="35"/>
    </row>
    <row r="257" customHeight="1" spans="1:7">
      <c r="A257" s="22"/>
      <c r="B257" s="23"/>
      <c r="C257" s="18" t="s">
        <v>34</v>
      </c>
      <c r="D257" s="24" t="s">
        <v>746</v>
      </c>
      <c r="E257" s="29" t="s">
        <v>747</v>
      </c>
      <c r="F257" s="21">
        <f t="shared" si="14"/>
        <v>15</v>
      </c>
      <c r="G257" s="21">
        <f t="shared" si="15"/>
        <v>14</v>
      </c>
    </row>
    <row r="258" customHeight="1" spans="1:8">
      <c r="A258" s="16">
        <v>127</v>
      </c>
      <c r="B258" s="17" t="str">
        <f>D259</f>
        <v>TOP音乐咖 20240825</v>
      </c>
      <c r="C258" s="18" t="s">
        <v>364</v>
      </c>
      <c r="D258" s="33" t="s">
        <v>748</v>
      </c>
      <c r="E258" s="27" t="s">
        <v>745</v>
      </c>
      <c r="F258" s="21">
        <f t="shared" si="14"/>
        <v>26</v>
      </c>
      <c r="G258" s="21">
        <f t="shared" si="15"/>
        <v>56</v>
      </c>
      <c r="H258" s="35"/>
    </row>
    <row r="259" customHeight="1" spans="1:7">
      <c r="A259" s="22"/>
      <c r="B259" s="23"/>
      <c r="C259" s="18" t="s">
        <v>34</v>
      </c>
      <c r="D259" s="24" t="s">
        <v>749</v>
      </c>
      <c r="E259" s="29" t="s">
        <v>747</v>
      </c>
      <c r="F259" s="21">
        <f t="shared" si="14"/>
        <v>15</v>
      </c>
      <c r="G259" s="21">
        <f t="shared" si="15"/>
        <v>14</v>
      </c>
    </row>
    <row r="260" customHeight="1" spans="1:8">
      <c r="A260" s="16">
        <v>128</v>
      </c>
      <c r="B260" s="17" t="str">
        <f>D261</f>
        <v>精彩音乐汇 我的爱对你说 20250518</v>
      </c>
      <c r="C260" s="18" t="s">
        <v>364</v>
      </c>
      <c r="D260" s="33" t="s">
        <v>750</v>
      </c>
      <c r="E260" s="27" t="s">
        <v>751</v>
      </c>
      <c r="F260" s="21">
        <f t="shared" si="14"/>
        <v>56</v>
      </c>
      <c r="G260" s="21">
        <f t="shared" si="15"/>
        <v>158</v>
      </c>
      <c r="H260" s="35"/>
    </row>
    <row r="261" customHeight="1" spans="1:7">
      <c r="A261" s="22"/>
      <c r="B261" s="23"/>
      <c r="C261" s="18" t="s">
        <v>34</v>
      </c>
      <c r="D261" s="24" t="s">
        <v>752</v>
      </c>
      <c r="E261" s="29" t="s">
        <v>753</v>
      </c>
      <c r="F261" s="21">
        <f t="shared" si="14"/>
        <v>21</v>
      </c>
      <c r="G261" s="21">
        <f t="shared" si="15"/>
        <v>54</v>
      </c>
    </row>
    <row r="262" customHeight="1" spans="1:8">
      <c r="A262" s="16">
        <v>129</v>
      </c>
      <c r="B262" s="17" t="str">
        <f>D263</f>
        <v>精彩音乐汇 我的爱对你说 20250517</v>
      </c>
      <c r="C262" s="18" t="s">
        <v>364</v>
      </c>
      <c r="D262" s="33" t="s">
        <v>754</v>
      </c>
      <c r="E262" s="27" t="s">
        <v>751</v>
      </c>
      <c r="F262" s="21">
        <f t="shared" si="14"/>
        <v>56</v>
      </c>
      <c r="G262" s="21">
        <f t="shared" si="15"/>
        <v>158</v>
      </c>
      <c r="H262" s="35"/>
    </row>
    <row r="263" customHeight="1" spans="1:7">
      <c r="A263" s="22"/>
      <c r="B263" s="23"/>
      <c r="C263" s="18" t="s">
        <v>34</v>
      </c>
      <c r="D263" s="24" t="s">
        <v>755</v>
      </c>
      <c r="E263" s="29" t="s">
        <v>753</v>
      </c>
      <c r="F263" s="21">
        <f t="shared" si="14"/>
        <v>21</v>
      </c>
      <c r="G263" s="21">
        <f t="shared" si="15"/>
        <v>54</v>
      </c>
    </row>
    <row r="264" customHeight="1" spans="1:8">
      <c r="A264" s="16">
        <v>130</v>
      </c>
      <c r="B264" s="17" t="str">
        <f>D265</f>
        <v>风度中国 5 我带着风景，走向远方的你（下）</v>
      </c>
      <c r="C264" s="18" t="s">
        <v>364</v>
      </c>
      <c r="D264" s="19" t="s">
        <v>756</v>
      </c>
      <c r="E264" s="27" t="s">
        <v>757</v>
      </c>
      <c r="F264" s="21">
        <f t="shared" si="14"/>
        <v>48</v>
      </c>
      <c r="G264" s="21">
        <f t="shared" si="15"/>
        <v>61</v>
      </c>
      <c r="H264" s="35"/>
    </row>
    <row r="265" customHeight="1" spans="1:7">
      <c r="A265" s="22"/>
      <c r="B265" s="23"/>
      <c r="C265" s="18" t="s">
        <v>34</v>
      </c>
      <c r="D265" s="24" t="s">
        <v>758</v>
      </c>
      <c r="E265" s="29" t="s">
        <v>759</v>
      </c>
      <c r="F265" s="21">
        <f t="shared" si="14"/>
        <v>22</v>
      </c>
      <c r="G265" s="21">
        <f t="shared" si="15"/>
        <v>39</v>
      </c>
    </row>
    <row r="266" customHeight="1" spans="1:8">
      <c r="A266" s="16">
        <v>131</v>
      </c>
      <c r="B266" s="17" t="str">
        <f>D267</f>
        <v>风度中国 5 我带着风景，走向远方的你（上）</v>
      </c>
      <c r="C266" s="18" t="s">
        <v>364</v>
      </c>
      <c r="D266" s="19" t="s">
        <v>760</v>
      </c>
      <c r="E266" s="27" t="s">
        <v>757</v>
      </c>
      <c r="F266" s="21">
        <f t="shared" si="14"/>
        <v>48</v>
      </c>
      <c r="G266" s="21">
        <f t="shared" si="15"/>
        <v>61</v>
      </c>
      <c r="H266" s="35"/>
    </row>
    <row r="267" customHeight="1" spans="1:7">
      <c r="A267" s="22"/>
      <c r="B267" s="23"/>
      <c r="C267" s="18" t="s">
        <v>34</v>
      </c>
      <c r="D267" s="24" t="s">
        <v>761</v>
      </c>
      <c r="E267" s="29" t="s">
        <v>759</v>
      </c>
      <c r="F267" s="21">
        <f t="shared" si="14"/>
        <v>22</v>
      </c>
      <c r="G267" s="21">
        <f t="shared" si="15"/>
        <v>39</v>
      </c>
    </row>
    <row r="268" customHeight="1" spans="1:8">
      <c r="A268" s="16">
        <v>132</v>
      </c>
      <c r="B268" s="17" t="str">
        <f>D269</f>
        <v>风度中国 4 为你预支一些未来的远方（下）</v>
      </c>
      <c r="C268" s="18" t="s">
        <v>364</v>
      </c>
      <c r="D268" s="19" t="s">
        <v>762</v>
      </c>
      <c r="E268" s="27" t="s">
        <v>757</v>
      </c>
      <c r="F268" s="21">
        <f t="shared" si="14"/>
        <v>38</v>
      </c>
      <c r="G268" s="21">
        <f t="shared" si="15"/>
        <v>61</v>
      </c>
      <c r="H268" s="35"/>
    </row>
    <row r="269" customHeight="1" spans="1:7">
      <c r="A269" s="22"/>
      <c r="B269" s="23"/>
      <c r="C269" s="18" t="s">
        <v>34</v>
      </c>
      <c r="D269" s="24" t="s">
        <v>763</v>
      </c>
      <c r="E269" s="29" t="s">
        <v>759</v>
      </c>
      <c r="F269" s="21">
        <f t="shared" si="14"/>
        <v>21</v>
      </c>
      <c r="G269" s="21">
        <f t="shared" si="15"/>
        <v>39</v>
      </c>
    </row>
    <row r="270" customHeight="1" spans="1:8">
      <c r="A270" s="16">
        <v>133</v>
      </c>
      <c r="B270" s="17" t="str">
        <f>D271</f>
        <v>风度中国 4 为你预支一些未来的远方（上）</v>
      </c>
      <c r="C270" s="18" t="s">
        <v>364</v>
      </c>
      <c r="D270" s="19" t="s">
        <v>764</v>
      </c>
      <c r="E270" s="27" t="s">
        <v>757</v>
      </c>
      <c r="F270" s="21">
        <f t="shared" si="14"/>
        <v>38</v>
      </c>
      <c r="G270" s="21">
        <f t="shared" si="15"/>
        <v>61</v>
      </c>
      <c r="H270" s="35"/>
    </row>
    <row r="271" customHeight="1" spans="1:7">
      <c r="A271" s="22"/>
      <c r="B271" s="23"/>
      <c r="C271" s="18" t="s">
        <v>34</v>
      </c>
      <c r="D271" s="24" t="s">
        <v>765</v>
      </c>
      <c r="E271" s="29" t="s">
        <v>759</v>
      </c>
      <c r="F271" s="21">
        <f t="shared" si="14"/>
        <v>21</v>
      </c>
      <c r="G271" s="21">
        <f t="shared" si="15"/>
        <v>39</v>
      </c>
    </row>
    <row r="272" customHeight="1" spans="1:8">
      <c r="A272" s="16">
        <v>134</v>
      </c>
      <c r="B272" s="17" t="str">
        <f>D273</f>
        <v>航拍中国 4</v>
      </c>
      <c r="C272" s="18" t="s">
        <v>364</v>
      </c>
      <c r="D272" s="19" t="s">
        <v>766</v>
      </c>
      <c r="E272" s="27" t="s">
        <v>767</v>
      </c>
      <c r="F272" s="21">
        <f t="shared" si="14"/>
        <v>17</v>
      </c>
      <c r="G272" s="21">
        <f t="shared" si="15"/>
        <v>78</v>
      </c>
      <c r="H272" s="35"/>
    </row>
    <row r="273" customHeight="1" spans="1:7">
      <c r="A273" s="22"/>
      <c r="B273" s="23"/>
      <c r="C273" s="18" t="s">
        <v>34</v>
      </c>
      <c r="D273" s="24" t="s">
        <v>768</v>
      </c>
      <c r="E273" s="29" t="s">
        <v>769</v>
      </c>
      <c r="F273" s="21">
        <f t="shared" si="14"/>
        <v>6</v>
      </c>
      <c r="G273" s="21">
        <f t="shared" si="15"/>
        <v>41</v>
      </c>
    </row>
    <row r="274" customHeight="1" spans="1:8">
      <c r="A274" s="16">
        <v>135</v>
      </c>
      <c r="B274" s="17" t="str">
        <f>D275</f>
        <v>航拍中国 3</v>
      </c>
      <c r="C274" s="18" t="s">
        <v>364</v>
      </c>
      <c r="D274" s="19" t="s">
        <v>770</v>
      </c>
      <c r="E274" s="27" t="s">
        <v>767</v>
      </c>
      <c r="F274" s="21">
        <f t="shared" si="14"/>
        <v>17</v>
      </c>
      <c r="G274" s="21">
        <f t="shared" si="15"/>
        <v>78</v>
      </c>
      <c r="H274" s="35"/>
    </row>
    <row r="275" customHeight="1" spans="1:7">
      <c r="A275" s="22"/>
      <c r="B275" s="23"/>
      <c r="C275" s="18" t="s">
        <v>34</v>
      </c>
      <c r="D275" s="24" t="s">
        <v>771</v>
      </c>
      <c r="E275" s="29" t="s">
        <v>769</v>
      </c>
      <c r="F275" s="21">
        <f t="shared" si="14"/>
        <v>6</v>
      </c>
      <c r="G275" s="21">
        <f t="shared" si="15"/>
        <v>41</v>
      </c>
    </row>
    <row r="276" customHeight="1" spans="1:8">
      <c r="A276" s="16">
        <v>136</v>
      </c>
      <c r="B276" s="17" t="str">
        <f>D277</f>
        <v>最美中国 第二季 12 乌兰：茶卡盐湖，纯净心灵之旅</v>
      </c>
      <c r="C276" s="18" t="s">
        <v>364</v>
      </c>
      <c r="D276" s="19" t="s">
        <v>772</v>
      </c>
      <c r="E276" s="27" t="s">
        <v>773</v>
      </c>
      <c r="F276" s="21">
        <f t="shared" si="14"/>
        <v>79</v>
      </c>
      <c r="G276" s="21">
        <f t="shared" si="15"/>
        <v>79</v>
      </c>
      <c r="H276" s="35"/>
    </row>
    <row r="277" customHeight="1" spans="1:7">
      <c r="A277" s="22"/>
      <c r="B277" s="23"/>
      <c r="C277" s="18" t="s">
        <v>34</v>
      </c>
      <c r="D277" s="24" t="s">
        <v>774</v>
      </c>
      <c r="E277" s="29" t="s">
        <v>775</v>
      </c>
      <c r="F277" s="21">
        <f t="shared" si="14"/>
        <v>26</v>
      </c>
      <c r="G277" s="21">
        <f t="shared" si="15"/>
        <v>45</v>
      </c>
    </row>
    <row r="278" customHeight="1" spans="1:8">
      <c r="A278" s="16">
        <v>137</v>
      </c>
      <c r="B278" s="17" t="str">
        <f>D279</f>
        <v>大国基石 第二季 7 为国建材</v>
      </c>
      <c r="C278" s="18" t="s">
        <v>364</v>
      </c>
      <c r="D278" s="33" t="s">
        <v>776</v>
      </c>
      <c r="E278" s="27" t="s">
        <v>777</v>
      </c>
      <c r="F278" s="21">
        <f t="shared" si="14"/>
        <v>68</v>
      </c>
      <c r="G278" s="21">
        <f t="shared" si="15"/>
        <v>297</v>
      </c>
      <c r="H278" s="35"/>
    </row>
    <row r="279" customHeight="1" spans="1:7">
      <c r="A279" s="22"/>
      <c r="B279" s="23"/>
      <c r="C279" s="18" t="s">
        <v>34</v>
      </c>
      <c r="D279" s="24" t="s">
        <v>778</v>
      </c>
      <c r="E279" s="36" t="s">
        <v>779</v>
      </c>
      <c r="F279" s="21">
        <f t="shared" si="14"/>
        <v>15</v>
      </c>
      <c r="G279" s="21">
        <f t="shared" si="15"/>
        <v>53</v>
      </c>
    </row>
    <row r="280" customHeight="1" spans="1:8">
      <c r="A280" s="16">
        <v>138</v>
      </c>
      <c r="B280" s="17" t="str">
        <f>D281</f>
        <v>大国基石 第二季 6 风起东方</v>
      </c>
      <c r="C280" s="18" t="s">
        <v>364</v>
      </c>
      <c r="D280" s="33" t="s">
        <v>780</v>
      </c>
      <c r="E280" s="27" t="s">
        <v>777</v>
      </c>
      <c r="F280" s="21">
        <f t="shared" si="14"/>
        <v>58</v>
      </c>
      <c r="G280" s="21">
        <f t="shared" si="15"/>
        <v>297</v>
      </c>
      <c r="H280" s="35"/>
    </row>
    <row r="281" customHeight="1" spans="1:7">
      <c r="A281" s="22"/>
      <c r="B281" s="23"/>
      <c r="C281" s="18" t="s">
        <v>34</v>
      </c>
      <c r="D281" s="24" t="s">
        <v>781</v>
      </c>
      <c r="E281" s="36" t="s">
        <v>779</v>
      </c>
      <c r="F281" s="21">
        <f t="shared" si="14"/>
        <v>15</v>
      </c>
      <c r="G281" s="21">
        <f t="shared" si="15"/>
        <v>53</v>
      </c>
    </row>
    <row r="282" customHeight="1" spans="1:8">
      <c r="A282" s="16">
        <v>139</v>
      </c>
      <c r="B282" s="17" t="str">
        <f>D283</f>
        <v>非遗里的中国 第三季 福建篇</v>
      </c>
      <c r="C282" s="18" t="s">
        <v>364</v>
      </c>
      <c r="D282" s="33" t="s">
        <v>782</v>
      </c>
      <c r="E282" s="27" t="s">
        <v>783</v>
      </c>
      <c r="F282" s="21">
        <f t="shared" si="14"/>
        <v>53</v>
      </c>
      <c r="G282" s="21">
        <f t="shared" si="15"/>
        <v>336</v>
      </c>
      <c r="H282" s="35"/>
    </row>
    <row r="283" customHeight="1" spans="1:7">
      <c r="A283" s="22"/>
      <c r="B283" s="23"/>
      <c r="C283" s="18" t="s">
        <v>34</v>
      </c>
      <c r="D283" s="24" t="s">
        <v>784</v>
      </c>
      <c r="E283" s="36" t="s">
        <v>785</v>
      </c>
      <c r="F283" s="21">
        <f t="shared" si="14"/>
        <v>14</v>
      </c>
      <c r="G283" s="21">
        <f t="shared" si="15"/>
        <v>56</v>
      </c>
    </row>
    <row r="284" customHeight="1" spans="1:8">
      <c r="A284" s="16">
        <v>140</v>
      </c>
      <c r="B284" s="17" t="str">
        <f>D285</f>
        <v>智慧中国 3</v>
      </c>
      <c r="C284" s="18" t="s">
        <v>364</v>
      </c>
      <c r="D284" s="19" t="s">
        <v>786</v>
      </c>
      <c r="E284" s="27" t="s">
        <v>787</v>
      </c>
      <c r="F284" s="21">
        <f t="shared" si="14"/>
        <v>15</v>
      </c>
      <c r="G284" s="21">
        <f t="shared" si="15"/>
        <v>68</v>
      </c>
      <c r="H284" s="35"/>
    </row>
    <row r="285" customHeight="1" spans="1:7">
      <c r="A285" s="22"/>
      <c r="B285" s="23"/>
      <c r="C285" s="18" t="s">
        <v>34</v>
      </c>
      <c r="D285" s="24" t="s">
        <v>788</v>
      </c>
      <c r="E285" s="29" t="s">
        <v>789</v>
      </c>
      <c r="F285" s="21">
        <f t="shared" si="14"/>
        <v>6</v>
      </c>
      <c r="G285" s="21">
        <f t="shared" si="15"/>
        <v>36</v>
      </c>
    </row>
    <row r="286" customHeight="1" spans="1:8">
      <c r="A286" s="16">
        <v>141</v>
      </c>
      <c r="B286" s="17" t="str">
        <f>D287</f>
        <v>精彩导航</v>
      </c>
      <c r="C286" s="18" t="s">
        <v>364</v>
      </c>
      <c r="D286" s="33" t="s">
        <v>790</v>
      </c>
      <c r="E286" s="27" t="s">
        <v>791</v>
      </c>
      <c r="F286" s="21">
        <f t="shared" ref="F286:F306" si="16">LEN(D286)</f>
        <v>20</v>
      </c>
      <c r="G286" s="21">
        <f t="shared" ref="G286:G306" si="17">LEN(E286)</f>
        <v>446</v>
      </c>
      <c r="H286" s="35"/>
    </row>
    <row r="287" customHeight="1" spans="1:7">
      <c r="A287" s="22"/>
      <c r="B287" s="23"/>
      <c r="C287" s="18" t="s">
        <v>34</v>
      </c>
      <c r="D287" s="39" t="s">
        <v>792</v>
      </c>
      <c r="E287" s="29" t="s">
        <v>793</v>
      </c>
      <c r="F287" s="21">
        <f t="shared" si="16"/>
        <v>4</v>
      </c>
      <c r="G287" s="21">
        <f t="shared" si="17"/>
        <v>103</v>
      </c>
    </row>
  </sheetData>
  <mergeCells count="28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2"/>
    <mergeCell ref="A83:A85"/>
    <mergeCell ref="A86:A88"/>
    <mergeCell ref="A89: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2:A183"/>
    <mergeCell ref="A184:A185"/>
    <mergeCell ref="A186:A187"/>
    <mergeCell ref="A188:A189"/>
    <mergeCell ref="A190:A191"/>
    <mergeCell ref="A192:A193"/>
    <mergeCell ref="A194:A195"/>
    <mergeCell ref="A196:A197"/>
    <mergeCell ref="A198:A199"/>
    <mergeCell ref="A200:A201"/>
    <mergeCell ref="A202:A203"/>
    <mergeCell ref="A204:A205"/>
    <mergeCell ref="A206:A207"/>
    <mergeCell ref="A208:A209"/>
    <mergeCell ref="A210:A211"/>
    <mergeCell ref="A212:A213"/>
    <mergeCell ref="A214:A215"/>
    <mergeCell ref="A216:A217"/>
    <mergeCell ref="A218:A219"/>
    <mergeCell ref="A220:A221"/>
    <mergeCell ref="A222:A223"/>
    <mergeCell ref="A224:A225"/>
    <mergeCell ref="A226:A227"/>
    <mergeCell ref="A228:A229"/>
    <mergeCell ref="A230:A231"/>
    <mergeCell ref="A232:A233"/>
    <mergeCell ref="A234:A235"/>
    <mergeCell ref="A236:A237"/>
    <mergeCell ref="A238:A239"/>
    <mergeCell ref="A240:A241"/>
    <mergeCell ref="A242:A243"/>
    <mergeCell ref="A244:A245"/>
    <mergeCell ref="A246:A247"/>
    <mergeCell ref="A248:A249"/>
    <mergeCell ref="A250:A251"/>
    <mergeCell ref="A252:A253"/>
    <mergeCell ref="A254:A255"/>
    <mergeCell ref="A256:A257"/>
    <mergeCell ref="A258:A259"/>
    <mergeCell ref="A260:A261"/>
    <mergeCell ref="A262:A263"/>
    <mergeCell ref="A264:A265"/>
    <mergeCell ref="A266:A267"/>
    <mergeCell ref="A268:A269"/>
    <mergeCell ref="A270:A271"/>
    <mergeCell ref="A272:A273"/>
    <mergeCell ref="A274:A275"/>
    <mergeCell ref="A276:A277"/>
    <mergeCell ref="A278:A279"/>
    <mergeCell ref="A280:A281"/>
    <mergeCell ref="A282:A283"/>
    <mergeCell ref="A284:A285"/>
    <mergeCell ref="A286:A28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2"/>
    <mergeCell ref="B83:B85"/>
    <mergeCell ref="B86:B88"/>
    <mergeCell ref="B89: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3"/>
    <mergeCell ref="B284:B285"/>
    <mergeCell ref="B286:B28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95"/>
  <sheetViews>
    <sheetView workbookViewId="0">
      <pane ySplit="1" topLeftCell="A36" activePane="bottomLeft" state="frozen"/>
      <selection/>
      <selection pane="bottomLeft" activeCell="C44" sqref="$A44:$XFD45"/>
    </sheetView>
  </sheetViews>
  <sheetFormatPr defaultColWidth="9" defaultRowHeight="12.75" outlineLevelCol="7"/>
  <cols>
    <col min="1" max="1" width="6.375" style="1" customWidth="1"/>
    <col min="2" max="2" width="27.5" style="1" customWidth="1"/>
    <col min="3" max="3" width="8.875" style="2" customWidth="1"/>
    <col min="4" max="4" width="54.625" style="3" customWidth="1"/>
    <col min="5" max="5" width="54.625" style="4" customWidth="1"/>
    <col min="6" max="7" width="9" style="2"/>
    <col min="8" max="16384" width="9" style="1"/>
  </cols>
  <sheetData>
    <row r="1" s="1" customFormat="1" ht="40" customHeight="1" spans="1:7">
      <c r="A1" s="5" t="s">
        <v>21</v>
      </c>
      <c r="B1" s="5" t="s">
        <v>22</v>
      </c>
      <c r="C1" s="6" t="s">
        <v>23</v>
      </c>
      <c r="D1" s="7" t="s">
        <v>24</v>
      </c>
      <c r="E1" s="5" t="s">
        <v>27</v>
      </c>
      <c r="F1" s="6" t="s">
        <v>362</v>
      </c>
      <c r="G1" s="6" t="s">
        <v>363</v>
      </c>
    </row>
    <row r="2" ht="30" customHeight="1" spans="1:7">
      <c r="A2" s="8">
        <v>1</v>
      </c>
      <c r="B2" s="9" t="str">
        <f>D3</f>
        <v>咫尺一眼（《念无双》影视剧片尾曲）</v>
      </c>
      <c r="C2" s="10" t="s">
        <v>364</v>
      </c>
      <c r="D2" s="11" t="s">
        <v>794</v>
      </c>
      <c r="E2" s="11" t="s">
        <v>794</v>
      </c>
      <c r="F2" s="12">
        <f t="shared" ref="F2:F17" si="0">LEN(D2)</f>
        <v>24</v>
      </c>
      <c r="G2" s="12">
        <f t="shared" ref="G2:G17" si="1">LEN(E2)</f>
        <v>24</v>
      </c>
    </row>
    <row r="3" ht="30" customHeight="1" spans="1:8">
      <c r="A3" s="8"/>
      <c r="B3" s="9"/>
      <c r="C3" s="10" t="s">
        <v>34</v>
      </c>
      <c r="D3" s="13" t="s">
        <v>795</v>
      </c>
      <c r="E3" s="13" t="s">
        <v>795</v>
      </c>
      <c r="F3" s="12">
        <f t="shared" si="0"/>
        <v>17</v>
      </c>
      <c r="G3" s="12">
        <f t="shared" si="1"/>
        <v>17</v>
      </c>
      <c r="H3" s="14"/>
    </row>
    <row r="4" ht="30" customHeight="1" spans="1:7">
      <c r="A4" s="8">
        <v>2</v>
      </c>
      <c r="B4" s="9" t="str">
        <f>D5</f>
        <v>飒（《念无双》影视剧插曲）</v>
      </c>
      <c r="C4" s="10" t="s">
        <v>364</v>
      </c>
      <c r="D4" s="11" t="s">
        <v>796</v>
      </c>
      <c r="E4" s="11" t="s">
        <v>796</v>
      </c>
      <c r="F4" s="12">
        <f t="shared" si="0"/>
        <v>8</v>
      </c>
      <c r="G4" s="12">
        <f t="shared" si="1"/>
        <v>8</v>
      </c>
    </row>
    <row r="5" ht="30" customHeight="1" spans="1:8">
      <c r="A5" s="8"/>
      <c r="B5" s="9"/>
      <c r="C5" s="10" t="s">
        <v>34</v>
      </c>
      <c r="D5" s="13" t="s">
        <v>797</v>
      </c>
      <c r="E5" s="13" t="s">
        <v>797</v>
      </c>
      <c r="F5" s="12">
        <f t="shared" si="0"/>
        <v>13</v>
      </c>
      <c r="G5" s="12">
        <f t="shared" si="1"/>
        <v>13</v>
      </c>
      <c r="H5" s="14"/>
    </row>
    <row r="6" ht="30" customHeight="1" spans="1:7">
      <c r="A6" s="8">
        <v>3</v>
      </c>
      <c r="B6" s="9" t="str">
        <f>D7</f>
        <v>燃罪（《燃罪》影视剧主题曲）</v>
      </c>
      <c r="C6" s="10" t="s">
        <v>364</v>
      </c>
      <c r="D6" s="11" t="s">
        <v>798</v>
      </c>
      <c r="E6" s="11" t="s">
        <v>798</v>
      </c>
      <c r="F6" s="12">
        <f t="shared" si="0"/>
        <v>11</v>
      </c>
      <c r="G6" s="12">
        <f t="shared" si="1"/>
        <v>11</v>
      </c>
    </row>
    <row r="7" ht="30" customHeight="1" spans="1:8">
      <c r="A7" s="8"/>
      <c r="B7" s="9"/>
      <c r="C7" s="10" t="s">
        <v>34</v>
      </c>
      <c r="D7" s="13" t="s">
        <v>799</v>
      </c>
      <c r="E7" s="13" t="s">
        <v>799</v>
      </c>
      <c r="F7" s="12">
        <f t="shared" si="0"/>
        <v>14</v>
      </c>
      <c r="G7" s="12">
        <f t="shared" si="1"/>
        <v>14</v>
      </c>
      <c r="H7" s="14"/>
    </row>
    <row r="8" ht="30" customHeight="1" spans="1:7">
      <c r="A8" s="8">
        <v>4</v>
      </c>
      <c r="B8" s="9" t="str">
        <f>D9</f>
        <v>揽仙歌（《问道》手游9周年主题曲）</v>
      </c>
      <c r="C8" s="10" t="s">
        <v>364</v>
      </c>
      <c r="D8" s="11" t="s">
        <v>800</v>
      </c>
      <c r="E8" s="11" t="s">
        <v>800</v>
      </c>
      <c r="F8" s="12">
        <f t="shared" si="0"/>
        <v>84</v>
      </c>
      <c r="G8" s="12">
        <f t="shared" si="1"/>
        <v>84</v>
      </c>
    </row>
    <row r="9" ht="30" customHeight="1" spans="1:8">
      <c r="A9" s="8"/>
      <c r="B9" s="9"/>
      <c r="C9" s="10" t="s">
        <v>34</v>
      </c>
      <c r="D9" s="13" t="s">
        <v>801</v>
      </c>
      <c r="E9" s="13" t="s">
        <v>801</v>
      </c>
      <c r="F9" s="12">
        <f t="shared" si="0"/>
        <v>17</v>
      </c>
      <c r="G9" s="12">
        <f t="shared" si="1"/>
        <v>17</v>
      </c>
      <c r="H9" s="14"/>
    </row>
    <row r="10" ht="30" customHeight="1" spans="1:7">
      <c r="A10" s="8">
        <v>5</v>
      </c>
      <c r="B10" s="9" t="str">
        <f>D11</f>
        <v>home.</v>
      </c>
      <c r="C10" s="10" t="s">
        <v>364</v>
      </c>
      <c r="D10" s="11" t="s">
        <v>802</v>
      </c>
      <c r="E10" s="11" t="s">
        <v>802</v>
      </c>
      <c r="F10" s="12">
        <f t="shared" si="0"/>
        <v>5</v>
      </c>
      <c r="G10" s="12">
        <f t="shared" si="1"/>
        <v>5</v>
      </c>
    </row>
    <row r="11" ht="30" customHeight="1" spans="1:8">
      <c r="A11" s="8"/>
      <c r="B11" s="9"/>
      <c r="C11" s="10" t="s">
        <v>34</v>
      </c>
      <c r="D11" s="13" t="s">
        <v>802</v>
      </c>
      <c r="E11" s="13" t="s">
        <v>802</v>
      </c>
      <c r="F11" s="12">
        <f t="shared" si="0"/>
        <v>5</v>
      </c>
      <c r="G11" s="12">
        <f t="shared" si="1"/>
        <v>5</v>
      </c>
      <c r="H11" s="14"/>
    </row>
    <row r="12" ht="30" customHeight="1" spans="1:7">
      <c r="A12" s="8">
        <v>6</v>
      </c>
      <c r="B12" s="9" t="str">
        <f>D13</f>
        <v>豆浆油条</v>
      </c>
      <c r="C12" s="10" t="s">
        <v>364</v>
      </c>
      <c r="D12" s="11" t="s">
        <v>803</v>
      </c>
      <c r="E12" s="11" t="s">
        <v>803</v>
      </c>
      <c r="F12" s="12">
        <f t="shared" si="0"/>
        <v>31</v>
      </c>
      <c r="G12" s="12">
        <f t="shared" si="1"/>
        <v>31</v>
      </c>
    </row>
    <row r="13" ht="30" customHeight="1" spans="1:8">
      <c r="A13" s="8"/>
      <c r="B13" s="9"/>
      <c r="C13" s="10" t="s">
        <v>34</v>
      </c>
      <c r="D13" s="13" t="s">
        <v>804</v>
      </c>
      <c r="E13" s="13" t="s">
        <v>804</v>
      </c>
      <c r="F13" s="12">
        <f t="shared" si="0"/>
        <v>4</v>
      </c>
      <c r="G13" s="12">
        <f t="shared" si="1"/>
        <v>4</v>
      </c>
      <c r="H13" s="14"/>
    </row>
    <row r="14" ht="30" customHeight="1" spans="1:7">
      <c r="A14" s="8">
        <v>7</v>
      </c>
      <c r="B14" s="9" t="str">
        <f>D15</f>
        <v>被风吹过的夏天</v>
      </c>
      <c r="C14" s="10" t="s">
        <v>364</v>
      </c>
      <c r="D14" s="11" t="s">
        <v>805</v>
      </c>
      <c r="E14" s="11" t="s">
        <v>805</v>
      </c>
      <c r="F14" s="12">
        <f t="shared" si="0"/>
        <v>28</v>
      </c>
      <c r="G14" s="12">
        <f t="shared" si="1"/>
        <v>28</v>
      </c>
    </row>
    <row r="15" ht="30" customHeight="1" spans="1:8">
      <c r="A15" s="8"/>
      <c r="B15" s="9"/>
      <c r="C15" s="10" t="s">
        <v>34</v>
      </c>
      <c r="D15" s="13" t="s">
        <v>806</v>
      </c>
      <c r="E15" s="13" t="s">
        <v>806</v>
      </c>
      <c r="F15" s="12">
        <f t="shared" si="0"/>
        <v>7</v>
      </c>
      <c r="G15" s="12">
        <f t="shared" si="1"/>
        <v>7</v>
      </c>
      <c r="H15" s="14"/>
    </row>
    <row r="16" ht="30" customHeight="1" spans="1:7">
      <c r="A16" s="8">
        <v>8</v>
      </c>
      <c r="B16" s="9" t="str">
        <f>D17</f>
        <v>我知道</v>
      </c>
      <c r="C16" s="10" t="s">
        <v>364</v>
      </c>
      <c r="D16" s="11" t="s">
        <v>807</v>
      </c>
      <c r="E16" s="11" t="s">
        <v>807</v>
      </c>
      <c r="F16" s="12">
        <f t="shared" si="0"/>
        <v>6</v>
      </c>
      <c r="G16" s="12">
        <f t="shared" si="1"/>
        <v>6</v>
      </c>
    </row>
    <row r="17" ht="30" customHeight="1" spans="1:8">
      <c r="A17" s="8"/>
      <c r="B17" s="9"/>
      <c r="C17" s="10" t="s">
        <v>34</v>
      </c>
      <c r="D17" s="13" t="s">
        <v>808</v>
      </c>
      <c r="E17" s="13" t="s">
        <v>808</v>
      </c>
      <c r="F17" s="12">
        <f t="shared" si="0"/>
        <v>3</v>
      </c>
      <c r="G17" s="12">
        <f t="shared" si="1"/>
        <v>3</v>
      </c>
      <c r="H17" s="14"/>
    </row>
    <row r="18" ht="30" customHeight="1" spans="1:7">
      <c r="A18" s="8">
        <v>9</v>
      </c>
      <c r="B18" s="9" t="str">
        <f>D19</f>
        <v>爱情闯进门</v>
      </c>
      <c r="C18" s="10" t="s">
        <v>364</v>
      </c>
      <c r="D18" s="11" t="s">
        <v>809</v>
      </c>
      <c r="E18" s="11" t="s">
        <v>809</v>
      </c>
      <c r="F18" s="12">
        <f t="shared" ref="F18:F51" si="2">LEN(D18)</f>
        <v>14</v>
      </c>
      <c r="G18" s="12">
        <f t="shared" ref="G18:G51" si="3">LEN(E18)</f>
        <v>14</v>
      </c>
    </row>
    <row r="19" ht="30" customHeight="1" spans="1:8">
      <c r="A19" s="8"/>
      <c r="B19" s="9"/>
      <c r="C19" s="10" t="s">
        <v>34</v>
      </c>
      <c r="D19" s="13" t="s">
        <v>810</v>
      </c>
      <c r="E19" s="13" t="s">
        <v>810</v>
      </c>
      <c r="F19" s="12">
        <f t="shared" si="2"/>
        <v>5</v>
      </c>
      <c r="G19" s="12">
        <f t="shared" si="3"/>
        <v>5</v>
      </c>
      <c r="H19" s="14"/>
    </row>
    <row r="20" ht="30" customHeight="1" spans="1:7">
      <c r="A20" s="8">
        <v>10</v>
      </c>
      <c r="B20" s="9" t="str">
        <f>D21</f>
        <v>最佳歌手</v>
      </c>
      <c r="C20" s="10" t="s">
        <v>364</v>
      </c>
      <c r="D20" s="11" t="s">
        <v>811</v>
      </c>
      <c r="E20" s="11" t="s">
        <v>811</v>
      </c>
      <c r="F20" s="12">
        <f t="shared" si="2"/>
        <v>15</v>
      </c>
      <c r="G20" s="12">
        <f t="shared" si="3"/>
        <v>15</v>
      </c>
    </row>
    <row r="21" ht="30" customHeight="1" spans="1:8">
      <c r="A21" s="8"/>
      <c r="B21" s="9"/>
      <c r="C21" s="10" t="s">
        <v>34</v>
      </c>
      <c r="D21" s="13" t="s">
        <v>812</v>
      </c>
      <c r="E21" s="13" t="s">
        <v>812</v>
      </c>
      <c r="F21" s="12">
        <f t="shared" si="2"/>
        <v>4</v>
      </c>
      <c r="G21" s="12">
        <f t="shared" si="3"/>
        <v>4</v>
      </c>
      <c r="H21" s="14"/>
    </row>
    <row r="22" ht="30" customHeight="1" spans="1:7">
      <c r="A22" s="8">
        <v>11</v>
      </c>
      <c r="B22" s="9" t="str">
        <f>D23</f>
        <v>墨绿指甲</v>
      </c>
      <c r="C22" s="10" t="s">
        <v>364</v>
      </c>
      <c r="D22" s="11" t="s">
        <v>813</v>
      </c>
      <c r="E22" s="11" t="s">
        <v>813</v>
      </c>
      <c r="F22" s="12">
        <f t="shared" si="2"/>
        <v>16</v>
      </c>
      <c r="G22" s="12">
        <f t="shared" si="3"/>
        <v>16</v>
      </c>
    </row>
    <row r="23" ht="30" customHeight="1" spans="1:8">
      <c r="A23" s="8"/>
      <c r="B23" s="9"/>
      <c r="C23" s="10" t="s">
        <v>34</v>
      </c>
      <c r="D23" s="13" t="s">
        <v>814</v>
      </c>
      <c r="E23" s="13" t="s">
        <v>814</v>
      </c>
      <c r="F23" s="12">
        <f t="shared" si="2"/>
        <v>4</v>
      </c>
      <c r="G23" s="12">
        <f t="shared" si="3"/>
        <v>4</v>
      </c>
      <c r="H23" s="14"/>
    </row>
    <row r="24" ht="30" customHeight="1" spans="1:7">
      <c r="A24" s="8">
        <v>12</v>
      </c>
      <c r="B24" s="9" t="str">
        <f>D25</f>
        <v>大明星</v>
      </c>
      <c r="C24" s="10" t="s">
        <v>364</v>
      </c>
      <c r="D24" s="11" t="s">
        <v>815</v>
      </c>
      <c r="E24" s="11" t="s">
        <v>815</v>
      </c>
      <c r="F24" s="12">
        <f t="shared" si="2"/>
        <v>8</v>
      </c>
      <c r="G24" s="12">
        <f t="shared" si="3"/>
        <v>8</v>
      </c>
    </row>
    <row r="25" ht="30" customHeight="1" spans="1:8">
      <c r="A25" s="8"/>
      <c r="B25" s="9"/>
      <c r="C25" s="10" t="s">
        <v>34</v>
      </c>
      <c r="D25" s="13" t="s">
        <v>816</v>
      </c>
      <c r="E25" s="13" t="s">
        <v>816</v>
      </c>
      <c r="F25" s="12">
        <f t="shared" si="2"/>
        <v>3</v>
      </c>
      <c r="G25" s="12">
        <f t="shared" si="3"/>
        <v>3</v>
      </c>
      <c r="H25" s="14"/>
    </row>
    <row r="26" ht="30" customHeight="1" spans="1:7">
      <c r="A26" s="8">
        <v>13</v>
      </c>
      <c r="B26" s="9" t="str">
        <f>D27</f>
        <v>小小世界（《爱情自有天意》插曲）</v>
      </c>
      <c r="C26" s="10" t="s">
        <v>364</v>
      </c>
      <c r="D26" s="11" t="s">
        <v>817</v>
      </c>
      <c r="E26" s="11" t="s">
        <v>817</v>
      </c>
      <c r="F26" s="12">
        <f t="shared" si="2"/>
        <v>63</v>
      </c>
      <c r="G26" s="12">
        <f t="shared" si="3"/>
        <v>63</v>
      </c>
    </row>
    <row r="27" ht="30" customHeight="1" spans="1:8">
      <c r="A27" s="8"/>
      <c r="B27" s="9"/>
      <c r="C27" s="10" t="s">
        <v>34</v>
      </c>
      <c r="D27" s="13" t="s">
        <v>818</v>
      </c>
      <c r="E27" s="13" t="s">
        <v>818</v>
      </c>
      <c r="F27" s="12">
        <f t="shared" si="2"/>
        <v>16</v>
      </c>
      <c r="G27" s="12">
        <f t="shared" si="3"/>
        <v>16</v>
      </c>
      <c r="H27" s="14"/>
    </row>
    <row r="28" ht="30" customHeight="1" spans="1:7">
      <c r="A28" s="8">
        <v>14</v>
      </c>
      <c r="B28" s="9" t="str">
        <f>D29</f>
        <v>千古（电视剧《花千骨》片头曲）</v>
      </c>
      <c r="C28" s="10" t="s">
        <v>364</v>
      </c>
      <c r="D28" s="11" t="s">
        <v>819</v>
      </c>
      <c r="E28" s="11" t="s">
        <v>819</v>
      </c>
      <c r="F28" s="12">
        <f t="shared" si="2"/>
        <v>74</v>
      </c>
      <c r="G28" s="12">
        <f t="shared" si="3"/>
        <v>74</v>
      </c>
    </row>
    <row r="29" ht="30" customHeight="1" spans="1:8">
      <c r="A29" s="8"/>
      <c r="B29" s="9"/>
      <c r="C29" s="10" t="s">
        <v>34</v>
      </c>
      <c r="D29" s="13" t="s">
        <v>820</v>
      </c>
      <c r="E29" s="13" t="s">
        <v>820</v>
      </c>
      <c r="F29" s="12">
        <f t="shared" si="2"/>
        <v>15</v>
      </c>
      <c r="G29" s="12">
        <f t="shared" si="3"/>
        <v>15</v>
      </c>
      <c r="H29" s="14"/>
    </row>
    <row r="30" ht="30" customHeight="1" spans="1:7">
      <c r="A30" s="8">
        <v>15</v>
      </c>
      <c r="B30" s="9" t="str">
        <f>D31</f>
        <v>Spaceman</v>
      </c>
      <c r="C30" s="10" t="s">
        <v>364</v>
      </c>
      <c r="D30" s="11" t="s">
        <v>821</v>
      </c>
      <c r="E30" s="11" t="s">
        <v>821</v>
      </c>
      <c r="F30" s="12">
        <f t="shared" si="2"/>
        <v>8</v>
      </c>
      <c r="G30" s="12">
        <f t="shared" si="3"/>
        <v>8</v>
      </c>
    </row>
    <row r="31" ht="30" customHeight="1" spans="1:8">
      <c r="A31" s="8"/>
      <c r="B31" s="9"/>
      <c r="C31" s="10" t="s">
        <v>34</v>
      </c>
      <c r="D31" s="13" t="s">
        <v>821</v>
      </c>
      <c r="E31" s="13" t="s">
        <v>821</v>
      </c>
      <c r="F31" s="12">
        <f t="shared" si="2"/>
        <v>8</v>
      </c>
      <c r="G31" s="12">
        <f t="shared" si="3"/>
        <v>8</v>
      </c>
      <c r="H31" s="14"/>
    </row>
    <row r="32" ht="30" customHeight="1" spans="1:7">
      <c r="A32" s="8">
        <v>16</v>
      </c>
      <c r="B32" s="9" t="str">
        <f>D33</f>
        <v>寂静买下了整座湖</v>
      </c>
      <c r="C32" s="10" t="s">
        <v>364</v>
      </c>
      <c r="D32" s="11" t="s">
        <v>822</v>
      </c>
      <c r="E32" s="11" t="s">
        <v>822</v>
      </c>
      <c r="F32" s="12">
        <f t="shared" si="2"/>
        <v>34</v>
      </c>
      <c r="G32" s="12">
        <f t="shared" si="3"/>
        <v>34</v>
      </c>
    </row>
    <row r="33" ht="30" customHeight="1" spans="1:8">
      <c r="A33" s="8"/>
      <c r="B33" s="9"/>
      <c r="C33" s="10" t="s">
        <v>34</v>
      </c>
      <c r="D33" s="13" t="s">
        <v>823</v>
      </c>
      <c r="E33" s="13" t="s">
        <v>823</v>
      </c>
      <c r="F33" s="12">
        <f t="shared" si="2"/>
        <v>8</v>
      </c>
      <c r="G33" s="12">
        <f t="shared" si="3"/>
        <v>8</v>
      </c>
      <c r="H33" s="14"/>
    </row>
    <row r="34" ht="30" customHeight="1" spans="1:7">
      <c r="A34" s="8">
        <v>17</v>
      </c>
      <c r="B34" s="9" t="str">
        <f>D35</f>
        <v>Love From Retro（瑞秋的爱）</v>
      </c>
      <c r="C34" s="10" t="s">
        <v>364</v>
      </c>
      <c r="D34" s="11" t="s">
        <v>824</v>
      </c>
      <c r="E34" s="11" t="s">
        <v>824</v>
      </c>
      <c r="F34" s="12">
        <f t="shared" si="2"/>
        <v>15</v>
      </c>
      <c r="G34" s="12">
        <f t="shared" si="3"/>
        <v>15</v>
      </c>
    </row>
    <row r="35" ht="30" customHeight="1" spans="1:8">
      <c r="A35" s="8"/>
      <c r="B35" s="9"/>
      <c r="C35" s="10" t="s">
        <v>34</v>
      </c>
      <c r="D35" s="13" t="s">
        <v>825</v>
      </c>
      <c r="E35" s="13" t="s">
        <v>825</v>
      </c>
      <c r="F35" s="12">
        <f t="shared" si="2"/>
        <v>21</v>
      </c>
      <c r="G35" s="12">
        <f t="shared" si="3"/>
        <v>21</v>
      </c>
      <c r="H35" s="14"/>
    </row>
    <row r="36" ht="30" customHeight="1" spans="1:7">
      <c r="A36" s="8">
        <v>18</v>
      </c>
      <c r="B36" s="9" t="str">
        <f>D37</f>
        <v>再去海边</v>
      </c>
      <c r="C36" s="10" t="s">
        <v>364</v>
      </c>
      <c r="D36" s="11" t="s">
        <v>826</v>
      </c>
      <c r="E36" s="11" t="s">
        <v>826</v>
      </c>
      <c r="F36" s="12">
        <f t="shared" si="2"/>
        <v>23</v>
      </c>
      <c r="G36" s="12">
        <f t="shared" si="3"/>
        <v>23</v>
      </c>
    </row>
    <row r="37" ht="30" customHeight="1" spans="1:8">
      <c r="A37" s="8"/>
      <c r="B37" s="9"/>
      <c r="C37" s="10" t="s">
        <v>34</v>
      </c>
      <c r="D37" s="13" t="s">
        <v>827</v>
      </c>
      <c r="E37" s="13" t="s">
        <v>827</v>
      </c>
      <c r="F37" s="12">
        <f t="shared" si="2"/>
        <v>4</v>
      </c>
      <c r="G37" s="12">
        <f t="shared" si="3"/>
        <v>4</v>
      </c>
      <c r="H37" s="14"/>
    </row>
    <row r="38" ht="30" customHeight="1" spans="1:7">
      <c r="A38" s="8">
        <v>19</v>
      </c>
      <c r="B38" s="9" t="str">
        <f>D39</f>
        <v>这个夏天</v>
      </c>
      <c r="C38" s="10" t="s">
        <v>364</v>
      </c>
      <c r="D38" s="11" t="s">
        <v>828</v>
      </c>
      <c r="E38" s="11" t="s">
        <v>828</v>
      </c>
      <c r="F38" s="12">
        <f t="shared" si="2"/>
        <v>11</v>
      </c>
      <c r="G38" s="12">
        <f t="shared" si="3"/>
        <v>11</v>
      </c>
    </row>
    <row r="39" ht="30" customHeight="1" spans="1:8">
      <c r="A39" s="8"/>
      <c r="B39" s="9"/>
      <c r="C39" s="10" t="s">
        <v>34</v>
      </c>
      <c r="D39" s="13" t="s">
        <v>829</v>
      </c>
      <c r="E39" s="13" t="s">
        <v>829</v>
      </c>
      <c r="F39" s="12">
        <f t="shared" si="2"/>
        <v>4</v>
      </c>
      <c r="G39" s="12">
        <f t="shared" si="3"/>
        <v>4</v>
      </c>
      <c r="H39" s="14"/>
    </row>
    <row r="40" ht="30" customHeight="1" spans="1:7">
      <c r="A40" s="8">
        <v>20</v>
      </c>
      <c r="B40" s="9" t="str">
        <f>D41</f>
        <v>若月亮没来MV</v>
      </c>
      <c r="C40" s="10" t="s">
        <v>364</v>
      </c>
      <c r="D40" s="11" t="s">
        <v>830</v>
      </c>
      <c r="E40" s="11" t="s">
        <v>830</v>
      </c>
      <c r="F40" s="12">
        <f t="shared" si="2"/>
        <v>26</v>
      </c>
      <c r="G40" s="12">
        <f t="shared" si="3"/>
        <v>26</v>
      </c>
    </row>
    <row r="41" ht="30" customHeight="1" spans="1:8">
      <c r="A41" s="8"/>
      <c r="B41" s="9"/>
      <c r="C41" s="10" t="s">
        <v>34</v>
      </c>
      <c r="D41" s="13" t="s">
        <v>831</v>
      </c>
      <c r="E41" s="13" t="s">
        <v>831</v>
      </c>
      <c r="F41" s="12">
        <f t="shared" si="2"/>
        <v>7</v>
      </c>
      <c r="G41" s="12">
        <f t="shared" si="3"/>
        <v>7</v>
      </c>
      <c r="H41" s="14"/>
    </row>
    <row r="42" ht="30" customHeight="1" spans="1:7">
      <c r="A42" s="8">
        <v>21</v>
      </c>
      <c r="B42" s="9" t="str">
        <f>D43</f>
        <v>泥巴MV</v>
      </c>
      <c r="C42" s="10" t="s">
        <v>364</v>
      </c>
      <c r="D42" s="11" t="s">
        <v>832</v>
      </c>
      <c r="E42" s="11" t="s">
        <v>832</v>
      </c>
      <c r="F42" s="12">
        <f t="shared" si="2"/>
        <v>6</v>
      </c>
      <c r="G42" s="12">
        <f t="shared" si="3"/>
        <v>6</v>
      </c>
    </row>
    <row r="43" ht="30" customHeight="1" spans="1:8">
      <c r="A43" s="8"/>
      <c r="B43" s="9"/>
      <c r="C43" s="10" t="s">
        <v>34</v>
      </c>
      <c r="D43" s="13" t="s">
        <v>833</v>
      </c>
      <c r="E43" s="13" t="s">
        <v>833</v>
      </c>
      <c r="F43" s="12">
        <f t="shared" si="2"/>
        <v>4</v>
      </c>
      <c r="G43" s="12">
        <f t="shared" si="3"/>
        <v>4</v>
      </c>
      <c r="H43" s="14"/>
    </row>
    <row r="44" ht="30" customHeight="1" spans="1:7">
      <c r="A44" s="8">
        <v>23</v>
      </c>
      <c r="B44" s="9" t="str">
        <f>D45</f>
        <v>我的滑板鞋MV</v>
      </c>
      <c r="C44" s="10" t="s">
        <v>364</v>
      </c>
      <c r="D44" s="11" t="s">
        <v>834</v>
      </c>
      <c r="E44" s="11" t="s">
        <v>834</v>
      </c>
      <c r="F44" s="12">
        <f t="shared" si="2"/>
        <v>22</v>
      </c>
      <c r="G44" s="12">
        <f t="shared" si="3"/>
        <v>22</v>
      </c>
    </row>
    <row r="45" ht="30" customHeight="1" spans="1:8">
      <c r="A45" s="8"/>
      <c r="B45" s="9"/>
      <c r="C45" s="10" t="s">
        <v>34</v>
      </c>
      <c r="D45" s="13" t="s">
        <v>835</v>
      </c>
      <c r="E45" s="13" t="s">
        <v>835</v>
      </c>
      <c r="F45" s="12">
        <f t="shared" si="2"/>
        <v>7</v>
      </c>
      <c r="G45" s="12">
        <f t="shared" si="3"/>
        <v>7</v>
      </c>
      <c r="H45" s="14"/>
    </row>
    <row r="46" ht="30" customHeight="1" spans="1:7">
      <c r="A46" s="8">
        <v>24</v>
      </c>
      <c r="B46" s="9" t="str">
        <f>D47</f>
        <v>“85后”科学家郭兆将：从地里“刨”出国际一流成果</v>
      </c>
      <c r="C46" s="10" t="s">
        <v>364</v>
      </c>
      <c r="D46" s="11" t="s">
        <v>836</v>
      </c>
      <c r="E46" s="11" t="s">
        <v>836</v>
      </c>
      <c r="F46" s="12">
        <f t="shared" si="2"/>
        <v>82</v>
      </c>
      <c r="G46" s="12">
        <f t="shared" si="3"/>
        <v>82</v>
      </c>
    </row>
    <row r="47" ht="30" customHeight="1" spans="1:8">
      <c r="A47" s="8"/>
      <c r="B47" s="9"/>
      <c r="C47" s="10" t="s">
        <v>34</v>
      </c>
      <c r="D47" s="13" t="s">
        <v>837</v>
      </c>
      <c r="E47" s="13" t="s">
        <v>837</v>
      </c>
      <c r="F47" s="12">
        <f t="shared" si="2"/>
        <v>25</v>
      </c>
      <c r="G47" s="12">
        <f t="shared" si="3"/>
        <v>25</v>
      </c>
      <c r="H47" s="14"/>
    </row>
    <row r="48" ht="30" customHeight="1" spans="1:7">
      <c r="A48" s="8">
        <v>25</v>
      </c>
      <c r="B48" s="9" t="str">
        <f>D49</f>
        <v>“海的女儿”韩喜球：深海探矿寻宝 在大洋中乘风破浪</v>
      </c>
      <c r="C48" s="10" t="s">
        <v>364</v>
      </c>
      <c r="D48" s="11" t="s">
        <v>838</v>
      </c>
      <c r="E48" s="11" t="s">
        <v>838</v>
      </c>
      <c r="F48" s="12">
        <f t="shared" si="2"/>
        <v>101</v>
      </c>
      <c r="G48" s="12">
        <f t="shared" si="3"/>
        <v>101</v>
      </c>
    </row>
    <row r="49" ht="30" customHeight="1" spans="1:8">
      <c r="A49" s="8"/>
      <c r="B49" s="9"/>
      <c r="C49" s="10" t="s">
        <v>34</v>
      </c>
      <c r="D49" s="13" t="s">
        <v>839</v>
      </c>
      <c r="E49" s="13" t="s">
        <v>839</v>
      </c>
      <c r="F49" s="12">
        <f t="shared" si="2"/>
        <v>25</v>
      </c>
      <c r="G49" s="12">
        <f t="shared" si="3"/>
        <v>25</v>
      </c>
      <c r="H49" s="14"/>
    </row>
    <row r="50" ht="30" customHeight="1" spans="1:7">
      <c r="A50" s="8">
        <v>26</v>
      </c>
      <c r="B50" s="9" t="str">
        <f>D51</f>
        <v>“玩骨头的卢老师” 她让冷门的古生物学“热”了起来</v>
      </c>
      <c r="C50" s="10" t="s">
        <v>364</v>
      </c>
      <c r="D50" s="11" t="s">
        <v>840</v>
      </c>
      <c r="E50" s="11" t="s">
        <v>840</v>
      </c>
      <c r="F50" s="12">
        <f t="shared" ref="F50:F67" si="4">LEN(D50)</f>
        <v>66</v>
      </c>
      <c r="G50" s="12">
        <f t="shared" ref="G50:G67" si="5">LEN(E50)</f>
        <v>66</v>
      </c>
    </row>
    <row r="51" ht="30" customHeight="1" spans="1:8">
      <c r="A51" s="8"/>
      <c r="B51" s="9"/>
      <c r="C51" s="10" t="s">
        <v>34</v>
      </c>
      <c r="D51" s="13" t="s">
        <v>841</v>
      </c>
      <c r="E51" s="13" t="s">
        <v>841</v>
      </c>
      <c r="F51" s="12">
        <f t="shared" si="4"/>
        <v>25</v>
      </c>
      <c r="G51" s="12">
        <f t="shared" si="5"/>
        <v>25</v>
      </c>
      <c r="H51" s="14"/>
    </row>
    <row r="52" ht="30" customHeight="1" spans="1:7">
      <c r="A52" s="8">
        <v>27</v>
      </c>
      <c r="B52" s="9" t="str">
        <f>D53</f>
        <v>方守贤：叩击微观世界大门 为祖国造高能加速器</v>
      </c>
      <c r="C52" s="10" t="s">
        <v>364</v>
      </c>
      <c r="D52" s="11" t="s">
        <v>842</v>
      </c>
      <c r="E52" s="11" t="s">
        <v>842</v>
      </c>
      <c r="F52" s="12">
        <f t="shared" si="4"/>
        <v>105</v>
      </c>
      <c r="G52" s="12">
        <f t="shared" si="5"/>
        <v>105</v>
      </c>
    </row>
    <row r="53" ht="30" customHeight="1" spans="1:8">
      <c r="A53" s="8"/>
      <c r="B53" s="9"/>
      <c r="C53" s="10" t="s">
        <v>34</v>
      </c>
      <c r="D53" s="13" t="s">
        <v>843</v>
      </c>
      <c r="E53" s="13" t="s">
        <v>843</v>
      </c>
      <c r="F53" s="12">
        <f t="shared" si="4"/>
        <v>22</v>
      </c>
      <c r="G53" s="12">
        <f t="shared" si="5"/>
        <v>22</v>
      </c>
      <c r="H53" s="14"/>
    </row>
    <row r="54" ht="30" customHeight="1" spans="1:7">
      <c r="A54" s="8">
        <v>28</v>
      </c>
      <c r="B54" s="9" t="str">
        <f>D55</f>
        <v>付巧妹：用古DNA技术“绘”人类演变图谱</v>
      </c>
      <c r="C54" s="10" t="s">
        <v>364</v>
      </c>
      <c r="D54" s="11" t="s">
        <v>844</v>
      </c>
      <c r="E54" s="11" t="s">
        <v>844</v>
      </c>
      <c r="F54" s="12">
        <f t="shared" si="4"/>
        <v>63</v>
      </c>
      <c r="G54" s="12">
        <f t="shared" si="5"/>
        <v>63</v>
      </c>
    </row>
    <row r="55" ht="30" customHeight="1" spans="1:8">
      <c r="A55" s="8"/>
      <c r="B55" s="9"/>
      <c r="C55" s="10" t="s">
        <v>34</v>
      </c>
      <c r="D55" s="13" t="s">
        <v>845</v>
      </c>
      <c r="E55" s="13" t="s">
        <v>845</v>
      </c>
      <c r="F55" s="12">
        <f t="shared" si="4"/>
        <v>20</v>
      </c>
      <c r="G55" s="12">
        <f t="shared" si="5"/>
        <v>20</v>
      </c>
      <c r="H55" s="14"/>
    </row>
    <row r="56" ht="30" customHeight="1" spans="1:7">
      <c r="A56" s="8">
        <v>29</v>
      </c>
      <c r="B56" s="9" t="str">
        <f>D57</f>
        <v>郭天财：四十六年如一日 为小麦高产“问诊把脉”</v>
      </c>
      <c r="C56" s="10" t="s">
        <v>364</v>
      </c>
      <c r="D56" s="11" t="s">
        <v>846</v>
      </c>
      <c r="E56" s="11" t="s">
        <v>846</v>
      </c>
      <c r="F56" s="12">
        <f t="shared" si="4"/>
        <v>83</v>
      </c>
      <c r="G56" s="12">
        <f t="shared" si="5"/>
        <v>83</v>
      </c>
    </row>
    <row r="57" ht="30" customHeight="1" spans="1:8">
      <c r="A57" s="8"/>
      <c r="B57" s="9"/>
      <c r="C57" s="10" t="s">
        <v>34</v>
      </c>
      <c r="D57" s="13" t="s">
        <v>847</v>
      </c>
      <c r="E57" s="13" t="s">
        <v>847</v>
      </c>
      <c r="F57" s="12">
        <f t="shared" si="4"/>
        <v>23</v>
      </c>
      <c r="G57" s="12">
        <f t="shared" si="5"/>
        <v>23</v>
      </c>
      <c r="H57" s="14"/>
    </row>
    <row r="58" ht="30" customHeight="1" spans="1:7">
      <c r="A58" s="8">
        <v>30</v>
      </c>
      <c r="B58" s="9" t="str">
        <f>D59</f>
        <v>跨越百年 这条铁路从“人”字变成“大”字</v>
      </c>
      <c r="C58" s="10" t="s">
        <v>364</v>
      </c>
      <c r="D58" s="11" t="s">
        <v>848</v>
      </c>
      <c r="E58" s="11" t="s">
        <v>848</v>
      </c>
      <c r="F58" s="12">
        <f t="shared" si="4"/>
        <v>85</v>
      </c>
      <c r="G58" s="12">
        <f t="shared" si="5"/>
        <v>85</v>
      </c>
    </row>
    <row r="59" ht="30" customHeight="1" spans="1:8">
      <c r="A59" s="8"/>
      <c r="B59" s="9"/>
      <c r="C59" s="10" t="s">
        <v>34</v>
      </c>
      <c r="D59" s="13" t="s">
        <v>849</v>
      </c>
      <c r="E59" s="13" t="s">
        <v>849</v>
      </c>
      <c r="F59" s="12">
        <f t="shared" si="4"/>
        <v>20</v>
      </c>
      <c r="G59" s="12">
        <f t="shared" si="5"/>
        <v>20</v>
      </c>
      <c r="H59" s="14"/>
    </row>
    <row r="60" ht="30" customHeight="1" spans="1:7">
      <c r="A60" s="8">
        <v>31</v>
      </c>
      <c r="B60" s="9" t="str">
        <f>D61</f>
        <v>李敏：星辰为引 标注北斗精度</v>
      </c>
      <c r="C60" s="10" t="s">
        <v>364</v>
      </c>
      <c r="D60" s="11" t="s">
        <v>850</v>
      </c>
      <c r="E60" s="11" t="s">
        <v>850</v>
      </c>
      <c r="F60" s="12">
        <f t="shared" si="4"/>
        <v>60</v>
      </c>
      <c r="G60" s="12">
        <f t="shared" si="5"/>
        <v>60</v>
      </c>
    </row>
    <row r="61" ht="30" customHeight="1" spans="1:8">
      <c r="A61" s="8"/>
      <c r="B61" s="9"/>
      <c r="C61" s="10" t="s">
        <v>34</v>
      </c>
      <c r="D61" s="13" t="s">
        <v>851</v>
      </c>
      <c r="E61" s="13" t="s">
        <v>851</v>
      </c>
      <c r="F61" s="12">
        <f t="shared" si="4"/>
        <v>14</v>
      </c>
      <c r="G61" s="12">
        <f t="shared" si="5"/>
        <v>14</v>
      </c>
      <c r="H61" s="14"/>
    </row>
    <row r="62" ht="30" customHeight="1" spans="1:7">
      <c r="A62" s="8">
        <v>32</v>
      </c>
      <c r="B62" s="9" t="str">
        <f>D63</f>
        <v>万里迁徙，候鸟为何不迷路？这位科学家揭秘答案</v>
      </c>
      <c r="C62" s="10" t="s">
        <v>364</v>
      </c>
      <c r="D62" s="11" t="s">
        <v>852</v>
      </c>
      <c r="E62" s="11" t="s">
        <v>852</v>
      </c>
      <c r="F62" s="12">
        <f t="shared" si="4"/>
        <v>102</v>
      </c>
      <c r="G62" s="12">
        <f t="shared" si="5"/>
        <v>102</v>
      </c>
    </row>
    <row r="63" ht="30" customHeight="1" spans="1:8">
      <c r="A63" s="8"/>
      <c r="B63" s="9"/>
      <c r="C63" s="10" t="s">
        <v>34</v>
      </c>
      <c r="D63" s="13" t="s">
        <v>853</v>
      </c>
      <c r="E63" s="13" t="s">
        <v>853</v>
      </c>
      <c r="F63" s="12">
        <f t="shared" si="4"/>
        <v>22</v>
      </c>
      <c r="G63" s="12">
        <f t="shared" si="5"/>
        <v>22</v>
      </c>
      <c r="H63" s="14"/>
    </row>
    <row r="64" ht="30" customHeight="1" spans="1:7">
      <c r="A64" s="8">
        <v>33</v>
      </c>
      <c r="B64" s="9" t="str">
        <f>D65</f>
        <v>尤伟：青春在“羲和逐日”中闪光</v>
      </c>
      <c r="C64" s="10" t="s">
        <v>364</v>
      </c>
      <c r="D64" s="11" t="s">
        <v>854</v>
      </c>
      <c r="E64" s="11" t="s">
        <v>854</v>
      </c>
      <c r="F64" s="12">
        <f t="shared" si="4"/>
        <v>59</v>
      </c>
      <c r="G64" s="12">
        <f t="shared" si="5"/>
        <v>59</v>
      </c>
    </row>
    <row r="65" ht="30" customHeight="1" spans="1:8">
      <c r="A65" s="8"/>
      <c r="B65" s="9"/>
      <c r="C65" s="10" t="s">
        <v>34</v>
      </c>
      <c r="D65" s="13" t="s">
        <v>855</v>
      </c>
      <c r="E65" s="13" t="s">
        <v>855</v>
      </c>
      <c r="F65" s="12">
        <f t="shared" si="4"/>
        <v>15</v>
      </c>
      <c r="G65" s="12">
        <f t="shared" si="5"/>
        <v>15</v>
      </c>
      <c r="H65" s="14"/>
    </row>
    <row r="66" ht="30" customHeight="1" spans="1:7">
      <c r="A66" s="8">
        <v>34</v>
      </c>
      <c r="B66" s="9" t="str">
        <f>D67</f>
        <v>“固若金汤”的核电站：全球首座高温气冷堆核电站示范工程</v>
      </c>
      <c r="C66" s="10" t="s">
        <v>364</v>
      </c>
      <c r="D66" s="11" t="s">
        <v>856</v>
      </c>
      <c r="E66" s="11" t="s">
        <v>856</v>
      </c>
      <c r="F66" s="12">
        <f t="shared" si="4"/>
        <v>44</v>
      </c>
      <c r="G66" s="12">
        <f t="shared" si="5"/>
        <v>44</v>
      </c>
    </row>
    <row r="67" ht="30" customHeight="1" spans="1:8">
      <c r="A67" s="8"/>
      <c r="B67" s="9"/>
      <c r="C67" s="10" t="s">
        <v>34</v>
      </c>
      <c r="D67" s="13" t="s">
        <v>857</v>
      </c>
      <c r="E67" s="13" t="s">
        <v>857</v>
      </c>
      <c r="F67" s="12">
        <f t="shared" si="4"/>
        <v>27</v>
      </c>
      <c r="G67" s="12">
        <f t="shared" si="5"/>
        <v>27</v>
      </c>
      <c r="H67" s="14"/>
    </row>
    <row r="68" ht="30" customHeight="1" spans="1:7">
      <c r="A68" s="8">
        <v>35</v>
      </c>
      <c r="B68" s="9" t="str">
        <f>D69</f>
        <v>带着月球“土特产”回家：嫦娥五号</v>
      </c>
      <c r="C68" s="10" t="s">
        <v>364</v>
      </c>
      <c r="D68" s="11" t="s">
        <v>858</v>
      </c>
      <c r="E68" s="11" t="s">
        <v>858</v>
      </c>
      <c r="F68" s="12">
        <f t="shared" ref="F68:F101" si="6">LEN(D68)</f>
        <v>36</v>
      </c>
      <c r="G68" s="12">
        <f t="shared" ref="G68:G101" si="7">LEN(E68)</f>
        <v>36</v>
      </c>
    </row>
    <row r="69" ht="30" customHeight="1" spans="1:8">
      <c r="A69" s="8"/>
      <c r="B69" s="9"/>
      <c r="C69" s="10" t="s">
        <v>34</v>
      </c>
      <c r="D69" s="13" t="s">
        <v>859</v>
      </c>
      <c r="E69" s="13" t="s">
        <v>859</v>
      </c>
      <c r="F69" s="12">
        <f t="shared" si="6"/>
        <v>16</v>
      </c>
      <c r="G69" s="12">
        <f t="shared" si="7"/>
        <v>16</v>
      </c>
      <c r="H69" s="14"/>
    </row>
    <row r="70" ht="30" customHeight="1" spans="1:7">
      <c r="A70" s="8">
        <v>36</v>
      </c>
      <c r="B70" s="9" t="str">
        <f>D71</f>
        <v>洞悉宇宙的“中国天眼”——500米口径球面射电望远镜</v>
      </c>
      <c r="C70" s="10" t="s">
        <v>364</v>
      </c>
      <c r="D70" s="11" t="s">
        <v>860</v>
      </c>
      <c r="E70" s="11" t="s">
        <v>860</v>
      </c>
      <c r="F70" s="12">
        <f t="shared" si="6"/>
        <v>75</v>
      </c>
      <c r="G70" s="12">
        <f t="shared" si="7"/>
        <v>75</v>
      </c>
    </row>
    <row r="71" ht="30" customHeight="1" spans="1:8">
      <c r="A71" s="8"/>
      <c r="B71" s="9"/>
      <c r="C71" s="10" t="s">
        <v>34</v>
      </c>
      <c r="D71" s="13" t="s">
        <v>861</v>
      </c>
      <c r="E71" s="13" t="s">
        <v>861</v>
      </c>
      <c r="F71" s="12">
        <f t="shared" si="6"/>
        <v>26</v>
      </c>
      <c r="G71" s="12">
        <f t="shared" si="7"/>
        <v>26</v>
      </c>
      <c r="H71" s="14"/>
    </row>
    <row r="72" ht="30" customHeight="1" spans="1:7">
      <c r="A72" s="8">
        <v>37</v>
      </c>
      <c r="B72" s="9" t="str">
        <f>D73</f>
        <v>高海拔宇宙线观测站</v>
      </c>
      <c r="C72" s="10" t="s">
        <v>364</v>
      </c>
      <c r="D72" s="11" t="s">
        <v>862</v>
      </c>
      <c r="E72" s="11" t="s">
        <v>862</v>
      </c>
      <c r="F72" s="12">
        <f t="shared" si="6"/>
        <v>42</v>
      </c>
      <c r="G72" s="12">
        <f t="shared" si="7"/>
        <v>42</v>
      </c>
    </row>
    <row r="73" ht="30" customHeight="1" spans="1:8">
      <c r="A73" s="8"/>
      <c r="B73" s="9"/>
      <c r="C73" s="10" t="s">
        <v>34</v>
      </c>
      <c r="D73" s="13" t="s">
        <v>863</v>
      </c>
      <c r="E73" s="13" t="s">
        <v>863</v>
      </c>
      <c r="F73" s="12">
        <f t="shared" si="6"/>
        <v>9</v>
      </c>
      <c r="G73" s="12">
        <f t="shared" si="7"/>
        <v>9</v>
      </c>
      <c r="H73" s="14"/>
    </row>
    <row r="74" ht="30" customHeight="1" spans="1:7">
      <c r="A74" s="8">
        <v>38</v>
      </c>
      <c r="B74" s="9" t="str">
        <f>D75</f>
        <v>国产最大直径盾构机“京华号”</v>
      </c>
      <c r="C74" s="10" t="s">
        <v>364</v>
      </c>
      <c r="D74" s="11" t="s">
        <v>864</v>
      </c>
      <c r="E74" s="11" t="s">
        <v>864</v>
      </c>
      <c r="F74" s="12">
        <f t="shared" si="6"/>
        <v>60</v>
      </c>
      <c r="G74" s="12">
        <f t="shared" si="7"/>
        <v>60</v>
      </c>
    </row>
    <row r="75" ht="30" customHeight="1" spans="1:8">
      <c r="A75" s="8"/>
      <c r="B75" s="9"/>
      <c r="C75" s="10" t="s">
        <v>34</v>
      </c>
      <c r="D75" s="13" t="s">
        <v>865</v>
      </c>
      <c r="E75" s="13" t="s">
        <v>865</v>
      </c>
      <c r="F75" s="12">
        <f t="shared" si="6"/>
        <v>14</v>
      </c>
      <c r="G75" s="12">
        <f t="shared" si="7"/>
        <v>14</v>
      </c>
      <c r="H75" s="14"/>
    </row>
    <row r="76" ht="30" customHeight="1" spans="1:7">
      <c r="A76" s="8">
        <v>39</v>
      </c>
      <c r="B76" s="9" t="str">
        <f>D77</f>
        <v>国家微生物科学数据中心</v>
      </c>
      <c r="C76" s="10" t="s">
        <v>364</v>
      </c>
      <c r="D76" s="11" t="s">
        <v>866</v>
      </c>
      <c r="E76" s="11" t="s">
        <v>866</v>
      </c>
      <c r="F76" s="12">
        <f t="shared" si="6"/>
        <v>33</v>
      </c>
      <c r="G76" s="12">
        <f t="shared" si="7"/>
        <v>33</v>
      </c>
    </row>
    <row r="77" ht="30" customHeight="1" spans="1:8">
      <c r="A77" s="8"/>
      <c r="B77" s="9"/>
      <c r="C77" s="10" t="s">
        <v>34</v>
      </c>
      <c r="D77" s="13" t="s">
        <v>867</v>
      </c>
      <c r="E77" s="13" t="s">
        <v>867</v>
      </c>
      <c r="F77" s="12">
        <f t="shared" si="6"/>
        <v>11</v>
      </c>
      <c r="G77" s="12">
        <f t="shared" si="7"/>
        <v>11</v>
      </c>
      <c r="H77" s="14"/>
    </row>
    <row r="78" ht="30" customHeight="1" spans="1:7">
      <c r="A78" s="8">
        <v>40</v>
      </c>
      <c r="B78" s="9" t="str">
        <f>D79</f>
        <v>基因编辑的精准“剪刀”</v>
      </c>
      <c r="C78" s="10" t="s">
        <v>364</v>
      </c>
      <c r="D78" s="11" t="s">
        <v>868</v>
      </c>
      <c r="E78" s="11" t="s">
        <v>868</v>
      </c>
      <c r="F78" s="12">
        <f t="shared" si="6"/>
        <v>40</v>
      </c>
      <c r="G78" s="12">
        <f t="shared" si="7"/>
        <v>40</v>
      </c>
    </row>
    <row r="79" ht="30" customHeight="1" spans="1:8">
      <c r="A79" s="8"/>
      <c r="B79" s="9"/>
      <c r="C79" s="10" t="s">
        <v>34</v>
      </c>
      <c r="D79" s="13" t="s">
        <v>869</v>
      </c>
      <c r="E79" s="13" t="s">
        <v>869</v>
      </c>
      <c r="F79" s="12">
        <f t="shared" si="6"/>
        <v>11</v>
      </c>
      <c r="G79" s="12">
        <f t="shared" si="7"/>
        <v>11</v>
      </c>
      <c r="H79" s="14"/>
    </row>
    <row r="80" ht="30" customHeight="1" spans="1:7">
      <c r="A80" s="8">
        <v>41</v>
      </c>
      <c r="B80" s="9" t="str">
        <f>D81</f>
        <v>极地科学考察船“雪龙2”号</v>
      </c>
      <c r="C80" s="10" t="s">
        <v>364</v>
      </c>
      <c r="D80" s="11" t="s">
        <v>870</v>
      </c>
      <c r="E80" s="11" t="s">
        <v>870</v>
      </c>
      <c r="F80" s="12">
        <f t="shared" si="6"/>
        <v>45</v>
      </c>
      <c r="G80" s="12">
        <f t="shared" si="7"/>
        <v>45</v>
      </c>
    </row>
    <row r="81" ht="30" customHeight="1" spans="1:8">
      <c r="A81" s="8"/>
      <c r="B81" s="9"/>
      <c r="C81" s="10" t="s">
        <v>34</v>
      </c>
      <c r="D81" s="13" t="s">
        <v>871</v>
      </c>
      <c r="E81" s="13" t="s">
        <v>871</v>
      </c>
      <c r="F81" s="12">
        <f t="shared" si="6"/>
        <v>13</v>
      </c>
      <c r="G81" s="12">
        <f t="shared" si="7"/>
        <v>13</v>
      </c>
      <c r="H81" s="14"/>
    </row>
    <row r="82" ht="30" customHeight="1" spans="1:7">
      <c r="A82" s="8">
        <v>42</v>
      </c>
      <c r="B82" s="9" t="str">
        <f>D83</f>
        <v>极低温区基准级测温装置</v>
      </c>
      <c r="C82" s="10" t="s">
        <v>364</v>
      </c>
      <c r="D82" s="11" t="s">
        <v>872</v>
      </c>
      <c r="E82" s="11" t="s">
        <v>872</v>
      </c>
      <c r="F82" s="12">
        <f t="shared" si="6"/>
        <v>44</v>
      </c>
      <c r="G82" s="12">
        <f t="shared" si="7"/>
        <v>44</v>
      </c>
    </row>
    <row r="83" ht="30" customHeight="1" spans="1:8">
      <c r="A83" s="8"/>
      <c r="B83" s="9"/>
      <c r="C83" s="10" t="s">
        <v>34</v>
      </c>
      <c r="D83" s="13" t="s">
        <v>873</v>
      </c>
      <c r="E83" s="13" t="s">
        <v>873</v>
      </c>
      <c r="F83" s="12">
        <f t="shared" si="6"/>
        <v>11</v>
      </c>
      <c r="G83" s="12">
        <f t="shared" si="7"/>
        <v>11</v>
      </c>
      <c r="H83" s="14"/>
    </row>
    <row r="84" ht="30" customHeight="1" spans="1:7">
      <c r="A84" s="8">
        <v>43</v>
      </c>
      <c r="B84" s="9" t="str">
        <f>D85</f>
        <v>全能影像诊断设备：一体化PET_MR</v>
      </c>
      <c r="C84" s="10" t="s">
        <v>364</v>
      </c>
      <c r="D84" s="11" t="s">
        <v>874</v>
      </c>
      <c r="E84" s="11" t="s">
        <v>874</v>
      </c>
      <c r="F84" s="12">
        <f t="shared" si="6"/>
        <v>55</v>
      </c>
      <c r="G84" s="12">
        <f t="shared" si="7"/>
        <v>55</v>
      </c>
    </row>
    <row r="85" ht="30" customHeight="1" spans="1:8">
      <c r="A85" s="8"/>
      <c r="B85" s="9"/>
      <c r="C85" s="10" t="s">
        <v>34</v>
      </c>
      <c r="D85" s="13" t="s">
        <v>875</v>
      </c>
      <c r="E85" s="13" t="s">
        <v>875</v>
      </c>
      <c r="F85" s="12">
        <f t="shared" si="6"/>
        <v>18</v>
      </c>
      <c r="G85" s="12">
        <f t="shared" si="7"/>
        <v>18</v>
      </c>
      <c r="H85" s="14"/>
    </row>
    <row r="86" ht="30" customHeight="1" spans="1:7">
      <c r="A86" s="8">
        <v>44</v>
      </c>
      <c r="B86" s="9" t="str">
        <f>D87</f>
        <v>探秘地球“第四极”：全海深载人潜水器“奋斗者”号</v>
      </c>
      <c r="C86" s="10" t="s">
        <v>364</v>
      </c>
      <c r="D86" s="11" t="s">
        <v>876</v>
      </c>
      <c r="E86" s="11" t="s">
        <v>876</v>
      </c>
      <c r="F86" s="12">
        <f t="shared" si="6"/>
        <v>85</v>
      </c>
      <c r="G86" s="12">
        <f t="shared" si="7"/>
        <v>85</v>
      </c>
    </row>
    <row r="87" ht="30" customHeight="1" spans="1:8">
      <c r="A87" s="8"/>
      <c r="B87" s="9"/>
      <c r="C87" s="10" t="s">
        <v>34</v>
      </c>
      <c r="D87" s="13" t="s">
        <v>877</v>
      </c>
      <c r="E87" s="13" t="s">
        <v>877</v>
      </c>
      <c r="F87" s="12">
        <f t="shared" si="6"/>
        <v>24</v>
      </c>
      <c r="G87" s="12">
        <f t="shared" si="7"/>
        <v>24</v>
      </c>
      <c r="H87" s="14"/>
    </row>
    <row r="88" ht="30" customHeight="1" spans="1:7">
      <c r="A88" s="8">
        <v>45</v>
      </c>
      <c r="B88" s="9" t="str">
        <f>D89</f>
        <v>探求未来理想的清洁能源：东方超环</v>
      </c>
      <c r="C88" s="10" t="s">
        <v>364</v>
      </c>
      <c r="D88" s="11" t="s">
        <v>878</v>
      </c>
      <c r="E88" s="11" t="s">
        <v>878</v>
      </c>
      <c r="F88" s="12">
        <f t="shared" si="6"/>
        <v>104</v>
      </c>
      <c r="G88" s="12">
        <f t="shared" si="7"/>
        <v>104</v>
      </c>
    </row>
    <row r="89" ht="30" customHeight="1" spans="1:8">
      <c r="A89" s="8"/>
      <c r="B89" s="9"/>
      <c r="C89" s="10" t="s">
        <v>34</v>
      </c>
      <c r="D89" s="13" t="s">
        <v>879</v>
      </c>
      <c r="E89" s="13" t="s">
        <v>879</v>
      </c>
      <c r="F89" s="12">
        <f t="shared" si="6"/>
        <v>16</v>
      </c>
      <c r="G89" s="12">
        <f t="shared" si="7"/>
        <v>16</v>
      </c>
      <c r="H89" s="14"/>
    </row>
    <row r="90" ht="30" customHeight="1" spans="1:7">
      <c r="A90" s="8">
        <v>46</v>
      </c>
      <c r="B90" s="9" t="str">
        <f>D91</f>
        <v>星际探测的火种：首辆火星车祝融号</v>
      </c>
      <c r="C90" s="10" t="s">
        <v>364</v>
      </c>
      <c r="D90" s="11" t="s">
        <v>880</v>
      </c>
      <c r="E90" s="11" t="s">
        <v>880</v>
      </c>
      <c r="F90" s="12">
        <f t="shared" si="6"/>
        <v>72</v>
      </c>
      <c r="G90" s="12">
        <f t="shared" si="7"/>
        <v>72</v>
      </c>
    </row>
    <row r="91" ht="30" customHeight="1" spans="1:8">
      <c r="A91" s="8"/>
      <c r="B91" s="9"/>
      <c r="C91" s="10" t="s">
        <v>34</v>
      </c>
      <c r="D91" s="13" t="s">
        <v>881</v>
      </c>
      <c r="E91" s="13" t="s">
        <v>881</v>
      </c>
      <c r="F91" s="12">
        <f t="shared" si="6"/>
        <v>16</v>
      </c>
      <c r="G91" s="12">
        <f t="shared" si="7"/>
        <v>16</v>
      </c>
      <c r="H91" s="14"/>
    </row>
    <row r="92" ht="30" customHeight="1" spans="1:7">
      <c r="A92" s="8">
        <v>47</v>
      </c>
      <c r="B92" s="9" t="str">
        <f>D93</f>
        <v>中国空间站：“太空，我们来了！”</v>
      </c>
      <c r="C92" s="10" t="s">
        <v>364</v>
      </c>
      <c r="D92" s="11" t="s">
        <v>882</v>
      </c>
      <c r="E92" s="11" t="s">
        <v>882</v>
      </c>
      <c r="F92" s="12">
        <f t="shared" si="6"/>
        <v>36</v>
      </c>
      <c r="G92" s="12">
        <f t="shared" si="7"/>
        <v>36</v>
      </c>
    </row>
    <row r="93" ht="30" customHeight="1" spans="1:8">
      <c r="A93" s="8"/>
      <c r="B93" s="9"/>
      <c r="C93" s="10" t="s">
        <v>34</v>
      </c>
      <c r="D93" s="13" t="s">
        <v>883</v>
      </c>
      <c r="E93" s="13" t="s">
        <v>883</v>
      </c>
      <c r="F93" s="12">
        <f t="shared" si="6"/>
        <v>16</v>
      </c>
      <c r="G93" s="12">
        <f t="shared" si="7"/>
        <v>16</v>
      </c>
      <c r="H93" s="14"/>
    </row>
    <row r="94" ht="30" customHeight="1" spans="1:7">
      <c r="A94" s="8">
        <v>48</v>
      </c>
      <c r="B94" s="9" t="str">
        <f>D95</f>
        <v>中国实现“量子优越性”的里程碑 量子计算机“九章”</v>
      </c>
      <c r="C94" s="10" t="s">
        <v>364</v>
      </c>
      <c r="D94" s="11" t="s">
        <v>884</v>
      </c>
      <c r="E94" s="11" t="s">
        <v>884</v>
      </c>
      <c r="F94" s="12">
        <f t="shared" si="6"/>
        <v>67</v>
      </c>
      <c r="G94" s="12">
        <f t="shared" si="7"/>
        <v>67</v>
      </c>
    </row>
    <row r="95" ht="30" customHeight="1" spans="1:8">
      <c r="A95" s="8"/>
      <c r="B95" s="9"/>
      <c r="C95" s="10" t="s">
        <v>34</v>
      </c>
      <c r="D95" s="13" t="s">
        <v>885</v>
      </c>
      <c r="E95" s="13" t="s">
        <v>885</v>
      </c>
      <c r="F95" s="12">
        <f t="shared" si="6"/>
        <v>25</v>
      </c>
      <c r="G95" s="12">
        <f t="shared" si="7"/>
        <v>25</v>
      </c>
      <c r="H95" s="14"/>
    </row>
  </sheetData>
  <mergeCells count="9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Revision History</vt:lpstr>
      <vt:lpstr>Movie</vt:lpstr>
      <vt:lpstr>TV</vt:lpstr>
      <vt:lpstr>Short video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Envee</cp:lastModifiedBy>
  <dcterms:created xsi:type="dcterms:W3CDTF">2022-07-14T03:41:00Z</dcterms:created>
  <dcterms:modified xsi:type="dcterms:W3CDTF">2025-06-30T08:57:28Z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825A8B20842542019A3CB23EEE96CD60_13</vt:lpwstr>
  </property>
  <property fmtid="{D5CDD505-2E9C-101B-9397-08002B2CF9AE}" pid="3" name="KSOProductBuildVer">
    <vt:lpwstr>2052-12.1.0.21541</vt:lpwstr>
  </property>
  <property fmtid="{D5CDD505-2E9C-101B-9397-08002B2CF9AE}" pid="4" name="KSOReadingLayout">
    <vt:bool>true</vt:bool>
  </property>
</Properties>
</file>