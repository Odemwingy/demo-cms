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ustomStorage/customStorage.xml" ContentType="application/vnd.wps-officedocument.customStorage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3910" windowHeight="16260" tabRatio="651" activeTab="7"/>
  </bookViews>
  <sheets>
    <sheet name="Revision History" sheetId="6" r:id="rId1"/>
    <sheet name="Movie" sheetId="7" r:id="rId2"/>
    <sheet name="TV" sheetId="15" r:id="rId3"/>
    <sheet name="Advertising" sheetId="14" r:id="rId4"/>
    <sheet name="Overhead" sheetId="12" r:id="rId5"/>
    <sheet name="Safety Video " sheetId="11" state="hidden" r:id="rId6"/>
    <sheet name="Safety Video" sheetId="20" r:id="rId7"/>
    <sheet name="Broadcast Video " sheetId="16" r:id="rId8"/>
    <sheet name="Daily News" sheetId="9" r:id="rId9"/>
    <sheet name="Audio BGM" sheetId="21" r:id="rId10"/>
    <sheet name="Video BGM" sheetId="13" state="hidden" r:id="rId11"/>
  </sheets>
  <externalReferences>
    <externalReference r:id="rId13"/>
    <externalReference r:id="rId14"/>
  </externalReferences>
  <definedNames>
    <definedName name="_xlnm._FilterDatabase" localSheetId="1" hidden="1">Movie!$A$4:$AM$49</definedName>
    <definedName name="_xlnm._FilterDatabase" localSheetId="4" hidden="1">Overhead!$A$4:$AQ$74</definedName>
    <definedName name="_xlnm._FilterDatabase" localSheetId="6" hidden="1">'Safety Video'!$A$4:$DM$34</definedName>
    <definedName name="_xlnm._FilterDatabase" localSheetId="2" hidden="1">TV!$A$4:$AHE$4</definedName>
    <definedName name="_xlnm._FilterDatabase" localSheetId="3" hidden="1">Advertising!$C$2:$J$3</definedName>
    <definedName name="FM_ATP" localSheetId="3">'[1]FM ATP'!$A$2:$A$71</definedName>
    <definedName name="FM_ATP" localSheetId="7">'[1]FM ATP'!$A$2:$A$71</definedName>
    <definedName name="FM_ATP" localSheetId="8">'[1]FM ATP'!$A$2:$A$71</definedName>
    <definedName name="FM_ATP" localSheetId="1">'[1]FM ATP'!$A$2:$A$71</definedName>
    <definedName name="FM_ATP" localSheetId="4">'[1]FM ATP'!$A$2:$A$71</definedName>
    <definedName name="FM_ATP" localSheetId="0">'[1]FM ATP'!$A$2:$A$71</definedName>
    <definedName name="FM_ATP" localSheetId="5">'[1]FM ATP'!$A$2:$A$71</definedName>
    <definedName name="FM_ATP" localSheetId="2">'[1]FM ATP'!$A$2:$A$71</definedName>
    <definedName name="FM_ATP" localSheetId="10">'[1]FM ATP'!$A$2:$A$71</definedName>
    <definedName name="FM_ATP">'[2]FM ATP'!$A$2:$A$71</definedName>
    <definedName name="FM_CO" localSheetId="3">'[1]FM CloseOut'!$A$2:$A$6</definedName>
    <definedName name="FM_CO" localSheetId="7">'[1]FM CloseOut'!$A$2:$A$6</definedName>
    <definedName name="FM_CO" localSheetId="8">'[1]FM CloseOut'!$A$2:$A$6</definedName>
    <definedName name="FM_CO" localSheetId="1">'[1]FM CloseOut'!$A$2:$A$6</definedName>
    <definedName name="FM_CO" localSheetId="4">'[1]FM CloseOut'!$A$2:$A$6</definedName>
    <definedName name="FM_CO" localSheetId="0">'[1]FM CloseOut'!$A$2:$A$6</definedName>
    <definedName name="FM_CO" localSheetId="5">'[1]FM CloseOut'!$A$2:$A$6</definedName>
    <definedName name="FM_CO" localSheetId="2">'[1]FM CloseOut'!$A$2:$A$6</definedName>
    <definedName name="FM_CO" localSheetId="10">'[1]FM CloseOut'!$A$2:$A$6</definedName>
    <definedName name="FM_CO">'[2]FM CloseOut'!$A$2:$A$6</definedName>
    <definedName name="FM_Config" localSheetId="3">'[1]FM Config'!$A$2:$A$10</definedName>
    <definedName name="FM_Config" localSheetId="7">'[1]FM Config'!$A$2:$A$10</definedName>
    <definedName name="FM_Config" localSheetId="8">'[1]FM Config'!$A$2:$A$10</definedName>
    <definedName name="FM_Config" localSheetId="1">'[1]FM Config'!$A$2:$A$10</definedName>
    <definedName name="FM_Config" localSheetId="4">'[1]FM Config'!$A$2:$A$10</definedName>
    <definedName name="FM_Config" localSheetId="0">'[1]FM Config'!$A$2:$A$10</definedName>
    <definedName name="FM_Config" localSheetId="5">'[1]FM Config'!$A$2:$A$10</definedName>
    <definedName name="FM_Config" localSheetId="2">'[1]FM Config'!$A$2:$A$10</definedName>
    <definedName name="FM_Config" localSheetId="10">'[1]FM Config'!$A$2:$A$10</definedName>
    <definedName name="FM_Config">'[2]FM Config'!$A$2:$A$10</definedName>
    <definedName name="FM_DC" localSheetId="3">'[1]FM Diff'!$A$2:$A$11</definedName>
    <definedName name="FM_DC" localSheetId="7">'[1]FM Diff'!$A$2:$A$11</definedName>
    <definedName name="FM_DC" localSheetId="8">'[1]FM Diff'!$A$2:$A$11</definedName>
    <definedName name="FM_DC" localSheetId="1">'[1]FM Diff'!$A$2:$A$11</definedName>
    <definedName name="FM_DC" localSheetId="4">'[1]FM Diff'!$A$2:$A$11</definedName>
    <definedName name="FM_DC" localSheetId="0">'[1]FM Diff'!$A$2:$A$11</definedName>
    <definedName name="FM_DC" localSheetId="5">'[1]FM Diff'!$A$2:$A$11</definedName>
    <definedName name="FM_DC" localSheetId="2">'[1]FM Diff'!$A$2:$A$11</definedName>
    <definedName name="FM_DC" localSheetId="10">'[1]FM Diff'!$A$2:$A$11</definedName>
    <definedName name="FM_DC">'[2]FM Diff'!$A$2:$A$11</definedName>
    <definedName name="FM_DR" localSheetId="3">'[1]FM DR'!$A$2:$A$58</definedName>
    <definedName name="FM_DR" localSheetId="7">'[1]FM DR'!$A$2:$A$58</definedName>
    <definedName name="FM_DR" localSheetId="8">'[1]FM DR'!$A$2:$A$58</definedName>
    <definedName name="FM_DR" localSheetId="1">'[1]FM DR'!$A$2:$A$58</definedName>
    <definedName name="FM_DR" localSheetId="4">'[1]FM DR'!$A$2:$A$58</definedName>
    <definedName name="FM_DR" localSheetId="0">'[1]FM DR'!$A$2:$A$58</definedName>
    <definedName name="FM_DR" localSheetId="5">'[1]FM DR'!$A$2:$A$58</definedName>
    <definedName name="FM_DR" localSheetId="2">'[1]FM DR'!$A$2:$A$58</definedName>
    <definedName name="FM_DR" localSheetId="10">'[1]FM DR'!$A$2:$A$58</definedName>
    <definedName name="FM_DR">'[2]FM DR'!$A$2:$A$58</definedName>
    <definedName name="FM_Field" localSheetId="3">'[1]FM field'!$A$2:$A$15</definedName>
    <definedName name="FM_Field" localSheetId="7">'[1]FM field'!$A$2:$A$15</definedName>
    <definedName name="FM_Field" localSheetId="8">'[1]FM field'!$A$2:$A$15</definedName>
    <definedName name="FM_Field" localSheetId="1">'[1]FM field'!$A$2:$A$15</definedName>
    <definedName name="FM_Field" localSheetId="4">'[1]FM field'!$A$2:$A$15</definedName>
    <definedName name="FM_Field" localSheetId="0">'[1]FM field'!$A$2:$A$15</definedName>
    <definedName name="FM_Field" localSheetId="5">'[1]FM field'!$A$2:$A$15</definedName>
    <definedName name="FM_Field" localSheetId="2">'[1]FM field'!$A$2:$A$15</definedName>
    <definedName name="FM_Field" localSheetId="10">'[1]FM field'!$A$2:$A$15</definedName>
    <definedName name="FM_Field">'[2]FM field'!$A$2:$A$15</definedName>
    <definedName name="FM_GUI" localSheetId="3">'[1]FM GUI'!$A$2:$A$7</definedName>
    <definedName name="FM_GUI" localSheetId="7">'[1]FM GUI'!$A$2:$A$7</definedName>
    <definedName name="FM_GUI" localSheetId="8">'[1]FM GUI'!$A$2:$A$7</definedName>
    <definedName name="FM_GUI" localSheetId="1">'[1]FM GUI'!$A$2:$A$7</definedName>
    <definedName name="FM_GUI" localSheetId="4">'[1]FM GUI'!$A$2:$A$7</definedName>
    <definedName name="FM_GUI" localSheetId="0">'[1]FM GUI'!$A$2:$A$7</definedName>
    <definedName name="FM_GUI" localSheetId="5">'[1]FM GUI'!$A$2:$A$7</definedName>
    <definedName name="FM_GUI" localSheetId="2">'[1]FM GUI'!$A$2:$A$7</definedName>
    <definedName name="FM_GUI" localSheetId="10">'[1]FM GUI'!$A$2:$A$7</definedName>
    <definedName name="FM_GUI">'[2]FM GUI'!$A$2:$A$7</definedName>
    <definedName name="FM_IM" localSheetId="3">'[1]FM Int Mgmt'!$A$2:$A$13</definedName>
    <definedName name="FM_IM" localSheetId="7">'[1]FM Int Mgmt'!$A$2:$A$13</definedName>
    <definedName name="FM_IM" localSheetId="8">'[1]FM Int Mgmt'!$A$2:$A$13</definedName>
    <definedName name="FM_IM" localSheetId="1">'[1]FM Int Mgmt'!$A$2:$A$13</definedName>
    <definedName name="FM_IM" localSheetId="4">'[1]FM Int Mgmt'!$A$2:$A$13</definedName>
    <definedName name="FM_IM" localSheetId="0">'[1]FM Int Mgmt'!$A$2:$A$13</definedName>
    <definedName name="FM_IM" localSheetId="5">'[1]FM Int Mgmt'!$A$2:$A$13</definedName>
    <definedName name="FM_IM" localSheetId="2">'[1]FM Int Mgmt'!$A$2:$A$13</definedName>
    <definedName name="FM_IM" localSheetId="10">'[1]FM Int Mgmt'!$A$2:$A$13</definedName>
    <definedName name="FM_IM">'[2]FM Int Mgmt'!$A$2:$A$13</definedName>
    <definedName name="FM_MedRec" localSheetId="3">'[1]FM MediaRec'!$A$2:$A$12</definedName>
    <definedName name="FM_MedRec" localSheetId="7">'[1]FM MediaRec'!$A$2:$A$12</definedName>
    <definedName name="FM_MedRec" localSheetId="8">'[1]FM MediaRec'!$A$2:$A$12</definedName>
    <definedName name="FM_MedRec" localSheetId="1">'[1]FM MediaRec'!$A$2:$A$12</definedName>
    <definedName name="FM_MedRec" localSheetId="4">'[1]FM MediaRec'!$A$2:$A$12</definedName>
    <definedName name="FM_MedRec" localSheetId="0">'[1]FM MediaRec'!$A$2:$A$12</definedName>
    <definedName name="FM_MedRec" localSheetId="5">'[1]FM MediaRec'!$A$2:$A$12</definedName>
    <definedName name="FM_MedRec" localSheetId="2">'[1]FM MediaRec'!$A$2:$A$12</definedName>
    <definedName name="FM_MedRec" localSheetId="10">'[1]FM MediaRec'!$A$2:$A$12</definedName>
    <definedName name="FM_MedRec">'[2]FM MediaRec'!$A$2:$A$12</definedName>
    <definedName name="FM_ML" localSheetId="3">'[1]FM ML'!$A$2:$A$25</definedName>
    <definedName name="FM_ML" localSheetId="7">'[1]FM ML'!$A$2:$A$25</definedName>
    <definedName name="FM_ML" localSheetId="8">'[1]FM ML'!$A$2:$A$25</definedName>
    <definedName name="FM_ML" localSheetId="1">'[1]FM ML'!$A$2:$A$25</definedName>
    <definedName name="FM_ML" localSheetId="4">'[1]FM ML'!$A$2:$A$25</definedName>
    <definedName name="FM_ML" localSheetId="0">'[1]FM ML'!$A$2:$A$25</definedName>
    <definedName name="FM_ML" localSheetId="5">'[1]FM ML'!$A$2:$A$25</definedName>
    <definedName name="FM_ML" localSheetId="2">'[1]FM ML'!$A$2:$A$25</definedName>
    <definedName name="FM_ML" localSheetId="10">'[1]FM ML'!$A$2:$A$25</definedName>
    <definedName name="FM_ML">'[2]FM ML'!$A$2:$A$25</definedName>
    <definedName name="FM_OH" localSheetId="3">'[1]FM OnHold'!$A$2:$A$4</definedName>
    <definedName name="FM_OH" localSheetId="7">'[1]FM OnHold'!$A$2:$A$4</definedName>
    <definedName name="FM_OH" localSheetId="8">'[1]FM OnHold'!$A$2:$A$4</definedName>
    <definedName name="FM_OH" localSheetId="1">'[1]FM OnHold'!$A$2:$A$4</definedName>
    <definedName name="FM_OH" localSheetId="4">'[1]FM OnHold'!$A$2:$A$4</definedName>
    <definedName name="FM_OH" localSheetId="0">'[1]FM OnHold'!$A$2:$A$4</definedName>
    <definedName name="FM_OH" localSheetId="5">'[1]FM OnHold'!$A$2:$A$4</definedName>
    <definedName name="FM_OH" localSheetId="2">'[1]FM OnHold'!$A$2:$A$4</definedName>
    <definedName name="FM_OH" localSheetId="10">'[1]FM OnHold'!$A$2:$A$4</definedName>
    <definedName name="FM_OH">'[2]FM OnHold'!$A$2:$A$4</definedName>
    <definedName name="FM_PA" localSheetId="3">'[1]FM PreATP'!$A$2:$A$10</definedName>
    <definedName name="FM_PA" localSheetId="7">'[1]FM PreATP'!$A$2:$A$10</definedName>
    <definedName name="FM_PA" localSheetId="8">'[1]FM PreATP'!$A$2:$A$10</definedName>
    <definedName name="FM_PA" localSheetId="1">'[1]FM PreATP'!$A$2:$A$10</definedName>
    <definedName name="FM_PA" localSheetId="4">'[1]FM PreATP'!$A$2:$A$10</definedName>
    <definedName name="FM_PA" localSheetId="0">'[1]FM PreATP'!$A$2:$A$10</definedName>
    <definedName name="FM_PA" localSheetId="5">'[1]FM PreATP'!$A$2:$A$10</definedName>
    <definedName name="FM_PA" localSheetId="2">'[1]FM PreATP'!$A$2:$A$10</definedName>
    <definedName name="FM_PA" localSheetId="10">'[1]FM PreATP'!$A$2:$A$10</definedName>
    <definedName name="FM_PA">'[2]FM PreATP'!$A$2:$A$10</definedName>
    <definedName name="FM_PATP" localSheetId="3">'[1]FM PostATP'!$A$2:$A$11</definedName>
    <definedName name="FM_PATP" localSheetId="7">'[1]FM PostATP'!$A$2:$A$11</definedName>
    <definedName name="FM_PATP" localSheetId="8">'[1]FM PostATP'!$A$2:$A$11</definedName>
    <definedName name="FM_PATP" localSheetId="1">'[1]FM PostATP'!$A$2:$A$11</definedName>
    <definedName name="FM_PATP" localSheetId="4">'[1]FM PostATP'!$A$2:$A$11</definedName>
    <definedName name="FM_PATP" localSheetId="0">'[1]FM PostATP'!$A$2:$A$11</definedName>
    <definedName name="FM_PATP" localSheetId="5">'[1]FM PostATP'!$A$2:$A$11</definedName>
    <definedName name="FM_PATP" localSheetId="2">'[1]FM PostATP'!$A$2:$A$11</definedName>
    <definedName name="FM_PATP" localSheetId="10">'[1]FM PostATP'!$A$2:$A$11</definedName>
    <definedName name="FM_PATP">'[2]FM PostATP'!$A$2:$A$11</definedName>
    <definedName name="FM_SDS" localSheetId="3">'[1]FM SDS'!$A$2:$A$24</definedName>
    <definedName name="FM_SDS" localSheetId="7">'[1]FM SDS'!$A$2:$A$24</definedName>
    <definedName name="FM_SDS" localSheetId="8">'[1]FM SDS'!$A$2:$A$24</definedName>
    <definedName name="FM_SDS" localSheetId="1">'[1]FM SDS'!$A$2:$A$24</definedName>
    <definedName name="FM_SDS" localSheetId="4">'[1]FM SDS'!$A$2:$A$24</definedName>
    <definedName name="FM_SDS" localSheetId="0">'[1]FM SDS'!$A$2:$A$24</definedName>
    <definedName name="FM_SDS" localSheetId="5">'[1]FM SDS'!$A$2:$A$24</definedName>
    <definedName name="FM_SDS" localSheetId="2">'[1]FM SDS'!$A$2:$A$24</definedName>
    <definedName name="FM_SDS" localSheetId="10">'[1]FM SDS'!$A$2:$A$24</definedName>
    <definedName name="FM_SDS">'[2]FM SDS'!$A$2:$A$24</definedName>
    <definedName name="FM_SOA" localSheetId="3">'[1]FM SOA'!$A$2:$A$10</definedName>
    <definedName name="FM_SOA" localSheetId="7">'[1]FM SOA'!$A$2:$A$10</definedName>
    <definedName name="FM_SOA" localSheetId="8">'[1]FM SOA'!$A$2:$A$10</definedName>
    <definedName name="FM_SOA" localSheetId="1">'[1]FM SOA'!$A$2:$A$10</definedName>
    <definedName name="FM_SOA" localSheetId="4">'[1]FM SOA'!$A$2:$A$10</definedName>
    <definedName name="FM_SOA" localSheetId="0">'[1]FM SOA'!$A$2:$A$10</definedName>
    <definedName name="FM_SOA" localSheetId="5">'[1]FM SOA'!$A$2:$A$10</definedName>
    <definedName name="FM_SOA" localSheetId="2">'[1]FM SOA'!$A$2:$A$10</definedName>
    <definedName name="FM_SOA" localSheetId="10">'[1]FM SOA'!$A$2:$A$10</definedName>
    <definedName name="FM_SOA">'[2]FM SOA'!$A$2:$A$10</definedName>
    <definedName name="FM_SSCM" localSheetId="3">'[1]FM SSCM'!$A$2:$A$6</definedName>
    <definedName name="FM_SSCM" localSheetId="7">'[1]FM SSCM'!$A$2:$A$6</definedName>
    <definedName name="FM_SSCM" localSheetId="8">'[1]FM SSCM'!$A$2:$A$6</definedName>
    <definedName name="FM_SSCM" localSheetId="1">'[1]FM SSCM'!$A$2:$A$6</definedName>
    <definedName name="FM_SSCM" localSheetId="4">'[1]FM SSCM'!$A$2:$A$6</definedName>
    <definedName name="FM_SSCM" localSheetId="0">'[1]FM SSCM'!$A$2:$A$6</definedName>
    <definedName name="FM_SSCM" localSheetId="5">'[1]FM SSCM'!$A$2:$A$6</definedName>
    <definedName name="FM_SSCM" localSheetId="2">'[1]FM SSCM'!$A$2:$A$6</definedName>
    <definedName name="FM_SSCM" localSheetId="10">'[1]FM SSCM'!$A$2:$A$6</definedName>
    <definedName name="FM_SSCM">'[2]FM SSCM'!$A$2:$A$6</definedName>
    <definedName name="Rack_Number" localSheetId="3">[1]Rack!$A$2:$A$31</definedName>
    <definedName name="Rack_Number" localSheetId="7">[1]Rack!$A$2:$A$31</definedName>
    <definedName name="Rack_Number" localSheetId="8">[1]Rack!$A$2:$A$31</definedName>
    <definedName name="Rack_Number" localSheetId="1">[1]Rack!$A$2:$A$31</definedName>
    <definedName name="Rack_Number" localSheetId="4">[1]Rack!$A$2:$A$31</definedName>
    <definedName name="Rack_Number" localSheetId="0">[1]Rack!$A$2:$A$31</definedName>
    <definedName name="Rack_Number" localSheetId="5">[1]Rack!$A$2:$A$31</definedName>
    <definedName name="Rack_Number" localSheetId="2">[1]Rack!$A$2:$A$31</definedName>
    <definedName name="Rack_Number" localSheetId="10">[1]Rack!$A$2:$A$31</definedName>
    <definedName name="Rack_Number">[2]Rack!$A$2:$A$31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Administrator</author>
  </authors>
  <commentList>
    <comment ref="F48" authorId="0">
      <text>
        <r>
          <rPr>
            <sz val="14"/>
            <rFont val="宋体"/>
            <charset val="134"/>
          </rPr>
          <t>i4K只有ACTION有导视</t>
        </r>
      </text>
    </comment>
    <comment ref="H48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</t>
        </r>
        <r>
          <rPr>
            <sz val="16"/>
            <rFont val="宋体"/>
            <charset val="134"/>
          </rPr>
          <t>eFx专用</t>
        </r>
      </text>
    </comment>
    <comment ref="I49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仅适用eX3/2系统</t>
        </r>
      </text>
    </comment>
  </commentList>
</comments>
</file>

<file path=xl/comments2.xml><?xml version="1.0" encoding="utf-8"?>
<comments xmlns="http://schemas.openxmlformats.org/spreadsheetml/2006/main">
  <authors>
    <author>Administrator</author>
  </authors>
  <commentList>
    <comment ref="G192" authorId="0">
      <text>
        <r>
          <rPr>
            <sz val="9"/>
            <rFont val="宋体"/>
            <charset val="134"/>
          </rPr>
          <t xml:space="preserve">
</t>
        </r>
        <r>
          <rPr>
            <sz val="14"/>
            <rFont val="宋体"/>
            <charset val="134"/>
          </rPr>
          <t>I4K只有纪录片有导视</t>
        </r>
      </text>
    </comment>
  </commentList>
</comments>
</file>

<file path=xl/comments3.xml><?xml version="1.0" encoding="utf-8"?>
<comments xmlns="http://schemas.openxmlformats.org/spreadsheetml/2006/main">
  <authors>
    <author>Administrator</author>
  </authors>
  <commentList>
    <comment ref="H69" authorId="0">
      <text>
        <r>
          <rPr>
            <sz val="16"/>
            <rFont val="宋体"/>
            <charset val="134"/>
          </rPr>
          <t>格式是M2</t>
        </r>
      </text>
    </comment>
    <comment ref="O70" authorId="0">
      <text>
        <r>
          <rPr>
            <sz val="14"/>
            <rFont val="宋体"/>
            <charset val="134"/>
          </rPr>
          <t>和电影表的文件名相同</t>
        </r>
      </text>
    </comment>
    <comment ref="O71" authorId="0">
      <text>
        <r>
          <rPr>
            <sz val="14"/>
            <rFont val="宋体"/>
            <charset val="134"/>
          </rPr>
          <t>和电影表的文件名相同</t>
        </r>
      </text>
    </comment>
    <comment ref="O72" authorId="0">
      <text>
        <r>
          <rPr>
            <sz val="14"/>
            <rFont val="宋体"/>
            <charset val="134"/>
          </rPr>
          <t>和电影表的文件名相同</t>
        </r>
      </text>
    </comment>
    <comment ref="O73" authorId="0">
      <text>
        <r>
          <rPr>
            <sz val="14"/>
            <rFont val="宋体"/>
            <charset val="134"/>
          </rPr>
          <t>和TV表的文件名相同</t>
        </r>
      </text>
    </comment>
    <comment ref="H74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松下系统：Egypt Travel / 泰雷兹系统：100 Egypt Travel</t>
        </r>
      </text>
    </comment>
  </commentList>
</comments>
</file>

<file path=xl/comments4.xml><?xml version="1.0" encoding="utf-8"?>
<comments xmlns="http://schemas.openxmlformats.org/spreadsheetml/2006/main">
  <authors>
    <author>Administrator</author>
  </authors>
  <commentList>
    <comment ref="H11" authorId="0">
      <text>
        <r>
          <rPr>
            <b/>
            <sz val="12"/>
            <rFont val="宋体"/>
            <charset val="134"/>
          </rPr>
          <t>Administrator:</t>
        </r>
        <r>
          <rPr>
            <sz val="12"/>
            <rFont val="宋体"/>
            <charset val="134"/>
          </rPr>
          <t xml:space="preserve">
用787_9的安全视频素材</t>
        </r>
      </text>
    </comment>
    <comment ref="I11" authorId="0">
      <text>
        <r>
          <rPr>
            <sz val="9"/>
            <rFont val="宋体"/>
            <charset val="134"/>
          </rPr>
          <t xml:space="preserve">
</t>
        </r>
        <r>
          <rPr>
            <sz val="12"/>
            <rFont val="宋体"/>
            <charset val="134"/>
          </rPr>
          <t>用efx系统B737-800/8机型的素材</t>
        </r>
      </text>
    </comment>
    <comment ref="J11" authorId="0">
      <text>
        <r>
          <rPr>
            <sz val="12"/>
            <rFont val="宋体"/>
            <charset val="134"/>
          </rPr>
          <t>用B747_400的素材</t>
        </r>
      </text>
    </comment>
    <comment ref="K11" authorId="0">
      <text>
        <r>
          <rPr>
            <sz val="12"/>
            <rFont val="宋体"/>
            <charset val="134"/>
          </rPr>
          <t xml:space="preserve">用A330_200的素材
</t>
        </r>
      </text>
    </comment>
    <comment ref="L11" authorId="0">
      <text>
        <r>
          <rPr>
            <sz val="12"/>
            <rFont val="宋体"/>
            <charset val="134"/>
          </rPr>
          <t xml:space="preserve">用A330_200的素材
</t>
        </r>
      </text>
    </comment>
  </commentList>
</comments>
</file>

<file path=xl/comments5.xml><?xml version="1.0" encoding="utf-8"?>
<comments xmlns="http://schemas.openxmlformats.org/spreadsheetml/2006/main">
  <authors>
    <author>Administrator</author>
  </authors>
  <commentList>
    <comment ref="H33" authorId="0">
      <text>
        <r>
          <rPr>
            <sz val="9"/>
            <rFont val="宋体"/>
            <charset val="134"/>
          </rPr>
          <t xml:space="preserve">用 787 9机型 中英版替换about us中的安全须知
</t>
        </r>
      </text>
    </comment>
    <comment ref="I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787 9机型 中英版替换about us中的安全须知
</t>
        </r>
      </text>
    </comment>
    <comment ref="J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用B737-800/8机型 中英版安全须知
</t>
        </r>
      </text>
    </comment>
    <comment ref="K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用B747_400中英的素材
</t>
        </r>
      </text>
    </comment>
    <comment ref="L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 
</t>
        </r>
      </text>
    </comment>
    <comment ref="M33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 A330_200_Eng</t>
        </r>
      </text>
    </comment>
    <comment ref="J34" authorId="0">
      <text>
        <r>
          <rPr>
            <b/>
            <sz val="9"/>
            <rFont val="宋体"/>
            <charset val="134"/>
          </rPr>
          <t>Administrator:</t>
        </r>
        <r>
          <rPr>
            <sz val="9"/>
            <rFont val="宋体"/>
            <charset val="134"/>
          </rPr>
          <t xml:space="preserve">
用：02-B737-800/8 (中)安全须知</t>
        </r>
      </text>
    </comment>
  </commentList>
</comments>
</file>

<file path=xl/sharedStrings.xml><?xml version="1.0" encoding="utf-8"?>
<sst xmlns="http://schemas.openxmlformats.org/spreadsheetml/2006/main" count="5008" uniqueCount="1443">
  <si>
    <t>Versions</t>
  </si>
  <si>
    <t>Updates</t>
  </si>
  <si>
    <t>Made By</t>
  </si>
  <si>
    <t>Date</t>
  </si>
  <si>
    <t>V1</t>
  </si>
  <si>
    <t>完成初版</t>
  </si>
  <si>
    <t>Envee</t>
  </si>
  <si>
    <t>2025.6.17</t>
  </si>
  <si>
    <t>V2</t>
  </si>
  <si>
    <t>调整电影《武替道》《海角七号》排序</t>
  </si>
  <si>
    <t>2025.6.18</t>
  </si>
  <si>
    <t>V3</t>
  </si>
  <si>
    <t>修改电影《太极张三丰》英文title，标黄</t>
  </si>
  <si>
    <t>V4</t>
  </si>
  <si>
    <t>增加第一版编码信息</t>
  </si>
  <si>
    <t>2025.6.19</t>
  </si>
  <si>
    <t>V5</t>
  </si>
  <si>
    <t>删除短视频《最初的温柔MV》</t>
  </si>
  <si>
    <t>2025.6.20</t>
  </si>
  <si>
    <t>V6</t>
  </si>
  <si>
    <t>新增TV《野生救援公益影像》</t>
  </si>
  <si>
    <t>2025.6.23</t>
  </si>
  <si>
    <t>V7</t>
  </si>
  <si>
    <t>增加第二版编码信息</t>
  </si>
  <si>
    <t>2025.6.24</t>
  </si>
  <si>
    <t>V8</t>
  </si>
  <si>
    <t>增加广告</t>
  </si>
  <si>
    <t>2025.6.25</t>
  </si>
  <si>
    <t>V9</t>
  </si>
  <si>
    <t>增加所以节目编码信息</t>
  </si>
  <si>
    <t>2025.6.26</t>
  </si>
  <si>
    <t>V10</t>
  </si>
  <si>
    <t>更新安全须知中英文title</t>
  </si>
  <si>
    <t>V11</t>
  </si>
  <si>
    <t>OH:增加节目：平安愉快埃及行</t>
  </si>
  <si>
    <t>2025.6.27</t>
  </si>
  <si>
    <t>V12</t>
  </si>
  <si>
    <t>修改TV：大国基石 第二季 7，大国基石 第二季 6，非遗里的中国。字幕信息标注颜色</t>
  </si>
  <si>
    <t>V13</t>
  </si>
  <si>
    <t>增加广告合集和空博信息</t>
  </si>
  <si>
    <t>2025.7.10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</si>
  <si>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</si>
  <si>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</si>
  <si>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</si>
  <si>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</si>
  <si>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</si>
  <si>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</si>
  <si>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</si>
  <si>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</si>
  <si>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</si>
  <si>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</si>
  <si>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V24</t>
  </si>
  <si>
    <t>V25</t>
  </si>
  <si>
    <t>V26</t>
  </si>
  <si>
    <t>V27</t>
  </si>
  <si>
    <t>V28</t>
  </si>
  <si>
    <t>V29</t>
  </si>
  <si>
    <t>V30</t>
  </si>
  <si>
    <t>V31</t>
  </si>
  <si>
    <t>V32</t>
  </si>
  <si>
    <t>V33</t>
  </si>
  <si>
    <t>V34</t>
  </si>
  <si>
    <t>V35</t>
  </si>
  <si>
    <t>V36</t>
  </si>
  <si>
    <t>V37</t>
  </si>
  <si>
    <t>V38</t>
  </si>
  <si>
    <t>V39</t>
  </si>
  <si>
    <t>V40</t>
  </si>
  <si>
    <t>V41</t>
  </si>
  <si>
    <t>V42</t>
  </si>
  <si>
    <t>V43</t>
  </si>
  <si>
    <t>V44</t>
  </si>
  <si>
    <t>File Data</t>
  </si>
  <si>
    <t>PAC</t>
  </si>
  <si>
    <t>TTE</t>
  </si>
  <si>
    <t>PAC Filename</t>
  </si>
  <si>
    <t>PAC TR Filename</t>
  </si>
  <si>
    <t xml:space="preserve">TTE Filename </t>
  </si>
  <si>
    <t xml:space="preserve">TTE TR Filename </t>
  </si>
  <si>
    <t>File Info</t>
  </si>
  <si>
    <t>Language &amp; Subtitle</t>
  </si>
  <si>
    <t>Run Time</t>
  </si>
  <si>
    <t>Aspect Ratio</t>
  </si>
  <si>
    <t>TR Run Time (hh:mm:ss)</t>
  </si>
  <si>
    <t>Label</t>
  </si>
  <si>
    <t>No.</t>
  </si>
  <si>
    <t>File Received On</t>
  </si>
  <si>
    <t>cycle</t>
  </si>
  <si>
    <t>AVOD Category</t>
  </si>
  <si>
    <t>File Number</t>
  </si>
  <si>
    <t>Title_ZHO</t>
  </si>
  <si>
    <t>Title_ENG</t>
  </si>
  <si>
    <t>TR_Title_ENG</t>
  </si>
  <si>
    <t>eX3/2 &amp; eX3 NG</t>
  </si>
  <si>
    <t>eFx</t>
  </si>
  <si>
    <t>S3k</t>
  </si>
  <si>
    <t>i5000</t>
  </si>
  <si>
    <t>i4000</t>
  </si>
  <si>
    <t>eX3/2 &amp; eX3 NG
eFx</t>
  </si>
  <si>
    <t>3ki</t>
  </si>
  <si>
    <t xml:space="preserve">i4K </t>
  </si>
  <si>
    <t>i5K</t>
  </si>
  <si>
    <t>i4K/i5K</t>
  </si>
  <si>
    <t>License period</t>
  </si>
  <si>
    <t>Movie Rating</t>
  </si>
  <si>
    <t>Parent Rating</t>
  </si>
  <si>
    <t>Release Year</t>
  </si>
  <si>
    <t>Distributor</t>
  </si>
  <si>
    <t>Laboratory</t>
  </si>
  <si>
    <t>Lang1</t>
  </si>
  <si>
    <t>Lang2</t>
  </si>
  <si>
    <t>Lang3</t>
  </si>
  <si>
    <t>Lang4</t>
  </si>
  <si>
    <t>Embedded Sub1</t>
  </si>
  <si>
    <t>Embedded Sub2</t>
  </si>
  <si>
    <t>Run Time (min)</t>
  </si>
  <si>
    <t>Run Time (hh:mm:ss)</t>
  </si>
  <si>
    <t>Run Time (sec)</t>
  </si>
  <si>
    <t>eX3/2 &amp; eX3 NG/eFx/i5k</t>
  </si>
  <si>
    <t>i4k/3ki</t>
  </si>
  <si>
    <t>0825</t>
  </si>
  <si>
    <t>Action</t>
  </si>
  <si>
    <t>射雕英雄传：侠之大者</t>
  </si>
  <si>
    <t>Legends of The Condor Heroes: The Gallants</t>
  </si>
  <si>
    <t>√</t>
  </si>
  <si>
    <t>cam082500202</t>
  </si>
  <si>
    <t>cat082500202</t>
  </si>
  <si>
    <t>01/31/2026</t>
  </si>
  <si>
    <t>PG</t>
  </si>
  <si>
    <t>ENV</t>
  </si>
  <si>
    <t>Zho</t>
  </si>
  <si>
    <t>Eng</t>
  </si>
  <si>
    <t>New</t>
  </si>
  <si>
    <t>武替道</t>
  </si>
  <si>
    <t>Stuntman</t>
  </si>
  <si>
    <t>cam082500201</t>
  </si>
  <si>
    <t>cam072500201</t>
  </si>
  <si>
    <t>cat082500201</t>
  </si>
  <si>
    <t>cat072500201</t>
  </si>
  <si>
    <t>NR</t>
  </si>
  <si>
    <t>倚天屠龙记之魔教教主</t>
  </si>
  <si>
    <t>Kung Fu Cult Master</t>
  </si>
  <si>
    <t>cam082500203</t>
  </si>
  <si>
    <t>cat082500203</t>
  </si>
  <si>
    <t>10/31/2025</t>
  </si>
  <si>
    <t>Topic</t>
  </si>
  <si>
    <t>新天龙八部之天山童姥</t>
  </si>
  <si>
    <t>Dragon Chronicles: The Maidens of Heavenly Mountain</t>
  </si>
  <si>
    <t>cam082500204</t>
  </si>
  <si>
    <t>cat082500204</t>
  </si>
  <si>
    <t>太极张三丰</t>
  </si>
  <si>
    <t>The Tai-Chi Master</t>
  </si>
  <si>
    <t>cam082500205</t>
  </si>
  <si>
    <t>cat082500205</t>
  </si>
  <si>
    <t>悬崖之上</t>
  </si>
  <si>
    <t>Cliff Walkers</t>
  </si>
  <si>
    <t>cam082500206</t>
  </si>
  <si>
    <t>cat082500206</t>
  </si>
  <si>
    <t>杀破狼·贪狼</t>
  </si>
  <si>
    <t>Paradox</t>
  </si>
  <si>
    <t>cam082500207</t>
  </si>
  <si>
    <t>cat082500207</t>
  </si>
  <si>
    <t>扫毒</t>
  </si>
  <si>
    <t>The White Storm</t>
  </si>
  <si>
    <t>cam082500208</t>
  </si>
  <si>
    <t>cam072500202</t>
  </si>
  <si>
    <t>cat082500208</t>
  </si>
  <si>
    <t>cat072500202</t>
  </si>
  <si>
    <t>无双</t>
  </si>
  <si>
    <t>Project Gutenberg</t>
  </si>
  <si>
    <t>cam082500209</t>
  </si>
  <si>
    <t>cam072500204</t>
  </si>
  <si>
    <t>cat082500209</t>
  </si>
  <si>
    <t>cat072500204</t>
  </si>
  <si>
    <t>Drama</t>
  </si>
  <si>
    <t>我会好好的</t>
  </si>
  <si>
    <t>New Life</t>
  </si>
  <si>
    <t>cam082500301</t>
  </si>
  <si>
    <t>cam072500301</t>
  </si>
  <si>
    <t>cat082500301</t>
  </si>
  <si>
    <t>cat072500301</t>
  </si>
  <si>
    <t>不说话的爱</t>
  </si>
  <si>
    <t>Mumu</t>
  </si>
  <si>
    <t>cam082500302</t>
  </si>
  <si>
    <t>cam072500302</t>
  </si>
  <si>
    <t>cat082500302</t>
  </si>
  <si>
    <t>cat072500302</t>
  </si>
  <si>
    <t>平原上的火焰</t>
  </si>
  <si>
    <t>Fire on the Plain</t>
  </si>
  <si>
    <t>cam082500303</t>
  </si>
  <si>
    <t>cam072500303</t>
  </si>
  <si>
    <t>cat082500303</t>
  </si>
  <si>
    <t>cat072500303</t>
  </si>
  <si>
    <t>阳光照耀青春里</t>
  </si>
  <si>
    <t>The Way Out</t>
  </si>
  <si>
    <t>cam082500304</t>
  </si>
  <si>
    <t>cam072500304</t>
  </si>
  <si>
    <t>cat082500304</t>
  </si>
  <si>
    <t>cat072500304</t>
  </si>
  <si>
    <t>狼图腾</t>
  </si>
  <si>
    <t>Wolf Totem</t>
  </si>
  <si>
    <t>cam082500305</t>
  </si>
  <si>
    <t>cam072500305</t>
  </si>
  <si>
    <t>cat082500305</t>
  </si>
  <si>
    <t>cat072500305</t>
  </si>
  <si>
    <t>家在水草丰茂的地方</t>
  </si>
  <si>
    <t>River Road</t>
  </si>
  <si>
    <t>cam082500306</t>
  </si>
  <si>
    <t>cam072500306</t>
  </si>
  <si>
    <t>cat082500306</t>
  </si>
  <si>
    <t>cat072500306</t>
  </si>
  <si>
    <t>可可西里</t>
  </si>
  <si>
    <t>Kekexili: Mountain Patrol</t>
  </si>
  <si>
    <t>cam082500307</t>
  </si>
  <si>
    <t>cat082500307</t>
  </si>
  <si>
    <t>河边的错误</t>
  </si>
  <si>
    <t>Only the River Flows</t>
  </si>
  <si>
    <t>cam082500308</t>
  </si>
  <si>
    <t>cat082500308</t>
  </si>
  <si>
    <t>十二公民</t>
  </si>
  <si>
    <t>12 Citizens</t>
  </si>
  <si>
    <t>cam082500309</t>
  </si>
  <si>
    <t>cat082500309</t>
  </si>
  <si>
    <t>解救吾先生</t>
  </si>
  <si>
    <t>Saving Mr. Wu</t>
  </si>
  <si>
    <t>cam082500310</t>
  </si>
  <si>
    <t>cam072500310</t>
  </si>
  <si>
    <t>cat082500310</t>
  </si>
  <si>
    <t>cat072500310</t>
  </si>
  <si>
    <t>寻枪</t>
  </si>
  <si>
    <t>The Missing Gun</t>
  </si>
  <si>
    <t>cam082500311</t>
  </si>
  <si>
    <t>cat082500311</t>
  </si>
  <si>
    <t>烈日灼心</t>
  </si>
  <si>
    <t>The Dead End</t>
  </si>
  <si>
    <t>cam082500312</t>
  </si>
  <si>
    <t>cam072500312</t>
  </si>
  <si>
    <t>cat082500312</t>
  </si>
  <si>
    <t>cat072500312</t>
  </si>
  <si>
    <t>线性人生</t>
  </si>
  <si>
    <t>Down The Line</t>
  </si>
  <si>
    <t>cam082500313</t>
  </si>
  <si>
    <t>cam072500313</t>
  </si>
  <si>
    <t>cat082500313</t>
  </si>
  <si>
    <t>cat072500313</t>
  </si>
  <si>
    <t>Classic</t>
  </si>
  <si>
    <t>去里斯本的夜车</t>
  </si>
  <si>
    <t>Night Train to Lisbon</t>
  </si>
  <si>
    <t>cam082500314</t>
  </si>
  <si>
    <t>cam072500314</t>
  </si>
  <si>
    <t>cat082500314</t>
  </si>
  <si>
    <t>cat072500314</t>
  </si>
  <si>
    <t>波尔多囚犯</t>
  </si>
  <si>
    <t>Portraits Trompeurs</t>
  </si>
  <si>
    <t>cam082500315</t>
  </si>
  <si>
    <t>cat082500315</t>
  </si>
  <si>
    <t>Fra</t>
  </si>
  <si>
    <t>永恒夏日</t>
  </si>
  <si>
    <t>Our Eternal Summer</t>
  </si>
  <si>
    <t>cam082500316</t>
  </si>
  <si>
    <t>cam072500316</t>
  </si>
  <si>
    <t>cat082500316</t>
  </si>
  <si>
    <t>cat072500316</t>
  </si>
  <si>
    <t>卧底</t>
  </si>
  <si>
    <t>Undercover</t>
  </si>
  <si>
    <t>cam082500317</t>
  </si>
  <si>
    <t>cam072500317</t>
  </si>
  <si>
    <t>cat082500317</t>
  </si>
  <si>
    <t>cat072500317</t>
  </si>
  <si>
    <t>Spa</t>
  </si>
  <si>
    <t>弗里达：生命万岁</t>
  </si>
  <si>
    <t>Frida - Viva La Vida</t>
  </si>
  <si>
    <t>cam082500318</t>
  </si>
  <si>
    <t>cam072500318</t>
  </si>
  <si>
    <t>cat082500318</t>
  </si>
  <si>
    <t>cat072500318</t>
  </si>
  <si>
    <t>八座山</t>
  </si>
  <si>
    <t>The Eight Mountains</t>
  </si>
  <si>
    <t>cam082500319</t>
  </si>
  <si>
    <t>cat082500319</t>
  </si>
  <si>
    <t>Ita</t>
  </si>
  <si>
    <t>进入乌菲兹</t>
  </si>
  <si>
    <t>Inside the Uffizi</t>
  </si>
  <si>
    <t>cam082500320</t>
  </si>
  <si>
    <t>cat082500320</t>
  </si>
  <si>
    <t>G</t>
  </si>
  <si>
    <t>人之初</t>
  </si>
  <si>
    <t>Alpha.</t>
  </si>
  <si>
    <t>cam082500321</t>
  </si>
  <si>
    <t>cat082500321</t>
  </si>
  <si>
    <t>Nld</t>
  </si>
  <si>
    <t>悬案密码3：信仰的阴谋</t>
  </si>
  <si>
    <t>Department Q: A Conspiracy of Faith</t>
  </si>
  <si>
    <t>cam082500322</t>
  </si>
  <si>
    <t>cam072500319</t>
  </si>
  <si>
    <t>cat082500322</t>
  </si>
  <si>
    <t>cat072500319</t>
  </si>
  <si>
    <t>Dan</t>
  </si>
  <si>
    <t>悬案密码2：野鸡杀手</t>
  </si>
  <si>
    <t>Department Q: The Absent One</t>
  </si>
  <si>
    <t>cam082500323</t>
  </si>
  <si>
    <t>cat082500323</t>
  </si>
  <si>
    <t>悬案密码1：笼里的女人</t>
  </si>
  <si>
    <t>Department Q: The Keeper of Lost Causes</t>
  </si>
  <si>
    <t>cam082500324</t>
  </si>
  <si>
    <t>cam072500321</t>
  </si>
  <si>
    <t>cat082500324</t>
  </si>
  <si>
    <t>cat072500321</t>
  </si>
  <si>
    <t>Romance</t>
  </si>
  <si>
    <t>阿拉姜色</t>
  </si>
  <si>
    <t>Ala Changso</t>
  </si>
  <si>
    <t>cam082500401</t>
  </si>
  <si>
    <t>cam072500401</t>
  </si>
  <si>
    <t>cat082500401</t>
  </si>
  <si>
    <t>cat072500401</t>
  </si>
  <si>
    <t>心花路放</t>
  </si>
  <si>
    <t>Breakup Buddies</t>
  </si>
  <si>
    <t>cam082500403</t>
  </si>
  <si>
    <t>cat082500403</t>
  </si>
  <si>
    <t>快来帮帮我</t>
  </si>
  <si>
    <t>Get Help</t>
  </si>
  <si>
    <t>cam082500404</t>
  </si>
  <si>
    <t>cam072500404</t>
  </si>
  <si>
    <t>cat082500404</t>
  </si>
  <si>
    <t>cat072500404</t>
  </si>
  <si>
    <t>海角七号</t>
  </si>
  <si>
    <t>Cape No. 7</t>
  </si>
  <si>
    <t>cam082500402</t>
  </si>
  <si>
    <t>cam072500402</t>
  </si>
  <si>
    <t>cat082500402</t>
  </si>
  <si>
    <t>cat072500402</t>
  </si>
  <si>
    <t>Comedy</t>
  </si>
  <si>
    <t>时空急转弯</t>
  </si>
  <si>
    <t>The Visitors</t>
  </si>
  <si>
    <t>cam082500501</t>
  </si>
  <si>
    <t>cam072500501</t>
  </si>
  <si>
    <t>cat082500501</t>
  </si>
  <si>
    <t>cat072500501</t>
  </si>
  <si>
    <t>PG13</t>
  </si>
  <si>
    <t>Kids</t>
  </si>
  <si>
    <t>雄狮少年2</t>
  </si>
  <si>
    <t>I Am What I Am 2</t>
  </si>
  <si>
    <t>cam082500601</t>
  </si>
  <si>
    <t>cam072500601</t>
  </si>
  <si>
    <t>cat082500601</t>
  </si>
  <si>
    <t>cat072500601</t>
  </si>
  <si>
    <t>巧虎大飞船历险记</t>
  </si>
  <si>
    <t>Qiaohu and the Fantastic Flying Ship</t>
  </si>
  <si>
    <t>cam082500602</t>
  </si>
  <si>
    <t>cat082500602</t>
  </si>
  <si>
    <t>巧虎魔法岛历险记</t>
  </si>
  <si>
    <t>Qiaohu and the Island of Rainbow Carnations</t>
  </si>
  <si>
    <t>cam082500603</t>
  </si>
  <si>
    <t>cat082500603</t>
  </si>
  <si>
    <t>纯种狼2</t>
  </si>
  <si>
    <t>200% Wolf</t>
  </si>
  <si>
    <t>cam082500604</t>
  </si>
  <si>
    <t>cam072500602</t>
  </si>
  <si>
    <t>cat082500604</t>
  </si>
  <si>
    <t>cat072500602</t>
  </si>
  <si>
    <t>高卢勇士斗凯撒</t>
  </si>
  <si>
    <t>Asterix Versus Caesar</t>
  </si>
  <si>
    <t>cam082500605</t>
  </si>
  <si>
    <t>cam072500603</t>
  </si>
  <si>
    <t>cat082500605</t>
  </si>
  <si>
    <t>cat072500603</t>
  </si>
  <si>
    <t>all</t>
  </si>
  <si>
    <t>佳片速递</t>
  </si>
  <si>
    <t>New Onboard</t>
  </si>
  <si>
    <t>cam082500701</t>
  </si>
  <si>
    <t>cam072500701</t>
  </si>
  <si>
    <t>cat082500701</t>
  </si>
  <si>
    <t>不适用</t>
  </si>
  <si>
    <t>Welcome video</t>
  </si>
  <si>
    <t>欢迎视频</t>
  </si>
  <si>
    <t>Welcome Video</t>
  </si>
  <si>
    <t>/</t>
  </si>
  <si>
    <t>cam082500702</t>
  </si>
  <si>
    <t xml:space="preserve">                        /</t>
  </si>
  <si>
    <t>File data</t>
  </si>
  <si>
    <t>PACFilename</t>
  </si>
  <si>
    <t>TTE Filename</t>
  </si>
  <si>
    <t>info</t>
  </si>
  <si>
    <t>Category</t>
  </si>
  <si>
    <t>Shorts Series Name</t>
  </si>
  <si>
    <t>S3K</t>
  </si>
  <si>
    <t>i5</t>
  </si>
  <si>
    <t>i4</t>
  </si>
  <si>
    <t>i4K</t>
  </si>
  <si>
    <r>
      <rPr>
        <b/>
        <sz val="12"/>
        <rFont val="Arial"/>
        <charset val="134"/>
      </rPr>
      <t xml:space="preserve">Run Time(hh:mm:00)
</t>
    </r>
    <r>
      <rPr>
        <b/>
        <sz val="12"/>
        <rFont val="宋体"/>
        <charset val="134"/>
      </rPr>
      <t>精确到分钟</t>
    </r>
  </si>
  <si>
    <t>eX3&amp;2/eX3 NG/eFx/i5K</t>
  </si>
  <si>
    <t>3ki/i4</t>
  </si>
  <si>
    <t>DOCUMENTARY</t>
  </si>
  <si>
    <t>汉唐文化</t>
  </si>
  <si>
    <t>Hantang Culture</t>
  </si>
  <si>
    <t>cas082500101</t>
  </si>
  <si>
    <t>野生救援公益影像</t>
  </si>
  <si>
    <t>WildAid Public Service Announcement Showcase</t>
  </si>
  <si>
    <t>cas082500115</t>
  </si>
  <si>
    <t>熊猫叙事 1</t>
  </si>
  <si>
    <t>Panda Stories Ep01</t>
  </si>
  <si>
    <t>cas082500102</t>
  </si>
  <si>
    <t>cas072500102</t>
  </si>
  <si>
    <t>牛奶是部文明史 2</t>
  </si>
  <si>
    <t>Milk: A Running River of Civilization 2</t>
  </si>
  <si>
    <t>cas082500103</t>
  </si>
  <si>
    <t>cas072500103</t>
  </si>
  <si>
    <t>牛奶是部文明史 1</t>
  </si>
  <si>
    <t>Milk: A Running River of Civilization 1</t>
  </si>
  <si>
    <t>cas082500104</t>
  </si>
  <si>
    <t>cas072500104</t>
  </si>
  <si>
    <t>柴达木 2 聚宝天盆</t>
  </si>
  <si>
    <t>Qaidam Basin 2 The Bountiful Basin</t>
  </si>
  <si>
    <t>cas082500105</t>
  </si>
  <si>
    <t>cas072500105</t>
  </si>
  <si>
    <t>柴达木 1 昆仑山下</t>
  </si>
  <si>
    <t>Qaidam Basin 1 Beneath the Kunlun Mountains</t>
  </si>
  <si>
    <t>cas082500106</t>
  </si>
  <si>
    <t>丝绸之国 2</t>
  </si>
  <si>
    <t>A Country Of Silk Throughout History 2</t>
  </si>
  <si>
    <t>cas082500107</t>
  </si>
  <si>
    <t>丝绸之国 1</t>
  </si>
  <si>
    <t>A Country Of Silk Throughout History 1</t>
  </si>
  <si>
    <t>cas082500108</t>
  </si>
  <si>
    <t>cas072500108</t>
  </si>
  <si>
    <t>遇见最美宋词 7 八千里路云和月</t>
  </si>
  <si>
    <t>Encountering the Most Exquisite Song Lyrics 7 Through Countless Leagues' Neath Sun and Moon</t>
  </si>
  <si>
    <t>cas082500109</t>
  </si>
  <si>
    <t>cas072500109</t>
  </si>
  <si>
    <t>遇见最美宋词 6 一蓑烟雨任平生</t>
  </si>
  <si>
    <t>Encountering the Most Exquisite Song Lyrics 6 Through Life's Storms I Stroll With Ease</t>
  </si>
  <si>
    <t>cas082500110</t>
  </si>
  <si>
    <t>遇见最美宋词 5 别有人间行路难</t>
  </si>
  <si>
    <t>Encountering the Most Exquisite Song Lyrics 5 The Real Wilderness is Human Hearts</t>
  </si>
  <si>
    <t>cas082500111</t>
  </si>
  <si>
    <t>埃及宇宙密码 1 繁星之间</t>
  </si>
  <si>
    <t>Bradley Walsh: Egypt's Cosmic Codes EP01 Written in the Stars</t>
  </si>
  <si>
    <t>cas082500112</t>
  </si>
  <si>
    <t>cas072500112</t>
  </si>
  <si>
    <t>行走世界菜市场 20</t>
  </si>
  <si>
    <t>Food Markets Ep20</t>
  </si>
  <si>
    <t>cas082500113</t>
  </si>
  <si>
    <t>行走世界菜市场 19</t>
  </si>
  <si>
    <t>Food Markets Ep19</t>
  </si>
  <si>
    <t>cas082500114</t>
  </si>
  <si>
    <t>NATURE</t>
  </si>
  <si>
    <t>荒野之上 第三季 5 沙漠绿野</t>
  </si>
  <si>
    <t>On the Wilderness S03E05 Oasis in the Desert</t>
  </si>
  <si>
    <t>cas082500201</t>
  </si>
  <si>
    <t>cas072500201</t>
  </si>
  <si>
    <t>自然传奇 大自然最伟大的天才 3</t>
  </si>
  <si>
    <t>Natural Legend: Nature's Greatest Genius 3</t>
  </si>
  <si>
    <t>cas082500202</t>
  </si>
  <si>
    <t>cas072500202</t>
  </si>
  <si>
    <t>自然传奇 大自然最伟大的天才 2</t>
  </si>
  <si>
    <t>Natural Legend: Nature's Greatest Genius 2</t>
  </si>
  <si>
    <t>cas082500203</t>
  </si>
  <si>
    <t>自然传奇 大自然最伟大的天才 1</t>
  </si>
  <si>
    <t>Natural Legend: Nature's Greatest Genius 1</t>
  </si>
  <si>
    <t>cas082500204</t>
  </si>
  <si>
    <t>cas072500204</t>
  </si>
  <si>
    <t>追踪巨型鱼 第三季 8</t>
  </si>
  <si>
    <t>Last of the Giants S03E08</t>
  </si>
  <si>
    <t>cas082500205</t>
  </si>
  <si>
    <t>cas072500205</t>
  </si>
  <si>
    <t>追踪巨型鱼 第三季 7</t>
  </si>
  <si>
    <t>Last of the Giants S03E07</t>
  </si>
  <si>
    <t>cas082500206</t>
  </si>
  <si>
    <t>DRAMA</t>
  </si>
  <si>
    <t>沙尘暴 12</t>
  </si>
  <si>
    <t>Sandstorm Ep12</t>
  </si>
  <si>
    <t>cas082500301</t>
  </si>
  <si>
    <t>沙尘暴 11</t>
  </si>
  <si>
    <t>Sandstorm Ep11</t>
  </si>
  <si>
    <t>cas082500302</t>
  </si>
  <si>
    <t>沙尘暴 10</t>
  </si>
  <si>
    <t>Sandstorm Ep10</t>
  </si>
  <si>
    <t>cas082500303</t>
  </si>
  <si>
    <t>沙尘暴 9</t>
  </si>
  <si>
    <t>Sandstorm Ep09</t>
  </si>
  <si>
    <t>cas082500304</t>
  </si>
  <si>
    <t>沙尘暴 8</t>
  </si>
  <si>
    <t>Sandstorm Ep08</t>
  </si>
  <si>
    <t>cas082500305</t>
  </si>
  <si>
    <t>沙尘暴 7</t>
  </si>
  <si>
    <t>Sandstorm Ep07</t>
  </si>
  <si>
    <t>cas082500306</t>
  </si>
  <si>
    <t>沙尘暴 6</t>
  </si>
  <si>
    <t>Sandstorm Ep06</t>
  </si>
  <si>
    <t>cas082500307</t>
  </si>
  <si>
    <t>沙尘暴 5</t>
  </si>
  <si>
    <t>Sandstorm Ep05</t>
  </si>
  <si>
    <t>cas082500308</t>
  </si>
  <si>
    <t>沙尘暴 4</t>
  </si>
  <si>
    <t>Sandstorm Ep04</t>
  </si>
  <si>
    <t>cas082500309</t>
  </si>
  <si>
    <t>沙尘暴 3</t>
  </si>
  <si>
    <t>Sandstorm Ep03</t>
  </si>
  <si>
    <t>cas082500310</t>
  </si>
  <si>
    <t>沙尘暴 2</t>
  </si>
  <si>
    <t>Sandstorm Ep02</t>
  </si>
  <si>
    <t>cas082500311</t>
  </si>
  <si>
    <t>沙尘暴 1</t>
  </si>
  <si>
    <t>Sandstorm Ep01</t>
  </si>
  <si>
    <t>cas082500312</t>
  </si>
  <si>
    <t>谜探路德维希 第一季 6</t>
  </si>
  <si>
    <t>Ludwig S01E06</t>
  </si>
  <si>
    <t>cas082500313</t>
  </si>
  <si>
    <t>谜探路德维希 第一季 5</t>
  </si>
  <si>
    <t>Ludwig S01E05</t>
  </si>
  <si>
    <t>cas082500314</t>
  </si>
  <si>
    <t>谜探路德维希 第一季 4</t>
  </si>
  <si>
    <t>Ludwig S01E04</t>
  </si>
  <si>
    <t>cas082500315</t>
  </si>
  <si>
    <t>谜探路德维希 第一季 3</t>
  </si>
  <si>
    <t>Ludwig S01E03</t>
  </si>
  <si>
    <t>cas082500316</t>
  </si>
  <si>
    <t>谜探路德维希 第一季 2</t>
  </si>
  <si>
    <t>Ludwig S01E02</t>
  </si>
  <si>
    <t>cas082500317</t>
  </si>
  <si>
    <t>谜探路德维希 第一季 1</t>
  </si>
  <si>
    <t>Ludwig S01E01</t>
  </si>
  <si>
    <t>cas082500318</t>
  </si>
  <si>
    <t>TRAVEL</t>
  </si>
  <si>
    <t>空中博览8月国际去程</t>
  </si>
  <si>
    <t>Air Panorama International Outbound</t>
  </si>
  <si>
    <t>cas082500401</t>
  </si>
  <si>
    <t>cas072500401</t>
  </si>
  <si>
    <t>空中博览8月国际回程</t>
  </si>
  <si>
    <t>Air Panorama International Inbound</t>
  </si>
  <si>
    <t>cas082500402</t>
  </si>
  <si>
    <t>cas072500402</t>
  </si>
  <si>
    <t>空中博览8月国内去程</t>
  </si>
  <si>
    <t>Air Panorama Domestic Outbound</t>
  </si>
  <si>
    <t>cas082500403</t>
  </si>
  <si>
    <t>cas072500403</t>
  </si>
  <si>
    <t>空中博览8月国内回程</t>
  </si>
  <si>
    <t>Air Panorama Domestic Inbound</t>
  </si>
  <si>
    <t>cas082500404</t>
  </si>
  <si>
    <t>cas072500404</t>
  </si>
  <si>
    <t>旷野之息阿勒泰 1</t>
  </si>
  <si>
    <t>Altay in The Legend of Zelda: Breath of the Wild 1</t>
  </si>
  <si>
    <t>cas082500405</t>
  </si>
  <si>
    <t>cas072500405</t>
  </si>
  <si>
    <t>都江堰何以2300年 1</t>
  </si>
  <si>
    <t>What Makes Dujiangyan 2300 Years Old? 1</t>
  </si>
  <si>
    <t>cas082500406</t>
  </si>
  <si>
    <t>cas072500406</t>
  </si>
  <si>
    <t>景德镇 1</t>
  </si>
  <si>
    <t>Jingdezhen 1</t>
  </si>
  <si>
    <t>cas082500407</t>
  </si>
  <si>
    <t>cas072500407</t>
  </si>
  <si>
    <t>婺源 1</t>
  </si>
  <si>
    <t>Wuyuan 1</t>
  </si>
  <si>
    <t>cas082500408</t>
  </si>
  <si>
    <t>cas072500408</t>
  </si>
  <si>
    <t>埃及开罗 1</t>
  </si>
  <si>
    <t>Cairo, Egypt 1</t>
  </si>
  <si>
    <t>cas082500409</t>
  </si>
  <si>
    <t>cas072500409</t>
  </si>
  <si>
    <t>四川绵阳：以山河为重器 1</t>
  </si>
  <si>
    <t>Mianyang of Sichuan: Where Nature Meets Legend 1</t>
  </si>
  <si>
    <t>cas082500410</t>
  </si>
  <si>
    <t>Hot</t>
  </si>
  <si>
    <t>去南极很难吗 1</t>
  </si>
  <si>
    <t>Heading to Antarctica, Is It Difficult? 1</t>
  </si>
  <si>
    <t>cas082500411</t>
  </si>
  <si>
    <t>cas072500411</t>
  </si>
  <si>
    <t>快乐再出发·山海季 第8期</t>
  </si>
  <si>
    <t>Go for Happiness·Mountains and Seas Ep8</t>
  </si>
  <si>
    <t>cas082500412</t>
  </si>
  <si>
    <t>快乐再出发·山海季 第7期</t>
  </si>
  <si>
    <t>Go for Happiness·Mountains and Seas Ep7</t>
  </si>
  <si>
    <t>cas082500413</t>
  </si>
  <si>
    <t>快乐再出发·山海季 第6期</t>
  </si>
  <si>
    <t>Go for Happiness·Mountains and Seas Ep6</t>
  </si>
  <si>
    <t>cas082500414</t>
  </si>
  <si>
    <t>澳门双行线 第二季 乘风逐浪</t>
  </si>
  <si>
    <t>Macau Double Line Season 2 Ride the Wind and Waves</t>
  </si>
  <si>
    <t>cas082500415</t>
  </si>
  <si>
    <t>澳门双行线 第二季 依依不舍</t>
  </si>
  <si>
    <t>Macau Double Line Season 2 Reluctant to Part</t>
  </si>
  <si>
    <t>cas082500416</t>
  </si>
  <si>
    <t>人文名镇 2 江苏浏河</t>
  </si>
  <si>
    <t>Historic Town of Cultural Significance 2 Liuhe, Jiangsu</t>
  </si>
  <si>
    <t>cas082500417</t>
  </si>
  <si>
    <t>人文名镇 1 浙江南浔</t>
  </si>
  <si>
    <t>Historic Town of Cultural Significance 1 Nanxun, Zhejiang</t>
  </si>
  <si>
    <t>cas082500418</t>
  </si>
  <si>
    <t>传世古建 20250119</t>
  </si>
  <si>
    <t>Ancient Architectural Masterpieces 20250119</t>
  </si>
  <si>
    <t>cas082500419</t>
  </si>
  <si>
    <t>cas072500414</t>
  </si>
  <si>
    <t>漫游安达卢西亚 4</t>
  </si>
  <si>
    <t>Portillo's Andalucia Ep04</t>
  </si>
  <si>
    <t>cas082500420</t>
  </si>
  <si>
    <t>cas072500415</t>
  </si>
  <si>
    <t>漫游安达卢西亚 3</t>
  </si>
  <si>
    <t>Portillo's Andalucia Ep03</t>
  </si>
  <si>
    <t>cas082500421</t>
  </si>
  <si>
    <t>cas072500416</t>
  </si>
  <si>
    <t>KIDS</t>
  </si>
  <si>
    <t>加菲猫的幸福生活 20</t>
  </si>
  <si>
    <t>The Garfield Show Ep20</t>
  </si>
  <si>
    <t>cas082500501</t>
  </si>
  <si>
    <t>cas072500501</t>
  </si>
  <si>
    <t>加菲猫的幸福生活 19</t>
  </si>
  <si>
    <t>The Garfield Show Ep19</t>
  </si>
  <si>
    <t>cas082500502</t>
  </si>
  <si>
    <t>如果历史是一群喵 第二季 春秋战国篇 4 威震东南</t>
  </si>
  <si>
    <t>If History Is a Group of Cats Season 2 The Spring and Autumn and the Warring States Periods Ep04 Strike Terror in the Southeast</t>
  </si>
  <si>
    <t>cas082500503</t>
  </si>
  <si>
    <t>如果历史是一群喵 第二季 春秋战国篇 3 一鸣惊人</t>
  </si>
  <si>
    <t>If History Is a Group of Cats Season 2 The Spring and Autumn and the Warring States Periods Ep03 Astonish the World with a Single Brilliant Feat</t>
  </si>
  <si>
    <t>cas082500504</t>
  </si>
  <si>
    <t>cas072500504</t>
  </si>
  <si>
    <t>熊猫和高卢鸡 4</t>
  </si>
  <si>
    <t>The Panda and the Gallic Rooster 4</t>
  </si>
  <si>
    <t>cas082500505</t>
  </si>
  <si>
    <t>熊猫和高卢鸡 3</t>
  </si>
  <si>
    <t>The Panda and the Gallic Rooster 3</t>
  </si>
  <si>
    <t>cas082500506</t>
  </si>
  <si>
    <t>cas072500506</t>
  </si>
  <si>
    <t>天才小鲁班 8</t>
  </si>
  <si>
    <t>Little Genius Luban 8</t>
  </si>
  <si>
    <t>cas082500507</t>
  </si>
  <si>
    <t>cas072500507</t>
  </si>
  <si>
    <t>天才小鲁班 7</t>
  </si>
  <si>
    <t>Little Genius Luban 7</t>
  </si>
  <si>
    <t>cas082500508</t>
  </si>
  <si>
    <t>猪猪侠之恐龙日记 第七季 8</t>
  </si>
  <si>
    <t>GG Bond: Dinosaur Diary S07E08</t>
  </si>
  <si>
    <t>cas082500509</t>
  </si>
  <si>
    <t>cas072500509</t>
  </si>
  <si>
    <t>猪猪侠之恐龙日记 第七季 7</t>
  </si>
  <si>
    <t>GG Bond: Dinosaur Diary S07E07</t>
  </si>
  <si>
    <t>cas082500510</t>
  </si>
  <si>
    <t>新西游历险记 8</t>
  </si>
  <si>
    <t>The New Journey to the West Adventure 8</t>
  </si>
  <si>
    <t>cas082500511</t>
  </si>
  <si>
    <t>cas072500511</t>
  </si>
  <si>
    <t>新西游历险记 7</t>
  </si>
  <si>
    <t>The New Journey to the West Adventure 7</t>
  </si>
  <si>
    <t>cas082500512</t>
  </si>
  <si>
    <t>少年英雄小哪吒 10</t>
  </si>
  <si>
    <t>Young Hero Nezha 10</t>
  </si>
  <si>
    <t>cas082500513</t>
  </si>
  <si>
    <t>cas072500513</t>
  </si>
  <si>
    <t>少年英雄小哪吒 9</t>
  </si>
  <si>
    <t>Young Hero Nezha 9</t>
  </si>
  <si>
    <t>cas082500514</t>
  </si>
  <si>
    <t>汉字故事 6</t>
  </si>
  <si>
    <t>The Story of Chinese Characters 6</t>
  </si>
  <si>
    <t>cas082500515</t>
  </si>
  <si>
    <t>cas072500515</t>
  </si>
  <si>
    <t>汉字故事 5</t>
  </si>
  <si>
    <t>The Story of Chinese Characters 5</t>
  </si>
  <si>
    <t>cas082500516</t>
  </si>
  <si>
    <t>冰球旋风 第二季 8</t>
  </si>
  <si>
    <t>Hockey Whirlwind S02E08</t>
  </si>
  <si>
    <t>cas082500517</t>
  </si>
  <si>
    <t>cas072500517</t>
  </si>
  <si>
    <t>冰球旋风 第二季 7</t>
  </si>
  <si>
    <t>Hockey Whirlwind S02E07</t>
  </si>
  <si>
    <t>cas082500518</t>
  </si>
  <si>
    <t>百变校巴 第十二季 8</t>
  </si>
  <si>
    <t>Magic School Bus S12E08</t>
  </si>
  <si>
    <t>cas082500519</t>
  </si>
  <si>
    <t>cas072500519</t>
  </si>
  <si>
    <t>百变校巴 第十二季 7</t>
  </si>
  <si>
    <t>Magic School Bus S12E07</t>
  </si>
  <si>
    <t>cas082500520</t>
  </si>
  <si>
    <t>熊出没 怪兽计划2（19-20）</t>
  </si>
  <si>
    <t>Boonie Bears Project Monster 2 (19-20)</t>
  </si>
  <si>
    <t>cas082500521</t>
  </si>
  <si>
    <t>cas072500521</t>
  </si>
  <si>
    <t>山海传奇 18</t>
  </si>
  <si>
    <t>Legends of Mountains and Seas 18</t>
  </si>
  <si>
    <t>cas082500522</t>
  </si>
  <si>
    <t>cas072500522</t>
  </si>
  <si>
    <t>山海传奇 17</t>
  </si>
  <si>
    <t>Legends of Mountains and Seas 17</t>
  </si>
  <si>
    <t>cas082500523</t>
  </si>
  <si>
    <t>LIFESTYLE</t>
  </si>
  <si>
    <t>寻味安徽 2</t>
  </si>
  <si>
    <t>Xun Wei An Hui Ep02</t>
  </si>
  <si>
    <t>cas082500601</t>
  </si>
  <si>
    <t>cas072500601</t>
  </si>
  <si>
    <t>傲椒的湘菜 1 一粉解湘愁（下）</t>
  </si>
  <si>
    <t>The Pride Of Hunan Cuisine Ep01 Rice Noodles Part02</t>
  </si>
  <si>
    <t>cas082500602</t>
  </si>
  <si>
    <t>傲椒的湘菜 1 一粉解湘愁（上）</t>
  </si>
  <si>
    <t>The Pride Of Hunan Cuisine Ep01 Rice Noodles Part01</t>
  </si>
  <si>
    <t>cas082500603</t>
  </si>
  <si>
    <t>欢迎到营地来 2</t>
  </si>
  <si>
    <t>Welcome To Camp Ep02</t>
  </si>
  <si>
    <t>cas082500604</t>
  </si>
  <si>
    <t>cas072500604</t>
  </si>
  <si>
    <t>冀味儿 第三季 运河风味 2 烟火邢襄</t>
  </si>
  <si>
    <t>Taste of Hebei Season 3 Grand Canal Gastronomy 2 The Pulse of Xingxiang</t>
  </si>
  <si>
    <t>cas082500605</t>
  </si>
  <si>
    <t>冀味儿 第三季 运河风味 1 邯山沃野</t>
  </si>
  <si>
    <t>Taste of Hebei Season 3 Grand Canal Gastronomy 1 Handan's Breadbasket: Where Mountains Meet Fertile Valleys</t>
  </si>
  <si>
    <t>cas082500606</t>
  </si>
  <si>
    <t>农耕探文明 7 甘肃皋兰 什川古梨园</t>
  </si>
  <si>
    <t>Exploring Civilization by Farming 7 Gaolan, Gansu Shichuan Ancient Pear Garden</t>
  </si>
  <si>
    <t>cas082500607</t>
  </si>
  <si>
    <t>cas072500607</t>
  </si>
  <si>
    <t>巅峰食刻—中法厨王竞技 脍炙豚香</t>
  </si>
  <si>
    <t>Peakedness Food Moment - Chinese and French Chef Competition - The Legendary Char-Grilled Pork</t>
  </si>
  <si>
    <t>cas082500608</t>
  </si>
  <si>
    <t>cas072500608</t>
  </si>
  <si>
    <t>三餐四季 第二季 江西篇</t>
  </si>
  <si>
    <t>Three Meals and Four Seasons S02 Jiangxi Chapter</t>
  </si>
  <si>
    <t>cas082500609</t>
  </si>
  <si>
    <t>cas072500609</t>
  </si>
  <si>
    <t>三餐四季 第二季 福建篇</t>
  </si>
  <si>
    <t>Three Meals and Four Seasons S02 Fujian Chapter</t>
  </si>
  <si>
    <t>cas082500610</t>
  </si>
  <si>
    <t>cas072500610</t>
  </si>
  <si>
    <t>山水间的家 第三季 20241110</t>
  </si>
  <si>
    <t>A Home among Mountains and Rivers Season 3 20241110</t>
  </si>
  <si>
    <t>cas082500611</t>
  </si>
  <si>
    <t>决战外卖之巅 1 双拼汉堡</t>
  </si>
  <si>
    <t>Takeaway Titans 1 Beef and Chicken</t>
  </si>
  <si>
    <t>cas082500612</t>
  </si>
  <si>
    <t>cas072500612</t>
  </si>
  <si>
    <t>居家断舍离 第四季 4</t>
  </si>
  <si>
    <t>Sort Your Life Out S04E04</t>
  </si>
  <si>
    <t>cas082500613</t>
  </si>
  <si>
    <t>cas072500613</t>
  </si>
  <si>
    <t>居家断舍离 第四季 3</t>
  </si>
  <si>
    <t>Sort Your Life Out S04E03</t>
  </si>
  <si>
    <t>cas082500614</t>
  </si>
  <si>
    <t>cas072500614</t>
  </si>
  <si>
    <t>SPORTS</t>
  </si>
  <si>
    <t>网球 ATP迈阿密站决赛：门希克VS德约科维奇</t>
  </si>
  <si>
    <t>Tennis ATP Miami Open Final: Jakub Mensik vs Novak Djokovic</t>
  </si>
  <si>
    <t>cas082500701</t>
  </si>
  <si>
    <t>台球 斯诺克世锦赛决赛：威廉姆斯VS赵心童</t>
  </si>
  <si>
    <t>Billiards World Snooker Championship Final: Mark Williams vs Zhao Xintong</t>
  </si>
  <si>
    <t>cas082500702</t>
  </si>
  <si>
    <t>天下足球 十大世界波双响</t>
  </si>
  <si>
    <t>Total Soccer: Top 10 World-Class Brace Goals</t>
  </si>
  <si>
    <t>cas082500703</t>
  </si>
  <si>
    <t>篮球公园 对话—郭艾伦</t>
  </si>
  <si>
    <t>Basketball Park: Interview with Guo Ailun</t>
  </si>
  <si>
    <t>cas082500704</t>
  </si>
  <si>
    <t>cas072500704</t>
  </si>
  <si>
    <t>体坛进化论 2</t>
  </si>
  <si>
    <t>The Evolution of Sport Ep02</t>
  </si>
  <si>
    <t>cas082500705</t>
  </si>
  <si>
    <t>cas072500705</t>
  </si>
  <si>
    <t>极速内幕 2</t>
  </si>
  <si>
    <t>The Front Row Ep02</t>
  </si>
  <si>
    <t>cas082500706</t>
  </si>
  <si>
    <t>cas072500706</t>
  </si>
  <si>
    <t>国际篮联赛事集锦 9</t>
  </si>
  <si>
    <t>FIBA World Basketball Ep09</t>
  </si>
  <si>
    <t>cas082500707</t>
  </si>
  <si>
    <t>COMEDY</t>
  </si>
  <si>
    <t>名侦探的假期 6</t>
  </si>
  <si>
    <t>Detectives' Holiday Ep06</t>
  </si>
  <si>
    <t>cas082500801</t>
  </si>
  <si>
    <t>cas072500801</t>
  </si>
  <si>
    <t>名侦探的假期 5</t>
  </si>
  <si>
    <t>Detectives' Holiday Ep05</t>
  </si>
  <si>
    <t>cas082500802</t>
  </si>
  <si>
    <t>cas072500802</t>
  </si>
  <si>
    <t>名侦探的假期 4</t>
  </si>
  <si>
    <t>Detectives' Holiday Ep04</t>
  </si>
  <si>
    <t>cas082500803</t>
  </si>
  <si>
    <t>cas072500803</t>
  </si>
  <si>
    <t>名侦探的假期 3</t>
  </si>
  <si>
    <t>Detectives' Holiday Ep03</t>
  </si>
  <si>
    <t>cas082500804</t>
  </si>
  <si>
    <t>cas072500804</t>
  </si>
  <si>
    <t>喜剧之王单口季 8</t>
  </si>
  <si>
    <t>King of Comedy Ep08</t>
  </si>
  <si>
    <t>cas082500805</t>
  </si>
  <si>
    <t>cas072500805</t>
  </si>
  <si>
    <t>喜剧之王单口季 7</t>
  </si>
  <si>
    <t>King of Comedy Ep07</t>
  </si>
  <si>
    <t>cas082500806</t>
  </si>
  <si>
    <t>cas072500806</t>
  </si>
  <si>
    <t>一年一度喜剧大赛 第一季 16</t>
  </si>
  <si>
    <t>Super Sketch Show S01E16</t>
  </si>
  <si>
    <t>cas082500807</t>
  </si>
  <si>
    <t>cas072500807</t>
  </si>
  <si>
    <t>一年一度喜剧大赛 第一季 15</t>
  </si>
  <si>
    <t>Super Sketch Show S01E15</t>
  </si>
  <si>
    <t>cas082500808</t>
  </si>
  <si>
    <t>cas072500808</t>
  </si>
  <si>
    <t>开门大吉 20250414</t>
  </si>
  <si>
    <t>Open the Door and Be Happy 20250414</t>
  </si>
  <si>
    <t>cas082500809</t>
  </si>
  <si>
    <t>背叛者（英版）第二季 12</t>
  </si>
  <si>
    <t>The Traitors(UK) S02E12</t>
  </si>
  <si>
    <t>cas082500810</t>
  </si>
  <si>
    <t>背叛者（英版）第二季 11</t>
  </si>
  <si>
    <t>The Traitors(UK) S02E11</t>
  </si>
  <si>
    <t>cas082500811</t>
  </si>
  <si>
    <t>cas072500811</t>
  </si>
  <si>
    <t>背叛者（英版）第二季 10</t>
  </si>
  <si>
    <t>The Traitors(UK) S02E10</t>
  </si>
  <si>
    <t>cas082500812</t>
  </si>
  <si>
    <t>cas072500812</t>
  </si>
  <si>
    <t>背叛者（英版）第二季 9</t>
  </si>
  <si>
    <t>The Traitors(UK) S02E09</t>
  </si>
  <si>
    <t>cas082500813</t>
  </si>
  <si>
    <t>cas072500813</t>
  </si>
  <si>
    <t>ENTERTAINMENT</t>
  </si>
  <si>
    <t>时光音乐会 第二季 8</t>
  </si>
  <si>
    <t>Time Concert S02E08</t>
  </si>
  <si>
    <t>cas082500901</t>
  </si>
  <si>
    <t>时光音乐会 第二季 7</t>
  </si>
  <si>
    <t>Time Concert S02E07</t>
  </si>
  <si>
    <t>cas082500902</t>
  </si>
  <si>
    <t>cas072500903</t>
  </si>
  <si>
    <t>时光音乐会 第二季 6</t>
  </si>
  <si>
    <t>Time Concert S02E06</t>
  </si>
  <si>
    <t>cas082500903</t>
  </si>
  <si>
    <t>cas072500904</t>
  </si>
  <si>
    <t>时光音乐会 第二季 5</t>
  </si>
  <si>
    <t>Time Concert S02E05</t>
  </si>
  <si>
    <t>cas082500904</t>
  </si>
  <si>
    <t>cas072500905</t>
  </si>
  <si>
    <t>时光音乐会 第二季 4</t>
  </si>
  <si>
    <t>Time Concert S02E04</t>
  </si>
  <si>
    <t>cas082500905</t>
  </si>
  <si>
    <t>cas072500906</t>
  </si>
  <si>
    <t>弦歌中华 2</t>
  </si>
  <si>
    <t>Melodies of the Middle Kingdom 2</t>
  </si>
  <si>
    <t>cas082500906</t>
  </si>
  <si>
    <t>民歌中国 纯享版 20250518</t>
  </si>
  <si>
    <t>Folk Songs of China For the Pure Joy Edition 20250518</t>
  </si>
  <si>
    <t>cas082500907</t>
  </si>
  <si>
    <t>cas072500908</t>
  </si>
  <si>
    <t>民歌中国 纯享版 20250517</t>
  </si>
  <si>
    <t>Folk Songs of China For the Pure Joy Edition 20250517</t>
  </si>
  <si>
    <t>cas082500908</t>
  </si>
  <si>
    <t>TOP音乐咖 20240901</t>
  </si>
  <si>
    <t>TOP Music Program 20240901</t>
  </si>
  <si>
    <t>cas082500909</t>
  </si>
  <si>
    <t>TOP音乐咖 20240825</t>
  </si>
  <si>
    <t>TOP Music Program 20240825</t>
  </si>
  <si>
    <t>cas082500910</t>
  </si>
  <si>
    <t>精彩音乐汇 我的爱对你说 20250518</t>
  </si>
  <si>
    <t>Wonderful Music Collection: My Love Says to You 20250518</t>
  </si>
  <si>
    <t>cas082500911</t>
  </si>
  <si>
    <t>cas072500910</t>
  </si>
  <si>
    <t>精彩音乐汇 我的爱对你说 20250517</t>
  </si>
  <si>
    <t>Wonderful Music Collection: My Love Says to You 20250517</t>
  </si>
  <si>
    <t>cas082500912</t>
  </si>
  <si>
    <t>CHINA</t>
  </si>
  <si>
    <t>风度中国 5 我带着风景，走向远方的你（下）</t>
  </si>
  <si>
    <t>Across China 5 You in the Distant Place (Part 2)</t>
  </si>
  <si>
    <t>cas082501001</t>
  </si>
  <si>
    <t>cas072501001</t>
  </si>
  <si>
    <t>风度中国 5 我带着风景，走向远方的你（上）</t>
  </si>
  <si>
    <t>Across China 5 You in the Distant Place (Part 1)</t>
  </si>
  <si>
    <t>cas082501002</t>
  </si>
  <si>
    <t>cas072501002</t>
  </si>
  <si>
    <t>风度中国 4 为你预支一些未来的远方（下）</t>
  </si>
  <si>
    <t>Across China 4 Distant Future (Part 2)</t>
  </si>
  <si>
    <t>cas082501003</t>
  </si>
  <si>
    <t>cas072501003</t>
  </si>
  <si>
    <t>风度中国 4 为你预支一些未来的远方（上）</t>
  </si>
  <si>
    <t>Across China 4 Distant Future (Part 1)</t>
  </si>
  <si>
    <t>cas082501004</t>
  </si>
  <si>
    <t>cas072501004</t>
  </si>
  <si>
    <t>航拍中国 4</t>
  </si>
  <si>
    <t>Aerial China Ep04</t>
  </si>
  <si>
    <t>cas082501005</t>
  </si>
  <si>
    <t>cas072501009</t>
  </si>
  <si>
    <t>航拍中国 3</t>
  </si>
  <si>
    <t>Aerial China Ep03</t>
  </si>
  <si>
    <t>cas082501006</t>
  </si>
  <si>
    <t>cas072501005</t>
  </si>
  <si>
    <t>最美中国 第二季 12 乌兰：茶卡盐湖，纯净心灵之旅</t>
  </si>
  <si>
    <t>China Beyond Compare S02E12 Wulan: Chaka Salt Lake, A Pure Journey for the Soul</t>
  </si>
  <si>
    <t>cas082501007</t>
  </si>
  <si>
    <t>大国基石 第二季 7 为国建材</t>
  </si>
  <si>
    <t>Cornerstone of a Great Nation S02E07 For National Building Materials</t>
  </si>
  <si>
    <t>cas082501008</t>
  </si>
  <si>
    <t>大国基石 第二季 6 风起东方</t>
  </si>
  <si>
    <t>Cornerstone of a Great Nation S02E06 The Eastern Awakening</t>
  </si>
  <si>
    <t>cas082501009</t>
  </si>
  <si>
    <t>非遗里的中国 第三季 福建篇</t>
  </si>
  <si>
    <t>China in Intangible Cultural Heritage Season 3 Fujian</t>
  </si>
  <si>
    <t>cas082501010</t>
  </si>
  <si>
    <t>智慧中国 3</t>
  </si>
  <si>
    <t>Smart China Ep3</t>
  </si>
  <si>
    <t>cas082501011</t>
  </si>
  <si>
    <t>cas072501008</t>
  </si>
  <si>
    <t>Short Video</t>
  </si>
  <si>
    <t>Entertainment</t>
  </si>
  <si>
    <t>咫尺一眼（《念无双》影视剧片尾曲）</t>
  </si>
  <si>
    <t>One Glance, Worlds Apart</t>
  </si>
  <si>
    <t>cas082501101</t>
  </si>
  <si>
    <t>飒（《念无双》影视剧插曲）</t>
  </si>
  <si>
    <t>Powerful</t>
  </si>
  <si>
    <t>cas082501102</t>
  </si>
  <si>
    <t>燃罪（《燃罪》影视剧主题曲）</t>
  </si>
  <si>
    <t>Burning Sin</t>
  </si>
  <si>
    <t>cas082501103</t>
  </si>
  <si>
    <t>揽仙歌（《问道》手游9周年主题曲）</t>
  </si>
  <si>
    <t>Song of Lanxian (Theme Song for the 9th Anniversary of the Mobile Game "Ask Taoism")</t>
  </si>
  <si>
    <t>cas082501104</t>
  </si>
  <si>
    <t>home.</t>
  </si>
  <si>
    <t>cas082501105</t>
  </si>
  <si>
    <t>豆浆油条</t>
  </si>
  <si>
    <t>Soy Milk and Fried Dough Sticks</t>
  </si>
  <si>
    <t>cas082501106</t>
  </si>
  <si>
    <t>被风吹过的夏天</t>
  </si>
  <si>
    <t>The Summer Blown by the Wind</t>
  </si>
  <si>
    <t>cas082501107</t>
  </si>
  <si>
    <t>我知道</t>
  </si>
  <si>
    <t>I Know</t>
  </si>
  <si>
    <t>cas082501108</t>
  </si>
  <si>
    <t>爱情闯进门</t>
  </si>
  <si>
    <t>Love Breaks In</t>
  </si>
  <si>
    <t>cas082501109</t>
  </si>
  <si>
    <t>最佳歌手</t>
  </si>
  <si>
    <t>The Best Singer</t>
  </si>
  <si>
    <t>cas082501110</t>
  </si>
  <si>
    <t>墨绿指甲</t>
  </si>
  <si>
    <t>Dark Green Nails</t>
  </si>
  <si>
    <t>cas082501111</t>
  </si>
  <si>
    <t>大明星</t>
  </si>
  <si>
    <t>Big Star</t>
  </si>
  <si>
    <t>cas082501112</t>
  </si>
  <si>
    <t>小小世界（《爱情自有天意》插曲）</t>
  </si>
  <si>
    <t>Little World (Interlude of the TV Series "Fated to My Fortune")</t>
  </si>
  <si>
    <t>cas082501113</t>
  </si>
  <si>
    <t>千古（电视剧《花千骨》片头曲）</t>
  </si>
  <si>
    <t>Eternal Ages (Opening Theme Song of the TV Series "The Journey of Flower")</t>
  </si>
  <si>
    <t>cas082501114</t>
  </si>
  <si>
    <t>Spaceman</t>
  </si>
  <si>
    <t>cas082501115</t>
  </si>
  <si>
    <t>寂静买下了整座湖</t>
  </si>
  <si>
    <t>Silence Has Bought the Entire Lake</t>
  </si>
  <si>
    <t>cas082501116</t>
  </si>
  <si>
    <t>Love From Retro（瑞秋的爱）</t>
  </si>
  <si>
    <t>Love From Retro</t>
  </si>
  <si>
    <t>cas082501117</t>
  </si>
  <si>
    <t>再去海边</t>
  </si>
  <si>
    <t>Go to the Seaside Again</t>
  </si>
  <si>
    <t>cas082501118</t>
  </si>
  <si>
    <t>这个夏天</t>
  </si>
  <si>
    <t>This Summer</t>
  </si>
  <si>
    <t>cas082501119</t>
  </si>
  <si>
    <t>若月亮没来MV</t>
  </si>
  <si>
    <t>If the moon hadn't come MV</t>
  </si>
  <si>
    <t>cas082501120</t>
  </si>
  <si>
    <t>泥巴MV</t>
  </si>
  <si>
    <t>Mud MV</t>
  </si>
  <si>
    <t>cas082501121</t>
  </si>
  <si>
    <t>我的滑板鞋MV</t>
  </si>
  <si>
    <t>My skateboard shoes MV</t>
  </si>
  <si>
    <t>cas082501123</t>
  </si>
  <si>
    <t>Humanity</t>
  </si>
  <si>
    <t>“85后”科学家郭兆将：从地里“刨”出国际一流成果</t>
  </si>
  <si>
    <t>Guo Zhaojiang, a Post-85 Scientist: Unearthing World-Class Results from the Ground</t>
  </si>
  <si>
    <t>cas082501201</t>
  </si>
  <si>
    <t>“海的女儿”韩喜球：深海探矿寻宝 在大洋中乘风破浪</t>
  </si>
  <si>
    <t>Han Xiqiu, "Daughter of the Sea": Deep-Sea Mining and Treasure Hunting, Riding the Waves of the Ocean</t>
  </si>
  <si>
    <t>cas082501202</t>
  </si>
  <si>
    <t>“玩骨头的卢老师” 她让冷门的古生物学“热”了起来</t>
  </si>
  <si>
    <t>Teacher Lu, the Bone Player: How She Made Paleontology a Hot Field</t>
  </si>
  <si>
    <t>cas082501203</t>
  </si>
  <si>
    <t>方守贤：叩击微观世界大门 为祖国造高能加速器</t>
  </si>
  <si>
    <t>Fang Shouxian: Knocking on the Door of the Microscopic World, Building High-Energy Accelerators for China</t>
  </si>
  <si>
    <t>cas082501204</t>
  </si>
  <si>
    <t>付巧妹：用古DNA技术“绘”人类演变图谱</t>
  </si>
  <si>
    <t>Fu Qiaomei: Using Ancient DNA Technology to Map Human Evolution</t>
  </si>
  <si>
    <t>cas082501205</t>
  </si>
  <si>
    <t>郭天财：四十六年如一日 为小麦高产“问诊把脉”</t>
  </si>
  <si>
    <t>Guo Tiancai: Forty-Six Years of Consistent Dedication, Diagnosing High Wheat Yields</t>
  </si>
  <si>
    <t>cas082501206</t>
  </si>
  <si>
    <t>跨越百年 这条铁路从“人”字变成“大”字</t>
  </si>
  <si>
    <t>A Century of Transformation: The Railway Evolves from a "Person" to a "Big" Character</t>
  </si>
  <si>
    <t>cas082501207</t>
  </si>
  <si>
    <t>李敏：星辰为引 标注北斗精度</t>
  </si>
  <si>
    <t>Li Min: Guided by the Stars, Marking the Precision of Beidou</t>
  </si>
  <si>
    <t>cas082501208</t>
  </si>
  <si>
    <t>万里迁徙，候鸟为何不迷路？这位科学家揭秘答案</t>
  </si>
  <si>
    <t>A Journey of Thousands of Miles: Why Don't Migratory Birds Get Lost? This Scientist Reveals the Answer</t>
  </si>
  <si>
    <t>cas082501209</t>
  </si>
  <si>
    <t>尤伟：青春在“羲和逐日”中闪光</t>
  </si>
  <si>
    <t>You Wei: Youth Shines in the "Xihe Chasing the Sun" Project</t>
  </si>
  <si>
    <t>cas082501210</t>
  </si>
  <si>
    <t>“固若金汤”的核电站：全球首座高温气冷堆核电站示范工程</t>
  </si>
  <si>
    <t>The World's First HTR-PM Nuclear Power Plant</t>
  </si>
  <si>
    <t>cas082501211</t>
  </si>
  <si>
    <t>带着月球“土特产”回家：嫦娥五号</t>
  </si>
  <si>
    <t>Lunar Samples Retrieved by Chang'e-5</t>
  </si>
  <si>
    <t>cas082501212</t>
  </si>
  <si>
    <t>洞悉宇宙的“中国天眼”——500米口径球面射电望远镜</t>
  </si>
  <si>
    <t>China Sky Eye: Five-Hundred-Meter Aperture Spherical Radio Telescope (FAST)</t>
  </si>
  <si>
    <t>cas082501213</t>
  </si>
  <si>
    <t>高海拔宇宙线观测站</t>
  </si>
  <si>
    <t>Large High Altitude Air Shower Observatory</t>
  </si>
  <si>
    <t>cas082501214</t>
  </si>
  <si>
    <t>国产最大直径盾构机“京华号”</t>
  </si>
  <si>
    <t>China's Largest Domestic Shield Tunneling Machine: "Jinghua"</t>
  </si>
  <si>
    <t>cas082501215</t>
  </si>
  <si>
    <t>国家微生物科学数据中心</t>
  </si>
  <si>
    <t>National Microbiology Data Center</t>
  </si>
  <si>
    <t>cas082501216</t>
  </si>
  <si>
    <t>基因编辑的精准“剪刀”</t>
  </si>
  <si>
    <t>The Precision "Scissors" of Gene Editing</t>
  </si>
  <si>
    <t>cas082501217</t>
  </si>
  <si>
    <t>极地科学考察船“雪龙2”号</t>
  </si>
  <si>
    <t>Polar Scientific Research Vessel "Xue Long 2"</t>
  </si>
  <si>
    <t>cas082501218</t>
  </si>
  <si>
    <t>极低温区基准级测温装置</t>
  </si>
  <si>
    <t>Primary Thermometer for Low Temperature Zone</t>
  </si>
  <si>
    <t>cas082501219</t>
  </si>
  <si>
    <t>全能影像诊断设备：一体化PET_MR</t>
  </si>
  <si>
    <t>All-in-One Imaging Diagnostic Device: Integrated PET-MR</t>
  </si>
  <si>
    <t>cas082501220</t>
  </si>
  <si>
    <t>探秘地球“第四极”：全海深载人潜水器“奋斗者”号</t>
  </si>
  <si>
    <t>Exploring Earth's "Fourth Pole": The Full-Ocean-Depth Manned Submersible, "Fendouzhe"</t>
  </si>
  <si>
    <t>cas082501221</t>
  </si>
  <si>
    <t>探求未来理想的清洁能源：东方超环</t>
  </si>
  <si>
    <t>In Pursuit of the Ideal Clean Energy of the Future: EAST (Experimental Advanced Superconducting Tokamak)</t>
  </si>
  <si>
    <t>cas082501222</t>
  </si>
  <si>
    <t>星际探测的火种：首辆火星车祝融号</t>
  </si>
  <si>
    <t>The Spark of Interstellar Exploration: China's First Mars Rover, Zhurong</t>
  </si>
  <si>
    <t>cas082501223</t>
  </si>
  <si>
    <t>中国空间站：“太空，我们来了！”</t>
  </si>
  <si>
    <t>China's Space Station: Here We Come!</t>
  </si>
  <si>
    <t>cas082501224</t>
  </si>
  <si>
    <t>中国实现“量子优越性”的里程碑 量子计算机“九章”</t>
  </si>
  <si>
    <t>China's Quantum Supremacy Milestone: The Quantum Computer, Jiuzhang</t>
  </si>
  <si>
    <t>cas082501225</t>
  </si>
  <si>
    <t>精彩导航</t>
  </si>
  <si>
    <t>Wonderful Navigation</t>
  </si>
  <si>
    <t>cas082501301</t>
  </si>
  <si>
    <t>cas072501301</t>
  </si>
  <si>
    <t>eFX</t>
  </si>
  <si>
    <t>i4k</t>
  </si>
  <si>
    <t>Ad</t>
  </si>
  <si>
    <t>CA0825 Advertisement</t>
  </si>
  <si>
    <t>cac082500101m2.mpg</t>
  </si>
  <si>
    <t>Env</t>
  </si>
  <si>
    <t>3kiFilename</t>
  </si>
  <si>
    <t>Series Name</t>
  </si>
  <si>
    <t>eX3/2</t>
  </si>
  <si>
    <t>eX3 NG</t>
  </si>
  <si>
    <t>eX3/eFx/i5k</t>
  </si>
  <si>
    <t>3ki/i4k</t>
  </si>
  <si>
    <t>Overhead</t>
  </si>
  <si>
    <t>01-5 Air Int'l_out 1</t>
  </si>
  <si>
    <t>空中博览国际去程 1-01</t>
  </si>
  <si>
    <t>150 Air Panorama A01-1</t>
  </si>
  <si>
    <t>cah082500201</t>
  </si>
  <si>
    <t>空中博览国际去程 1-02</t>
  </si>
  <si>
    <t>150 Air Panorama A01-2</t>
  </si>
  <si>
    <t>cah082500202</t>
  </si>
  <si>
    <t>空中博览国际去程 1-03</t>
  </si>
  <si>
    <t>150 Air Panorama A01-3</t>
  </si>
  <si>
    <t>cah082500203</t>
  </si>
  <si>
    <t>空中博览国际去程 1-04</t>
  </si>
  <si>
    <t>150 Air Panorama A01-4</t>
  </si>
  <si>
    <t>cah082500204</t>
  </si>
  <si>
    <t>01-6 Air Int'l_out 2</t>
  </si>
  <si>
    <t>空中博览国际去程 1-05</t>
  </si>
  <si>
    <t>150 Air Panorama A01-5</t>
  </si>
  <si>
    <t>cah082500205</t>
  </si>
  <si>
    <t>空中博览国际去程 1-06</t>
  </si>
  <si>
    <t>150 Air Panorama A01-6</t>
  </si>
  <si>
    <t>cah082500206</t>
  </si>
  <si>
    <t>空中博览国际去程 1-07</t>
  </si>
  <si>
    <t>150 Air Panorama A01-7</t>
  </si>
  <si>
    <t>cah082500207</t>
  </si>
  <si>
    <t>空中博览国际去程 1-08</t>
  </si>
  <si>
    <t>150 Air Panorama A01-8</t>
  </si>
  <si>
    <t>cah082500208</t>
  </si>
  <si>
    <t>01-7 Air Int'l_In 1</t>
  </si>
  <si>
    <t>空中博览国际回程 1-01</t>
  </si>
  <si>
    <t>150 Air Panorama B01-1</t>
  </si>
  <si>
    <t>cah082500209</t>
  </si>
  <si>
    <t>空中博览国际回程 1-02</t>
  </si>
  <si>
    <t>150 Air Panorama B01-2</t>
  </si>
  <si>
    <t>cah082500210</t>
  </si>
  <si>
    <t>空中博览国际回程 1-03</t>
  </si>
  <si>
    <t>150 Air Panorama B01-3</t>
  </si>
  <si>
    <t>cah082500211</t>
  </si>
  <si>
    <t>空中博览国际回程 1-04</t>
  </si>
  <si>
    <t>150 Air Panorama B01-4</t>
  </si>
  <si>
    <t>cah082500212</t>
  </si>
  <si>
    <t>01-8 Air Int'l_In 2</t>
  </si>
  <si>
    <t>空中博览国际回程 1-05</t>
  </si>
  <si>
    <t>150 Air Panorama B01-5</t>
  </si>
  <si>
    <t>cah082500213</t>
  </si>
  <si>
    <t>空中博览国际回程 1-06</t>
  </si>
  <si>
    <t>150 Air Panorama B01-6</t>
  </si>
  <si>
    <t>cah082500214</t>
  </si>
  <si>
    <t>空中博览国际回程 1-07</t>
  </si>
  <si>
    <t>150 Air Panorama B01-7</t>
  </si>
  <si>
    <t>cah082500215</t>
  </si>
  <si>
    <t>空中博览国际回程 1-08</t>
  </si>
  <si>
    <t>150 Air Panorama B01-8</t>
  </si>
  <si>
    <t>cah082500216</t>
  </si>
  <si>
    <t>01-1Air Domestic_out 1</t>
  </si>
  <si>
    <t>空中博览国内去程 1-01</t>
  </si>
  <si>
    <t>150 Air Panorama C01-1</t>
  </si>
  <si>
    <t>cah082500217</t>
  </si>
  <si>
    <t>空中博览国内去程 1-02</t>
  </si>
  <si>
    <t>150 Air Panorama C01-2</t>
  </si>
  <si>
    <t>cah082500218</t>
  </si>
  <si>
    <t>空中博览国内去程 1-03</t>
  </si>
  <si>
    <t>150 Air Panorama C01-3</t>
  </si>
  <si>
    <t>cah082500219</t>
  </si>
  <si>
    <t>空中博览国内去程 1-04</t>
  </si>
  <si>
    <t>150 Air Panorama C01-4</t>
  </si>
  <si>
    <t>cah082500220</t>
  </si>
  <si>
    <t>01-2Air Domestic_out 2</t>
  </si>
  <si>
    <t>空中博览国内去程 1-05</t>
  </si>
  <si>
    <t>150 Air Panorama C01-5</t>
  </si>
  <si>
    <t>cah082500221</t>
  </si>
  <si>
    <t>空中博览国内去程 1-06</t>
  </si>
  <si>
    <t>150 Air Panorama C01-6</t>
  </si>
  <si>
    <t>cah082500222</t>
  </si>
  <si>
    <t>空中博览国内去程 1-07</t>
  </si>
  <si>
    <t>150 Air Panorama C01-7</t>
  </si>
  <si>
    <t>cah082500223</t>
  </si>
  <si>
    <t>空中博览国内去程 1-08</t>
  </si>
  <si>
    <t>150 Air Panorama C01-8</t>
  </si>
  <si>
    <t>cah082500224</t>
  </si>
  <si>
    <t>01-3Air Domestic_In 1</t>
  </si>
  <si>
    <t>空中博览国内回程 1-01</t>
  </si>
  <si>
    <t>150 Air Panorama D01-1</t>
  </si>
  <si>
    <t>cah082500225</t>
  </si>
  <si>
    <t>空中博览国内回程 1-02</t>
  </si>
  <si>
    <t>150 Air Panorama D01-2</t>
  </si>
  <si>
    <t>cah082500226</t>
  </si>
  <si>
    <t>空中博览国内回程 1-03</t>
  </si>
  <si>
    <t>150 Air Panorama D01-3</t>
  </si>
  <si>
    <t>cah082500227</t>
  </si>
  <si>
    <t>空中博览国内回程 1-04</t>
  </si>
  <si>
    <t>150 Air Panorama D01-4</t>
  </si>
  <si>
    <t>cah082500228</t>
  </si>
  <si>
    <t>01-4Air Domestic_In 2</t>
  </si>
  <si>
    <t>空中博览国内回程 1-05</t>
  </si>
  <si>
    <t>150 Air Panorama D01-5</t>
  </si>
  <si>
    <t>cah082500229</t>
  </si>
  <si>
    <t>空中博览国内回程 1-06</t>
  </si>
  <si>
    <t>150 Air Panorama D01-6</t>
  </si>
  <si>
    <t>cah082500230</t>
  </si>
  <si>
    <t>空中博览国内回程 1-07</t>
  </si>
  <si>
    <t>150 Air Panorama D01-7</t>
  </si>
  <si>
    <t>cah082500231</t>
  </si>
  <si>
    <t>空中博览国内回程 1-08</t>
  </si>
  <si>
    <t>150 Air Panorama D01-8</t>
  </si>
  <si>
    <t>cah082500232</t>
  </si>
  <si>
    <t>[A350专用]空中博览国际去程 1-01</t>
  </si>
  <si>
    <t>[A350 Exclusive]150 Air Panorama A01-1</t>
  </si>
  <si>
    <t>cah082500233</t>
  </si>
  <si>
    <t>[A350专用]空中博览国际去程 1-02</t>
  </si>
  <si>
    <t>[A350 Exclusive]150 Air Panorama A01-2</t>
  </si>
  <si>
    <t>cah082500234</t>
  </si>
  <si>
    <t>[A350专用]空中博览国际去程 1-03</t>
  </si>
  <si>
    <t>[A350 Exclusive]150 Air Panorama A01-3</t>
  </si>
  <si>
    <t>cah082500235</t>
  </si>
  <si>
    <t>[A350专用]空中博览国际去程 1-04</t>
  </si>
  <si>
    <t>[A350 Exclusive]150 Air Panorama A01-4</t>
  </si>
  <si>
    <t>cah082500236</t>
  </si>
  <si>
    <t>[A350专用]空中博览国际去程 1-05</t>
  </si>
  <si>
    <t>[A350 Exclusive]150 Air Panorama A01-5</t>
  </si>
  <si>
    <t>cah082500237</t>
  </si>
  <si>
    <t>[A350专用]空中博览国际去程 1-06</t>
  </si>
  <si>
    <t>[A350 Exclusive]150 Air Panorama A01-6</t>
  </si>
  <si>
    <t>cah082500238</t>
  </si>
  <si>
    <t>[A350专用]空中博览国际去程 1-07</t>
  </si>
  <si>
    <t>[A350 Exclusive]150 Air Panorama A01-7</t>
  </si>
  <si>
    <t>cah082500239</t>
  </si>
  <si>
    <t>[A350专用]空中博览国际去程 1-08</t>
  </si>
  <si>
    <t>[A350 Exclusive]150 Air Panorama A01-8</t>
  </si>
  <si>
    <t>cah082500240</t>
  </si>
  <si>
    <t>[A350专用]空中博览国际回程 1-01</t>
  </si>
  <si>
    <t>[A350 Exclusive]150 Air Panorama B01-1</t>
  </si>
  <si>
    <t>cah082500241</t>
  </si>
  <si>
    <t>[A350专用]空中博览国际回程 1-02</t>
  </si>
  <si>
    <t>[A350 Exclusive]150 Air Panorama B01-2</t>
  </si>
  <si>
    <t>cah082500242</t>
  </si>
  <si>
    <t>[A350专用]空中博览国际回程 1-03</t>
  </si>
  <si>
    <t>[A350 Exclusive]150 Air Panorama B01-3</t>
  </si>
  <si>
    <t>cah082500243</t>
  </si>
  <si>
    <t>[A350专用]空中博览国际回程 1-04</t>
  </si>
  <si>
    <t>[A350 Exclusive]150 Air Panorama B01-4</t>
  </si>
  <si>
    <t>cah082500244</t>
  </si>
  <si>
    <t>[A350专用]空中博览国际回程 1-05</t>
  </si>
  <si>
    <t>[A350 Exclusive]150 Air Panorama B01-5</t>
  </si>
  <si>
    <t>cah082500245</t>
  </si>
  <si>
    <t>[A350专用]空中博览国际回程 1-06</t>
  </si>
  <si>
    <t>[A350 Exclusive]150 Air Panorama B01-6</t>
  </si>
  <si>
    <t>cah082500246</t>
  </si>
  <si>
    <t>[A350专用]空中博览国际回程 1-07</t>
  </si>
  <si>
    <t>[A350 Exclusive]150 Air Panorama B01-7</t>
  </si>
  <si>
    <t>cah082500247</t>
  </si>
  <si>
    <t>[A350专用]空中博览国际回程 1-08</t>
  </si>
  <si>
    <t>[A350 Exclusive]150 Air Panorama B01-8</t>
  </si>
  <si>
    <t>cah082500248</t>
  </si>
  <si>
    <t>[A350专用]空中博览国内去程 1-01</t>
  </si>
  <si>
    <t>[A350 Exclusive]150 Air Panorama C01-1</t>
  </si>
  <si>
    <t>cah082500249</t>
  </si>
  <si>
    <t>[A350专用]空中博览国内去程 1-02</t>
  </si>
  <si>
    <t>[A350 Exclusive]150 Air Panorama C01-2</t>
  </si>
  <si>
    <t>cah082500250</t>
  </si>
  <si>
    <t>[A350专用]空中博览国内去程 1-03</t>
  </si>
  <si>
    <t>[A350 Exclusive]150 Air Panorama C01-3</t>
  </si>
  <si>
    <t>cah082500251</t>
  </si>
  <si>
    <t>[A350专用]空中博览国内去程 1-04</t>
  </si>
  <si>
    <t>[A350 Exclusive]150 Air Panorama C01-4</t>
  </si>
  <si>
    <t>cah082500252</t>
  </si>
  <si>
    <t>[A350专用]空中博览国内去程 1-05</t>
  </si>
  <si>
    <t>[A350 Exclusive]150 Air Panorama C01-5</t>
  </si>
  <si>
    <t>cah082500253</t>
  </si>
  <si>
    <t>[A350专用]空中博览国内去程 1-06</t>
  </si>
  <si>
    <t>[A350 Exclusive]150 Air Panorama C01-6</t>
  </si>
  <si>
    <t>cah082500254</t>
  </si>
  <si>
    <t>[A350专用]空中博览国内去程 1-07</t>
  </si>
  <si>
    <t>[A350 Exclusive]150 Air Panorama C01-7</t>
  </si>
  <si>
    <t>cah082500255</t>
  </si>
  <si>
    <t>[A350专用]空中博览国内去程 1-08</t>
  </si>
  <si>
    <t>[A350 Exclusive]150 Air Panorama C01-8</t>
  </si>
  <si>
    <t>cah082500256</t>
  </si>
  <si>
    <t>[A350专用]空中博览国内回程 1-01</t>
  </si>
  <si>
    <t>[A350 Exclusive]150 Air Panorama D01-1</t>
  </si>
  <si>
    <t>cah082500257</t>
  </si>
  <si>
    <t>[A350专用]空中博览国内回程 1-02</t>
  </si>
  <si>
    <t>[A350 Exclusive]150 Air Panorama D01-2</t>
  </si>
  <si>
    <t>cah082500258</t>
  </si>
  <si>
    <t>[A350专用]空中博览国内回程 1-03</t>
  </si>
  <si>
    <t>[A350 Exclusive]150 Air Panorama D01-3</t>
  </si>
  <si>
    <t>cah082500259</t>
  </si>
  <si>
    <t>[A350专用]空中博览国内回程 1-04</t>
  </si>
  <si>
    <t>[A350 Exclusive]150 Air Panorama D01-4</t>
  </si>
  <si>
    <t>cah082500260</t>
  </si>
  <si>
    <t>[A350专用]空中博览国内回程 1-05</t>
  </si>
  <si>
    <t>[A350 Exclusive]150 Air Panorama D01-5</t>
  </si>
  <si>
    <t>cah082500261</t>
  </si>
  <si>
    <t>[A350专用]空中博览国内回程 1-06</t>
  </si>
  <si>
    <t>[A350 Exclusive]150 Air Panorama D01-6</t>
  </si>
  <si>
    <t>cah082500262</t>
  </si>
  <si>
    <t>[A350专用]空中博览国内回程 1-07</t>
  </si>
  <si>
    <t>[A350 Exclusive]150 Air Panorama D01-7</t>
  </si>
  <si>
    <t>cah082500263</t>
  </si>
  <si>
    <t>[A350专用]空中博览国内回程 1-08</t>
  </si>
  <si>
    <t>[A350 Exclusive]150 Air Panorama D01-8</t>
  </si>
  <si>
    <t>cah082500264</t>
  </si>
  <si>
    <t>Air Panorama AD 1</t>
  </si>
  <si>
    <t>cah082500265</t>
  </si>
  <si>
    <t>02-MOV 1- 雄狮少年2</t>
  </si>
  <si>
    <t>02-MOV 1- I Am What I Am 2</t>
  </si>
  <si>
    <t>02-MOV 2- 射雕英雄传：侠之大者</t>
  </si>
  <si>
    <t>02-MOV 2- Legends of The Condor Heroes: The Gallants</t>
  </si>
  <si>
    <t>02-TV 1 30min: 牛奶是部文明史 1</t>
  </si>
  <si>
    <t>02-TV 1 30min: Milk: A Running River of Civilization 1</t>
  </si>
  <si>
    <t>02-TV 2 60min: 埃及宇宙密码 1 繁星之间</t>
  </si>
  <si>
    <t>02-TV 2 60min: Bradley Walsh: Egypt's Cosmic Codes EP01 Written in the Stars</t>
  </si>
  <si>
    <t>ex3/2+NG-OH;i5K-Video Announcement(VA);I4k-Safety Video</t>
  </si>
  <si>
    <t>平安愉快埃及行</t>
  </si>
  <si>
    <t>Egypt Travel</t>
  </si>
  <si>
    <t>cah082500300</t>
  </si>
  <si>
    <t xml:space="preserve">eX3/2 &amp; eX3 NG
</t>
  </si>
  <si>
    <t>I5K</t>
  </si>
  <si>
    <t>I4K</t>
  </si>
  <si>
    <t>0622</t>
  </si>
  <si>
    <t>VA/Safety Video+ About Us-Snapshots-TRACK1</t>
  </si>
  <si>
    <r>
      <rPr>
        <sz val="11"/>
        <rFont val="Arial"/>
        <charset val="134"/>
      </rPr>
      <t>A330_200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</si>
  <si>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A330_200_Eng 0622 Safety Video Owg</t>
  </si>
  <si>
    <t>VA/Safety Video</t>
  </si>
  <si>
    <r>
      <rPr>
        <sz val="11"/>
        <rFont val="Arial"/>
        <charset val="134"/>
      </rPr>
      <t>A330_300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</si>
  <si>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A330_300_Eng 0622 Safety Video Owg</t>
  </si>
  <si>
    <t>VA</t>
  </si>
  <si>
    <r>
      <rPr>
        <sz val="11"/>
        <rFont val="Arial"/>
        <charset val="134"/>
      </rPr>
      <t>B777-300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</si>
  <si>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B777-300_Eng 0622 Safety Video Owg</t>
  </si>
  <si>
    <r>
      <rPr>
        <sz val="11"/>
        <rFont val="Arial"/>
        <charset val="134"/>
      </rPr>
      <t>A350-900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</si>
  <si>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A350-900 (Eng) 0622 Safety Video OWG</t>
  </si>
  <si>
    <t>cah062200401</t>
  </si>
  <si>
    <r>
      <rPr>
        <sz val="11"/>
        <rFont val="Arial"/>
        <charset val="134"/>
      </rPr>
      <t>02-747-8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</si>
  <si>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02-747-8 (Eng) 0622 Safety Video OWG</t>
  </si>
  <si>
    <t>cah062200402</t>
  </si>
  <si>
    <r>
      <rPr>
        <sz val="11"/>
        <rFont val="Arial"/>
        <charset val="134"/>
      </rPr>
      <t>787 9 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</si>
  <si>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787 9 (Eng) 0622 Safety Video OWG</t>
  </si>
  <si>
    <t>cah062200403</t>
  </si>
  <si>
    <t>ABOUT US</t>
  </si>
  <si>
    <t>国航冬奥版安全须知</t>
  </si>
  <si>
    <t>Safety Video</t>
  </si>
  <si>
    <t>cah062200404</t>
  </si>
  <si>
    <t>cah062200405</t>
  </si>
  <si>
    <t>cah042200408</t>
  </si>
  <si>
    <t>与A330-200相同</t>
  </si>
  <si>
    <r>
      <rPr>
        <sz val="11"/>
        <rFont val="Arial"/>
        <charset val="134"/>
      </rPr>
      <t>02-A321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 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</si>
  <si>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02-A321 (Eng) 0622 Safety Video OWG</t>
  </si>
  <si>
    <t>cah062200406</t>
  </si>
  <si>
    <r>
      <rPr>
        <sz val="11"/>
        <rFont val="Arial"/>
        <charset val="134"/>
      </rPr>
      <t>02-B737-800/8 (</t>
    </r>
    <r>
      <rPr>
        <sz val="11"/>
        <rFont val="宋体"/>
        <charset val="134"/>
      </rPr>
      <t>中英</t>
    </r>
    <r>
      <rPr>
        <sz val="11"/>
        <rFont val="Arial"/>
        <charset val="134"/>
      </rPr>
      <t>)0622</t>
    </r>
    <r>
      <rPr>
        <sz val="11"/>
        <rFont val="宋体"/>
        <charset val="134"/>
      </rPr>
      <t>安全须知</t>
    </r>
    <r>
      <rPr>
        <sz val="11"/>
        <rFont val="Arial"/>
        <charset val="134"/>
      </rPr>
      <t xml:space="preserve"> </t>
    </r>
    <r>
      <rPr>
        <sz val="11"/>
        <rFont val="宋体"/>
        <charset val="134"/>
      </rPr>
      <t>冬奥版</t>
    </r>
  </si>
  <si>
    <t>02-B737-800/8 (Eng) 0622 Safety Video OWG</t>
  </si>
  <si>
    <t>cah062200407</t>
  </si>
  <si>
    <t>eX2 / eX3</t>
  </si>
  <si>
    <t xml:space="preserve">
eX2 / eX3
eX3 NG
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</si>
  <si>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</si>
  <si>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A350-900_Eng 0825 Safety Video</t>
  </si>
  <si>
    <t>cah082500401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</si>
  <si>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</si>
  <si>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A350-900_Zho 0825 Safety Video</t>
  </si>
  <si>
    <t>cah082500402</t>
  </si>
  <si>
    <r>
      <rPr>
        <sz val="11"/>
        <rFont val="Arial"/>
        <charset val="134"/>
      </rPr>
      <t>A350-900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</si>
  <si>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A350-900_Can 0825 Safety Video</t>
  </si>
  <si>
    <t>cah082500403</t>
  </si>
  <si>
    <t>Can</t>
  </si>
  <si>
    <r>
      <rPr>
        <sz val="11"/>
        <rFont val="Arial"/>
        <charset val="134"/>
      </rPr>
      <t>02_B747-8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</si>
  <si>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02_B747-8_Eng 0825 Safety Video</t>
  </si>
  <si>
    <t>cah082500404</t>
  </si>
  <si>
    <r>
      <rPr>
        <sz val="11"/>
        <rFont val="Arial"/>
        <charset val="134"/>
      </rPr>
      <t>02_B747-8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</si>
  <si>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02_B747-8_Zho 0825 Safety Video</t>
  </si>
  <si>
    <t>cah082500405</t>
  </si>
  <si>
    <r>
      <rPr>
        <sz val="11"/>
        <rFont val="Arial"/>
        <charset val="134"/>
      </rPr>
      <t>11_B747-8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</si>
  <si>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11_B747-8_Can 0825 Safety Video</t>
  </si>
  <si>
    <t>cah082500406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</si>
  <si>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</si>
  <si>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B787-9_Eng 0825 Safety Video</t>
  </si>
  <si>
    <t>cah082500407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</si>
  <si>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</si>
  <si>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B787-9_Zho 0825 Safety Video</t>
  </si>
  <si>
    <t>cah082500408</t>
  </si>
  <si>
    <r>
      <rPr>
        <sz val="11"/>
        <rFont val="Arial"/>
        <charset val="134"/>
      </rPr>
      <t>B787-9</t>
    </r>
    <r>
      <rPr>
        <sz val="11"/>
        <rFont val="宋体"/>
        <charset val="134"/>
      </rPr>
      <t>（中粤）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</si>
  <si>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B787-9_Can 0825 Safety Video</t>
  </si>
  <si>
    <t>cah082500409</t>
  </si>
  <si>
    <r>
      <rPr>
        <sz val="11"/>
        <rFont val="Arial"/>
        <charset val="134"/>
      </rPr>
      <t>A330-200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</si>
  <si>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A330-200_Eng 0825 Safety Video</t>
  </si>
  <si>
    <r>
      <rPr>
        <sz val="11"/>
        <rFont val="Arial"/>
        <charset val="134"/>
      </rPr>
      <t>A330-200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</si>
  <si>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A330-200_Zho 0825 Safety Video</t>
  </si>
  <si>
    <t>A330-200_Can 0825 Safety Video</t>
  </si>
  <si>
    <r>
      <rPr>
        <sz val="11"/>
        <rFont val="Arial"/>
        <charset val="134"/>
      </rPr>
      <t>A330-300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</si>
  <si>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A330-300_Eng 0825 Safety Video</t>
  </si>
  <si>
    <r>
      <rPr>
        <sz val="11"/>
        <rFont val="Arial"/>
        <charset val="134"/>
      </rPr>
      <t>A330-300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</si>
  <si>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A330-300_Zho 0825 Safety Video</t>
  </si>
  <si>
    <t>A330-300_Can 0825 Safety Video</t>
  </si>
  <si>
    <r>
      <rPr>
        <sz val="11"/>
        <rFont val="Arial"/>
        <charset val="134"/>
      </rPr>
      <t>B777-300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</si>
  <si>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B777-300_Eng 0825 Safety Video</t>
  </si>
  <si>
    <r>
      <rPr>
        <sz val="11"/>
        <rFont val="Arial"/>
        <charset val="134"/>
      </rPr>
      <t>B777-300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</si>
  <si>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B777-300_Zho 0825 Safety Video</t>
  </si>
  <si>
    <t>B777-300_Can 0825 Safety Video</t>
  </si>
  <si>
    <r>
      <rPr>
        <sz val="11"/>
        <rFont val="Arial"/>
        <charset val="134"/>
      </rPr>
      <t>02_A321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</si>
  <si>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02_A321_Eng 0825 Safety Video</t>
  </si>
  <si>
    <t>cah082500501</t>
  </si>
  <si>
    <r>
      <rPr>
        <sz val="11"/>
        <rFont val="Arial"/>
        <charset val="134"/>
      </rPr>
      <t>02_A321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</si>
  <si>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02_A321_Zho 0825 Safety Video</t>
  </si>
  <si>
    <t>cah082500502</t>
  </si>
  <si>
    <r>
      <rPr>
        <sz val="11"/>
        <rFont val="Arial"/>
        <charset val="134"/>
      </rPr>
      <t>02_B737-800/8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</si>
  <si>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02_B737-800/8_Eng 0825 Safety Video</t>
  </si>
  <si>
    <t>cah082500503</t>
  </si>
  <si>
    <r>
      <rPr>
        <sz val="11"/>
        <rFont val="Arial"/>
        <charset val="134"/>
      </rPr>
      <t>02_B737-800/8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</si>
  <si>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02_B737-800/8_Zho 0825 Safety Video</t>
  </si>
  <si>
    <t>cah082500504</t>
  </si>
  <si>
    <r>
      <rPr>
        <sz val="11"/>
        <rFont val="Arial"/>
        <charset val="134"/>
      </rPr>
      <t>07_A321</t>
    </r>
    <r>
      <rPr>
        <sz val="11"/>
        <rFont val="宋体"/>
        <charset val="134"/>
      </rPr>
      <t>（中粤）安全须知</t>
    </r>
  </si>
  <si>
    <t>07_A321_Can 0825 Safety Video</t>
  </si>
  <si>
    <t>cah082500505</t>
  </si>
  <si>
    <r>
      <rPr>
        <sz val="11"/>
        <rFont val="Arial"/>
        <charset val="134"/>
      </rPr>
      <t>07_B737-800/8</t>
    </r>
    <r>
      <rPr>
        <sz val="11"/>
        <rFont val="宋体"/>
        <charset val="134"/>
      </rPr>
      <t>（中粤）安全须知</t>
    </r>
  </si>
  <si>
    <t>07_B737-800/8_Can 0825 Safety</t>
  </si>
  <si>
    <t>cah082500506</t>
  </si>
  <si>
    <t>20_Dalian B737-800/8 Eng 0825 Safety Video</t>
  </si>
  <si>
    <t>cah082500507</t>
  </si>
  <si>
    <t>21_Dalian B737-800/8 Zho 0825 Safety Video</t>
  </si>
  <si>
    <t>cah082500508</t>
  </si>
  <si>
    <r>
      <rPr>
        <sz val="11"/>
        <rFont val="Arial"/>
        <charset val="134"/>
      </rPr>
      <t>B747-400</t>
    </r>
    <r>
      <rPr>
        <sz val="11"/>
        <rFont val="宋体"/>
        <charset val="134"/>
      </rPr>
      <t>（中英）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</si>
  <si>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B747-400_Eng 0825 Safety Video</t>
  </si>
  <si>
    <t>cah082500601</t>
  </si>
  <si>
    <r>
      <rPr>
        <sz val="11"/>
        <rFont val="Arial"/>
        <charset val="134"/>
      </rPr>
      <t>B747-400</t>
    </r>
    <r>
      <rPr>
        <sz val="11"/>
        <rFont val="宋体"/>
        <charset val="134"/>
      </rPr>
      <t>（中）</t>
    </r>
    <r>
      <rPr>
        <sz val="11"/>
        <rFont val="Arial"/>
        <charset val="134"/>
      </rPr>
      <t>0825</t>
    </r>
    <r>
      <rPr>
        <sz val="11"/>
        <rFont val="宋体"/>
        <charset val="134"/>
      </rPr>
      <t>安全须知</t>
    </r>
  </si>
  <si>
    <t>B747-400_Zho 0825 Safety Video</t>
  </si>
  <si>
    <t>cah082500602</t>
  </si>
  <si>
    <t>About Us</t>
  </si>
  <si>
    <t>国航安全须知</t>
  </si>
  <si>
    <t>cah082500701</t>
  </si>
  <si>
    <t>cah082500702</t>
  </si>
  <si>
    <t>cah082500603</t>
  </si>
  <si>
    <t>国航安全须知（中）</t>
  </si>
  <si>
    <t>Safety Video CN</t>
  </si>
  <si>
    <t>cah082500703</t>
  </si>
  <si>
    <t>system</t>
  </si>
  <si>
    <t>Filename</t>
  </si>
  <si>
    <t>type</t>
  </si>
  <si>
    <t>s3k</t>
  </si>
  <si>
    <t>Broadcast Video</t>
  </si>
  <si>
    <t>TV</t>
  </si>
  <si>
    <t>Air Panorama Domestic Outbound With Ad</t>
  </si>
  <si>
    <t>Air Panorama Domestic Inbound With Ad</t>
  </si>
  <si>
    <t>Air Panorama International Outbound With Ad</t>
  </si>
  <si>
    <t>Air Panorama International Inbound With Ad</t>
  </si>
  <si>
    <t>Cabin Exerciseovie</t>
  </si>
  <si>
    <t>机上健身操</t>
  </si>
  <si>
    <t>Cabin Exercise</t>
  </si>
  <si>
    <t>CabinExercise_0711_43_ZhoEng_Ed.mpg</t>
  </si>
  <si>
    <t>同电视表</t>
  </si>
  <si>
    <t>0725</t>
  </si>
  <si>
    <t>Movie</t>
  </si>
  <si>
    <t>飞驰人生</t>
  </si>
  <si>
    <t>Pegasus</t>
  </si>
  <si>
    <t>同电影表</t>
  </si>
  <si>
    <t>熊出没·重启未来</t>
  </si>
  <si>
    <t>Boonie Bears: Future Reborn</t>
  </si>
  <si>
    <t>唐探1900</t>
  </si>
  <si>
    <t>Detective Chinatown 1900</t>
  </si>
  <si>
    <t>援藏日记</t>
  </si>
  <si>
    <t>Xizang Aid Diary</t>
  </si>
  <si>
    <t>志愿军：存亡之战</t>
  </si>
  <si>
    <t>The Volunteers: The Battle of Life and Death</t>
  </si>
  <si>
    <t>想飞的女孩</t>
  </si>
  <si>
    <t>Girls on Wire</t>
  </si>
  <si>
    <t>Daily</t>
  </si>
  <si>
    <t>Air Panorama Domestic Outbound With Ad-1</t>
  </si>
  <si>
    <t>Air Panorama Domestic Inbound With Ad-1</t>
  </si>
  <si>
    <t>Air Panorama International Outbound With Ad-1</t>
  </si>
  <si>
    <t>Air Panorama International Inbound With Ad-1</t>
  </si>
  <si>
    <t>Artist</t>
  </si>
  <si>
    <t>eX2/eX3
 eX3 NG</t>
  </si>
  <si>
    <t>0624</t>
  </si>
  <si>
    <t>BGM/PA/Boarding Music</t>
  </si>
  <si>
    <t>Various Artists</t>
  </si>
  <si>
    <t>登机音乐-爱</t>
  </si>
  <si>
    <t>ONBOARD-LOVE</t>
  </si>
  <si>
    <t>caj062400101ma.mp3</t>
  </si>
  <si>
    <t>caj042400101ma.abs</t>
  </si>
  <si>
    <t>离机音乐-爱</t>
  </si>
  <si>
    <t>DEBOARD-LOVE</t>
  </si>
  <si>
    <t>caj062400102ma.mp3</t>
  </si>
  <si>
    <t>caj042400102ma.abs</t>
  </si>
  <si>
    <t>0424</t>
  </si>
  <si>
    <t>备播</t>
  </si>
  <si>
    <t>BACK-UP</t>
  </si>
  <si>
    <t>caj042400103ma.mp3</t>
  </si>
  <si>
    <t>caj042400103ma.abs</t>
  </si>
  <si>
    <t>eX3/2 &amp; eX3 NG/eFx/i4K/i5K</t>
  </si>
  <si>
    <t>3Ki</t>
  </si>
  <si>
    <t>VA/Identifiers/PA/Boarding Music</t>
  </si>
  <si>
    <r>
      <rPr>
        <sz val="12"/>
        <rFont val="Arial"/>
        <charset val="134"/>
      </rPr>
      <t>01-4</t>
    </r>
    <r>
      <rPr>
        <sz val="12"/>
        <rFont val="宋体"/>
        <charset val="134"/>
      </rPr>
      <t>月正常版视频登机音乐</t>
    </r>
  </si>
  <si>
    <t>01-CA0424 Video BGM</t>
  </si>
  <si>
    <t>cah042400101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</si>
</sst>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13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[$-409]General"/>
    <numFmt numFmtId="177" formatCode="_-&quot;$&quot;* #,##0.00_-;\-&quot;$&quot;* #,##0.00_-;_-&quot;$&quot;* &quot;-&quot;??_-;_-@_-"/>
    <numFmt numFmtId="178" formatCode="@&quot;m4.mpg&quot;"/>
    <numFmt numFmtId="179" formatCode="@&quot;m1.mpg&quot;"/>
    <numFmt numFmtId="180" formatCode="hh:mm:ss"/>
    <numFmt numFmtId="181" formatCode="0000"/>
    <numFmt numFmtId="182" formatCode="@&quot;m2.mpg&quot;"/>
    <numFmt numFmtId="183" formatCode="0.00_);[Red]\(0.00\)"/>
    <numFmt numFmtId="184" formatCode="yyyy/m/d;@"/>
  </numFmts>
  <fonts count="53">
    <font>
      <sz val="11"/>
      <color theme="1"/>
      <name val="宋体"/>
      <charset val="134"/>
      <scheme val="minor"/>
    </font>
    <font>
      <b/>
      <sz val="10"/>
      <name val="Arial"/>
      <charset val="134"/>
    </font>
    <font>
      <b/>
      <sz val="12"/>
      <name val="Arial"/>
      <charset val="134"/>
    </font>
    <font>
      <sz val="12"/>
      <name val="Arial"/>
      <charset val="134"/>
    </font>
    <font>
      <sz val="10"/>
      <name val="Arial"/>
      <charset val="134"/>
    </font>
    <font>
      <sz val="12"/>
      <color rgb="FF000000"/>
      <name val="Arial"/>
      <charset val="134"/>
    </font>
    <font>
      <sz val="12"/>
      <name val="宋体"/>
      <charset val="134"/>
    </font>
    <font>
      <b/>
      <sz val="16"/>
      <name val="Arial"/>
      <charset val="134"/>
    </font>
    <font>
      <sz val="11"/>
      <name val="Arial"/>
      <charset val="134"/>
    </font>
    <font>
      <sz val="11"/>
      <name val="宋体"/>
      <charset val="134"/>
    </font>
    <font>
      <b/>
      <sz val="11"/>
      <name val="Arial"/>
      <charset val="134"/>
    </font>
    <font>
      <sz val="8"/>
      <name val="Arial"/>
      <charset val="134"/>
    </font>
    <font>
      <sz val="11"/>
      <color rgb="FF000000"/>
      <name val="Arial"/>
      <charset val="134"/>
    </font>
    <font>
      <sz val="11"/>
      <color rgb="FFFF0000"/>
      <name val="Arial"/>
      <charset val="134"/>
    </font>
    <font>
      <sz val="11"/>
      <color theme="1"/>
      <name val="Arial"/>
      <charset val="134"/>
    </font>
    <font>
      <sz val="12"/>
      <name val="宋体"/>
      <charset val="134"/>
      <scheme val="minor"/>
    </font>
    <font>
      <sz val="12"/>
      <name val="宋体"/>
      <charset val="134"/>
      <scheme val="major"/>
    </font>
    <font>
      <sz val="12"/>
      <color rgb="FF000000"/>
      <name val="Arial"/>
      <charset val="0"/>
    </font>
    <font>
      <sz val="12"/>
      <name val="Arial"/>
      <charset val="0"/>
    </font>
    <font>
      <sz val="12"/>
      <color rgb="FFFF0000"/>
      <name val="宋体"/>
      <charset val="134"/>
      <scheme val="major"/>
    </font>
    <font>
      <sz val="11"/>
      <name val="宋体"/>
      <charset val="134"/>
      <scheme val="minor"/>
    </font>
    <font>
      <sz val="12"/>
      <color theme="1"/>
      <name val="Arial"/>
      <charset val="134"/>
    </font>
    <font>
      <sz val="11"/>
      <name val="Arial"/>
      <charset val="0"/>
    </font>
    <font>
      <sz val="10"/>
      <name val="宋体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sz val="12"/>
      <color indexed="8"/>
      <name val="Verdana"/>
      <charset val="134"/>
    </font>
    <font>
      <sz val="10"/>
      <color rgb="FF000000"/>
      <name val="Arial"/>
      <charset val="134"/>
    </font>
    <font>
      <sz val="10"/>
      <color indexed="8"/>
      <name val="Arial"/>
      <charset val="134"/>
    </font>
    <font>
      <b/>
      <sz val="12"/>
      <name val="宋体"/>
      <charset val="134"/>
    </font>
    <font>
      <sz val="14"/>
      <name val="宋体"/>
      <charset val="134"/>
    </font>
    <font>
      <sz val="9"/>
      <name val="宋体"/>
      <charset val="134"/>
    </font>
    <font>
      <b/>
      <sz val="9"/>
      <name val="宋体"/>
      <charset val="134"/>
    </font>
    <font>
      <sz val="16"/>
      <name val="宋体"/>
      <charset val="134"/>
    </font>
    <font>
      <b/>
      <sz val="12"/>
      <name val="宋体"/>
      <charset val="134"/>
    </font>
    <font>
      <sz val="12"/>
      <name val="宋体"/>
      <charset val="134"/>
    </font>
  </fonts>
  <fills count="48">
    <fill>
      <patternFill patternType="none"/>
    </fill>
    <fill>
      <patternFill patternType="gray125"/>
    </fill>
    <fill>
      <patternFill patternType="solid">
        <fgColor rgb="FF76F8CF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599993896298105"/>
        <bgColor rgb="FF000000"/>
      </patternFill>
    </fill>
    <fill>
      <patternFill patternType="solid">
        <fgColor rgb="FF76F8CF"/>
        <bgColor rgb="FF000000"/>
      </patternFill>
    </fill>
    <fill>
      <patternFill patternType="solid">
        <fgColor theme="7" tint="0.6"/>
        <bgColor indexed="64"/>
      </patternFill>
    </fill>
    <fill>
      <patternFill patternType="solid">
        <fgColor theme="7" tint="0.6"/>
        <bgColor rgb="FF000000"/>
      </patternFill>
    </fill>
    <fill>
      <patternFill patternType="solid">
        <fgColor rgb="FFB8CCE4"/>
        <bgColor rgb="FF000000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599993896298105"/>
        <bgColor rgb="FF000000"/>
      </patternFill>
    </fill>
    <fill>
      <patternFill patternType="solid">
        <fgColor rgb="FFCCC0DA"/>
        <bgColor indexed="64"/>
      </patternFill>
    </fill>
    <fill>
      <patternFill patternType="solid">
        <fgColor rgb="FFFACDF5"/>
        <bgColor indexed="64"/>
      </patternFill>
    </fill>
    <fill>
      <patternFill patternType="solid">
        <fgColor theme="9" tint="0.399945066682943"/>
        <bgColor indexed="64"/>
      </patternFill>
    </fill>
    <fill>
      <patternFill patternType="solid">
        <fgColor theme="9" tint="0.4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6" tint="0.7999511703848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CC0DA"/>
        <bgColor rgb="FF00000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0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/>
      <diagonal/>
    </border>
    <border>
      <left style="thick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double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7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9" borderId="95" applyNumberFormat="0" applyFont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96" applyNumberFormat="0" applyFill="0" applyAlignment="0" applyProtection="0">
      <alignment vertical="center"/>
    </xf>
    <xf numFmtId="0" fontId="30" fillId="0" borderId="96" applyNumberFormat="0" applyFill="0" applyAlignment="0" applyProtection="0">
      <alignment vertical="center"/>
    </xf>
    <xf numFmtId="0" fontId="31" fillId="0" borderId="97" applyNumberFormat="0" applyFill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20" borderId="98" applyNumberFormat="0" applyAlignment="0" applyProtection="0">
      <alignment vertical="center"/>
    </xf>
    <xf numFmtId="0" fontId="33" fillId="21" borderId="99" applyNumberFormat="0" applyAlignment="0" applyProtection="0">
      <alignment vertical="center"/>
    </xf>
    <xf numFmtId="0" fontId="34" fillId="21" borderId="98" applyNumberFormat="0" applyAlignment="0" applyProtection="0">
      <alignment vertical="center"/>
    </xf>
    <xf numFmtId="0" fontId="35" fillId="22" borderId="100" applyNumberFormat="0" applyAlignment="0" applyProtection="0">
      <alignment vertical="center"/>
    </xf>
    <xf numFmtId="0" fontId="36" fillId="0" borderId="101" applyNumberFormat="0" applyFill="0" applyAlignment="0" applyProtection="0">
      <alignment vertical="center"/>
    </xf>
    <xf numFmtId="0" fontId="37" fillId="0" borderId="102" applyNumberFormat="0" applyFill="0" applyAlignment="0" applyProtection="0">
      <alignment vertical="center"/>
    </xf>
    <xf numFmtId="0" fontId="38" fillId="23" borderId="0" applyNumberFormat="0" applyBorder="0" applyAlignment="0" applyProtection="0">
      <alignment vertical="center"/>
    </xf>
    <xf numFmtId="0" fontId="39" fillId="24" borderId="0" applyNumberFormat="0" applyBorder="0" applyAlignment="0" applyProtection="0">
      <alignment vertical="center"/>
    </xf>
    <xf numFmtId="0" fontId="40" fillId="25" borderId="0" applyNumberFormat="0" applyBorder="0" applyAlignment="0" applyProtection="0">
      <alignment vertical="center"/>
    </xf>
    <xf numFmtId="0" fontId="41" fillId="26" borderId="0" applyNumberFormat="0" applyBorder="0" applyAlignment="0" applyProtection="0">
      <alignment vertical="center"/>
    </xf>
    <xf numFmtId="0" fontId="42" fillId="27" borderId="0" applyNumberFormat="0" applyBorder="0" applyAlignment="0" applyProtection="0">
      <alignment vertical="center"/>
    </xf>
    <xf numFmtId="0" fontId="42" fillId="28" borderId="0" applyNumberFormat="0" applyBorder="0" applyAlignment="0" applyProtection="0">
      <alignment vertical="center"/>
    </xf>
    <xf numFmtId="0" fontId="41" fillId="29" borderId="0" applyNumberFormat="0" applyBorder="0" applyAlignment="0" applyProtection="0">
      <alignment vertical="center"/>
    </xf>
    <xf numFmtId="0" fontId="41" fillId="30" borderId="0" applyNumberFormat="0" applyBorder="0" applyAlignment="0" applyProtection="0">
      <alignment vertical="center"/>
    </xf>
    <xf numFmtId="0" fontId="42" fillId="31" borderId="0" applyNumberFormat="0" applyBorder="0" applyAlignment="0" applyProtection="0">
      <alignment vertical="center"/>
    </xf>
    <xf numFmtId="0" fontId="42" fillId="32" borderId="0" applyNumberFormat="0" applyBorder="0" applyAlignment="0" applyProtection="0">
      <alignment vertical="center"/>
    </xf>
    <xf numFmtId="0" fontId="41" fillId="33" borderId="0" applyNumberFormat="0" applyBorder="0" applyAlignment="0" applyProtection="0">
      <alignment vertical="center"/>
    </xf>
    <xf numFmtId="0" fontId="41" fillId="34" borderId="0" applyNumberFormat="0" applyBorder="0" applyAlignment="0" applyProtection="0">
      <alignment vertical="center"/>
    </xf>
    <xf numFmtId="0" fontId="42" fillId="35" borderId="0" applyNumberFormat="0" applyBorder="0" applyAlignment="0" applyProtection="0">
      <alignment vertical="center"/>
    </xf>
    <xf numFmtId="0" fontId="42" fillId="36" borderId="0" applyNumberFormat="0" applyBorder="0" applyAlignment="0" applyProtection="0">
      <alignment vertical="center"/>
    </xf>
    <xf numFmtId="0" fontId="41" fillId="37" borderId="0" applyNumberFormat="0" applyBorder="0" applyAlignment="0" applyProtection="0">
      <alignment vertical="center"/>
    </xf>
    <xf numFmtId="0" fontId="41" fillId="38" borderId="0" applyNumberFormat="0" applyBorder="0" applyAlignment="0" applyProtection="0">
      <alignment vertical="center"/>
    </xf>
    <xf numFmtId="0" fontId="42" fillId="39" borderId="0" applyNumberFormat="0" applyBorder="0" applyAlignment="0" applyProtection="0">
      <alignment vertical="center"/>
    </xf>
    <xf numFmtId="0" fontId="42" fillId="3" borderId="0" applyNumberFormat="0" applyBorder="0" applyAlignment="0" applyProtection="0">
      <alignment vertical="center"/>
    </xf>
    <xf numFmtId="0" fontId="41" fillId="40" borderId="0" applyNumberFormat="0" applyBorder="0" applyAlignment="0" applyProtection="0">
      <alignment vertical="center"/>
    </xf>
    <xf numFmtId="0" fontId="41" fillId="41" borderId="0" applyNumberFormat="0" applyBorder="0" applyAlignment="0" applyProtection="0">
      <alignment vertical="center"/>
    </xf>
    <xf numFmtId="0" fontId="42" fillId="42" borderId="0" applyNumberFormat="0" applyBorder="0" applyAlignment="0" applyProtection="0">
      <alignment vertical="center"/>
    </xf>
    <xf numFmtId="0" fontId="42" fillId="43" borderId="0" applyNumberFormat="0" applyBorder="0" applyAlignment="0" applyProtection="0">
      <alignment vertical="center"/>
    </xf>
    <xf numFmtId="0" fontId="41" fillId="44" borderId="0" applyNumberFormat="0" applyBorder="0" applyAlignment="0" applyProtection="0">
      <alignment vertical="center"/>
    </xf>
    <xf numFmtId="0" fontId="41" fillId="45" borderId="0" applyNumberFormat="0" applyBorder="0" applyAlignment="0" applyProtection="0">
      <alignment vertical="center"/>
    </xf>
    <xf numFmtId="0" fontId="42" fillId="46" borderId="0" applyNumberFormat="0" applyBorder="0" applyAlignment="0" applyProtection="0">
      <alignment vertical="center"/>
    </xf>
    <xf numFmtId="0" fontId="42" fillId="9" borderId="0" applyNumberFormat="0" applyBorder="0" applyAlignment="0" applyProtection="0">
      <alignment vertical="center"/>
    </xf>
    <xf numFmtId="0" fontId="41" fillId="47" borderId="0" applyNumberFormat="0" applyBorder="0" applyAlignment="0" applyProtection="0">
      <alignment vertical="center"/>
    </xf>
    <xf numFmtId="0" fontId="43" fillId="0" borderId="0" applyNumberFormat="0" applyFill="0" applyBorder="0" applyProtection="0">
      <alignment vertical="top" wrapText="1"/>
    </xf>
    <xf numFmtId="0" fontId="4" fillId="0" borderId="0"/>
    <xf numFmtId="0" fontId="43" fillId="0" borderId="0" applyNumberFormat="0" applyFill="0" applyBorder="0" applyProtection="0">
      <alignment vertical="top" wrapText="1"/>
    </xf>
    <xf numFmtId="176" fontId="23" fillId="0" borderId="0">
      <alignment vertical="center"/>
    </xf>
    <xf numFmtId="0" fontId="0" fillId="0" borderId="0">
      <alignment vertical="center"/>
    </xf>
    <xf numFmtId="0" fontId="44" fillId="0" borderId="0"/>
    <xf numFmtId="0" fontId="45" fillId="0" borderId="0"/>
    <xf numFmtId="177" fontId="43" fillId="0" borderId="0" applyFont="0" applyFill="0" applyBorder="0" applyAlignment="0" applyProtection="0"/>
  </cellStyleXfs>
  <cellXfs count="493">
    <xf numFmtId="0" fontId="0" fillId="0" borderId="0" xfId="0"/>
    <xf numFmtId="176" fontId="1" fillId="0" borderId="0" xfId="50" applyNumberFormat="1" applyFont="1" applyFill="1" applyBorder="1" applyAlignment="1"/>
    <xf numFmtId="176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left"/>
    </xf>
    <xf numFmtId="49" fontId="1" fillId="0" borderId="0" xfId="50" applyNumberFormat="1" applyFont="1" applyFill="1" applyBorder="1" applyAlignment="1">
      <alignment horizontal="right"/>
    </xf>
    <xf numFmtId="176" fontId="1" fillId="0" borderId="0" xfId="50" applyNumberFormat="1" applyFont="1" applyFill="1" applyBorder="1" applyAlignment="1">
      <alignment horizontal="center"/>
    </xf>
    <xf numFmtId="14" fontId="1" fillId="0" borderId="0" xfId="50" applyNumberFormat="1" applyFont="1" applyFill="1" applyBorder="1" applyAlignment="1">
      <alignment horizontal="right"/>
    </xf>
    <xf numFmtId="0" fontId="1" fillId="0" borderId="0" xfId="5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right"/>
    </xf>
    <xf numFmtId="1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left"/>
    </xf>
    <xf numFmtId="2" fontId="1" fillId="0" borderId="0" xfId="50" applyNumberFormat="1" applyFont="1" applyFill="1" applyAlignment="1">
      <alignment horizontal="right"/>
    </xf>
    <xf numFmtId="176" fontId="1" fillId="0" borderId="0" xfId="50" applyNumberFormat="1" applyFont="1" applyFill="1" applyAlignment="1">
      <alignment horizontal="center"/>
    </xf>
    <xf numFmtId="176" fontId="2" fillId="2" borderId="1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/>
    </xf>
    <xf numFmtId="176" fontId="2" fillId="3" borderId="3" xfId="50" applyNumberFormat="1" applyFont="1" applyFill="1" applyBorder="1" applyAlignment="1">
      <alignment horizontal="center" vertical="center"/>
    </xf>
    <xf numFmtId="176" fontId="2" fillId="2" borderId="4" xfId="50" applyNumberFormat="1" applyFont="1" applyFill="1" applyBorder="1" applyAlignment="1">
      <alignment horizontal="center" textRotation="90"/>
    </xf>
    <xf numFmtId="176" fontId="2" fillId="2" borderId="5" xfId="50" applyNumberFormat="1" applyFont="1" applyFill="1" applyBorder="1" applyAlignment="1">
      <alignment horizontal="center" textRotation="90"/>
    </xf>
    <xf numFmtId="176" fontId="2" fillId="2" borderId="6" xfId="50" applyNumberFormat="1" applyFont="1" applyFill="1" applyBorder="1" applyAlignment="1">
      <alignment horizontal="center" textRotation="90"/>
    </xf>
    <xf numFmtId="176" fontId="2" fillId="2" borderId="7" xfId="50" applyNumberFormat="1" applyFont="1" applyFill="1" applyBorder="1" applyAlignment="1">
      <alignment horizontal="center" textRotation="90"/>
    </xf>
    <xf numFmtId="176" fontId="2" fillId="2" borderId="8" xfId="50" applyNumberFormat="1" applyFont="1" applyFill="1" applyBorder="1" applyAlignment="1">
      <alignment horizontal="center" textRotation="90"/>
    </xf>
    <xf numFmtId="176" fontId="2" fillId="3" borderId="9" xfId="50" applyNumberFormat="1" applyFont="1" applyFill="1" applyBorder="1" applyAlignment="1">
      <alignment horizontal="center" vertical="center" textRotation="90"/>
    </xf>
    <xf numFmtId="176" fontId="2" fillId="2" borderId="10" xfId="50" applyNumberFormat="1" applyFont="1" applyFill="1" applyBorder="1" applyAlignment="1">
      <alignment horizontal="center" textRotation="90"/>
    </xf>
    <xf numFmtId="176" fontId="2" fillId="2" borderId="11" xfId="50" applyNumberFormat="1" applyFont="1" applyFill="1" applyBorder="1" applyAlignment="1">
      <alignment horizontal="center" textRotation="90"/>
    </xf>
    <xf numFmtId="176" fontId="2" fillId="2" borderId="1" xfId="50" applyNumberFormat="1" applyFont="1" applyFill="1" applyBorder="1" applyAlignment="1">
      <alignment horizontal="center" textRotation="90"/>
    </xf>
    <xf numFmtId="176" fontId="2" fillId="2" borderId="12" xfId="50" applyNumberFormat="1" applyFont="1" applyFill="1" applyBorder="1" applyAlignment="1">
      <alignment horizontal="center" textRotation="90"/>
    </xf>
    <xf numFmtId="176" fontId="2" fillId="2" borderId="13" xfId="50" applyNumberFormat="1" applyFont="1" applyFill="1" applyBorder="1" applyAlignment="1">
      <alignment horizontal="center" textRotation="90"/>
    </xf>
    <xf numFmtId="176" fontId="2" fillId="3" borderId="14" xfId="50" applyNumberFormat="1" applyFont="1" applyFill="1" applyBorder="1" applyAlignment="1">
      <alignment horizontal="center" vertical="center" textRotation="90"/>
    </xf>
    <xf numFmtId="176" fontId="3" fillId="2" borderId="15" xfId="50" applyNumberFormat="1" applyFont="1" applyFill="1" applyBorder="1" applyAlignment="1">
      <alignment horizontal="left"/>
    </xf>
    <xf numFmtId="49" fontId="3" fillId="2" borderId="15" xfId="50" applyNumberFormat="1" applyFont="1" applyFill="1" applyBorder="1" applyAlignment="1">
      <alignment horizontal="left"/>
    </xf>
    <xf numFmtId="49" fontId="4" fillId="2" borderId="15" xfId="50" applyNumberFormat="1" applyFont="1" applyFill="1" applyBorder="1" applyAlignment="1">
      <alignment horizontal="left"/>
    </xf>
    <xf numFmtId="0" fontId="5" fillId="4" borderId="15" xfId="0" applyNumberFormat="1" applyFont="1" applyFill="1" applyBorder="1" applyAlignment="1">
      <alignment horizontal="center" wrapText="1"/>
    </xf>
    <xf numFmtId="49" fontId="4" fillId="2" borderId="16" xfId="50" applyNumberFormat="1" applyFont="1" applyFill="1" applyBorder="1" applyAlignment="1">
      <alignment horizontal="left"/>
    </xf>
    <xf numFmtId="176" fontId="6" fillId="2" borderId="15" xfId="50" applyNumberFormat="1" applyFont="1" applyFill="1" applyBorder="1" applyAlignment="1">
      <alignment horizontal="left"/>
    </xf>
    <xf numFmtId="176" fontId="7" fillId="0" borderId="0" xfId="50" applyNumberFormat="1" applyFont="1" applyFill="1" applyBorder="1" applyAlignment="1">
      <alignment horizontal="left"/>
    </xf>
    <xf numFmtId="176" fontId="2" fillId="3" borderId="17" xfId="50" applyNumberFormat="1" applyFont="1" applyFill="1" applyBorder="1" applyAlignment="1">
      <alignment horizontal="center" vertical="center"/>
    </xf>
    <xf numFmtId="176" fontId="2" fillId="3" borderId="18" xfId="50" applyNumberFormat="1" applyFont="1" applyFill="1" applyBorder="1" applyAlignment="1">
      <alignment horizontal="center" vertical="center"/>
    </xf>
    <xf numFmtId="176" fontId="2" fillId="2" borderId="3" xfId="0" applyNumberFormat="1" applyFont="1" applyFill="1" applyBorder="1" applyAlignment="1">
      <alignment horizontal="center" vertical="center"/>
    </xf>
    <xf numFmtId="176" fontId="2" fillId="2" borderId="18" xfId="0" applyNumberFormat="1" applyFont="1" applyFill="1" applyBorder="1" applyAlignment="1">
      <alignment horizontal="center" vertical="center"/>
    </xf>
    <xf numFmtId="176" fontId="2" fillId="2" borderId="13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vertical="center"/>
    </xf>
    <xf numFmtId="176" fontId="2" fillId="3" borderId="9" xfId="50" applyNumberFormat="1" applyFont="1" applyFill="1" applyBorder="1" applyAlignment="1">
      <alignment horizontal="center" vertical="center" textRotation="90" wrapText="1"/>
    </xf>
    <xf numFmtId="176" fontId="2" fillId="3" borderId="14" xfId="50" applyNumberFormat="1" applyFont="1" applyFill="1" applyBorder="1" applyAlignment="1">
      <alignment horizontal="center" vertical="center" textRotation="90" wrapText="1"/>
    </xf>
    <xf numFmtId="176" fontId="2" fillId="2" borderId="19" xfId="50" applyNumberFormat="1" applyFont="1" applyFill="1" applyBorder="1" applyAlignment="1">
      <alignment horizontal="center" vertical="center" wrapText="1"/>
    </xf>
    <xf numFmtId="176" fontId="2" fillId="2" borderId="9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textRotation="90"/>
    </xf>
    <xf numFmtId="176" fontId="2" fillId="2" borderId="19" xfId="50" applyNumberFormat="1" applyFont="1" applyFill="1" applyBorder="1" applyAlignment="1">
      <alignment horizontal="center" vertical="center"/>
    </xf>
    <xf numFmtId="176" fontId="2" fillId="2" borderId="14" xfId="50" applyNumberFormat="1" applyFont="1" applyFill="1" applyBorder="1" applyAlignment="1">
      <alignment horizontal="center" vertical="center"/>
    </xf>
    <xf numFmtId="176" fontId="2" fillId="3" borderId="13" xfId="50" applyNumberFormat="1" applyFont="1" applyFill="1" applyBorder="1" applyAlignment="1">
      <alignment horizontal="center" textRotation="90"/>
    </xf>
    <xf numFmtId="178" fontId="8" fillId="2" borderId="15" xfId="52" applyNumberFormat="1" applyFont="1" applyFill="1" applyBorder="1" applyAlignment="1" applyProtection="1">
      <alignment horizontal="center"/>
      <protection locked="0"/>
    </xf>
    <xf numFmtId="179" fontId="8" fillId="2" borderId="15" xfId="52" applyNumberFormat="1" applyFont="1" applyFill="1" applyBorder="1" applyAlignment="1" applyProtection="1">
      <alignment horizontal="center"/>
      <protection locked="0"/>
    </xf>
    <xf numFmtId="176" fontId="3" fillId="5" borderId="15" xfId="0" applyNumberFormat="1" applyFont="1" applyFill="1" applyBorder="1" applyAlignment="1">
      <alignment horizontal="left"/>
    </xf>
    <xf numFmtId="49" fontId="3" fillId="3" borderId="15" xfId="50" applyNumberFormat="1" applyFont="1" applyFill="1" applyBorder="1" applyAlignment="1">
      <alignment horizontal="center"/>
    </xf>
    <xf numFmtId="0" fontId="2" fillId="3" borderId="20" xfId="0" applyNumberFormat="1" applyFont="1" applyFill="1" applyBorder="1" applyAlignment="1">
      <alignment horizontal="center" vertical="center"/>
    </xf>
    <xf numFmtId="0" fontId="2" fillId="3" borderId="8" xfId="0" applyNumberFormat="1" applyFont="1" applyFill="1" applyBorder="1" applyAlignment="1">
      <alignment horizontal="center" vertical="center"/>
    </xf>
    <xf numFmtId="176" fontId="2" fillId="2" borderId="20" xfId="50" applyNumberFormat="1" applyFont="1" applyFill="1" applyBorder="1" applyAlignment="1">
      <alignment horizontal="center" vertical="center"/>
    </xf>
    <xf numFmtId="176" fontId="2" fillId="3" borderId="2" xfId="50" applyNumberFormat="1" applyFont="1" applyFill="1" applyBorder="1" applyAlignment="1">
      <alignment horizontal="center" textRotation="90"/>
    </xf>
    <xf numFmtId="176" fontId="2" fillId="3" borderId="1" xfId="50" applyNumberFormat="1" applyFont="1" applyFill="1" applyBorder="1" applyAlignment="1">
      <alignment horizontal="center" textRotation="90"/>
    </xf>
    <xf numFmtId="0" fontId="2" fillId="3" borderId="1" xfId="50" applyNumberFormat="1" applyFont="1" applyFill="1" applyBorder="1" applyAlignment="1">
      <alignment horizontal="center" textRotation="90"/>
    </xf>
    <xf numFmtId="176" fontId="2" fillId="3" borderId="11" xfId="50" applyNumberFormat="1" applyFont="1" applyFill="1" applyBorder="1" applyAlignment="1">
      <alignment horizontal="center" textRotation="90"/>
    </xf>
    <xf numFmtId="0" fontId="2" fillId="3" borderId="11" xfId="50" applyNumberFormat="1" applyFont="1" applyFill="1" applyBorder="1" applyAlignment="1">
      <alignment horizontal="center" textRotation="90"/>
    </xf>
    <xf numFmtId="176" fontId="3" fillId="3" borderId="15" xfId="50" applyNumberFormat="1" applyFont="1" applyFill="1" applyBorder="1" applyAlignment="1">
      <alignment horizontal="center"/>
    </xf>
    <xf numFmtId="0" fontId="3" fillId="2" borderId="15" xfId="0" applyNumberFormat="1" applyFont="1" applyFill="1" applyBorder="1" applyAlignment="1">
      <alignment horizontal="center"/>
    </xf>
    <xf numFmtId="0" fontId="2" fillId="0" borderId="0" xfId="50" applyNumberFormat="1" applyFont="1" applyFill="1" applyAlignment="1">
      <alignment horizontal="left" vertical="top"/>
    </xf>
    <xf numFmtId="0" fontId="2" fillId="0" borderId="0" xfId="50" applyNumberFormat="1" applyFont="1" applyFill="1" applyAlignment="1">
      <alignment horizontal="left"/>
    </xf>
    <xf numFmtId="176" fontId="2" fillId="2" borderId="20" xfId="0" applyNumberFormat="1" applyFont="1" applyFill="1" applyBorder="1" applyAlignment="1">
      <alignment horizontal="left" vertical="center"/>
    </xf>
    <xf numFmtId="176" fontId="2" fillId="3" borderId="3" xfId="0" applyNumberFormat="1" applyFont="1" applyFill="1" applyBorder="1" applyAlignment="1">
      <alignment horizontal="center" vertical="center"/>
    </xf>
    <xf numFmtId="176" fontId="2" fillId="3" borderId="1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textRotation="90"/>
    </xf>
    <xf numFmtId="176" fontId="2" fillId="2" borderId="21" xfId="50" applyNumberFormat="1" applyFont="1" applyFill="1" applyBorder="1" applyAlignment="1">
      <alignment horizontal="center" textRotation="90"/>
    </xf>
    <xf numFmtId="176" fontId="2" fillId="3" borderId="11" xfId="0" applyNumberFormat="1" applyFont="1" applyFill="1" applyBorder="1" applyAlignment="1">
      <alignment horizontal="center" vertical="center" textRotation="90"/>
    </xf>
    <xf numFmtId="176" fontId="2" fillId="2" borderId="22" xfId="50" applyNumberFormat="1" applyFont="1" applyFill="1" applyBorder="1" applyAlignment="1">
      <alignment horizontal="center" textRotation="90"/>
    </xf>
    <xf numFmtId="180" fontId="3" fillId="2" borderId="15" xfId="0" applyNumberFormat="1" applyFont="1" applyFill="1" applyBorder="1" applyAlignment="1">
      <alignment horizontal="center"/>
    </xf>
    <xf numFmtId="176" fontId="3" fillId="3" borderId="15" xfId="0" applyNumberFormat="1" applyFont="1" applyFill="1" applyBorder="1" applyAlignment="1"/>
    <xf numFmtId="176" fontId="1" fillId="0" borderId="0" xfId="50" applyNumberFormat="1" applyFont="1" applyFill="1" applyBorder="1" applyAlignment="1">
      <alignment horizontal="right"/>
    </xf>
    <xf numFmtId="1" fontId="1" fillId="0" borderId="0" xfId="50" applyNumberFormat="1" applyFont="1" applyFill="1" applyBorder="1" applyAlignment="1">
      <alignment horizontal="right"/>
    </xf>
    <xf numFmtId="2" fontId="1" fillId="0" borderId="0" xfId="50" applyNumberFormat="1" applyFont="1" applyFill="1" applyBorder="1" applyAlignment="1">
      <alignment horizontal="right"/>
    </xf>
    <xf numFmtId="176" fontId="2" fillId="2" borderId="23" xfId="50" applyNumberFormat="1" applyFont="1" applyFill="1" applyBorder="1" applyAlignment="1">
      <alignment horizontal="center" textRotation="90"/>
    </xf>
    <xf numFmtId="176" fontId="2" fillId="2" borderId="24" xfId="50" applyNumberFormat="1" applyFont="1" applyFill="1" applyBorder="1" applyAlignment="1">
      <alignment horizontal="center" textRotation="90"/>
    </xf>
    <xf numFmtId="176" fontId="2" fillId="2" borderId="25" xfId="50" applyNumberFormat="1" applyFont="1" applyFill="1" applyBorder="1" applyAlignment="1">
      <alignment horizontal="center" textRotation="90"/>
    </xf>
    <xf numFmtId="176" fontId="2" fillId="2" borderId="26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left"/>
    </xf>
    <xf numFmtId="49" fontId="3" fillId="2" borderId="16" xfId="50" applyNumberFormat="1" applyFont="1" applyFill="1" applyBorder="1" applyAlignment="1">
      <alignment horizontal="left"/>
    </xf>
    <xf numFmtId="176" fontId="3" fillId="2" borderId="27" xfId="50" applyNumberFormat="1" applyFont="1" applyFill="1" applyBorder="1" applyAlignment="1">
      <alignment horizontal="center" textRotation="90"/>
    </xf>
    <xf numFmtId="176" fontId="6" fillId="2" borderId="16" xfId="50" applyNumberFormat="1" applyFont="1" applyFill="1" applyBorder="1" applyAlignment="1">
      <alignment horizontal="left"/>
    </xf>
    <xf numFmtId="176" fontId="3" fillId="2" borderId="28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center" textRotation="90"/>
    </xf>
    <xf numFmtId="176" fontId="2" fillId="6" borderId="3" xfId="50" applyNumberFormat="1" applyFont="1" applyFill="1" applyBorder="1" applyAlignment="1">
      <alignment horizontal="center" vertical="center"/>
    </xf>
    <xf numFmtId="176" fontId="2" fillId="6" borderId="17" xfId="50" applyNumberFormat="1" applyFont="1" applyFill="1" applyBorder="1" applyAlignment="1">
      <alignment horizontal="center" vertical="center"/>
    </xf>
    <xf numFmtId="176" fontId="2" fillId="6" borderId="18" xfId="50" applyNumberFormat="1" applyFont="1" applyFill="1" applyBorder="1" applyAlignment="1">
      <alignment horizontal="center" vertical="center"/>
    </xf>
    <xf numFmtId="176" fontId="2" fillId="2" borderId="29" xfId="50" applyNumberFormat="1" applyFont="1" applyFill="1" applyBorder="1" applyAlignment="1">
      <alignment horizontal="center" vertical="center"/>
    </xf>
    <xf numFmtId="176" fontId="2" fillId="6" borderId="9" xfId="50" applyNumberFormat="1" applyFont="1" applyFill="1" applyBorder="1" applyAlignment="1">
      <alignment horizontal="left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/>
    </xf>
    <xf numFmtId="176" fontId="2" fillId="6" borderId="9" xfId="50" applyNumberFormat="1" applyFont="1" applyFill="1" applyBorder="1" applyAlignment="1">
      <alignment horizontal="center" vertical="center" textRotation="90" wrapText="1"/>
    </xf>
    <xf numFmtId="176" fontId="2" fillId="6" borderId="14" xfId="50" applyNumberFormat="1" applyFont="1" applyFill="1" applyBorder="1" applyAlignment="1">
      <alignment horizontal="center" vertical="center" textRotation="90" wrapText="1"/>
    </xf>
    <xf numFmtId="176" fontId="2" fillId="6" borderId="30" xfId="50" applyNumberFormat="1" applyFont="1" applyFill="1" applyBorder="1" applyAlignment="1">
      <alignment horizontal="left" vertical="center" textRotation="90"/>
    </xf>
    <xf numFmtId="176" fontId="2" fillId="6" borderId="30" xfId="50" applyNumberFormat="1" applyFont="1" applyFill="1" applyBorder="1" applyAlignment="1">
      <alignment horizontal="center" vertical="center" textRotation="90"/>
    </xf>
    <xf numFmtId="176" fontId="2" fillId="6" borderId="30" xfId="50" applyNumberFormat="1" applyFont="1" applyFill="1" applyBorder="1" applyAlignment="1">
      <alignment horizontal="center" vertical="center" textRotation="90" wrapText="1"/>
    </xf>
    <xf numFmtId="176" fontId="2" fillId="2" borderId="31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horizontal="center" vertical="center"/>
    </xf>
    <xf numFmtId="0" fontId="5" fillId="7" borderId="32" xfId="0" applyNumberFormat="1" applyFont="1" applyFill="1" applyBorder="1" applyAlignment="1">
      <alignment horizontal="center" wrapText="1"/>
    </xf>
    <xf numFmtId="0" fontId="8" fillId="2" borderId="15" xfId="52" applyNumberFormat="1" applyFont="1" applyFill="1" applyBorder="1" applyAlignment="1" applyProtection="1">
      <alignment horizontal="center"/>
      <protection locked="0"/>
    </xf>
    <xf numFmtId="176" fontId="2" fillId="6" borderId="2" xfId="50" applyNumberFormat="1" applyFont="1" applyFill="1" applyBorder="1" applyAlignment="1">
      <alignment horizontal="center" vertical="center"/>
    </xf>
    <xf numFmtId="0" fontId="2" fillId="6" borderId="20" xfId="0" applyNumberFormat="1" applyFont="1" applyFill="1" applyBorder="1" applyAlignment="1">
      <alignment horizontal="center" vertical="center"/>
    </xf>
    <xf numFmtId="176" fontId="2" fillId="6" borderId="8" xfId="50" applyNumberFormat="1" applyFont="1" applyFill="1" applyBorder="1" applyAlignment="1">
      <alignment horizontal="center" textRotation="90"/>
    </xf>
    <xf numFmtId="176" fontId="2" fillId="6" borderId="2" xfId="50" applyNumberFormat="1" applyFont="1" applyFill="1" applyBorder="1" applyAlignment="1">
      <alignment horizontal="center" textRotation="90"/>
    </xf>
    <xf numFmtId="176" fontId="2" fillId="6" borderId="1" xfId="50" applyNumberFormat="1" applyFont="1" applyFill="1" applyBorder="1" applyAlignment="1">
      <alignment horizontal="center" textRotation="90"/>
    </xf>
    <xf numFmtId="0" fontId="2" fillId="6" borderId="1" xfId="50" applyNumberFormat="1" applyFont="1" applyFill="1" applyBorder="1" applyAlignment="1">
      <alignment horizontal="center" textRotation="90"/>
    </xf>
    <xf numFmtId="176" fontId="2" fillId="6" borderId="33" xfId="50" applyNumberFormat="1" applyFont="1" applyFill="1" applyBorder="1" applyAlignment="1">
      <alignment horizontal="center" textRotation="90"/>
    </xf>
    <xf numFmtId="0" fontId="2" fillId="6" borderId="33" xfId="50" applyNumberFormat="1" applyFont="1" applyFill="1" applyBorder="1" applyAlignment="1">
      <alignment horizontal="center" textRotation="90"/>
    </xf>
    <xf numFmtId="49" fontId="3" fillId="6" borderId="15" xfId="50" applyNumberFormat="1" applyFont="1" applyFill="1" applyBorder="1" applyAlignment="1">
      <alignment horizontal="center"/>
    </xf>
    <xf numFmtId="176" fontId="3" fillId="6" borderId="15" xfId="50" applyNumberFormat="1" applyFont="1" applyFill="1" applyBorder="1" applyAlignment="1">
      <alignment horizontal="center"/>
    </xf>
    <xf numFmtId="0" fontId="2" fillId="6" borderId="8" xfId="0" applyNumberFormat="1" applyFont="1" applyFill="1" applyBorder="1" applyAlignment="1">
      <alignment horizontal="center" vertical="center"/>
    </xf>
    <xf numFmtId="176" fontId="2" fillId="2" borderId="34" xfId="50" applyNumberFormat="1" applyFont="1" applyFill="1" applyBorder="1" applyAlignment="1">
      <alignment horizontal="center" textRotation="90"/>
    </xf>
    <xf numFmtId="176" fontId="2" fillId="2" borderId="14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center" textRotation="90"/>
    </xf>
    <xf numFmtId="176" fontId="2" fillId="2" borderId="35" xfId="50" applyNumberFormat="1" applyFont="1" applyFill="1" applyBorder="1" applyAlignment="1">
      <alignment horizontal="center" textRotation="90"/>
    </xf>
    <xf numFmtId="176" fontId="2" fillId="2" borderId="30" xfId="50" applyNumberFormat="1" applyFont="1" applyFill="1" applyBorder="1" applyAlignment="1">
      <alignment horizontal="center" textRotation="90"/>
    </xf>
    <xf numFmtId="0" fontId="3" fillId="2" borderId="15" xfId="0" applyNumberFormat="1" applyFont="1" applyFill="1" applyBorder="1" applyAlignment="1">
      <alignment horizontal="center" vertical="center"/>
    </xf>
    <xf numFmtId="180" fontId="3" fillId="2" borderId="15" xfId="0" applyNumberFormat="1" applyFont="1" applyFill="1" applyBorder="1" applyAlignment="1">
      <alignment vertical="center"/>
    </xf>
    <xf numFmtId="0" fontId="3" fillId="2" borderId="16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/>
    <xf numFmtId="176" fontId="2" fillId="3" borderId="36" xfId="50" applyNumberFormat="1" applyFont="1" applyFill="1" applyBorder="1" applyAlignment="1">
      <alignment horizontal="center" vertical="center"/>
    </xf>
    <xf numFmtId="176" fontId="2" fillId="2" borderId="37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textRotation="90"/>
    </xf>
    <xf numFmtId="176" fontId="2" fillId="3" borderId="39" xfId="50" applyNumberFormat="1" applyFont="1" applyFill="1" applyBorder="1" applyAlignment="1">
      <alignment horizontal="center" textRotation="90" wrapText="1"/>
    </xf>
    <xf numFmtId="176" fontId="2" fillId="2" borderId="40" xfId="50" applyNumberFormat="1" applyFont="1" applyFill="1" applyBorder="1" applyAlignment="1">
      <alignment horizontal="center" textRotation="90"/>
    </xf>
    <xf numFmtId="176" fontId="2" fillId="2" borderId="41" xfId="50" applyNumberFormat="1" applyFont="1" applyFill="1" applyBorder="1" applyAlignment="1">
      <alignment horizontal="center" textRotation="90"/>
    </xf>
    <xf numFmtId="176" fontId="2" fillId="2" borderId="42" xfId="50" applyNumberFormat="1" applyFont="1" applyFill="1" applyBorder="1" applyAlignment="1">
      <alignment horizontal="center" textRotation="90"/>
    </xf>
    <xf numFmtId="176" fontId="2" fillId="2" borderId="43" xfId="50" applyNumberFormat="1" applyFont="1" applyFill="1" applyBorder="1" applyAlignment="1">
      <alignment horizontal="center" textRotation="90"/>
    </xf>
    <xf numFmtId="176" fontId="2" fillId="2" borderId="44" xfId="50" applyNumberFormat="1" applyFont="1" applyFill="1" applyBorder="1" applyAlignment="1">
      <alignment horizontal="center" textRotation="90"/>
    </xf>
    <xf numFmtId="176" fontId="2" fillId="3" borderId="45" xfId="50" applyNumberFormat="1" applyFont="1" applyFill="1" applyBorder="1" applyAlignment="1">
      <alignment horizontal="center" textRotation="90" wrapText="1"/>
    </xf>
    <xf numFmtId="0" fontId="5" fillId="8" borderId="32" xfId="0" applyNumberFormat="1" applyFont="1" applyFill="1" applyBorder="1" applyAlignment="1">
      <alignment horizontal="center" wrapText="1"/>
    </xf>
    <xf numFmtId="176" fontId="2" fillId="9" borderId="1" xfId="50" applyNumberFormat="1" applyFont="1" applyFill="1" applyBorder="1" applyAlignment="1">
      <alignment horizontal="center" textRotation="90"/>
    </xf>
    <xf numFmtId="176" fontId="2" fillId="9" borderId="11" xfId="50" applyNumberFormat="1" applyFont="1" applyFill="1" applyBorder="1" applyAlignment="1">
      <alignment horizontal="center" textRotation="90"/>
    </xf>
    <xf numFmtId="176" fontId="2" fillId="9" borderId="33" xfId="50" applyNumberFormat="1" applyFont="1" applyFill="1" applyBorder="1" applyAlignment="1">
      <alignment horizontal="center" textRotation="90"/>
    </xf>
    <xf numFmtId="176" fontId="2" fillId="3" borderId="33" xfId="50" applyNumberFormat="1" applyFont="1" applyFill="1" applyBorder="1" applyAlignment="1">
      <alignment horizontal="center" textRotation="90"/>
    </xf>
    <xf numFmtId="0" fontId="2" fillId="3" borderId="33" xfId="50" applyNumberFormat="1" applyFont="1" applyFill="1" applyBorder="1" applyAlignment="1">
      <alignment horizontal="center" textRotation="90"/>
    </xf>
    <xf numFmtId="176" fontId="3" fillId="10" borderId="16" xfId="0" applyNumberFormat="1" applyFont="1" applyFill="1" applyBorder="1" applyAlignment="1">
      <alignment horizontal="left"/>
    </xf>
    <xf numFmtId="176" fontId="2" fillId="3" borderId="1" xfId="0" applyNumberFormat="1" applyFont="1" applyFill="1" applyBorder="1" applyAlignment="1">
      <alignment horizontal="center" vertical="center" textRotation="90"/>
    </xf>
    <xf numFmtId="176" fontId="2" fillId="3" borderId="33" xfId="0" applyNumberFormat="1" applyFont="1" applyFill="1" applyBorder="1" applyAlignment="1">
      <alignment horizontal="center" vertical="center" textRotation="90"/>
    </xf>
    <xf numFmtId="176" fontId="3" fillId="3" borderId="16" xfId="0" applyNumberFormat="1" applyFont="1" applyFill="1" applyBorder="1" applyAlignment="1">
      <alignment vertical="center"/>
    </xf>
    <xf numFmtId="176" fontId="4" fillId="0" borderId="15" xfId="0" applyNumberFormat="1" applyFont="1" applyFill="1" applyBorder="1" applyAlignment="1"/>
    <xf numFmtId="176" fontId="2" fillId="2" borderId="21" xfId="50" applyNumberFormat="1" applyFont="1" applyFill="1" applyBorder="1" applyAlignment="1">
      <alignment horizontal="center" vertical="center"/>
    </xf>
    <xf numFmtId="176" fontId="2" fillId="2" borderId="46" xfId="50" applyNumberFormat="1" applyFont="1" applyFill="1" applyBorder="1" applyAlignment="1">
      <alignment horizontal="center" textRotation="90"/>
    </xf>
    <xf numFmtId="176" fontId="2" fillId="2" borderId="47" xfId="50" applyNumberFormat="1" applyFont="1" applyFill="1" applyBorder="1" applyAlignment="1">
      <alignment horizontal="center" textRotation="90"/>
    </xf>
    <xf numFmtId="176" fontId="2" fillId="3" borderId="48" xfId="50" applyNumberFormat="1" applyFont="1" applyFill="1" applyBorder="1" applyAlignment="1">
      <alignment horizontal="center" vertical="center" textRotation="90" wrapText="1"/>
    </xf>
    <xf numFmtId="176" fontId="2" fillId="2" borderId="49" xfId="50" applyNumberFormat="1" applyFont="1" applyFill="1" applyBorder="1" applyAlignment="1">
      <alignment horizontal="center" textRotation="90"/>
    </xf>
    <xf numFmtId="176" fontId="2" fillId="2" borderId="50" xfId="5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 wrapText="1"/>
    </xf>
    <xf numFmtId="49" fontId="3" fillId="2" borderId="52" xfId="50" applyNumberFormat="1" applyFont="1" applyFill="1" applyBorder="1" applyAlignment="1">
      <alignment horizontal="left"/>
    </xf>
    <xf numFmtId="176" fontId="2" fillId="2" borderId="15" xfId="50" applyNumberFormat="1" applyFont="1" applyFill="1" applyBorder="1" applyAlignment="1">
      <alignment horizontal="center" vertical="center" textRotation="90"/>
    </xf>
    <xf numFmtId="176" fontId="3" fillId="2" borderId="45" xfId="50" applyNumberFormat="1" applyFont="1" applyFill="1" applyBorder="1" applyAlignment="1">
      <alignment horizontal="left"/>
    </xf>
    <xf numFmtId="176" fontId="9" fillId="2" borderId="15" xfId="50" applyNumberFormat="1" applyFont="1" applyFill="1" applyBorder="1" applyAlignment="1">
      <alignment horizontal="left"/>
    </xf>
    <xf numFmtId="0" fontId="5" fillId="8" borderId="52" xfId="0" applyNumberFormat="1" applyFont="1" applyFill="1" applyBorder="1" applyAlignment="1">
      <alignment horizontal="center" wrapText="1"/>
    </xf>
    <xf numFmtId="176" fontId="3" fillId="2" borderId="53" xfId="50" applyNumberFormat="1" applyFont="1" applyFill="1" applyBorder="1" applyAlignment="1">
      <alignment horizontal="left"/>
    </xf>
    <xf numFmtId="176" fontId="8" fillId="2" borderId="15" xfId="50" applyNumberFormat="1" applyFont="1" applyFill="1" applyBorder="1" applyAlignment="1">
      <alignment horizontal="left"/>
    </xf>
    <xf numFmtId="0" fontId="5" fillId="8" borderId="16" xfId="0" applyNumberFormat="1" applyFont="1" applyFill="1" applyBorder="1" applyAlignment="1">
      <alignment horizontal="center" wrapText="1"/>
    </xf>
    <xf numFmtId="176" fontId="2" fillId="2" borderId="27" xfId="50" applyNumberFormat="1" applyFont="1" applyFill="1" applyBorder="1" applyAlignment="1">
      <alignment horizontal="center" vertical="center" textRotation="90"/>
    </xf>
    <xf numFmtId="176" fontId="2" fillId="2" borderId="28" xfId="50" applyNumberFormat="1" applyFont="1" applyFill="1" applyBorder="1" applyAlignment="1">
      <alignment horizontal="center" vertical="center" textRotation="90"/>
    </xf>
    <xf numFmtId="176" fontId="2" fillId="2" borderId="16" xfId="50" applyNumberFormat="1" applyFont="1" applyFill="1" applyBorder="1" applyAlignment="1">
      <alignment horizontal="center" vertical="center" textRotation="90"/>
    </xf>
    <xf numFmtId="176" fontId="2" fillId="2" borderId="54" xfId="50" applyNumberFormat="1" applyFont="1" applyFill="1" applyBorder="1" applyAlignment="1">
      <alignment horizontal="center" vertical="center"/>
    </xf>
    <xf numFmtId="176" fontId="2" fillId="3" borderId="8" xfId="50" applyNumberFormat="1" applyFont="1" applyFill="1" applyBorder="1" applyAlignment="1">
      <alignment horizontal="center" vertical="center"/>
    </xf>
    <xf numFmtId="176" fontId="2" fillId="3" borderId="55" xfId="50" applyNumberFormat="1" applyFont="1" applyFill="1" applyBorder="1" applyAlignment="1">
      <alignment horizontal="center" vertical="center" textRotation="90" wrapText="1"/>
    </xf>
    <xf numFmtId="176" fontId="2" fillId="2" borderId="56" xfId="50" applyNumberFormat="1" applyFont="1" applyFill="1" applyBorder="1" applyAlignment="1">
      <alignment horizontal="center" vertical="center"/>
    </xf>
    <xf numFmtId="176" fontId="2" fillId="3" borderId="57" xfId="50" applyNumberFormat="1" applyFont="1" applyFill="1" applyBorder="1" applyAlignment="1">
      <alignment horizontal="center" vertical="center" textRotation="90" wrapText="1"/>
    </xf>
    <xf numFmtId="176" fontId="2" fillId="2" borderId="58" xfId="50" applyNumberFormat="1" applyFont="1" applyFill="1" applyBorder="1" applyAlignment="1">
      <alignment horizontal="center" vertical="center"/>
    </xf>
    <xf numFmtId="0" fontId="8" fillId="2" borderId="16" xfId="52" applyNumberFormat="1" applyFont="1" applyFill="1" applyBorder="1" applyAlignment="1" applyProtection="1">
      <alignment horizontal="left"/>
    </xf>
    <xf numFmtId="176" fontId="8" fillId="3" borderId="15" xfId="50" applyNumberFormat="1" applyFont="1" applyFill="1" applyBorder="1" applyAlignment="1">
      <alignment horizontal="left"/>
    </xf>
    <xf numFmtId="14" fontId="10" fillId="3" borderId="15" xfId="50" applyNumberFormat="1" applyFont="1" applyFill="1" applyBorder="1" applyAlignment="1">
      <alignment horizontal="left"/>
    </xf>
    <xf numFmtId="176" fontId="8" fillId="3" borderId="15" xfId="50" applyNumberFormat="1" applyFont="1" applyFill="1" applyBorder="1" applyAlignment="1">
      <alignment horizontal="center"/>
    </xf>
    <xf numFmtId="176" fontId="8" fillId="3" borderId="15" xfId="0" applyNumberFormat="1" applyFont="1" applyFill="1" applyBorder="1" applyAlignment="1"/>
    <xf numFmtId="0" fontId="8" fillId="2" borderId="16" xfId="52" applyNumberFormat="1" applyFont="1" applyFill="1" applyBorder="1" applyAlignment="1" applyProtection="1">
      <alignment horizontal="center"/>
      <protection locked="0"/>
    </xf>
    <xf numFmtId="176" fontId="4" fillId="3" borderId="15" xfId="0" applyNumberFormat="1" applyFont="1" applyFill="1" applyBorder="1" applyAlignment="1"/>
    <xf numFmtId="0" fontId="9" fillId="2" borderId="16" xfId="52" applyNumberFormat="1" applyFont="1" applyFill="1" applyBorder="1" applyAlignment="1" applyProtection="1">
      <alignment horizontal="center"/>
      <protection locked="0"/>
    </xf>
    <xf numFmtId="176" fontId="2" fillId="3" borderId="9" xfId="0" applyNumberFormat="1" applyFont="1" applyFill="1" applyBorder="1" applyAlignment="1">
      <alignment horizontal="center" vertical="center" textRotation="90"/>
    </xf>
    <xf numFmtId="176" fontId="2" fillId="3" borderId="14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vertical="center" textRotation="90"/>
    </xf>
    <xf numFmtId="176" fontId="4" fillId="0" borderId="0" xfId="0" applyNumberFormat="1" applyFont="1" applyFill="1" applyBorder="1" applyAlignment="1"/>
    <xf numFmtId="176" fontId="3" fillId="3" borderId="15" xfId="0" applyNumberFormat="1" applyFont="1" applyFill="1" applyBorder="1" applyAlignment="1">
      <alignment vertical="center"/>
    </xf>
    <xf numFmtId="176" fontId="4" fillId="0" borderId="53" xfId="0" applyNumberFormat="1" applyFont="1" applyFill="1" applyBorder="1" applyAlignment="1"/>
    <xf numFmtId="176" fontId="10" fillId="0" borderId="0" xfId="50" applyNumberFormat="1" applyFont="1" applyFill="1" applyAlignment="1"/>
    <xf numFmtId="176" fontId="10" fillId="2" borderId="0" xfId="50" applyNumberFormat="1" applyFont="1" applyFill="1" applyAlignment="1"/>
    <xf numFmtId="176" fontId="10" fillId="0" borderId="0" xfId="50" applyNumberFormat="1" applyFont="1" applyFill="1" applyBorder="1" applyAlignment="1"/>
    <xf numFmtId="176" fontId="2" fillId="2" borderId="59" xfId="50" applyNumberFormat="1" applyFont="1" applyFill="1" applyBorder="1" applyAlignment="1">
      <alignment horizontal="center" vertical="center"/>
    </xf>
    <xf numFmtId="176" fontId="2" fillId="2" borderId="60" xfId="50" applyNumberFormat="1" applyFont="1" applyFill="1" applyBorder="1" applyAlignment="1">
      <alignment horizontal="center" vertical="center"/>
    </xf>
    <xf numFmtId="176" fontId="2" fillId="2" borderId="61" xfId="50" applyNumberFormat="1" applyFont="1" applyFill="1" applyBorder="1" applyAlignment="1">
      <alignment horizontal="center" vertical="center"/>
    </xf>
    <xf numFmtId="176" fontId="2" fillId="11" borderId="55" xfId="50" applyNumberFormat="1" applyFont="1" applyFill="1" applyBorder="1" applyAlignment="1">
      <alignment horizontal="center" vertical="center"/>
    </xf>
    <xf numFmtId="176" fontId="2" fillId="11" borderId="62" xfId="50" applyNumberFormat="1" applyFont="1" applyFill="1" applyBorder="1" applyAlignment="1">
      <alignment horizontal="center" vertical="center" textRotation="90"/>
    </xf>
    <xf numFmtId="176" fontId="2" fillId="11" borderId="14" xfId="50" applyNumberFormat="1" applyFont="1" applyFill="1" applyBorder="1" applyAlignment="1">
      <alignment horizontal="center" vertical="center" textRotation="90"/>
    </xf>
    <xf numFmtId="49" fontId="8" fillId="2" borderId="15" xfId="50" applyNumberFormat="1" applyFont="1" applyFill="1" applyBorder="1" applyAlignment="1">
      <alignment horizontal="left"/>
    </xf>
    <xf numFmtId="49" fontId="11" fillId="2" borderId="15" xfId="50" applyNumberFormat="1" applyFont="1" applyFill="1" applyBorder="1" applyAlignment="1">
      <alignment horizontal="left"/>
    </xf>
    <xf numFmtId="0" fontId="12" fillId="11" borderId="15" xfId="0" applyNumberFormat="1" applyFont="1" applyFill="1" applyBorder="1" applyAlignment="1">
      <alignment horizontal="center" wrapText="1"/>
    </xf>
    <xf numFmtId="0" fontId="8" fillId="11" borderId="15" xfId="0" applyNumberFormat="1" applyFont="1" applyFill="1" applyBorder="1" applyAlignment="1">
      <alignment horizontal="center" wrapText="1"/>
    </xf>
    <xf numFmtId="176" fontId="2" fillId="11" borderId="63" xfId="50" applyNumberFormat="1" applyFont="1" applyFill="1" applyBorder="1" applyAlignment="1">
      <alignment horizontal="center" vertical="center"/>
    </xf>
    <xf numFmtId="176" fontId="2" fillId="11" borderId="48" xfId="50" applyNumberFormat="1" applyFont="1" applyFill="1" applyBorder="1" applyAlignment="1">
      <alignment horizontal="center" vertical="center"/>
    </xf>
    <xf numFmtId="176" fontId="2" fillId="2" borderId="55" xfId="50" applyNumberFormat="1" applyFont="1" applyFill="1" applyBorder="1" applyAlignment="1">
      <alignment horizontal="center" vertical="center"/>
    </xf>
    <xf numFmtId="176" fontId="2" fillId="2" borderId="63" xfId="50" applyNumberFormat="1" applyFont="1" applyFill="1" applyBorder="1" applyAlignment="1">
      <alignment horizontal="center" vertical="center"/>
    </xf>
    <xf numFmtId="176" fontId="2" fillId="11" borderId="62" xfId="50" applyNumberFormat="1" applyFont="1" applyFill="1" applyBorder="1" applyAlignment="1">
      <alignment horizontal="center" vertical="center" textRotation="90" wrapText="1"/>
    </xf>
    <xf numFmtId="176" fontId="2" fillId="2" borderId="9" xfId="50" applyNumberFormat="1" applyFont="1" applyFill="1" applyBorder="1" applyAlignment="1">
      <alignment horizontal="center" vertical="center" wrapText="1"/>
    </xf>
    <xf numFmtId="176" fontId="2" fillId="11" borderId="14" xfId="50" applyNumberFormat="1" applyFont="1" applyFill="1" applyBorder="1" applyAlignment="1">
      <alignment horizontal="center" vertical="center" textRotation="90" wrapText="1"/>
    </xf>
    <xf numFmtId="0" fontId="13" fillId="11" borderId="15" xfId="0" applyNumberFormat="1" applyFont="1" applyFill="1" applyBorder="1" applyAlignment="1">
      <alignment horizontal="center" wrapText="1"/>
    </xf>
    <xf numFmtId="176" fontId="2" fillId="2" borderId="64" xfId="50" applyNumberFormat="1" applyFont="1" applyFill="1" applyBorder="1" applyAlignment="1">
      <alignment horizontal="center" vertical="center"/>
    </xf>
    <xf numFmtId="176" fontId="2" fillId="2" borderId="65" xfId="50" applyNumberFormat="1" applyFont="1" applyFill="1" applyBorder="1" applyAlignment="1">
      <alignment horizontal="center" vertical="center"/>
    </xf>
    <xf numFmtId="176" fontId="2" fillId="2" borderId="66" xfId="50" applyNumberFormat="1" applyFont="1" applyFill="1" applyBorder="1" applyAlignment="1">
      <alignment horizontal="center" vertical="center"/>
    </xf>
    <xf numFmtId="176" fontId="2" fillId="11" borderId="8" xfId="50" applyNumberFormat="1" applyFont="1" applyFill="1" applyBorder="1" applyAlignment="1">
      <alignment horizontal="center" textRotation="90"/>
    </xf>
    <xf numFmtId="176" fontId="2" fillId="11" borderId="2" xfId="50" applyNumberFormat="1" applyFont="1" applyFill="1" applyBorder="1" applyAlignment="1">
      <alignment horizontal="center" textRotation="90"/>
    </xf>
    <xf numFmtId="176" fontId="2" fillId="11" borderId="1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vertical="center"/>
    </xf>
    <xf numFmtId="176" fontId="2" fillId="11" borderId="13" xfId="50" applyNumberFormat="1" applyFont="1" applyFill="1" applyBorder="1" applyAlignment="1">
      <alignment horizontal="center" textRotation="90"/>
    </xf>
    <xf numFmtId="176" fontId="2" fillId="11" borderId="11" xfId="50" applyNumberFormat="1" applyFont="1" applyFill="1" applyBorder="1" applyAlignment="1">
      <alignment horizontal="center" textRotation="90"/>
    </xf>
    <xf numFmtId="176" fontId="8" fillId="5" borderId="15" xfId="0" applyNumberFormat="1" applyFont="1" applyFill="1" applyBorder="1" applyAlignment="1">
      <alignment horizontal="left"/>
    </xf>
    <xf numFmtId="49" fontId="14" fillId="12" borderId="15" xfId="50" applyNumberFormat="1" applyFont="1" applyFill="1" applyBorder="1" applyAlignment="1">
      <alignment horizontal="center"/>
    </xf>
    <xf numFmtId="49" fontId="8" fillId="12" borderId="15" xfId="50" applyNumberFormat="1" applyFont="1" applyFill="1" applyBorder="1" applyAlignment="1">
      <alignment horizontal="center"/>
    </xf>
    <xf numFmtId="176" fontId="8" fillId="2" borderId="15" xfId="0" applyNumberFormat="1" applyFont="1" applyFill="1" applyBorder="1" applyAlignment="1">
      <alignment horizontal="left"/>
    </xf>
    <xf numFmtId="176" fontId="1" fillId="0" borderId="0" xfId="50" applyNumberFormat="1" applyFont="1" applyFill="1" applyAlignment="1">
      <alignment horizontal="center" vertical="center"/>
    </xf>
    <xf numFmtId="176" fontId="2" fillId="2" borderId="29" xfId="0" applyNumberFormat="1" applyFont="1" applyFill="1" applyBorder="1" applyAlignment="1">
      <alignment horizontal="left" vertical="center"/>
    </xf>
    <xf numFmtId="176" fontId="2" fillId="11" borderId="3" xfId="0" applyNumberFormat="1" applyFont="1" applyFill="1" applyBorder="1" applyAlignment="1">
      <alignment horizontal="center"/>
    </xf>
    <xf numFmtId="176" fontId="2" fillId="11" borderId="18" xfId="0" applyNumberFormat="1" applyFont="1" applyFill="1" applyBorder="1" applyAlignment="1">
      <alignment horizontal="center" vertical="center"/>
    </xf>
    <xf numFmtId="0" fontId="2" fillId="11" borderId="1" xfId="50" applyNumberFormat="1" applyFont="1" applyFill="1" applyBorder="1" applyAlignment="1">
      <alignment horizontal="center" textRotation="90"/>
    </xf>
    <xf numFmtId="176" fontId="2" fillId="2" borderId="38" xfId="50" applyNumberFormat="1" applyFont="1" applyFill="1" applyBorder="1" applyAlignment="1">
      <alignment horizontal="center" vertical="center" textRotation="90" wrapText="1"/>
    </xf>
    <xf numFmtId="176" fontId="2" fillId="11" borderId="14" xfId="0" applyNumberFormat="1" applyFont="1" applyFill="1" applyBorder="1" applyAlignment="1">
      <alignment horizontal="center" textRotation="90"/>
    </xf>
    <xf numFmtId="176" fontId="2" fillId="11" borderId="51" xfId="0" applyNumberFormat="1" applyFont="1" applyFill="1" applyBorder="1" applyAlignment="1">
      <alignment horizontal="center" vertical="center" textRotation="90"/>
    </xf>
    <xf numFmtId="0" fontId="2" fillId="11" borderId="11" xfId="50" applyNumberFormat="1" applyFont="1" applyFill="1" applyBorder="1" applyAlignment="1">
      <alignment horizontal="center" textRotation="90"/>
    </xf>
    <xf numFmtId="176" fontId="2" fillId="2" borderId="67" xfId="50" applyNumberFormat="1" applyFont="1" applyFill="1" applyBorder="1" applyAlignment="1">
      <alignment horizontal="center" vertical="center" textRotation="90"/>
    </xf>
    <xf numFmtId="176" fontId="8" fillId="11" borderId="15" xfId="50" applyNumberFormat="1" applyFont="1" applyFill="1" applyBorder="1" applyAlignment="1">
      <alignment horizontal="center"/>
    </xf>
    <xf numFmtId="0" fontId="8" fillId="2" borderId="15" xfId="0" applyNumberFormat="1" applyFont="1" applyFill="1" applyBorder="1" applyAlignment="1">
      <alignment horizontal="center" vertical="center"/>
    </xf>
    <xf numFmtId="180" fontId="3" fillId="2" borderId="15" xfId="0" applyNumberFormat="1" applyFont="1" applyFill="1" applyBorder="1" applyAlignment="1">
      <alignment horizontal="center" vertical="center"/>
    </xf>
    <xf numFmtId="180" fontId="8" fillId="2" borderId="15" xfId="0" applyNumberFormat="1" applyFont="1" applyFill="1" applyBorder="1" applyAlignment="1">
      <alignment vertical="center"/>
    </xf>
    <xf numFmtId="176" fontId="8" fillId="11" borderId="15" xfId="0" applyNumberFormat="1" applyFont="1" applyFill="1" applyBorder="1" applyAlignment="1">
      <alignment horizontal="center" vertical="center"/>
    </xf>
    <xf numFmtId="49" fontId="14" fillId="11" borderId="15" xfId="50" applyNumberFormat="1" applyFont="1" applyFill="1" applyBorder="1" applyAlignment="1">
      <alignment horizontal="center"/>
    </xf>
    <xf numFmtId="180" fontId="3" fillId="0" borderId="0" xfId="0" applyNumberFormat="1" applyFont="1" applyFill="1" applyBorder="1" applyAlignment="1">
      <alignment horizontal="center" vertical="center"/>
    </xf>
    <xf numFmtId="176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Alignment="1">
      <alignment horizontal="right"/>
    </xf>
    <xf numFmtId="176" fontId="10" fillId="0" borderId="0" xfId="50" applyNumberFormat="1" applyFont="1" applyFill="1" applyAlignment="1">
      <alignment horizontal="left"/>
    </xf>
    <xf numFmtId="2" fontId="10" fillId="0" borderId="0" xfId="50" applyNumberFormat="1" applyFont="1" applyFill="1" applyAlignment="1">
      <alignment horizontal="right"/>
    </xf>
    <xf numFmtId="1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Border="1" applyAlignment="1">
      <alignment horizontal="left"/>
    </xf>
    <xf numFmtId="2" fontId="10" fillId="0" borderId="0" xfId="50" applyNumberFormat="1" applyFont="1" applyFill="1" applyBorder="1" applyAlignment="1">
      <alignment horizontal="right"/>
    </xf>
    <xf numFmtId="176" fontId="10" fillId="0" borderId="0" xfId="50" applyNumberFormat="1" applyFont="1" applyFill="1" applyAlignment="1">
      <alignment horizontal="center"/>
    </xf>
    <xf numFmtId="176" fontId="10" fillId="0" borderId="0" xfId="50" applyNumberFormat="1" applyFont="1" applyFill="1" applyBorder="1" applyAlignment="1">
      <alignment horizontal="center"/>
    </xf>
    <xf numFmtId="176" fontId="2" fillId="3" borderId="30" xfId="50" applyNumberFormat="1" applyFont="1" applyFill="1" applyBorder="1" applyAlignment="1">
      <alignment horizontal="center" vertical="center" textRotation="90"/>
    </xf>
    <xf numFmtId="176" fontId="8" fillId="2" borderId="16" xfId="50" applyNumberFormat="1" applyFont="1" applyFill="1" applyBorder="1" applyAlignment="1">
      <alignment horizontal="left"/>
    </xf>
    <xf numFmtId="49" fontId="8" fillId="2" borderId="16" xfId="50" applyNumberFormat="1" applyFont="1" applyFill="1" applyBorder="1" applyAlignment="1">
      <alignment horizontal="left"/>
    </xf>
    <xf numFmtId="176" fontId="8" fillId="2" borderId="27" xfId="50" applyNumberFormat="1" applyFont="1" applyFill="1" applyBorder="1" applyAlignment="1">
      <alignment horizontal="left"/>
    </xf>
    <xf numFmtId="0" fontId="12" fillId="8" borderId="68" xfId="0" applyNumberFormat="1" applyFont="1" applyFill="1" applyBorder="1" applyAlignment="1">
      <alignment horizontal="center" wrapText="1"/>
    </xf>
    <xf numFmtId="49" fontId="11" fillId="2" borderId="16" xfId="50" applyNumberFormat="1" applyFont="1" applyFill="1" applyBorder="1" applyAlignment="1">
      <alignment horizontal="left"/>
    </xf>
    <xf numFmtId="0" fontId="12" fillId="8" borderId="32" xfId="0" applyNumberFormat="1" applyFont="1" applyFill="1" applyBorder="1" applyAlignment="1">
      <alignment horizontal="center" wrapText="1"/>
    </xf>
    <xf numFmtId="176" fontId="9" fillId="2" borderId="27" xfId="50" applyNumberFormat="1" applyFont="1" applyFill="1" applyBorder="1" applyAlignment="1">
      <alignment horizontal="left"/>
    </xf>
    <xf numFmtId="176" fontId="2" fillId="2" borderId="48" xfId="50" applyNumberFormat="1" applyFont="1" applyFill="1" applyBorder="1" applyAlignment="1">
      <alignment horizontal="center" vertical="center"/>
    </xf>
    <xf numFmtId="176" fontId="2" fillId="3" borderId="30" xfId="50" applyNumberFormat="1" applyFont="1" applyFill="1" applyBorder="1" applyAlignment="1">
      <alignment horizontal="center" vertical="center" textRotation="90" wrapText="1"/>
    </xf>
    <xf numFmtId="178" fontId="8" fillId="2" borderId="16" xfId="52" applyNumberFormat="1" applyFont="1" applyFill="1" applyBorder="1" applyAlignment="1" applyProtection="1">
      <alignment horizontal="center"/>
      <protection locked="0"/>
    </xf>
    <xf numFmtId="179" fontId="8" fillId="2" borderId="16" xfId="52" applyNumberFormat="1" applyFont="1" applyFill="1" applyBorder="1" applyAlignment="1" applyProtection="1">
      <alignment horizontal="center"/>
      <protection locked="0"/>
    </xf>
    <xf numFmtId="176" fontId="8" fillId="5" borderId="16" xfId="0" applyNumberFormat="1" applyFont="1" applyFill="1" applyBorder="1" applyAlignment="1">
      <alignment horizontal="left"/>
    </xf>
    <xf numFmtId="0" fontId="12" fillId="8" borderId="69" xfId="0" applyNumberFormat="1" applyFont="1" applyFill="1" applyBorder="1" applyAlignment="1">
      <alignment horizontal="center" wrapText="1"/>
    </xf>
    <xf numFmtId="0" fontId="12" fillId="8" borderId="70" xfId="0" applyNumberFormat="1" applyFont="1" applyFill="1" applyBorder="1" applyAlignment="1">
      <alignment horizontal="center" wrapText="1"/>
    </xf>
    <xf numFmtId="0" fontId="12" fillId="8" borderId="15" xfId="0" applyNumberFormat="1" applyFont="1" applyFill="1" applyBorder="1" applyAlignment="1">
      <alignment horizontal="center" wrapText="1"/>
    </xf>
    <xf numFmtId="179" fontId="8" fillId="2" borderId="45" xfId="52" applyNumberFormat="1" applyFont="1" applyFill="1" applyBorder="1" applyAlignment="1" applyProtection="1">
      <alignment horizontal="center"/>
      <protection locked="0"/>
    </xf>
    <xf numFmtId="179" fontId="1" fillId="0" borderId="0" xfId="50" applyNumberFormat="1" applyFont="1" applyFill="1" applyBorder="1" applyAlignment="1">
      <alignment horizontal="left"/>
    </xf>
    <xf numFmtId="176" fontId="2" fillId="2" borderId="71" xfId="50" applyNumberFormat="1" applyFont="1" applyFill="1" applyBorder="1" applyAlignment="1">
      <alignment horizontal="center" vertical="center"/>
    </xf>
    <xf numFmtId="49" fontId="3" fillId="3" borderId="15" xfId="50" applyNumberFormat="1" applyFont="1" applyFill="1" applyBorder="1" applyAlignment="1">
      <alignment horizontal="center" vertical="center"/>
    </xf>
    <xf numFmtId="49" fontId="14" fillId="3" borderId="15" xfId="50" applyNumberFormat="1" applyFont="1" applyFill="1" applyBorder="1" applyAlignment="1">
      <alignment horizontal="center"/>
    </xf>
    <xf numFmtId="49" fontId="8" fillId="3" borderId="15" xfId="50" applyNumberFormat="1" applyFont="1" applyFill="1" applyBorder="1" applyAlignment="1">
      <alignment horizontal="center"/>
    </xf>
    <xf numFmtId="176" fontId="2" fillId="3" borderId="3" xfId="0" applyNumberFormat="1" applyFont="1" applyFill="1" applyBorder="1" applyAlignment="1">
      <alignment horizontal="center"/>
    </xf>
    <xf numFmtId="176" fontId="2" fillId="3" borderId="14" xfId="0" applyNumberFormat="1" applyFont="1" applyFill="1" applyBorder="1" applyAlignment="1">
      <alignment horizontal="center" textRotation="90"/>
    </xf>
    <xf numFmtId="176" fontId="2" fillId="3" borderId="51" xfId="0" applyNumberFormat="1" applyFont="1" applyFill="1" applyBorder="1" applyAlignment="1">
      <alignment horizontal="center" vertical="center" textRotation="90"/>
    </xf>
    <xf numFmtId="176" fontId="2" fillId="3" borderId="30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vertical="center" textRotation="90"/>
    </xf>
    <xf numFmtId="0" fontId="8" fillId="2" borderId="16" xfId="0" applyNumberFormat="1" applyFont="1" applyFill="1" applyBorder="1" applyAlignment="1">
      <alignment horizontal="center" vertical="center"/>
    </xf>
    <xf numFmtId="176" fontId="8" fillId="3" borderId="16" xfId="0" applyNumberFormat="1" applyFont="1" applyFill="1" applyBorder="1" applyAlignment="1">
      <alignment horizontal="center" vertical="center"/>
    </xf>
    <xf numFmtId="176" fontId="2" fillId="2" borderId="35" xfId="50" applyNumberFormat="1" applyFont="1" applyFill="1" applyBorder="1" applyAlignment="1">
      <alignment horizontal="center" vertical="center"/>
    </xf>
    <xf numFmtId="176" fontId="2" fillId="2" borderId="9" xfId="50" applyNumberFormat="1" applyFont="1" applyFill="1" applyBorder="1" applyAlignment="1">
      <alignment horizontal="center" textRotation="90"/>
    </xf>
    <xf numFmtId="176" fontId="2" fillId="2" borderId="20" xfId="50" applyNumberFormat="1" applyFont="1" applyFill="1" applyBorder="1" applyAlignment="1">
      <alignment horizontal="center" textRotation="90"/>
    </xf>
    <xf numFmtId="176" fontId="2" fillId="2" borderId="73" xfId="50" applyNumberFormat="1" applyFont="1" applyFill="1" applyBorder="1" applyAlignment="1">
      <alignment horizontal="center" textRotation="90"/>
    </xf>
    <xf numFmtId="176" fontId="2" fillId="2" borderId="74" xfId="50" applyNumberFormat="1" applyFont="1" applyFill="1" applyBorder="1" applyAlignment="1">
      <alignment horizontal="center" textRotation="90"/>
    </xf>
    <xf numFmtId="176" fontId="7" fillId="2" borderId="27" xfId="50" applyNumberFormat="1" applyFont="1" applyFill="1" applyBorder="1" applyAlignment="1">
      <alignment horizontal="center" vertical="center" textRotation="90"/>
    </xf>
    <xf numFmtId="181" fontId="8" fillId="2" borderId="16" xfId="50" applyNumberFormat="1" applyFont="1" applyFill="1" applyBorder="1" applyAlignment="1">
      <alignment horizontal="left"/>
    </xf>
    <xf numFmtId="176" fontId="4" fillId="2" borderId="15" xfId="50" applyNumberFormat="1" applyFont="1" applyFill="1" applyBorder="1" applyAlignment="1">
      <alignment horizontal="center" textRotation="90"/>
    </xf>
    <xf numFmtId="176" fontId="9" fillId="2" borderId="16" xfId="50" applyNumberFormat="1" applyFont="1" applyFill="1" applyBorder="1" applyAlignment="1">
      <alignment horizontal="left"/>
    </xf>
    <xf numFmtId="176" fontId="7" fillId="2" borderId="28" xfId="50" applyNumberFormat="1" applyFont="1" applyFill="1" applyBorder="1" applyAlignment="1">
      <alignment horizontal="center" vertical="center" textRotation="90"/>
    </xf>
    <xf numFmtId="181" fontId="8" fillId="2" borderId="45" xfId="50" applyNumberFormat="1" applyFont="1" applyFill="1" applyBorder="1" applyAlignment="1">
      <alignment horizontal="left"/>
    </xf>
    <xf numFmtId="176" fontId="2" fillId="2" borderId="75" xfId="50" applyNumberFormat="1" applyFont="1" applyFill="1" applyBorder="1" applyAlignment="1">
      <alignment horizontal="center" vertical="center"/>
    </xf>
    <xf numFmtId="176" fontId="2" fillId="13" borderId="54" xfId="50" applyNumberFormat="1" applyFont="1" applyFill="1" applyBorder="1" applyAlignment="1">
      <alignment horizontal="center" textRotation="90"/>
    </xf>
    <xf numFmtId="176" fontId="2" fillId="3" borderId="76" xfId="50" applyNumberFormat="1" applyFont="1" applyFill="1" applyBorder="1" applyAlignment="1">
      <alignment horizontal="center" vertical="center" textRotation="90"/>
    </xf>
    <xf numFmtId="176" fontId="2" fillId="3" borderId="34" xfId="50" applyNumberFormat="1" applyFont="1" applyFill="1" applyBorder="1" applyAlignment="1">
      <alignment horizontal="center" vertical="center" textRotation="90"/>
    </xf>
    <xf numFmtId="176" fontId="2" fillId="3" borderId="38" xfId="50" applyNumberFormat="1" applyFont="1" applyFill="1" applyBorder="1" applyAlignment="1">
      <alignment horizontal="center" vertical="center" textRotation="90"/>
    </xf>
    <xf numFmtId="176" fontId="2" fillId="3" borderId="54" xfId="50" applyNumberFormat="1" applyFont="1" applyFill="1" applyBorder="1" applyAlignment="1">
      <alignment horizontal="center" vertical="center" textRotation="90"/>
    </xf>
    <xf numFmtId="176" fontId="2" fillId="13" borderId="56" xfId="50" applyNumberFormat="1" applyFont="1" applyFill="1" applyBorder="1" applyAlignment="1">
      <alignment horizontal="center" textRotation="90"/>
    </xf>
    <xf numFmtId="176" fontId="2" fillId="3" borderId="73" xfId="50" applyNumberFormat="1" applyFont="1" applyFill="1" applyBorder="1" applyAlignment="1">
      <alignment horizontal="center" vertical="center" textRotation="90"/>
    </xf>
    <xf numFmtId="176" fontId="2" fillId="3" borderId="74" xfId="50" applyNumberFormat="1" applyFont="1" applyFill="1" applyBorder="1" applyAlignment="1">
      <alignment horizontal="center" vertical="center" textRotation="90"/>
    </xf>
    <xf numFmtId="176" fontId="2" fillId="3" borderId="44" xfId="50" applyNumberFormat="1" applyFont="1" applyFill="1" applyBorder="1" applyAlignment="1">
      <alignment horizontal="center" vertical="center" textRotation="90"/>
    </xf>
    <xf numFmtId="176" fontId="2" fillId="3" borderId="58" xfId="50" applyNumberFormat="1" applyFont="1" applyFill="1" applyBorder="1" applyAlignment="1">
      <alignment horizontal="center" vertical="center" textRotation="90"/>
    </xf>
    <xf numFmtId="176" fontId="2" fillId="13" borderId="58" xfId="50" applyNumberFormat="1" applyFont="1" applyFill="1" applyBorder="1" applyAlignment="1">
      <alignment horizontal="center" textRotation="90"/>
    </xf>
    <xf numFmtId="0" fontId="5" fillId="4" borderId="32" xfId="0" applyNumberFormat="1" applyFont="1" applyFill="1" applyBorder="1" applyAlignment="1">
      <alignment horizontal="center" wrapText="1"/>
    </xf>
    <xf numFmtId="0" fontId="5" fillId="4" borderId="16" xfId="0" applyNumberFormat="1" applyFont="1" applyFill="1" applyBorder="1" applyAlignment="1">
      <alignment horizontal="center" wrapText="1"/>
    </xf>
    <xf numFmtId="178" fontId="8" fillId="13" borderId="16" xfId="52" applyNumberFormat="1" applyFont="1" applyFill="1" applyBorder="1" applyAlignment="1" applyProtection="1">
      <alignment horizontal="center"/>
      <protection locked="0"/>
    </xf>
    <xf numFmtId="176" fontId="2" fillId="2" borderId="77" xfId="50" applyNumberFormat="1" applyFont="1" applyFill="1" applyBorder="1" applyAlignment="1">
      <alignment horizontal="center" vertical="center"/>
    </xf>
    <xf numFmtId="176" fontId="2" fillId="2" borderId="5" xfId="50" applyNumberFormat="1" applyFont="1" applyFill="1" applyBorder="1" applyAlignment="1">
      <alignment horizontal="center" vertical="center"/>
    </xf>
    <xf numFmtId="176" fontId="2" fillId="2" borderId="78" xfId="50" applyNumberFormat="1" applyFont="1" applyFill="1" applyBorder="1" applyAlignment="1">
      <alignment horizontal="center" textRotation="90"/>
    </xf>
    <xf numFmtId="176" fontId="2" fillId="2" borderId="79" xfId="50" applyNumberFormat="1" applyFont="1" applyFill="1" applyBorder="1" applyAlignment="1">
      <alignment horizontal="center" textRotation="90"/>
    </xf>
    <xf numFmtId="176" fontId="3" fillId="5" borderId="16" xfId="0" applyNumberFormat="1" applyFont="1" applyFill="1" applyBorder="1" applyAlignment="1">
      <alignment horizontal="left"/>
    </xf>
    <xf numFmtId="176" fontId="3" fillId="5" borderId="45" xfId="0" applyNumberFormat="1" applyFont="1" applyFill="1" applyBorder="1" applyAlignment="1">
      <alignment horizontal="left"/>
    </xf>
    <xf numFmtId="176" fontId="2" fillId="2" borderId="44" xfId="50" applyNumberFormat="1" applyFont="1" applyFill="1" applyBorder="1" applyAlignment="1">
      <alignment horizontal="center" vertical="center" textRotation="90"/>
    </xf>
    <xf numFmtId="180" fontId="3" fillId="2" borderId="16" xfId="0" applyNumberFormat="1" applyFont="1" applyFill="1" applyBorder="1" applyAlignment="1">
      <alignment horizontal="center" vertical="center"/>
    </xf>
    <xf numFmtId="1" fontId="15" fillId="0" borderId="0" xfId="50" applyNumberFormat="1" applyFont="1" applyFill="1" applyAlignment="1">
      <alignment horizontal="center" vertical="center" wrapText="1"/>
    </xf>
    <xf numFmtId="49" fontId="3" fillId="2" borderId="45" xfId="50" applyNumberFormat="1" applyFont="1" applyFill="1" applyBorder="1" applyAlignment="1">
      <alignment horizontal="left"/>
    </xf>
    <xf numFmtId="176" fontId="6" fillId="2" borderId="27" xfId="50" applyNumberFormat="1" applyFont="1" applyFill="1" applyBorder="1" applyAlignment="1">
      <alignment horizontal="left"/>
    </xf>
    <xf numFmtId="176" fontId="7" fillId="2" borderId="16" xfId="50" applyNumberFormat="1" applyFont="1" applyFill="1" applyBorder="1" applyAlignment="1">
      <alignment horizontal="center" vertical="center" textRotation="90"/>
    </xf>
    <xf numFmtId="182" fontId="8" fillId="14" borderId="15" xfId="52" applyNumberFormat="1" applyFont="1" applyFill="1" applyBorder="1" applyAlignment="1" applyProtection="1">
      <alignment horizontal="center"/>
      <protection locked="0"/>
    </xf>
    <xf numFmtId="182" fontId="8" fillId="14" borderId="16" xfId="52" applyNumberFormat="1" applyFont="1" applyFill="1" applyBorder="1" applyAlignment="1" applyProtection="1">
      <alignment horizontal="center"/>
      <protection locked="0"/>
    </xf>
    <xf numFmtId="178" fontId="8" fillId="13" borderId="15" xfId="52" applyNumberFormat="1" applyFont="1" applyFill="1" applyBorder="1" applyAlignment="1" applyProtection="1">
      <alignment horizontal="center"/>
      <protection locked="0"/>
    </xf>
    <xf numFmtId="0" fontId="5" fillId="4" borderId="80" xfId="0" applyNumberFormat="1" applyFont="1" applyFill="1" applyBorder="1" applyAlignment="1">
      <alignment horizontal="center" wrapText="1"/>
    </xf>
    <xf numFmtId="0" fontId="5" fillId="4" borderId="81" xfId="0" applyNumberFormat="1" applyFont="1" applyFill="1" applyBorder="1" applyAlignment="1">
      <alignment horizontal="center" wrapText="1"/>
    </xf>
    <xf numFmtId="0" fontId="5" fillId="4" borderId="28" xfId="0" applyNumberFormat="1" applyFont="1" applyFill="1" applyBorder="1" applyAlignment="1">
      <alignment horizontal="center" wrapText="1"/>
    </xf>
    <xf numFmtId="176" fontId="3" fillId="3" borderId="27" xfId="50" applyNumberFormat="1" applyFont="1" applyFill="1" applyBorder="1" applyAlignment="1">
      <alignment horizontal="center"/>
    </xf>
    <xf numFmtId="180" fontId="3" fillId="2" borderId="27" xfId="0" applyNumberFormat="1" applyFont="1" applyFill="1" applyBorder="1" applyAlignment="1">
      <alignment vertical="center"/>
    </xf>
    <xf numFmtId="176" fontId="1" fillId="0" borderId="0" xfId="50" applyNumberFormat="1" applyFont="1" applyFill="1" applyAlignment="1">
      <alignment horizontal="left" vertical="center"/>
    </xf>
    <xf numFmtId="176" fontId="3" fillId="2" borderId="16" xfId="50" applyNumberFormat="1" applyFont="1" applyFill="1" applyBorder="1" applyAlignment="1">
      <alignment horizontal="left" vertical="center"/>
    </xf>
    <xf numFmtId="49" fontId="3" fillId="2" borderId="16" xfId="50" applyNumberFormat="1" applyFont="1" applyFill="1" applyBorder="1" applyAlignment="1">
      <alignment horizontal="left" vertical="center"/>
    </xf>
    <xf numFmtId="176" fontId="2" fillId="2" borderId="16" xfId="50" applyNumberFormat="1" applyFont="1" applyFill="1" applyBorder="1" applyAlignment="1">
      <alignment horizontal="left" vertical="center" textRotation="90"/>
    </xf>
    <xf numFmtId="0" fontId="5" fillId="4" borderId="32" xfId="0" applyNumberFormat="1" applyFont="1" applyFill="1" applyBorder="1" applyAlignment="1">
      <alignment horizontal="left" vertical="center" wrapText="1"/>
    </xf>
    <xf numFmtId="176" fontId="2" fillId="2" borderId="3" xfId="50" applyNumberFormat="1" applyFont="1" applyFill="1" applyBorder="1" applyAlignment="1">
      <alignment horizontal="center"/>
    </xf>
    <xf numFmtId="176" fontId="2" fillId="2" borderId="18" xfId="50" applyNumberFormat="1" applyFont="1" applyFill="1" applyBorder="1" applyAlignment="1">
      <alignment horizontal="center"/>
    </xf>
    <xf numFmtId="176" fontId="2" fillId="2" borderId="30" xfId="50" applyNumberFormat="1" applyFont="1" applyFill="1" applyBorder="1" applyAlignment="1">
      <alignment horizontal="center" vertical="center" wrapText="1"/>
    </xf>
    <xf numFmtId="183" fontId="8" fillId="2" borderId="16" xfId="52" applyNumberFormat="1" applyFont="1" applyFill="1" applyBorder="1" applyAlignment="1" applyProtection="1">
      <alignment horizontal="left" vertical="center"/>
      <protection locked="0"/>
    </xf>
    <xf numFmtId="49" fontId="3" fillId="3" borderId="15" xfId="50" applyNumberFormat="1" applyFont="1" applyFill="1" applyBorder="1" applyAlignment="1">
      <alignment horizontal="left" vertical="center"/>
    </xf>
    <xf numFmtId="0" fontId="3" fillId="2" borderId="15" xfId="0" applyNumberFormat="1" applyFont="1" applyFill="1" applyBorder="1" applyAlignment="1">
      <alignment horizontal="left" vertical="center"/>
    </xf>
    <xf numFmtId="180" fontId="3" fillId="2" borderId="15" xfId="0" applyNumberFormat="1" applyFont="1" applyFill="1" applyBorder="1" applyAlignment="1">
      <alignment horizontal="left" vertical="center"/>
    </xf>
    <xf numFmtId="176" fontId="2" fillId="3" borderId="18" xfId="0" applyNumberFormat="1" applyFont="1" applyFill="1" applyBorder="1" applyAlignment="1">
      <alignment horizontal="center"/>
    </xf>
    <xf numFmtId="176" fontId="2" fillId="3" borderId="51" xfId="0" applyNumberFormat="1" applyFont="1" applyFill="1" applyBorder="1" applyAlignment="1">
      <alignment horizontal="center" textRotation="90"/>
    </xf>
    <xf numFmtId="176" fontId="2" fillId="3" borderId="72" xfId="0" applyNumberFormat="1" applyFont="1" applyFill="1" applyBorder="1" applyAlignment="1">
      <alignment horizontal="center" textRotation="90"/>
    </xf>
    <xf numFmtId="0" fontId="3" fillId="2" borderId="16" xfId="0" applyNumberFormat="1" applyFont="1" applyFill="1" applyBorder="1" applyAlignment="1">
      <alignment horizontal="left" vertical="center"/>
    </xf>
    <xf numFmtId="176" fontId="3" fillId="3" borderId="16" xfId="0" applyNumberFormat="1" applyFont="1" applyFill="1" applyBorder="1" applyAlignment="1">
      <alignment horizontal="left" vertical="center"/>
    </xf>
    <xf numFmtId="1" fontId="1" fillId="0" borderId="0" xfId="50" applyNumberFormat="1" applyFont="1" applyFill="1" applyAlignment="1">
      <alignment horizontal="left" vertical="center"/>
    </xf>
    <xf numFmtId="2" fontId="1" fillId="0" borderId="0" xfId="50" applyNumberFormat="1" applyFont="1" applyFill="1" applyAlignment="1">
      <alignment horizontal="left" vertical="center"/>
    </xf>
    <xf numFmtId="176" fontId="2" fillId="0" borderId="0" xfId="50" applyNumberFormat="1" applyFont="1" applyFill="1" applyAlignment="1"/>
    <xf numFmtId="176" fontId="2" fillId="0" borderId="0" xfId="50" applyNumberFormat="1" applyFont="1" applyFill="1" applyBorder="1" applyAlignment="1">
      <alignment horizontal="left"/>
    </xf>
    <xf numFmtId="49" fontId="2" fillId="0" borderId="0" xfId="50" applyNumberFormat="1" applyFont="1" applyFill="1" applyBorder="1" applyAlignment="1">
      <alignment horizontal="right"/>
    </xf>
    <xf numFmtId="176" fontId="2" fillId="0" borderId="0" xfId="50" applyNumberFormat="1" applyFont="1" applyFill="1" applyBorder="1" applyAlignment="1">
      <alignment horizontal="center"/>
    </xf>
    <xf numFmtId="14" fontId="2" fillId="0" borderId="0" xfId="50" applyNumberFormat="1" applyFont="1" applyFill="1" applyBorder="1" applyAlignment="1">
      <alignment horizontal="right"/>
    </xf>
    <xf numFmtId="0" fontId="2" fillId="0" borderId="0" xfId="50" applyNumberFormat="1" applyFont="1" applyFill="1" applyBorder="1" applyAlignment="1">
      <alignment horizontal="left"/>
    </xf>
    <xf numFmtId="176" fontId="2" fillId="0" borderId="0" xfId="50" applyNumberFormat="1" applyFont="1" applyFill="1" applyAlignment="1">
      <alignment horizontal="left"/>
    </xf>
    <xf numFmtId="176" fontId="2" fillId="0" borderId="0" xfId="50" applyNumberFormat="1" applyFont="1" applyFill="1" applyAlignment="1">
      <alignment horizontal="center" vertical="center"/>
    </xf>
    <xf numFmtId="2" fontId="2" fillId="0" borderId="0" xfId="50" applyNumberFormat="1" applyFont="1" applyFill="1" applyBorder="1" applyAlignment="1">
      <alignment horizontal="right"/>
    </xf>
    <xf numFmtId="176" fontId="2" fillId="0" borderId="0" xfId="50" applyNumberFormat="1" applyFont="1" applyFill="1" applyBorder="1" applyAlignment="1">
      <alignment horizontal="right"/>
    </xf>
    <xf numFmtId="176" fontId="2" fillId="0" borderId="0" xfId="50" applyNumberFormat="1" applyFont="1" applyFill="1" applyBorder="1" applyAlignment="1"/>
    <xf numFmtId="176" fontId="2" fillId="2" borderId="82" xfId="50" applyNumberFormat="1" applyFont="1" applyFill="1" applyBorder="1" applyAlignment="1">
      <alignment horizontal="center" textRotation="90"/>
    </xf>
    <xf numFmtId="176" fontId="2" fillId="2" borderId="15" xfId="50" applyNumberFormat="1" applyFont="1" applyFill="1" applyBorder="1" applyAlignment="1">
      <alignment horizontal="center" textRotation="90"/>
    </xf>
    <xf numFmtId="176" fontId="3" fillId="2" borderId="16" xfId="50" applyNumberFormat="1" applyFont="1" applyFill="1" applyBorder="1" applyAlignment="1">
      <alignment horizontal="center"/>
    </xf>
    <xf numFmtId="181" fontId="3" fillId="2" borderId="16" xfId="50" applyNumberFormat="1" applyFont="1" applyFill="1" applyBorder="1" applyAlignment="1">
      <alignment horizontal="left"/>
    </xf>
    <xf numFmtId="49" fontId="8" fillId="2" borderId="83" xfId="50" applyNumberFormat="1" applyFont="1" applyFill="1" applyBorder="1" applyAlignment="1"/>
    <xf numFmtId="176" fontId="3" fillId="2" borderId="15" xfId="50" applyNumberFormat="1" applyFont="1" applyFill="1" applyBorder="1" applyAlignment="1">
      <alignment horizontal="center" vertical="center" textRotation="90"/>
    </xf>
    <xf numFmtId="0" fontId="16" fillId="2" borderId="16" xfId="0" applyNumberFormat="1" applyFont="1" applyFill="1" applyBorder="1" applyAlignment="1" applyProtection="1">
      <alignment horizontal="left"/>
    </xf>
    <xf numFmtId="0" fontId="3" fillId="2" borderId="16" xfId="0" applyNumberFormat="1" applyFont="1" applyFill="1" applyBorder="1" applyAlignment="1" applyProtection="1">
      <alignment horizontal="left"/>
    </xf>
    <xf numFmtId="0" fontId="16" fillId="2" borderId="15" xfId="0" applyNumberFormat="1" applyFont="1" applyFill="1" applyBorder="1" applyAlignment="1" applyProtection="1">
      <alignment horizontal="left"/>
    </xf>
    <xf numFmtId="0" fontId="16" fillId="2" borderId="15" xfId="0" applyNumberFormat="1" applyFont="1" applyFill="1" applyBorder="1" applyAlignment="1" applyProtection="1">
      <alignment horizontal="left" vertical="center"/>
    </xf>
    <xf numFmtId="0" fontId="3" fillId="2" borderId="15" xfId="0" applyNumberFormat="1" applyFont="1" applyFill="1" applyBorder="1" applyAlignment="1" applyProtection="1">
      <alignment horizontal="left" vertical="center"/>
    </xf>
    <xf numFmtId="176" fontId="3" fillId="2" borderId="28" xfId="50" applyNumberFormat="1" applyFont="1" applyFill="1" applyBorder="1" applyAlignment="1">
      <alignment horizontal="center" vertical="center" textRotation="90"/>
    </xf>
    <xf numFmtId="176" fontId="3" fillId="2" borderId="27" xfId="50" applyNumberFormat="1" applyFont="1" applyFill="1" applyBorder="1" applyAlignment="1">
      <alignment horizontal="center" vertical="center" textRotation="90"/>
    </xf>
    <xf numFmtId="0" fontId="16" fillId="2" borderId="15" xfId="0" applyNumberFormat="1" applyFont="1" applyFill="1" applyBorder="1" applyAlignment="1">
      <alignment vertical="center"/>
    </xf>
    <xf numFmtId="0" fontId="3" fillId="2" borderId="15" xfId="0" applyNumberFormat="1" applyFont="1" applyFill="1" applyBorder="1" applyAlignment="1">
      <alignment vertical="center"/>
    </xf>
    <xf numFmtId="176" fontId="3" fillId="2" borderId="15" xfId="0" applyNumberFormat="1" applyFont="1" applyFill="1" applyBorder="1" applyAlignment="1">
      <alignment horizontal="left" vertical="center"/>
    </xf>
    <xf numFmtId="176" fontId="2" fillId="6" borderId="55" xfId="50" applyNumberFormat="1" applyFont="1" applyFill="1" applyBorder="1" applyAlignment="1">
      <alignment horizontal="center" vertical="center"/>
    </xf>
    <xf numFmtId="176" fontId="2" fillId="6" borderId="63" xfId="50" applyNumberFormat="1" applyFont="1" applyFill="1" applyBorder="1" applyAlignment="1">
      <alignment horizontal="center" vertical="center"/>
    </xf>
    <xf numFmtId="176" fontId="2" fillId="2" borderId="55" xfId="50" applyNumberFormat="1" applyFont="1" applyFill="1" applyBorder="1" applyAlignment="1">
      <alignment horizontal="center"/>
    </xf>
    <xf numFmtId="176" fontId="2" fillId="6" borderId="3" xfId="50" applyNumberFormat="1" applyFont="1" applyFill="1" applyBorder="1" applyAlignment="1">
      <alignment horizontal="center"/>
    </xf>
    <xf numFmtId="176" fontId="2" fillId="6" borderId="15" xfId="50" applyNumberFormat="1" applyFont="1" applyFill="1" applyBorder="1" applyAlignment="1">
      <alignment horizontal="center" vertical="center" textRotation="90"/>
    </xf>
    <xf numFmtId="176" fontId="2" fillId="6" borderId="51" xfId="50" applyNumberFormat="1" applyFont="1" applyFill="1" applyBorder="1" applyAlignment="1">
      <alignment horizontal="center" vertical="center" textRotation="90"/>
    </xf>
    <xf numFmtId="176" fontId="2" fillId="6" borderId="55" xfId="50" applyNumberFormat="1" applyFont="1" applyFill="1" applyBorder="1" applyAlignment="1">
      <alignment horizontal="center" vertical="center" textRotation="90" wrapText="1"/>
    </xf>
    <xf numFmtId="176" fontId="2" fillId="2" borderId="15" xfId="50" applyNumberFormat="1" applyFont="1" applyFill="1" applyBorder="1" applyAlignment="1">
      <alignment horizontal="center" vertical="center" wrapText="1"/>
    </xf>
    <xf numFmtId="176" fontId="2" fillId="6" borderId="19" xfId="50" applyNumberFormat="1" applyFont="1" applyFill="1" applyBorder="1" applyAlignment="1">
      <alignment horizontal="center" vertical="center" wrapText="1"/>
    </xf>
    <xf numFmtId="176" fontId="2" fillId="6" borderId="84" xfId="50" applyNumberFormat="1" applyFont="1" applyFill="1" applyBorder="1" applyAlignment="1">
      <alignment horizontal="center" vertical="center" textRotation="90" wrapText="1"/>
    </xf>
    <xf numFmtId="178" fontId="3" fillId="2" borderId="16" xfId="52" applyNumberFormat="1" applyFont="1" applyFill="1" applyBorder="1" applyAlignment="1" applyProtection="1">
      <alignment horizontal="center" vertical="center"/>
      <protection locked="0"/>
    </xf>
    <xf numFmtId="179" fontId="3" fillId="2" borderId="15" xfId="52" applyNumberFormat="1" applyFont="1" applyFill="1" applyBorder="1" applyAlignment="1" applyProtection="1">
      <alignment horizontal="center" vertical="center"/>
      <protection locked="0"/>
    </xf>
    <xf numFmtId="176" fontId="3" fillId="7" borderId="16" xfId="0" applyNumberFormat="1" applyFont="1" applyFill="1" applyBorder="1" applyAlignment="1">
      <alignment horizontal="left"/>
    </xf>
    <xf numFmtId="176" fontId="3" fillId="7" borderId="15" xfId="0" applyNumberFormat="1" applyFont="1" applyFill="1" applyBorder="1" applyAlignment="1">
      <alignment horizontal="left"/>
    </xf>
    <xf numFmtId="176" fontId="2" fillId="6" borderId="18" xfId="50" applyNumberFormat="1" applyFont="1" applyFill="1" applyBorder="1" applyAlignment="1">
      <alignment horizontal="center"/>
    </xf>
    <xf numFmtId="176" fontId="2" fillId="2" borderId="8" xfId="50" applyNumberFormat="1" applyFont="1" applyFill="1" applyBorder="1" applyAlignment="1">
      <alignment horizontal="center" vertical="center"/>
    </xf>
    <xf numFmtId="0" fontId="2" fillId="2" borderId="20" xfId="0" applyNumberFormat="1" applyFont="1" applyFill="1" applyBorder="1" applyAlignment="1">
      <alignment horizontal="center" vertical="center"/>
    </xf>
    <xf numFmtId="0" fontId="2" fillId="2" borderId="1" xfId="50" applyNumberFormat="1" applyFont="1" applyFill="1" applyBorder="1" applyAlignment="1">
      <alignment horizontal="center" textRotation="90"/>
    </xf>
    <xf numFmtId="0" fontId="2" fillId="2" borderId="11" xfId="50" applyNumberFormat="1" applyFont="1" applyFill="1" applyBorder="1" applyAlignment="1">
      <alignment horizontal="center" textRotation="90"/>
    </xf>
    <xf numFmtId="0" fontId="17" fillId="5" borderId="45" xfId="0" applyFont="1" applyFill="1" applyBorder="1" applyAlignment="1">
      <alignment horizontal="left"/>
    </xf>
    <xf numFmtId="176" fontId="3" fillId="2" borderId="15" xfId="50" applyNumberFormat="1" applyFont="1" applyFill="1" applyBorder="1" applyAlignment="1">
      <alignment horizontal="center"/>
    </xf>
    <xf numFmtId="176" fontId="18" fillId="5" borderId="45" xfId="0" applyNumberFormat="1" applyFont="1" applyFill="1" applyBorder="1" applyAlignment="1">
      <alignment horizontal="center"/>
    </xf>
    <xf numFmtId="0" fontId="17" fillId="5" borderId="45" xfId="0" applyFont="1" applyFill="1" applyBorder="1" applyAlignment="1">
      <alignment horizontal="center" wrapText="1"/>
    </xf>
    <xf numFmtId="0" fontId="17" fillId="5" borderId="16" xfId="0" applyFont="1" applyFill="1" applyBorder="1" applyAlignment="1">
      <alignment horizontal="left"/>
    </xf>
    <xf numFmtId="0" fontId="2" fillId="2" borderId="8" xfId="0" applyNumberFormat="1" applyFont="1" applyFill="1" applyBorder="1" applyAlignment="1">
      <alignment horizontal="center" vertical="center"/>
    </xf>
    <xf numFmtId="176" fontId="2" fillId="6" borderId="27" xfId="0" applyNumberFormat="1" applyFont="1" applyFill="1" applyBorder="1" applyAlignment="1">
      <alignment horizontal="center"/>
    </xf>
    <xf numFmtId="176" fontId="2" fillId="6" borderId="85" xfId="0" applyNumberFormat="1" applyFont="1" applyFill="1" applyBorder="1" applyAlignment="1">
      <alignment horizontal="center"/>
    </xf>
    <xf numFmtId="176" fontId="2" fillId="2" borderId="15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 wrapText="1"/>
    </xf>
    <xf numFmtId="176" fontId="2" fillId="6" borderId="86" xfId="0" applyNumberFormat="1" applyFont="1" applyFill="1" applyBorder="1" applyAlignment="1">
      <alignment horizontal="center" textRotation="90"/>
    </xf>
    <xf numFmtId="176" fontId="2" fillId="6" borderId="86" xfId="0" applyNumberFormat="1" applyFont="1" applyFill="1" applyBorder="1" applyAlignment="1">
      <alignment horizontal="center" vertical="center" textRotation="90"/>
    </xf>
    <xf numFmtId="176" fontId="2" fillId="2" borderId="15" xfId="0" applyNumberFormat="1" applyFont="1" applyFill="1" applyBorder="1" applyAlignment="1">
      <alignment horizontal="center" vertical="center" textRotation="90"/>
    </xf>
    <xf numFmtId="176" fontId="2" fillId="2" borderId="1" xfId="50" applyNumberFormat="1" applyFont="1" applyFill="1" applyBorder="1" applyAlignment="1">
      <alignment horizontal="center" vertical="center" textRotation="90"/>
    </xf>
    <xf numFmtId="176" fontId="2" fillId="6" borderId="87" xfId="0" applyNumberFormat="1" applyFont="1" applyFill="1" applyBorder="1" applyAlignment="1">
      <alignment horizontal="center" textRotation="90"/>
    </xf>
    <xf numFmtId="176" fontId="2" fillId="6" borderId="87" xfId="0" applyNumberFormat="1" applyFont="1" applyFill="1" applyBorder="1" applyAlignment="1">
      <alignment horizontal="center" vertical="center" textRotation="90"/>
    </xf>
    <xf numFmtId="176" fontId="2" fillId="2" borderId="27" xfId="0" applyNumberFormat="1" applyFont="1" applyFill="1" applyBorder="1" applyAlignment="1">
      <alignment horizontal="center" vertical="center" textRotation="90"/>
    </xf>
    <xf numFmtId="180" fontId="18" fillId="5" borderId="16" xfId="0" applyNumberFormat="1" applyFont="1" applyFill="1" applyBorder="1" applyAlignment="1">
      <alignment horizontal="center" vertical="center"/>
    </xf>
    <xf numFmtId="176" fontId="3" fillId="6" borderId="16" xfId="0" applyNumberFormat="1" applyFont="1" applyFill="1" applyBorder="1" applyAlignment="1"/>
    <xf numFmtId="176" fontId="3" fillId="2" borderId="16" xfId="50" applyNumberFormat="1" applyFont="1" applyFill="1" applyBorder="1" applyAlignment="1">
      <alignment horizontal="center" vertical="center"/>
    </xf>
    <xf numFmtId="176" fontId="16" fillId="2" borderId="15" xfId="0" applyNumberFormat="1" applyFont="1" applyFill="1" applyBorder="1" applyAlignment="1">
      <alignment horizontal="left" vertical="center"/>
    </xf>
    <xf numFmtId="0" fontId="16" fillId="2" borderId="15" xfId="0" applyNumberFormat="1" applyFont="1" applyFill="1" applyBorder="1" applyAlignment="1">
      <alignment horizontal="left" vertical="center"/>
    </xf>
    <xf numFmtId="0" fontId="3" fillId="2" borderId="15" xfId="0" applyNumberFormat="1" applyFont="1" applyFill="1" applyBorder="1" applyAlignment="1" applyProtection="1">
      <alignment horizontal="left" vertical="center" wrapText="1"/>
    </xf>
    <xf numFmtId="49" fontId="19" fillId="2" borderId="15" xfId="50" applyNumberFormat="1" applyFont="1" applyFill="1" applyBorder="1" applyAlignment="1">
      <alignment horizontal="left"/>
    </xf>
    <xf numFmtId="0" fontId="5" fillId="7" borderId="15" xfId="0" applyNumberFormat="1" applyFont="1" applyFill="1" applyBorder="1" applyAlignment="1">
      <alignment horizontal="center" wrapText="1"/>
    </xf>
    <xf numFmtId="0" fontId="5" fillId="7" borderId="16" xfId="0" applyNumberFormat="1" applyFont="1" applyFill="1" applyBorder="1" applyAlignment="1">
      <alignment horizontal="center" wrapText="1"/>
    </xf>
    <xf numFmtId="176" fontId="3" fillId="7" borderId="15" xfId="0" applyNumberFormat="1" applyFont="1" applyFill="1" applyBorder="1" applyAlignment="1">
      <alignment horizontal="center"/>
    </xf>
    <xf numFmtId="0" fontId="18" fillId="15" borderId="45" xfId="0" applyFont="1" applyFill="1" applyBorder="1" applyAlignment="1">
      <alignment horizontal="left"/>
    </xf>
    <xf numFmtId="14" fontId="3" fillId="2" borderId="15" xfId="50" applyNumberFormat="1" applyFont="1" applyFill="1" applyBorder="1" applyAlignment="1">
      <alignment horizontal="right"/>
    </xf>
    <xf numFmtId="180" fontId="3" fillId="2" borderId="15" xfId="50" applyNumberFormat="1" applyFont="1" applyFill="1" applyBorder="1" applyAlignment="1">
      <alignment horizontal="center" vertical="center"/>
    </xf>
    <xf numFmtId="176" fontId="2" fillId="2" borderId="15" xfId="50" applyNumberFormat="1" applyFont="1" applyFill="1" applyBorder="1" applyAlignment="1">
      <alignment horizontal="center" vertical="center"/>
    </xf>
    <xf numFmtId="176" fontId="8" fillId="0" borderId="0" xfId="0" applyNumberFormat="1" applyFont="1" applyFill="1" applyAlignment="1"/>
    <xf numFmtId="0" fontId="1" fillId="0" borderId="0" xfId="50" applyNumberFormat="1" applyFont="1" applyFill="1" applyAlignment="1"/>
    <xf numFmtId="176" fontId="1" fillId="0" borderId="0" xfId="50" applyNumberFormat="1" applyFont="1" applyFill="1" applyBorder="1" applyAlignment="1">
      <alignment horizontal="center" vertical="center"/>
    </xf>
    <xf numFmtId="176" fontId="1" fillId="0" borderId="0" xfId="50" applyNumberFormat="1" applyFont="1" applyFill="1" applyBorder="1" applyAlignment="1">
      <alignment horizontal="left" vertical="center"/>
    </xf>
    <xf numFmtId="176" fontId="1" fillId="16" borderId="0" xfId="50" applyNumberFormat="1" applyFont="1" applyFill="1" applyAlignment="1"/>
    <xf numFmtId="0" fontId="1" fillId="16" borderId="0" xfId="50" applyNumberFormat="1" applyFont="1" applyFill="1" applyAlignment="1"/>
    <xf numFmtId="176" fontId="1" fillId="16" borderId="0" xfId="50" applyNumberFormat="1" applyFont="1" applyFill="1" applyBorder="1" applyAlignment="1">
      <alignment horizontal="left"/>
    </xf>
    <xf numFmtId="176" fontId="2" fillId="2" borderId="88" xfId="50" applyNumberFormat="1" applyFont="1" applyFill="1" applyBorder="1" applyAlignment="1">
      <alignment vertical="center"/>
    </xf>
    <xf numFmtId="0" fontId="2" fillId="2" borderId="89" xfId="50" applyNumberFormat="1" applyFont="1" applyFill="1" applyBorder="1" applyAlignment="1">
      <alignment vertical="center"/>
    </xf>
    <xf numFmtId="176" fontId="2" fillId="2" borderId="90" xfId="50" applyNumberFormat="1" applyFont="1" applyFill="1" applyBorder="1" applyAlignment="1">
      <alignment vertical="center"/>
    </xf>
    <xf numFmtId="176" fontId="2" fillId="2" borderId="91" xfId="50" applyNumberFormat="1" applyFont="1" applyFill="1" applyBorder="1" applyAlignment="1">
      <alignment horizontal="center" vertical="center"/>
    </xf>
    <xf numFmtId="176" fontId="2" fillId="2" borderId="86" xfId="50" applyNumberFormat="1" applyFont="1" applyFill="1" applyBorder="1" applyAlignment="1">
      <alignment horizontal="center" textRotation="90"/>
    </xf>
    <xf numFmtId="0" fontId="2" fillId="2" borderId="55" xfId="50" applyNumberFormat="1" applyFont="1" applyFill="1" applyBorder="1" applyAlignment="1">
      <alignment horizontal="center" textRotation="90"/>
    </xf>
    <xf numFmtId="176" fontId="2" fillId="2" borderId="54" xfId="50" applyNumberFormat="1" applyFont="1" applyFill="1" applyBorder="1" applyAlignment="1">
      <alignment horizontal="center" textRotation="90"/>
    </xf>
    <xf numFmtId="176" fontId="2" fillId="2" borderId="87" xfId="50" applyNumberFormat="1" applyFont="1" applyFill="1" applyBorder="1" applyAlignment="1">
      <alignment horizontal="center" textRotation="90"/>
    </xf>
    <xf numFmtId="0" fontId="2" fillId="2" borderId="84" xfId="50" applyNumberFormat="1" applyFont="1" applyFill="1" applyBorder="1" applyAlignment="1">
      <alignment horizontal="center" textRotation="90"/>
    </xf>
    <xf numFmtId="176" fontId="2" fillId="2" borderId="58" xfId="50" applyNumberFormat="1" applyFont="1" applyFill="1" applyBorder="1" applyAlignment="1">
      <alignment horizontal="center" textRotation="90"/>
    </xf>
    <xf numFmtId="176" fontId="2" fillId="2" borderId="62" xfId="50" applyNumberFormat="1" applyFont="1" applyFill="1" applyBorder="1" applyAlignment="1">
      <alignment horizontal="center" textRotation="90"/>
    </xf>
    <xf numFmtId="176" fontId="4" fillId="2" borderId="28" xfId="0" applyNumberFormat="1" applyFont="1" applyFill="1" applyBorder="1" applyAlignment="1">
      <alignment horizontal="center" vertical="center" textRotation="90"/>
    </xf>
    <xf numFmtId="176" fontId="8" fillId="2" borderId="53" xfId="50" applyNumberFormat="1" applyFont="1" applyFill="1" applyBorder="1" applyAlignment="1">
      <alignment horizontal="left"/>
    </xf>
    <xf numFmtId="0" fontId="0" fillId="2" borderId="15" xfId="0" applyFont="1" applyFill="1" applyBorder="1" applyAlignment="1">
      <alignment vertical="center"/>
    </xf>
    <xf numFmtId="0" fontId="14" fillId="2" borderId="15" xfId="0" applyFont="1" applyFill="1" applyBorder="1" applyAlignment="1">
      <alignment vertical="center"/>
    </xf>
    <xf numFmtId="0" fontId="14" fillId="17" borderId="15" xfId="0" applyFont="1" applyFill="1" applyBorder="1" applyAlignment="1">
      <alignment vertical="center"/>
    </xf>
    <xf numFmtId="176" fontId="4" fillId="2" borderId="16" xfId="0" applyNumberFormat="1" applyFont="1" applyFill="1" applyBorder="1" applyAlignment="1">
      <alignment horizontal="center" vertical="center" textRotation="90"/>
    </xf>
    <xf numFmtId="176" fontId="4" fillId="2" borderId="15" xfId="0" applyNumberFormat="1" applyFont="1" applyFill="1" applyBorder="1" applyAlignment="1">
      <alignment horizontal="center" vertical="center" textRotation="90"/>
    </xf>
    <xf numFmtId="176" fontId="4" fillId="2" borderId="27" xfId="0" applyNumberFormat="1" applyFont="1" applyFill="1" applyBorder="1" applyAlignment="1">
      <alignment horizontal="center" vertical="center"/>
    </xf>
    <xf numFmtId="176" fontId="20" fillId="2" borderId="27" xfId="50" applyNumberFormat="1" applyFont="1" applyFill="1" applyBorder="1" applyAlignment="1">
      <alignment horizontal="left"/>
    </xf>
    <xf numFmtId="176" fontId="4" fillId="2" borderId="15" xfId="0" applyNumberFormat="1" applyFont="1" applyFill="1" applyBorder="1" applyAlignment="1">
      <alignment horizontal="left" vertical="center"/>
    </xf>
    <xf numFmtId="176" fontId="20" fillId="2" borderId="15" xfId="50" applyNumberFormat="1" applyFont="1" applyFill="1" applyBorder="1" applyAlignment="1">
      <alignment horizontal="left"/>
    </xf>
    <xf numFmtId="176" fontId="8" fillId="2" borderId="15" xfId="50" applyNumberFormat="1" applyFont="1" applyFill="1" applyBorder="1" applyAlignment="1">
      <alignment horizontal="center"/>
    </xf>
    <xf numFmtId="176" fontId="2" fillId="3" borderId="29" xfId="50" applyNumberFormat="1" applyFont="1" applyFill="1" applyBorder="1" applyAlignment="1">
      <alignment horizontal="center" vertical="center"/>
    </xf>
    <xf numFmtId="176" fontId="2" fillId="6" borderId="9" xfId="50" applyNumberFormat="1" applyFont="1" applyFill="1" applyBorder="1" applyAlignment="1">
      <alignment horizontal="center" vertical="center" wrapText="1"/>
    </xf>
    <xf numFmtId="176" fontId="2" fillId="6" borderId="30" xfId="50" applyNumberFormat="1" applyFont="1" applyFill="1" applyBorder="1" applyAlignment="1">
      <alignment horizontal="center" vertical="center" wrapText="1"/>
    </xf>
    <xf numFmtId="0" fontId="5" fillId="4" borderId="68" xfId="0" applyNumberFormat="1" applyFont="1" applyFill="1" applyBorder="1" applyAlignment="1">
      <alignment horizontal="center" wrapText="1"/>
    </xf>
    <xf numFmtId="178" fontId="8" fillId="2" borderId="16" xfId="52" applyNumberFormat="1" applyFont="1" applyFill="1" applyBorder="1" applyAlignment="1" applyProtection="1">
      <alignment horizontal="center" vertical="center"/>
      <protection locked="0"/>
    </xf>
    <xf numFmtId="179" fontId="8" fillId="2" borderId="16" xfId="52" applyNumberFormat="1" applyFont="1" applyFill="1" applyBorder="1" applyAlignment="1" applyProtection="1">
      <alignment horizontal="center" vertical="center"/>
      <protection locked="0"/>
    </xf>
    <xf numFmtId="178" fontId="8" fillId="6" borderId="16" xfId="52" applyNumberFormat="1" applyFont="1" applyFill="1" applyBorder="1" applyAlignment="1" applyProtection="1">
      <alignment horizontal="center" vertical="center"/>
      <protection locked="0"/>
    </xf>
    <xf numFmtId="178" fontId="8" fillId="6" borderId="15" xfId="52" applyNumberFormat="1" applyFont="1" applyFill="1" applyBorder="1" applyAlignment="1" applyProtection="1">
      <alignment horizontal="center" vertical="center"/>
      <protection locked="0"/>
    </xf>
    <xf numFmtId="176" fontId="8" fillId="6" borderId="15" xfId="50" applyNumberFormat="1" applyFont="1" applyFill="1" applyBorder="1" applyAlignment="1">
      <alignment horizontal="center"/>
    </xf>
    <xf numFmtId="176" fontId="2" fillId="2" borderId="3" xfId="50" applyNumberFormat="1" applyFont="1" applyFill="1" applyBorder="1" applyAlignment="1">
      <alignment horizontal="center" vertical="center"/>
    </xf>
    <xf numFmtId="176" fontId="2" fillId="2" borderId="18" xfId="50" applyNumberFormat="1" applyFont="1" applyFill="1" applyBorder="1" applyAlignment="1">
      <alignment horizontal="center" vertical="center"/>
    </xf>
    <xf numFmtId="176" fontId="2" fillId="3" borderId="20" xfId="50" applyNumberFormat="1" applyFont="1" applyFill="1" applyBorder="1" applyAlignment="1">
      <alignment horizontal="center" vertical="center"/>
    </xf>
    <xf numFmtId="176" fontId="2" fillId="2" borderId="35" xfId="0" applyNumberFormat="1" applyFont="1" applyFill="1" applyBorder="1" applyAlignment="1">
      <alignment horizontal="center" vertical="center"/>
    </xf>
    <xf numFmtId="176" fontId="2" fillId="2" borderId="20" xfId="0" applyNumberFormat="1" applyFont="1" applyFill="1" applyBorder="1" applyAlignment="1">
      <alignment horizontal="center" vertical="center"/>
    </xf>
    <xf numFmtId="176" fontId="2" fillId="2" borderId="29" xfId="0" applyNumberFormat="1" applyFont="1" applyFill="1" applyBorder="1" applyAlignment="1">
      <alignment horizontal="center" vertical="center"/>
    </xf>
    <xf numFmtId="176" fontId="2" fillId="2" borderId="0" xfId="50" applyNumberFormat="1" applyFont="1" applyFill="1" applyBorder="1" applyAlignment="1">
      <alignment horizontal="center" vertical="center"/>
    </xf>
    <xf numFmtId="176" fontId="2" fillId="3" borderId="19" xfId="50" applyNumberFormat="1" applyFont="1" applyFill="1" applyBorder="1" applyAlignment="1">
      <alignment horizontal="center" vertical="center"/>
    </xf>
    <xf numFmtId="176" fontId="2" fillId="2" borderId="92" xfId="50" applyNumberFormat="1" applyFont="1" applyFill="1" applyBorder="1" applyAlignment="1">
      <alignment horizontal="center" vertical="center"/>
    </xf>
    <xf numFmtId="176" fontId="2" fillId="2" borderId="30" xfId="50" applyNumberFormat="1" applyFont="1" applyFill="1" applyBorder="1" applyAlignment="1">
      <alignment vertical="center"/>
    </xf>
    <xf numFmtId="176" fontId="2" fillId="3" borderId="31" xfId="50" applyNumberFormat="1" applyFont="1" applyFill="1" applyBorder="1" applyAlignment="1">
      <alignment horizontal="center" vertical="center"/>
    </xf>
    <xf numFmtId="179" fontId="8" fillId="11" borderId="16" xfId="52" applyNumberFormat="1" applyFont="1" applyFill="1" applyBorder="1" applyAlignment="1" applyProtection="1">
      <alignment horizontal="center" vertical="center"/>
      <protection locked="0"/>
    </xf>
    <xf numFmtId="176" fontId="8" fillId="3" borderId="16" xfId="50" applyNumberFormat="1" applyFont="1" applyFill="1" applyBorder="1" applyAlignment="1">
      <alignment horizontal="left"/>
    </xf>
    <xf numFmtId="184" fontId="3" fillId="2" borderId="15" xfId="51" applyNumberFormat="1" applyFont="1" applyFill="1" applyBorder="1" applyAlignment="1">
      <alignment horizontal="center" vertical="center" wrapText="1"/>
    </xf>
    <xf numFmtId="176" fontId="8" fillId="2" borderId="15" xfId="0" applyNumberFormat="1" applyFont="1" applyFill="1" applyBorder="1" applyAlignment="1">
      <alignment horizontal="center" vertical="center"/>
    </xf>
    <xf numFmtId="176" fontId="8" fillId="2" borderId="15" xfId="0" applyNumberFormat="1" applyFont="1" applyFill="1" applyBorder="1" applyAlignment="1">
      <alignment horizontal="center"/>
    </xf>
    <xf numFmtId="0" fontId="21" fillId="2" borderId="15" xfId="0" applyNumberFormat="1" applyFont="1" applyFill="1" applyBorder="1" applyAlignment="1">
      <alignment horizontal="center"/>
    </xf>
    <xf numFmtId="178" fontId="8" fillId="6" borderId="93" xfId="52" applyNumberFormat="1" applyFont="1" applyFill="1" applyBorder="1" applyAlignment="1" applyProtection="1">
      <alignment horizontal="center" vertical="center"/>
      <protection locked="0"/>
    </xf>
    <xf numFmtId="176" fontId="8" fillId="2" borderId="84" xfId="50" applyNumberFormat="1" applyFont="1" applyFill="1" applyBorder="1" applyAlignment="1">
      <alignment horizontal="center"/>
    </xf>
    <xf numFmtId="176" fontId="8" fillId="2" borderId="51" xfId="50" applyNumberFormat="1" applyFont="1" applyFill="1" applyBorder="1" applyAlignment="1">
      <alignment horizontal="center"/>
    </xf>
    <xf numFmtId="176" fontId="9" fillId="3" borderId="94" xfId="50" applyNumberFormat="1" applyFont="1" applyFill="1" applyBorder="1" applyAlignment="1">
      <alignment horizontal="left"/>
    </xf>
    <xf numFmtId="176" fontId="2" fillId="2" borderId="8" xfId="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left"/>
    </xf>
    <xf numFmtId="176" fontId="2" fillId="2" borderId="1" xfId="50" applyNumberFormat="1" applyFont="1" applyFill="1" applyBorder="1" applyAlignment="1">
      <alignment horizontal="left" textRotation="90"/>
    </xf>
    <xf numFmtId="176" fontId="2" fillId="2" borderId="31" xfId="50" applyNumberFormat="1" applyFont="1" applyFill="1" applyBorder="1" applyAlignment="1">
      <alignment horizontal="center" textRotation="90"/>
    </xf>
    <xf numFmtId="176" fontId="2" fillId="2" borderId="33" xfId="50" applyNumberFormat="1" applyFont="1" applyFill="1" applyBorder="1" applyAlignment="1">
      <alignment horizontal="left" textRotation="90"/>
    </xf>
    <xf numFmtId="14" fontId="4" fillId="2" borderId="15" xfId="50" applyNumberFormat="1" applyFont="1" applyFill="1" applyBorder="1" applyAlignment="1">
      <alignment horizontal="right"/>
    </xf>
    <xf numFmtId="176" fontId="2" fillId="3" borderId="48" xfId="50" applyNumberFormat="1" applyFont="1" applyFill="1" applyBorder="1" applyAlignment="1">
      <alignment horizontal="center" vertical="center" textRotation="90"/>
    </xf>
    <xf numFmtId="180" fontId="10" fillId="3" borderId="15" xfId="50" applyNumberFormat="1" applyFont="1" applyFill="1" applyBorder="1" applyAlignment="1">
      <alignment horizontal="center" vertical="center"/>
    </xf>
    <xf numFmtId="176" fontId="2" fillId="2" borderId="2" xfId="50" applyNumberFormat="1" applyFont="1" applyFill="1" applyBorder="1" applyAlignment="1">
      <alignment horizontal="center" vertical="center" textRotation="90"/>
    </xf>
    <xf numFmtId="176" fontId="2" fillId="3" borderId="9" xfId="0" applyNumberFormat="1" applyFont="1" applyFill="1" applyBorder="1" applyAlignment="1">
      <alignment horizontal="center" textRotation="90"/>
    </xf>
    <xf numFmtId="176" fontId="2" fillId="3" borderId="48" xfId="0" applyNumberFormat="1" applyFont="1" applyFill="1" applyBorder="1" applyAlignment="1">
      <alignment horizontal="center" textRotation="90"/>
    </xf>
    <xf numFmtId="176" fontId="2" fillId="3" borderId="51" xfId="50" applyNumberFormat="1" applyFont="1" applyFill="1" applyBorder="1" applyAlignment="1">
      <alignment horizontal="center" vertical="center" textRotation="90"/>
    </xf>
    <xf numFmtId="176" fontId="2" fillId="3" borderId="72" xfId="50" applyNumberFormat="1" applyFont="1" applyFill="1" applyBorder="1" applyAlignment="1">
      <alignment horizontal="center" vertical="center" textRotation="90"/>
    </xf>
    <xf numFmtId="180" fontId="22" fillId="18" borderId="16" xfId="0" applyNumberFormat="1" applyFont="1" applyFill="1" applyBorder="1" applyAlignment="1">
      <alignment horizontal="center" vertical="center"/>
    </xf>
    <xf numFmtId="180" fontId="8" fillId="3" borderId="15" xfId="5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>
      <alignment vertical="center"/>
    </xf>
    <xf numFmtId="176" fontId="4" fillId="0" borderId="15" xfId="0" applyNumberFormat="1" applyFont="1" applyFill="1" applyBorder="1" applyAlignment="1">
      <alignment vertical="center"/>
    </xf>
    <xf numFmtId="176" fontId="23" fillId="0" borderId="15" xfId="0" applyNumberFormat="1" applyFont="1" applyFill="1" applyBorder="1" applyAlignment="1">
      <alignment vertical="center" wrapText="1"/>
    </xf>
    <xf numFmtId="176" fontId="23" fillId="0" borderId="15" xfId="0" applyNumberFormat="1" applyFont="1" applyFill="1" applyBorder="1" applyAlignment="1">
      <alignment vertical="center"/>
    </xf>
    <xf numFmtId="176" fontId="23" fillId="0" borderId="15" xfId="0" applyNumberFormat="1" applyFont="1" applyFill="1" applyBorder="1" applyAlignment="1"/>
  </cellXfs>
  <cellStyles count="57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常规 2 2" xfId="49"/>
    <cellStyle name="AFE 2" xfId="50"/>
    <cellStyle name="常规 2" xfId="51"/>
    <cellStyle name="普通 3" xfId="52"/>
    <cellStyle name="常规 5" xfId="53"/>
    <cellStyle name="_HU Grid_0210 V1.xls" xfId="54"/>
    <cellStyle name="_HU Grid_0210 V1.xls 2" xfId="55"/>
    <cellStyle name="Currency 2" xfId="56"/>
  </cellStyles>
  <tableStyles count="0" defaultTableStyle="TableStyleMedium2" defaultPivotStyle="PivotStyleMedium9"/>
  <colors>
    <mruColors>
      <color rgb="00CCC698"/>
      <color rgb="00F7B2EF"/>
      <color rgb="00F8E9FF"/>
      <color rgb="00CCC0DA"/>
      <color rgb="00F9C0F3"/>
      <color rgb="00FACDF5"/>
      <color rgb="0076F8CF"/>
      <color rgb="00D883FF"/>
      <color rgb="00FF0000"/>
      <color rgb="00FF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9" Type="http://www.wps.cn/officeDocument/2023/relationships/customStorage" Target="customStorage/customStorage.xml"/><Relationship Id="rId18" Type="http://schemas.openxmlformats.org/officeDocument/2006/relationships/styles" Target="styles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externalLink" Target="externalLinks/externalLink2.xml"/><Relationship Id="rId13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ustomStorage/customStorage.xml><?xml version="1.0" encoding="utf-8"?>
<customStorage xmlns="https://web.wps.cn/et/2018/main">
  <book/>
  <sheets/>
</customStorage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2" name="直接连接符 1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47</xdr:row>
      <xdr:rowOff>0</xdr:rowOff>
    </xdr:from>
    <xdr:to>
      <xdr:col>20</xdr:col>
      <xdr:colOff>9525</xdr:colOff>
      <xdr:row>47</xdr:row>
      <xdr:rowOff>259715</xdr:rowOff>
    </xdr:to>
    <xdr:cxnSp>
      <xdr:nvCxnSpPr>
        <xdr:cNvPr id="3" name="直接连接符 2"/>
        <xdr:cNvCxnSpPr/>
      </xdr:nvCxnSpPr>
      <xdr:spPr>
        <a:xfrm>
          <a:off x="20793075" y="14601825"/>
          <a:ext cx="3714750" cy="259715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4" name="直接连接符 3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5" name="直接连接符 4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6" name="直接连接符 5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7" name="直接连接符 6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8" name="直接连接符 7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9" name="直接连接符 8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0" name="直接连接符 9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1" name="直接连接符 10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2" name="直接连接符 11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3" name="直接连接符 12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4" name="直接连接符 13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5" name="直接连接符 14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6" name="直接连接符 15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7" name="直接连接符 16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20955</xdr:colOff>
      <xdr:row>47</xdr:row>
      <xdr:rowOff>0</xdr:rowOff>
    </xdr:from>
    <xdr:to>
      <xdr:col>17</xdr:col>
      <xdr:colOff>9525</xdr:colOff>
      <xdr:row>47</xdr:row>
      <xdr:rowOff>271780</xdr:rowOff>
    </xdr:to>
    <xdr:cxnSp>
      <xdr:nvCxnSpPr>
        <xdr:cNvPr id="18" name="直接连接符 17"/>
        <xdr:cNvCxnSpPr/>
      </xdr:nvCxnSpPr>
      <xdr:spPr>
        <a:xfrm>
          <a:off x="14321790" y="14601825"/>
          <a:ext cx="9525" cy="27178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_08_rest_of_year\061107%20MSU%20Data%20Capture%20(READ%20ONLY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8.218\_08_rest_of_year\061107%20MSU%20Data%20Capture%20(READ%20ONLY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Status Sum By Cust"/>
      <sheetName val="Status Summary"/>
      <sheetName val="DPMO_by_Milestone"/>
      <sheetName val="Gant Chart"/>
      <sheetName val="Data Capture"/>
      <sheetName val="Paretos(Cum)FailModes"/>
      <sheetName val="DDDate"/>
      <sheetName val="DDProgName"/>
      <sheetName val="FM SDS"/>
      <sheetName val="FM Int Mgmt"/>
      <sheetName val="FM Diff"/>
      <sheetName val="FM GUI"/>
      <sheetName val="FM Config"/>
      <sheetName val="FM MediaRec"/>
      <sheetName val="FM ML"/>
      <sheetName val="FM DR"/>
      <sheetName val="FM PreATP"/>
      <sheetName val="FM ATP"/>
      <sheetName val="FM PostATP"/>
      <sheetName val="FM SOA"/>
      <sheetName val="FM OnHold"/>
      <sheetName val="FM SSCM"/>
      <sheetName val="FM CloseOut"/>
      <sheetName val="FM field"/>
      <sheetName val="CT Strat Matrix"/>
      <sheetName val="Fail times"/>
      <sheetName val="Help"/>
      <sheetName val="Rac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D45"/>
  <sheetViews>
    <sheetView workbookViewId="0">
      <selection activeCell="B15" sqref="B15"/>
    </sheetView>
  </sheetViews>
  <sheetFormatPr defaultColWidth="7.88333333333333" defaultRowHeight="28" customHeight="1" outlineLevelCol="3"/>
  <cols>
    <col min="1" max="1" width="7.88333333333333" style="121"/>
    <col min="2" max="2" width="64.75" style="488" customWidth="1"/>
    <col min="3" max="3" width="7.88333333333333" style="121"/>
    <col min="4" max="4" width="10" style="121" customWidth="1"/>
    <col min="5" max="16384" width="7.88333333333333" style="121"/>
  </cols>
  <sheetData>
    <row r="1" customHeight="1" spans="1:4">
      <c r="A1" s="142" t="s">
        <v>0</v>
      </c>
      <c r="B1" s="489" t="s">
        <v>1</v>
      </c>
      <c r="C1" s="142" t="s">
        <v>2</v>
      </c>
      <c r="D1" s="180" t="s">
        <v>3</v>
      </c>
    </row>
    <row r="2" customHeight="1" spans="1:4">
      <c r="A2" s="489" t="s">
        <v>4</v>
      </c>
      <c r="B2" s="490" t="s">
        <v>5</v>
      </c>
      <c r="C2" s="489" t="s">
        <v>6</v>
      </c>
      <c r="D2" s="489" t="s">
        <v>7</v>
      </c>
    </row>
    <row r="3" ht="38" customHeight="1" spans="1:4">
      <c r="A3" s="489" t="s">
        <v>8</v>
      </c>
      <c r="B3" s="490" t="s">
        <v>9</v>
      </c>
      <c r="C3" s="489" t="s">
        <v>6</v>
      </c>
      <c r="D3" s="489" t="s">
        <v>10</v>
      </c>
    </row>
    <row r="4" ht="30" customHeight="1" spans="1:4">
      <c r="A4" s="489" t="s">
        <v>11</v>
      </c>
      <c r="B4" s="490" t="s">
        <v>12</v>
      </c>
      <c r="C4" s="489" t="s">
        <v>6</v>
      </c>
      <c r="D4" s="489" t="s">
        <v>10</v>
      </c>
    </row>
    <row r="5" customHeight="1" spans="1:4">
      <c r="A5" s="489" t="s">
        <v>13</v>
      </c>
      <c r="B5" s="490" t="s">
        <v>14</v>
      </c>
      <c r="C5" s="489" t="s">
        <v>6</v>
      </c>
      <c r="D5" s="489" t="s">
        <v>15</v>
      </c>
    </row>
    <row r="6" ht="32" customHeight="1" spans="1:4">
      <c r="A6" s="489" t="s">
        <v>16</v>
      </c>
      <c r="B6" s="490" t="s">
        <v>17</v>
      </c>
      <c r="C6" s="489" t="s">
        <v>6</v>
      </c>
      <c r="D6" s="489" t="s">
        <v>18</v>
      </c>
    </row>
    <row r="7" customHeight="1" spans="1:4">
      <c r="A7" s="489" t="s">
        <v>19</v>
      </c>
      <c r="B7" s="490" t="s">
        <v>20</v>
      </c>
      <c r="C7" s="489" t="s">
        <v>6</v>
      </c>
      <c r="D7" s="489" t="s">
        <v>21</v>
      </c>
    </row>
    <row r="8" customHeight="1" spans="1:4">
      <c r="A8" s="489" t="s">
        <v>22</v>
      </c>
      <c r="B8" s="490" t="s">
        <v>23</v>
      </c>
      <c r="C8" s="489" t="s">
        <v>6</v>
      </c>
      <c r="D8" s="489" t="s">
        <v>24</v>
      </c>
    </row>
    <row r="9" customHeight="1" spans="1:4">
      <c r="A9" s="489" t="s">
        <v>25</v>
      </c>
      <c r="B9" s="490" t="s">
        <v>26</v>
      </c>
      <c r="C9" s="489" t="s">
        <v>6</v>
      </c>
      <c r="D9" s="489" t="s">
        <v>27</v>
      </c>
    </row>
    <row r="10" customHeight="1" spans="1:4">
      <c r="A10" s="489" t="s">
        <v>28</v>
      </c>
      <c r="B10" s="490" t="s">
        <v>29</v>
      </c>
      <c r="C10" s="489" t="s">
        <v>6</v>
      </c>
      <c r="D10" s="489" t="s">
        <v>30</v>
      </c>
    </row>
    <row r="11" customHeight="1" spans="1:4">
      <c r="A11" s="489" t="s">
        <v>31</v>
      </c>
      <c r="B11" s="490" t="s">
        <v>32</v>
      </c>
      <c r="C11" s="489" t="s">
        <v>6</v>
      </c>
      <c r="D11" s="489" t="s">
        <v>30</v>
      </c>
    </row>
    <row r="12" customHeight="1" spans="1:4">
      <c r="A12" s="489" t="s">
        <v>33</v>
      </c>
      <c r="B12" s="490" t="s">
        <v>34</v>
      </c>
      <c r="C12" s="489" t="s">
        <v>6</v>
      </c>
      <c r="D12" s="489" t="s">
        <v>35</v>
      </c>
    </row>
    <row r="13" customHeight="1" spans="1:4">
      <c r="A13" s="489" t="s">
        <v>36</v>
      </c>
      <c r="B13" s="490" t="s">
        <v>37</v>
      </c>
      <c r="C13" s="489" t="s">
        <v>6</v>
      </c>
      <c r="D13" s="489" t="s">
        <v>35</v>
      </c>
    </row>
    <row r="14" customHeight="1" spans="1:4">
      <c r="A14" s="489" t="s">
        <v>38</v>
      </c>
      <c r="B14" s="490" t="s">
        <v>39</v>
      </c>
      <c r="C14" s="489" t="s">
        <v>6</v>
      </c>
      <c r="D14" s="489" t="s">
        <v>40</v>
      </c>
    </row>
    <row r="15" customHeight="1" spans="1:4">
      <c r="A15" s="489" t="s">
        <v>41</v>
      </c>
      <c r="B15" s="490"/>
      <c r="C15" s="489"/>
      <c r="D15" s="489"/>
    </row>
    <row r="16" customHeight="1" spans="1:4">
      <c r="A16" s="489" t="s">
        <v>42</v>
      </c>
      <c r="B16" s="490"/>
      <c r="C16" s="489"/>
      <c r="D16" s="489"/>
    </row>
    <row r="17" customHeight="1" spans="1:4">
      <c r="A17" s="489" t="s">
        <v>43</v>
      </c>
      <c r="B17" s="490"/>
      <c r="C17" s="489"/>
      <c r="D17" s="489"/>
    </row>
    <row r="18" customHeight="1" spans="1:4">
      <c r="A18" s="489" t="s">
        <v>44</v>
      </c>
      <c r="B18" s="490"/>
      <c r="C18" s="489"/>
      <c r="D18" s="489"/>
    </row>
    <row r="19" customHeight="1" spans="1:4">
      <c r="A19" s="489" t="s">
        <v>45</v>
      </c>
      <c r="B19" s="490"/>
      <c r="C19" s="489"/>
      <c r="D19" s="489"/>
    </row>
    <row r="20" customHeight="1" spans="1:4">
      <c r="A20" s="489" t="s">
        <v>46</v>
      </c>
      <c r="B20" s="490"/>
      <c r="C20" s="489"/>
      <c r="D20" s="489"/>
    </row>
    <row r="21" customHeight="1" spans="1:4">
      <c r="A21" s="489" t="s">
        <v>47</v>
      </c>
      <c r="B21" s="491"/>
      <c r="C21" s="489"/>
      <c r="D21" s="489"/>
    </row>
    <row r="22" customHeight="1" spans="1:4">
      <c r="A22" s="489" t="s">
        <v>48</v>
      </c>
      <c r="B22" s="490"/>
      <c r="C22" s="489"/>
      <c r="D22" s="489"/>
    </row>
    <row r="23" customHeight="1" spans="1:4">
      <c r="A23" s="489" t="s">
        <v>49</v>
      </c>
      <c r="B23" s="491"/>
      <c r="C23" s="489"/>
      <c r="D23" s="489"/>
    </row>
    <row r="24" customHeight="1" spans="1:4">
      <c r="A24" s="489" t="s">
        <v>50</v>
      </c>
      <c r="B24" s="490"/>
      <c r="C24" s="489"/>
      <c r="D24" s="489"/>
    </row>
    <row r="25" customHeight="1" spans="1:4">
      <c r="A25" s="489" t="s">
        <v>51</v>
      </c>
      <c r="C25" s="489"/>
      <c r="D25" s="489"/>
    </row>
    <row r="26" customHeight="1" spans="1:4">
      <c r="A26" s="489" t="s">
        <v>52</v>
      </c>
      <c r="B26" s="491"/>
      <c r="C26" s="489"/>
      <c r="D26" s="489"/>
    </row>
    <row r="27" customHeight="1" spans="1:4">
      <c r="A27" s="489" t="s">
        <v>53</v>
      </c>
      <c r="B27" s="490"/>
      <c r="C27" s="492"/>
      <c r="D27" s="180"/>
    </row>
    <row r="28" customHeight="1" spans="1:4">
      <c r="A28" s="489" t="s">
        <v>54</v>
      </c>
      <c r="B28" s="490"/>
      <c r="C28" s="492"/>
      <c r="D28" s="180"/>
    </row>
    <row r="29" customHeight="1" spans="1:4">
      <c r="A29" s="489" t="s">
        <v>55</v>
      </c>
      <c r="B29" s="490"/>
      <c r="C29" s="492"/>
      <c r="D29" s="180"/>
    </row>
    <row r="30" customHeight="1" spans="1:4">
      <c r="A30" s="489" t="s">
        <v>56</v>
      </c>
      <c r="B30" s="491"/>
      <c r="C30" s="492"/>
      <c r="D30" s="180"/>
    </row>
    <row r="31" customHeight="1" spans="1:4">
      <c r="A31" s="489" t="s">
        <v>57</v>
      </c>
      <c r="B31" s="491"/>
      <c r="C31" s="492"/>
      <c r="D31" s="180"/>
    </row>
    <row r="32" customHeight="1" spans="1:4">
      <c r="A32" s="489" t="s">
        <v>58</v>
      </c>
      <c r="B32" s="491"/>
      <c r="C32" s="492"/>
      <c r="D32" s="180"/>
    </row>
    <row r="33" customHeight="1" spans="1:4">
      <c r="A33" s="489" t="s">
        <v>59</v>
      </c>
      <c r="B33" s="491"/>
      <c r="C33" s="492"/>
      <c r="D33" s="180"/>
    </row>
    <row r="34" customHeight="1" spans="1:4">
      <c r="A34" s="489" t="s">
        <v>60</v>
      </c>
      <c r="B34" s="491"/>
      <c r="C34" s="492"/>
      <c r="D34" s="180"/>
    </row>
    <row r="35" customHeight="1" spans="1:4">
      <c r="A35" s="489" t="s">
        <v>61</v>
      </c>
      <c r="B35" s="491"/>
      <c r="C35" s="492"/>
      <c r="D35" s="180"/>
    </row>
    <row r="36" customHeight="1" spans="1:4">
      <c r="A36" s="489" t="s">
        <v>62</v>
      </c>
      <c r="B36" s="491"/>
      <c r="C36" s="492"/>
      <c r="D36" s="180"/>
    </row>
    <row r="37" customHeight="1" spans="1:4">
      <c r="A37" s="489" t="s">
        <v>63</v>
      </c>
      <c r="B37" s="491"/>
      <c r="C37" s="492"/>
      <c r="D37" s="142"/>
    </row>
    <row r="38" customHeight="1" spans="1:4">
      <c r="A38" s="489" t="s">
        <v>64</v>
      </c>
      <c r="B38" s="491"/>
      <c r="C38" s="492"/>
      <c r="D38" s="142"/>
    </row>
    <row r="39" customHeight="1" spans="1:4">
      <c r="A39" s="489" t="s">
        <v>65</v>
      </c>
      <c r="B39" s="491"/>
      <c r="C39" s="492"/>
      <c r="D39" s="142"/>
    </row>
    <row r="40" customHeight="1" spans="1:4">
      <c r="A40" s="489" t="s">
        <v>66</v>
      </c>
      <c r="B40" s="491"/>
      <c r="C40" s="492"/>
      <c r="D40" s="142"/>
    </row>
    <row r="41" customHeight="1" spans="1:4">
      <c r="A41" s="489" t="s">
        <v>67</v>
      </c>
      <c r="B41" s="491"/>
      <c r="C41" s="492"/>
      <c r="D41" s="142"/>
    </row>
    <row r="42" customHeight="1" spans="1:4">
      <c r="A42" s="489" t="s">
        <v>68</v>
      </c>
      <c r="B42" s="489"/>
      <c r="C42" s="142"/>
      <c r="D42" s="142"/>
    </row>
    <row r="43" customHeight="1" spans="1:4">
      <c r="A43" s="489" t="s">
        <v>69</v>
      </c>
      <c r="B43" s="489"/>
      <c r="C43" s="142"/>
      <c r="D43" s="142"/>
    </row>
    <row r="44" customHeight="1" spans="1:4">
      <c r="A44" s="489" t="s">
        <v>70</v>
      </c>
      <c r="B44" s="489"/>
      <c r="C44" s="142"/>
      <c r="D44" s="142"/>
    </row>
    <row r="45" customHeight="1" spans="1:4">
      <c r="A45" s="489" t="s">
        <v>71</v>
      </c>
      <c r="B45" s="489"/>
      <c r="C45" s="142"/>
      <c r="D45" s="142"/>
    </row>
  </sheetData>
  <pageMargins left="0.699305555555556" right="0.699305555555556" top="0.75" bottom="0.75" header="0.3" footer="0.3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M49"/>
  <sheetViews>
    <sheetView zoomScale="90" zoomScaleNormal="90" workbookViewId="0">
      <pane xSplit="7" ySplit="4" topLeftCell="Y5" activePane="bottomRight" state="frozen"/>
      <selection/>
      <selection pane="topRight"/>
      <selection pane="bottomLeft"/>
      <selection pane="bottomRight" activeCell="G11" sqref="G11"/>
    </sheetView>
  </sheetViews>
  <sheetFormatPr defaultColWidth="8" defaultRowHeight="12.75"/>
  <cols>
    <col min="1" max="1" width="3.25833333333333" style="2" customWidth="1"/>
    <col min="2" max="2" width="7.63333333333333" style="414" customWidth="1"/>
    <col min="3" max="3" width="6.14166666666667" style="2" customWidth="1"/>
    <col min="4" max="4" width="4.41666666666667" style="3" customWidth="1"/>
    <col min="5" max="5" width="3.25833333333333" style="3" customWidth="1"/>
    <col min="6" max="6" width="30.5833333333333" style="4" customWidth="1"/>
    <col min="7" max="7" width="38.9666666666667" style="3" customWidth="1"/>
    <col min="8" max="8" width="29.525" style="3" customWidth="1"/>
    <col min="9" max="10" width="5.15" style="3" customWidth="1"/>
    <col min="11" max="11" width="5.30833333333333" style="3" hidden="1" customWidth="1"/>
    <col min="12" max="13" width="4.83333333333333" style="3" customWidth="1"/>
    <col min="14" max="14" width="22.6416666666667" style="3" customWidth="1"/>
    <col min="15" max="15" width="21.8833333333333" style="3" hidden="1" customWidth="1"/>
    <col min="16" max="16" width="21.5583333333333" style="3" customWidth="1"/>
    <col min="17" max="17" width="20.9416666666667" style="3" hidden="1" customWidth="1"/>
    <col min="18" max="18" width="43.1916666666667" style="5" customWidth="1"/>
    <col min="19" max="19" width="41.6083333333333" style="5" customWidth="1"/>
    <col min="20" max="20" width="48.75" style="5" customWidth="1"/>
    <col min="21" max="21" width="11.8583333333333" style="5" customWidth="1"/>
    <col min="22" max="22" width="4.99166666666667" style="3" customWidth="1"/>
    <col min="23" max="23" width="5.63333333333333" style="3" customWidth="1"/>
    <col min="24" max="24" width="12.35" style="415" customWidth="1"/>
    <col min="25" max="26" width="8.75833333333333" style="3" customWidth="1"/>
    <col min="27" max="27" width="4.88333333333333" style="3" customWidth="1"/>
    <col min="28" max="30" width="4.88333333333333" style="6" customWidth="1"/>
    <col min="31" max="32" width="4.88333333333333" style="3" customWidth="1"/>
    <col min="33" max="33" width="8.63333333333333" style="3" customWidth="1"/>
    <col min="34" max="34" width="10.5083333333333" style="416" customWidth="1"/>
    <col min="35" max="35" width="10.1416666666667" style="3" customWidth="1"/>
    <col min="36" max="36" width="6.50833333333333" style="415" customWidth="1"/>
    <col min="37" max="37" width="6.50833333333333" style="215" customWidth="1"/>
    <col min="38" max="38" width="11.3833333333333" style="215" customWidth="1"/>
    <col min="39" max="39" width="7.65833333333333" style="8" customWidth="1"/>
    <col min="40" max="16384" width="8" style="2"/>
  </cols>
  <sheetData>
    <row r="1" ht="13.5" spans="1:13">
      <c r="A1" s="417"/>
      <c r="B1" s="418"/>
      <c r="C1" s="417"/>
      <c r="D1" s="419"/>
      <c r="E1" s="419"/>
      <c r="F1" s="12"/>
      <c r="G1" s="12"/>
      <c r="H1" s="12"/>
      <c r="I1" s="12"/>
      <c r="J1" s="12"/>
      <c r="K1" s="12"/>
      <c r="L1" s="12"/>
      <c r="M1" s="12"/>
    </row>
    <row r="2" ht="18.95" customHeight="1" spans="1:39">
      <c r="A2" s="420"/>
      <c r="B2" s="421"/>
      <c r="C2" s="422"/>
      <c r="D2" s="422"/>
      <c r="E2" s="422"/>
      <c r="F2" s="423" t="s">
        <v>72</v>
      </c>
      <c r="G2" s="197"/>
      <c r="H2" s="250"/>
      <c r="I2" s="443" t="s">
        <v>73</v>
      </c>
      <c r="J2" s="443"/>
      <c r="K2" s="443"/>
      <c r="L2" s="15" t="s">
        <v>74</v>
      </c>
      <c r="M2" s="36"/>
      <c r="N2" s="322" t="s">
        <v>75</v>
      </c>
      <c r="O2" s="323"/>
      <c r="P2" s="366" t="s">
        <v>76</v>
      </c>
      <c r="Q2" s="377"/>
      <c r="R2" s="452" t="s">
        <v>77</v>
      </c>
      <c r="S2" s="453"/>
      <c r="T2" s="454" t="s">
        <v>78</v>
      </c>
      <c r="U2" s="455" t="s">
        <v>79</v>
      </c>
      <c r="V2" s="456"/>
      <c r="W2" s="456"/>
      <c r="X2" s="457"/>
      <c r="Y2" s="456"/>
      <c r="Z2" s="473"/>
      <c r="AA2" s="14" t="s">
        <v>80</v>
      </c>
      <c r="AB2" s="14"/>
      <c r="AC2" s="14"/>
      <c r="AD2" s="14"/>
      <c r="AE2" s="474"/>
      <c r="AF2" s="474"/>
      <c r="AG2" s="55"/>
      <c r="AH2" s="65" t="s">
        <v>81</v>
      </c>
      <c r="AI2" s="65"/>
      <c r="AJ2" s="264" t="s">
        <v>82</v>
      </c>
      <c r="AK2" s="329"/>
      <c r="AL2" s="479" t="s">
        <v>83</v>
      </c>
      <c r="AM2" s="480" t="s">
        <v>84</v>
      </c>
    </row>
    <row r="3" ht="18" customHeight="1" spans="1:39">
      <c r="A3" s="424" t="s">
        <v>85</v>
      </c>
      <c r="B3" s="425" t="s">
        <v>86</v>
      </c>
      <c r="C3" s="426" t="s">
        <v>87</v>
      </c>
      <c r="D3" s="426" t="s">
        <v>88</v>
      </c>
      <c r="E3" s="426" t="s">
        <v>89</v>
      </c>
      <c r="F3" s="426" t="s">
        <v>90</v>
      </c>
      <c r="G3" s="426" t="s">
        <v>91</v>
      </c>
      <c r="H3" s="426" t="s">
        <v>92</v>
      </c>
      <c r="I3" s="21" t="s">
        <v>93</v>
      </c>
      <c r="J3" s="21" t="s">
        <v>94</v>
      </c>
      <c r="K3" s="21" t="s">
        <v>95</v>
      </c>
      <c r="L3" s="41" t="s">
        <v>96</v>
      </c>
      <c r="M3" s="41" t="s">
        <v>97</v>
      </c>
      <c r="N3" s="199" t="s">
        <v>98</v>
      </c>
      <c r="O3" s="199" t="s">
        <v>99</v>
      </c>
      <c r="P3" s="444" t="s">
        <v>98</v>
      </c>
      <c r="Q3" s="444" t="s">
        <v>99</v>
      </c>
      <c r="R3" s="458" t="s">
        <v>100</v>
      </c>
      <c r="S3" s="44" t="s">
        <v>101</v>
      </c>
      <c r="T3" s="459" t="s">
        <v>102</v>
      </c>
      <c r="U3" s="24" t="s">
        <v>103</v>
      </c>
      <c r="V3" s="24" t="s">
        <v>104</v>
      </c>
      <c r="W3" s="69" t="s">
        <v>105</v>
      </c>
      <c r="X3" s="272" t="s">
        <v>106</v>
      </c>
      <c r="Y3" s="26" t="s">
        <v>107</v>
      </c>
      <c r="Z3" s="24" t="s">
        <v>108</v>
      </c>
      <c r="AA3" s="24" t="s">
        <v>109</v>
      </c>
      <c r="AB3" s="24" t="s">
        <v>110</v>
      </c>
      <c r="AC3" s="24" t="s">
        <v>111</v>
      </c>
      <c r="AD3" s="24" t="s">
        <v>112</v>
      </c>
      <c r="AE3" s="475" t="s">
        <v>113</v>
      </c>
      <c r="AF3" s="475" t="s">
        <v>114</v>
      </c>
      <c r="AG3" s="24" t="s">
        <v>115</v>
      </c>
      <c r="AH3" s="481" t="s">
        <v>116</v>
      </c>
      <c r="AI3" s="69" t="s">
        <v>117</v>
      </c>
      <c r="AJ3" s="482" t="s">
        <v>118</v>
      </c>
      <c r="AK3" s="483" t="s">
        <v>119</v>
      </c>
      <c r="AL3" s="484"/>
      <c r="AM3" s="56" t="s">
        <v>84</v>
      </c>
    </row>
    <row r="4" ht="106" customHeight="1" spans="1:39">
      <c r="A4" s="427"/>
      <c r="B4" s="428"/>
      <c r="C4" s="429"/>
      <c r="D4" s="430"/>
      <c r="E4" s="429"/>
      <c r="F4" s="429"/>
      <c r="G4" s="429"/>
      <c r="H4" s="429"/>
      <c r="I4" s="242"/>
      <c r="J4" s="242"/>
      <c r="K4" s="242"/>
      <c r="L4" s="251"/>
      <c r="M4" s="251"/>
      <c r="N4" s="324"/>
      <c r="O4" s="324"/>
      <c r="P4" s="445"/>
      <c r="Q4" s="445"/>
      <c r="R4" s="460"/>
      <c r="S4" s="461"/>
      <c r="T4" s="462"/>
      <c r="U4" s="115"/>
      <c r="V4" s="115"/>
      <c r="W4" s="113"/>
      <c r="X4" s="117"/>
      <c r="Y4" s="476"/>
      <c r="Z4" s="115"/>
      <c r="AA4" s="115"/>
      <c r="AB4" s="115"/>
      <c r="AC4" s="115"/>
      <c r="AD4" s="115"/>
      <c r="AE4" s="477"/>
      <c r="AF4" s="477"/>
      <c r="AG4" s="115"/>
      <c r="AH4" s="481"/>
      <c r="AI4" s="113"/>
      <c r="AJ4" s="267"/>
      <c r="AK4" s="331"/>
      <c r="AL4" s="485"/>
      <c r="AM4" s="56"/>
    </row>
    <row r="5" s="413" customFormat="1" ht="23.1" customHeight="1" spans="1:39">
      <c r="A5" s="156">
        <v>1</v>
      </c>
      <c r="B5" s="277"/>
      <c r="C5" s="351" t="s">
        <v>120</v>
      </c>
      <c r="D5" s="431" t="s">
        <v>121</v>
      </c>
      <c r="E5" s="432">
        <v>1</v>
      </c>
      <c r="F5" s="433" t="s">
        <v>122</v>
      </c>
      <c r="G5" s="434" t="s">
        <v>123</v>
      </c>
      <c r="H5" s="434" t="str">
        <f>G5&amp;" (T)"</f>
        <v>Legends of The Condor Heroes: The Gallants (T)</v>
      </c>
      <c r="I5" s="446" t="s">
        <v>124</v>
      </c>
      <c r="J5" s="446" t="s">
        <v>124</v>
      </c>
      <c r="K5" s="446"/>
      <c r="L5" s="446" t="s">
        <v>124</v>
      </c>
      <c r="M5" s="446" t="s">
        <v>124</v>
      </c>
      <c r="N5" s="447" t="s">
        <v>125</v>
      </c>
      <c r="O5" s="448"/>
      <c r="P5" s="449" t="s">
        <v>126</v>
      </c>
      <c r="Q5" s="463"/>
      <c r="R5" s="243" t="str">
        <f>CONCATENATE(RemovePunctuation(G5),"_","i4K","_","CA_",C5,"_",AK5,"_",PROPER(AA5),IF(AB5="",PROPER(AA5),PROPER(AB5)),PROPER(AC5),PROPER(AD5),PROPER(AE5),IF(AE5&lt;&gt;"","SUB",""),PROPER(AF5),IF(AF5&lt;&gt;"","SUB",""),"_","Ed","_","M1",".mpg")</f>
        <v>LegendsofTheCondorHeroesTheGallants_i4K_CA_0825_43_ZhoZhoEngSUBZhoSUB_Ed_M1.mpg</v>
      </c>
      <c r="S5" s="243" t="str">
        <f>CONCATENATE(RemovePunctuation(G5),"_","i5K","_","CA_",C5,"_",AJ5,"_",PROPER(AA5),IF(AB5="",PROPER(AA5),PROPER(AB5)),PROPER(AC5),PROPER(AD5),PROPER(AE5),IF(AE5&lt;&gt;"","SUB",""),PROPER(AF5),IF(AF5&lt;&gt;"","SUB",""),"_","Ed","_","M4",".mpg")</f>
        <v>LegendsofTheCondorHeroesTheGallants_i5K_CA_0825_169_ZhoZhoEngSUBZhoSUB_Ed_M4.mpg</v>
      </c>
      <c r="T5" s="464" t="str">
        <f>CONCATENATE(RemovePunctuation(G5),"TR","_CA","_",C5,"_",AJ5,"_",PROPER(AA5),PROPER(AA5),"_","Ed","_","M2",".mpg")</f>
        <v>LegendsofTheCondorHeroesTheGallantsTR_CA_0825_169_ZhoZho_Ed_M2.mpg</v>
      </c>
      <c r="U5" s="465" t="s">
        <v>127</v>
      </c>
      <c r="V5" s="466"/>
      <c r="W5" s="467" t="s">
        <v>128</v>
      </c>
      <c r="X5" s="468">
        <v>2025</v>
      </c>
      <c r="Y5" s="383" t="s">
        <v>129</v>
      </c>
      <c r="Z5" s="383" t="s">
        <v>129</v>
      </c>
      <c r="AA5" s="383" t="s">
        <v>130</v>
      </c>
      <c r="AB5" s="383"/>
      <c r="AC5" s="383"/>
      <c r="AD5" s="383"/>
      <c r="AE5" s="383" t="s">
        <v>131</v>
      </c>
      <c r="AF5" s="383" t="s">
        <v>130</v>
      </c>
      <c r="AG5" s="118">
        <f>ROUNDUP(HOUR(AH5)*60+MINUTE(AH5)+SECOND(AH5)/60,0)</f>
        <v>147</v>
      </c>
      <c r="AH5" s="399">
        <v>0.10181712962963</v>
      </c>
      <c r="AI5" s="120">
        <f>AG5*60</f>
        <v>8820</v>
      </c>
      <c r="AJ5" s="270">
        <v>169</v>
      </c>
      <c r="AK5" s="270">
        <v>43</v>
      </c>
      <c r="AL5" s="486">
        <v>0.00100694444444444</v>
      </c>
      <c r="AM5" s="487" t="s">
        <v>132</v>
      </c>
    </row>
    <row r="6" s="413" customFormat="1" ht="23.1" customHeight="1" spans="1:39">
      <c r="A6" s="156">
        <v>2</v>
      </c>
      <c r="B6" s="277"/>
      <c r="C6" s="351" t="s">
        <v>120</v>
      </c>
      <c r="D6" s="431"/>
      <c r="E6" s="432">
        <v>2</v>
      </c>
      <c r="F6" s="433" t="s">
        <v>133</v>
      </c>
      <c r="G6" s="434" t="s">
        <v>134</v>
      </c>
      <c r="H6" s="434" t="str">
        <f>G6&amp;" (T)"</f>
        <v>Stuntman (T)</v>
      </c>
      <c r="I6" s="446" t="s">
        <v>124</v>
      </c>
      <c r="J6" s="446" t="s">
        <v>124</v>
      </c>
      <c r="K6" s="446" t="s">
        <v>124</v>
      </c>
      <c r="L6" s="446" t="s">
        <v>124</v>
      </c>
      <c r="M6" s="446" t="s">
        <v>124</v>
      </c>
      <c r="N6" s="447" t="s">
        <v>135</v>
      </c>
      <c r="O6" s="448" t="s">
        <v>136</v>
      </c>
      <c r="P6" s="449" t="s">
        <v>137</v>
      </c>
      <c r="Q6" s="463" t="s">
        <v>138</v>
      </c>
      <c r="R6" s="243" t="str">
        <f>CONCATENATE(RemovePunctuation(G6),"_","i4K","_","CA_",C6,"_",AK6,"_",PROPER(AA6),IF(AB6="",PROPER(AA6),PROPER(AB6)),PROPER(AC6),PROPER(AD6),PROPER(AE6),IF(AE6&lt;&gt;"","SUB",""),PROPER(AF6),IF(AF6&lt;&gt;"","SUB",""),"_","Ed","_","M1",".mpg")</f>
        <v>Stuntman_i4K_CA_0825_43_ZhoZhoEngSUBZhoSUB_Ed_M1.mpg</v>
      </c>
      <c r="S6" s="243" t="str">
        <f>CONCATENATE(RemovePunctuation(G6),"_","i5K","_","CA_",C6,"_",AJ6,"_",PROPER(AA6),IF(AB6="",PROPER(AA6),PROPER(AB6)),PROPER(AC6),PROPER(AD6),PROPER(AE6),IF(AE6&lt;&gt;"","SUB",""),PROPER(AF6),IF(AF6&lt;&gt;"","SUB",""),"_","Ed","_","M4",".mpg")</f>
        <v>Stuntman_i5K_CA_0825_169_ZhoZhoEngSUBZhoSUB_Ed_M4.mpg</v>
      </c>
      <c r="T6" s="464" t="str">
        <f>CONCATENATE(RemovePunctuation(G6),"TR","_CA","_",C6,"_",AJ6,"_",PROPER(AA6),PROPER(AA6),"_","Ed","_","M2",".mpg")</f>
        <v>StuntmanTR_CA_0825_169_ZhoZho_Ed_M2.mpg</v>
      </c>
      <c r="U6" s="465" t="s">
        <v>127</v>
      </c>
      <c r="V6" s="466"/>
      <c r="W6" s="467" t="s">
        <v>139</v>
      </c>
      <c r="X6" s="468">
        <v>2025</v>
      </c>
      <c r="Y6" s="383" t="s">
        <v>129</v>
      </c>
      <c r="Z6" s="383" t="s">
        <v>129</v>
      </c>
      <c r="AA6" s="383" t="s">
        <v>130</v>
      </c>
      <c r="AB6" s="383"/>
      <c r="AC6" s="383"/>
      <c r="AD6" s="383"/>
      <c r="AE6" s="383" t="s">
        <v>131</v>
      </c>
      <c r="AF6" s="383" t="s">
        <v>130</v>
      </c>
      <c r="AG6" s="118">
        <f>ROUNDUP(HOUR(AH6)*60+MINUTE(AH6)+SECOND(AH6)/60,0)</f>
        <v>114</v>
      </c>
      <c r="AH6" s="399">
        <v>0.0788194444444444</v>
      </c>
      <c r="AI6" s="120">
        <f>AG6*60</f>
        <v>6840</v>
      </c>
      <c r="AJ6" s="270">
        <v>169</v>
      </c>
      <c r="AK6" s="270">
        <v>43</v>
      </c>
      <c r="AL6" s="486">
        <v>0.00215277777777778</v>
      </c>
      <c r="AM6" s="487" t="s">
        <v>132</v>
      </c>
    </row>
    <row r="7" s="413" customFormat="1" ht="23.1" customHeight="1" spans="1:39">
      <c r="A7" s="156">
        <v>3</v>
      </c>
      <c r="B7" s="277"/>
      <c r="C7" s="351" t="s">
        <v>120</v>
      </c>
      <c r="D7" s="431"/>
      <c r="E7" s="432">
        <v>3</v>
      </c>
      <c r="F7" s="433" t="s">
        <v>140</v>
      </c>
      <c r="G7" s="434" t="s">
        <v>141</v>
      </c>
      <c r="H7" s="434" t="str">
        <f t="shared" ref="H7:H47" si="0">G7&amp;" (T)"</f>
        <v>Kung Fu Cult Master (T)</v>
      </c>
      <c r="I7" s="446" t="s">
        <v>124</v>
      </c>
      <c r="J7" s="446"/>
      <c r="K7" s="446"/>
      <c r="L7" s="446"/>
      <c r="M7" s="446"/>
      <c r="N7" s="447" t="s">
        <v>142</v>
      </c>
      <c r="O7" s="448"/>
      <c r="P7" s="449" t="s">
        <v>143</v>
      </c>
      <c r="Q7" s="463"/>
      <c r="R7" s="243"/>
      <c r="S7" s="243"/>
      <c r="T7" s="464"/>
      <c r="U7" s="465" t="s">
        <v>144</v>
      </c>
      <c r="V7" s="466"/>
      <c r="W7" s="467" t="s">
        <v>128</v>
      </c>
      <c r="X7" s="468">
        <v>1993</v>
      </c>
      <c r="Y7" s="383" t="s">
        <v>129</v>
      </c>
      <c r="Z7" s="383" t="s">
        <v>129</v>
      </c>
      <c r="AA7" s="383" t="s">
        <v>130</v>
      </c>
      <c r="AB7" s="383"/>
      <c r="AC7" s="383"/>
      <c r="AD7" s="383"/>
      <c r="AE7" s="383" t="s">
        <v>130</v>
      </c>
      <c r="AF7" s="383"/>
      <c r="AG7" s="118">
        <f t="shared" ref="AG7:AG49" si="1">ROUNDUP(HOUR(AH7)*60+MINUTE(AH7)+SECOND(AH7)/60,0)</f>
        <v>99</v>
      </c>
      <c r="AH7" s="399">
        <v>0.0684490740740741</v>
      </c>
      <c r="AI7" s="120">
        <f t="shared" ref="AI7:AI49" si="2">AG7*60</f>
        <v>5940</v>
      </c>
      <c r="AJ7" s="270">
        <v>169</v>
      </c>
      <c r="AK7" s="270">
        <v>43</v>
      </c>
      <c r="AL7" s="486">
        <v>0.00186342592592593</v>
      </c>
      <c r="AM7" s="487" t="s">
        <v>145</v>
      </c>
    </row>
    <row r="8" s="413" customFormat="1" ht="23.1" customHeight="1" spans="1:39">
      <c r="A8" s="156">
        <v>4</v>
      </c>
      <c r="B8" s="277"/>
      <c r="C8" s="351" t="s">
        <v>120</v>
      </c>
      <c r="D8" s="431"/>
      <c r="E8" s="432">
        <v>4</v>
      </c>
      <c r="F8" s="433" t="s">
        <v>146</v>
      </c>
      <c r="G8" s="434" t="s">
        <v>147</v>
      </c>
      <c r="H8" s="434" t="str">
        <f t="shared" si="0"/>
        <v>Dragon Chronicles: The Maidens of Heavenly Mountain (T)</v>
      </c>
      <c r="I8" s="446" t="s">
        <v>124</v>
      </c>
      <c r="J8" s="446" t="s">
        <v>124</v>
      </c>
      <c r="K8" s="446"/>
      <c r="L8" s="446" t="s">
        <v>124</v>
      </c>
      <c r="M8" s="446" t="s">
        <v>124</v>
      </c>
      <c r="N8" s="447" t="s">
        <v>148</v>
      </c>
      <c r="O8" s="448"/>
      <c r="P8" s="449" t="s">
        <v>149</v>
      </c>
      <c r="Q8" s="463"/>
      <c r="R8" s="243" t="str">
        <f>CONCATENATE(RemovePunctuation(G8),"_","i4K","_","CA_",C8,"_",AK8,"_",PROPER(AA8),IF(AB8="",PROPER(AA8),PROPER(AB8)),PROPER(AC8),PROPER(AD8),PROPER(AE8),IF(AE8&lt;&gt;"","SUB",""),PROPER(AF8),IF(AF8&lt;&gt;"","SUB",""),"_","Ed","_","M1",".mpg")</f>
        <v>DragonChroniclesTheMaidensofHeavenlyMountain_i4K_CA_0825_43_ZhoZhoZhoSUB_Ed_M1.mpg</v>
      </c>
      <c r="S8" s="243" t="str">
        <f>CONCATENATE(RemovePunctuation(G8),"_","i5K","_","CA_",C8,"_",AJ8,"_",PROPER(AA8),IF(AB8="",PROPER(AA8),PROPER(AB8)),PROPER(AC8),PROPER(AD8),PROPER(AE8),IF(AE8&lt;&gt;"","SUB",""),PROPER(AF8),IF(AF8&lt;&gt;"","SUB",""),"_","Ed","_","M4",".mpg")</f>
        <v>DragonChroniclesTheMaidensofHeavenlyMountain_i5K_CA_0825_169_ZhoZhoZhoSUB_Ed_M4.mpg</v>
      </c>
      <c r="T8" s="464" t="str">
        <f>CONCATENATE(RemovePunctuation(G8),"TR","_CA","_",C8,"_",AJ8,"_",PROPER(AA8),PROPER(AA8),"_","Ed","_","M2",".mpg")</f>
        <v>DragonChroniclesTheMaidensofHeavenlyMountainTR_CA_0825_169_ZhoZho_Ed_M2.mpg</v>
      </c>
      <c r="U8" s="465" t="s">
        <v>144</v>
      </c>
      <c r="V8" s="466"/>
      <c r="W8" s="467" t="s">
        <v>128</v>
      </c>
      <c r="X8" s="468">
        <v>1994</v>
      </c>
      <c r="Y8" s="383" t="s">
        <v>129</v>
      </c>
      <c r="Z8" s="383" t="s">
        <v>129</v>
      </c>
      <c r="AA8" s="383" t="s">
        <v>130</v>
      </c>
      <c r="AB8" s="383"/>
      <c r="AC8" s="383"/>
      <c r="AD8" s="383"/>
      <c r="AE8" s="383" t="s">
        <v>130</v>
      </c>
      <c r="AF8" s="383"/>
      <c r="AG8" s="118">
        <f t="shared" si="1"/>
        <v>93</v>
      </c>
      <c r="AH8" s="399">
        <v>0.0645138888888889</v>
      </c>
      <c r="AI8" s="120">
        <f t="shared" si="2"/>
        <v>5580</v>
      </c>
      <c r="AJ8" s="270">
        <v>169</v>
      </c>
      <c r="AK8" s="270">
        <v>43</v>
      </c>
      <c r="AL8" s="486">
        <v>0.00118055555555556</v>
      </c>
      <c r="AM8" s="487" t="s">
        <v>145</v>
      </c>
    </row>
    <row r="9" s="413" customFormat="1" ht="23.1" customHeight="1" spans="1:39">
      <c r="A9" s="156">
        <v>5</v>
      </c>
      <c r="B9" s="277"/>
      <c r="C9" s="351" t="s">
        <v>120</v>
      </c>
      <c r="D9" s="431"/>
      <c r="E9" s="432">
        <v>5</v>
      </c>
      <c r="F9" s="433" t="s">
        <v>150</v>
      </c>
      <c r="G9" s="435" t="s">
        <v>151</v>
      </c>
      <c r="H9" s="434" t="str">
        <f t="shared" si="0"/>
        <v>The Tai-Chi Master (T)</v>
      </c>
      <c r="I9" s="446" t="s">
        <v>124</v>
      </c>
      <c r="J9" s="446"/>
      <c r="K9" s="446"/>
      <c r="L9" s="446"/>
      <c r="M9" s="446"/>
      <c r="N9" s="447" t="s">
        <v>152</v>
      </c>
      <c r="O9" s="448"/>
      <c r="P9" s="449" t="s">
        <v>153</v>
      </c>
      <c r="Q9" s="463"/>
      <c r="R9" s="243"/>
      <c r="S9" s="243"/>
      <c r="T9" s="464"/>
      <c r="U9" s="465" t="s">
        <v>144</v>
      </c>
      <c r="V9" s="466"/>
      <c r="W9" s="467" t="s">
        <v>128</v>
      </c>
      <c r="X9" s="468">
        <v>1993</v>
      </c>
      <c r="Y9" s="383" t="s">
        <v>129</v>
      </c>
      <c r="Z9" s="383" t="s">
        <v>129</v>
      </c>
      <c r="AA9" s="383" t="s">
        <v>130</v>
      </c>
      <c r="AB9" s="383"/>
      <c r="AC9" s="383"/>
      <c r="AD9" s="383"/>
      <c r="AE9" s="383" t="s">
        <v>130</v>
      </c>
      <c r="AF9" s="383"/>
      <c r="AG9" s="118">
        <f t="shared" si="1"/>
        <v>95</v>
      </c>
      <c r="AH9" s="399">
        <v>0.065787037037037</v>
      </c>
      <c r="AI9" s="120">
        <f t="shared" si="2"/>
        <v>5700</v>
      </c>
      <c r="AJ9" s="270">
        <v>169</v>
      </c>
      <c r="AK9" s="270">
        <v>43</v>
      </c>
      <c r="AL9" s="486">
        <v>0.000983796296296296</v>
      </c>
      <c r="AM9" s="487" t="s">
        <v>145</v>
      </c>
    </row>
    <row r="10" s="413" customFormat="1" ht="23.1" customHeight="1" spans="1:39">
      <c r="A10" s="156">
        <v>6</v>
      </c>
      <c r="B10" s="277"/>
      <c r="C10" s="351" t="s">
        <v>120</v>
      </c>
      <c r="D10" s="431"/>
      <c r="E10" s="432">
        <v>6</v>
      </c>
      <c r="F10" s="433" t="s">
        <v>154</v>
      </c>
      <c r="G10" s="434" t="s">
        <v>155</v>
      </c>
      <c r="H10" s="434" t="str">
        <f t="shared" si="0"/>
        <v>Cliff Walkers (T)</v>
      </c>
      <c r="I10" s="446" t="s">
        <v>124</v>
      </c>
      <c r="J10" s="446" t="s">
        <v>124</v>
      </c>
      <c r="K10" s="446"/>
      <c r="L10" s="446" t="s">
        <v>124</v>
      </c>
      <c r="M10" s="446" t="s">
        <v>124</v>
      </c>
      <c r="N10" s="447" t="s">
        <v>156</v>
      </c>
      <c r="O10" s="448"/>
      <c r="P10" s="449" t="s">
        <v>157</v>
      </c>
      <c r="Q10" s="463"/>
      <c r="R10" s="243" t="str">
        <f>CONCATENATE(RemovePunctuation(G10),"_","i4K","_","CA_",C10,"_",AK10,"_",PROPER(AA10),IF(AB10="",PROPER(AA10),PROPER(AB10)),PROPER(AC10),PROPER(AD10),PROPER(AE10),IF(AE10&lt;&gt;"","SUB",""),PROPER(AF10),IF(AF10&lt;&gt;"","SUB",""),"_","Ed","_","M1",".mpg")</f>
        <v>CliffWalkers_i4K_CA_0825_43_ZhoZhoEngSUBZhoSUB_Ed_M1.mpg</v>
      </c>
      <c r="S10" s="243" t="str">
        <f>CONCATENATE(RemovePunctuation(G10),"_","i5K","_","CA_",C10,"_",AJ10,"_",PROPER(AA10),IF(AB10="",PROPER(AA10),PROPER(AB10)),PROPER(AC10),PROPER(AD10),PROPER(AE10),IF(AE10&lt;&gt;"","SUB",""),PROPER(AF10),IF(AF10&lt;&gt;"","SUB",""),"_","Ed","_","M4",".mpg")</f>
        <v>CliffWalkers_i5K_CA_0825_169_ZhoZhoEngSUBZhoSUB_Ed_M4.mpg</v>
      </c>
      <c r="T10" s="464" t="str">
        <f>CONCATENATE(RemovePunctuation(G10),"TR","_CA","_",C10,"_",AJ10,"_",PROPER(AA10),PROPER(AA10),"_","Ed","_","M2",".mpg")</f>
        <v>CliffWalkersTR_CA_0825_169_ZhoZho_Ed_M2.mpg</v>
      </c>
      <c r="U10" s="465" t="s">
        <v>144</v>
      </c>
      <c r="V10" s="466"/>
      <c r="W10" s="467" t="s">
        <v>139</v>
      </c>
      <c r="X10" s="468">
        <v>2021</v>
      </c>
      <c r="Y10" s="383" t="s">
        <v>129</v>
      </c>
      <c r="Z10" s="383" t="s">
        <v>129</v>
      </c>
      <c r="AA10" s="383" t="s">
        <v>130</v>
      </c>
      <c r="AB10" s="383"/>
      <c r="AC10" s="383"/>
      <c r="AD10" s="383"/>
      <c r="AE10" s="383" t="s">
        <v>131</v>
      </c>
      <c r="AF10" s="383" t="s">
        <v>130</v>
      </c>
      <c r="AG10" s="118">
        <f t="shared" si="1"/>
        <v>121</v>
      </c>
      <c r="AH10" s="399">
        <v>0.0835532407407407</v>
      </c>
      <c r="AI10" s="120">
        <f t="shared" si="2"/>
        <v>7260</v>
      </c>
      <c r="AJ10" s="270">
        <v>169</v>
      </c>
      <c r="AK10" s="270">
        <v>43</v>
      </c>
      <c r="AL10" s="486">
        <v>0.00113425925925926</v>
      </c>
      <c r="AM10" s="487" t="s">
        <v>145</v>
      </c>
    </row>
    <row r="11" s="413" customFormat="1" ht="23.1" customHeight="1" spans="1:39">
      <c r="A11" s="156">
        <v>7</v>
      </c>
      <c r="B11" s="277"/>
      <c r="C11" s="351" t="s">
        <v>120</v>
      </c>
      <c r="D11" s="431"/>
      <c r="E11" s="432">
        <v>7</v>
      </c>
      <c r="F11" s="433" t="s">
        <v>158</v>
      </c>
      <c r="G11" s="434" t="s">
        <v>159</v>
      </c>
      <c r="H11" s="434" t="str">
        <f t="shared" si="0"/>
        <v>Paradox (T)</v>
      </c>
      <c r="I11" s="446" t="s">
        <v>124</v>
      </c>
      <c r="J11" s="446" t="s">
        <v>124</v>
      </c>
      <c r="K11" s="446"/>
      <c r="L11" s="446" t="s">
        <v>124</v>
      </c>
      <c r="M11" s="446" t="s">
        <v>124</v>
      </c>
      <c r="N11" s="447" t="s">
        <v>160</v>
      </c>
      <c r="O11" s="448"/>
      <c r="P11" s="449" t="s">
        <v>161</v>
      </c>
      <c r="Q11" s="463"/>
      <c r="R11" s="243" t="str">
        <f>CONCATENATE(RemovePunctuation(G11),"_","i4K","_","CA_",C11,"_",AK11,"_",PROPER(AA11),IF(AB11="",PROPER(AA11),PROPER(AB11)),PROPER(AC11),PROPER(AD11),PROPER(AE11),IF(AE11&lt;&gt;"","SUB",""),PROPER(AF11),IF(AF11&lt;&gt;"","SUB",""),"_","Ed","_","M1",".mpg")</f>
        <v>Paradox_i4K_CA_0825_43_ZhoZhoZhoSUB_Ed_M1.mpg</v>
      </c>
      <c r="S11" s="243" t="str">
        <f>CONCATENATE(RemovePunctuation(G11),"_","i5K","_","CA_",C11,"_",AJ11,"_",PROPER(AA11),IF(AB11="",PROPER(AA11),PROPER(AB11)),PROPER(AC11),PROPER(AD11),PROPER(AE11),IF(AE11&lt;&gt;"","SUB",""),PROPER(AF11),IF(AF11&lt;&gt;"","SUB",""),"_","Ed","_","M4",".mpg")</f>
        <v>Paradox_i5K_CA_0825_169_ZhoZhoZhoSUB_Ed_M4.mpg</v>
      </c>
      <c r="T11" s="464" t="str">
        <f>CONCATENATE(RemovePunctuation(G11),"TR","_CA","_",C11,"_",AJ11,"_",PROPER(AA11),PROPER(AA11),"_","Ed","_","M2",".mpg")</f>
        <v>ParadoxTR_CA_0825_169_ZhoZho_Ed_M2.mpg</v>
      </c>
      <c r="U11" s="465" t="s">
        <v>144</v>
      </c>
      <c r="V11" s="466"/>
      <c r="W11" s="467" t="s">
        <v>139</v>
      </c>
      <c r="X11" s="468">
        <v>2017</v>
      </c>
      <c r="Y11" s="383" t="s">
        <v>129</v>
      </c>
      <c r="Z11" s="383" t="s">
        <v>129</v>
      </c>
      <c r="AA11" s="383" t="s">
        <v>130</v>
      </c>
      <c r="AB11" s="383"/>
      <c r="AC11" s="383"/>
      <c r="AD11" s="383"/>
      <c r="AE11" s="383" t="s">
        <v>130</v>
      </c>
      <c r="AF11" s="383"/>
      <c r="AG11" s="118">
        <f t="shared" si="1"/>
        <v>101</v>
      </c>
      <c r="AH11" s="399">
        <v>0.0698032407407407</v>
      </c>
      <c r="AI11" s="120">
        <f t="shared" si="2"/>
        <v>6060</v>
      </c>
      <c r="AJ11" s="270">
        <v>169</v>
      </c>
      <c r="AK11" s="270">
        <v>43</v>
      </c>
      <c r="AL11" s="486">
        <v>0.00157407407407407</v>
      </c>
      <c r="AM11" s="487" t="s">
        <v>145</v>
      </c>
    </row>
    <row r="12" s="413" customFormat="1" ht="23.1" customHeight="1" spans="1:39">
      <c r="A12" s="156">
        <v>8</v>
      </c>
      <c r="B12" s="277"/>
      <c r="C12" s="351" t="s">
        <v>120</v>
      </c>
      <c r="D12" s="431"/>
      <c r="E12" s="432">
        <v>8</v>
      </c>
      <c r="F12" s="433" t="s">
        <v>162</v>
      </c>
      <c r="G12" s="434" t="s">
        <v>163</v>
      </c>
      <c r="H12" s="434" t="str">
        <f t="shared" si="0"/>
        <v>The White Storm (T)</v>
      </c>
      <c r="I12" s="446" t="s">
        <v>124</v>
      </c>
      <c r="J12" s="446"/>
      <c r="K12" s="446" t="s">
        <v>124</v>
      </c>
      <c r="L12" s="446" t="s">
        <v>124</v>
      </c>
      <c r="M12" s="446" t="s">
        <v>124</v>
      </c>
      <c r="N12" s="447" t="s">
        <v>164</v>
      </c>
      <c r="O12" s="448" t="s">
        <v>165</v>
      </c>
      <c r="P12" s="449" t="s">
        <v>166</v>
      </c>
      <c r="Q12" s="463" t="s">
        <v>167</v>
      </c>
      <c r="R12" s="243" t="str">
        <f>CONCATENATE(RemovePunctuation(G12),"_","i4K","_","CA_",C12,"_",AK12,"_",PROPER(AA12),IF(AB12="",PROPER(AA12),PROPER(AB12)),PROPER(AC12),PROPER(AD12),PROPER(AE12),IF(AE12&lt;&gt;"","SUB",""),PROPER(AF12),IF(AF12&lt;&gt;"","SUB",""),"_","Ed","_","M1",".mpg")</f>
        <v>TheWhiteStorm_i4K_CA_0825_43_ZhoZhoEngSUBZhoSUB_Ed_M1.mpg</v>
      </c>
      <c r="S12" s="243" t="str">
        <f>CONCATENATE(RemovePunctuation(G12),"_","i5K","_","CA_",C12,"_",AJ12,"_",PROPER(AA12),IF(AB12="",PROPER(AA12),PROPER(AB12)),PROPER(AC12),PROPER(AD12),PROPER(AE12),IF(AE12&lt;&gt;"","SUB",""),PROPER(AF12),IF(AF12&lt;&gt;"","SUB",""),"_","Ed","_","M4",".mpg")</f>
        <v>TheWhiteStorm_i5K_CA_0825_169_ZhoZhoEngSUBZhoSUB_Ed_M4.mpg</v>
      </c>
      <c r="T12" s="464" t="str">
        <f>CONCATENATE(RemovePunctuation(G12),"TR","_CA","_",C12,"_",AJ12,"_",PROPER(AA12),PROPER(AA12),"_","Ed","_","M2",".mpg")</f>
        <v>TheWhiteStormTR_CA_0825_169_ZhoZho_Ed_M2.mpg</v>
      </c>
      <c r="U12" s="465" t="s">
        <v>144</v>
      </c>
      <c r="V12" s="466"/>
      <c r="W12" s="467" t="s">
        <v>139</v>
      </c>
      <c r="X12" s="468">
        <v>2013</v>
      </c>
      <c r="Y12" s="383" t="s">
        <v>129</v>
      </c>
      <c r="Z12" s="383" t="s">
        <v>129</v>
      </c>
      <c r="AA12" s="383" t="s">
        <v>130</v>
      </c>
      <c r="AB12" s="383"/>
      <c r="AC12" s="383"/>
      <c r="AD12" s="383"/>
      <c r="AE12" s="383" t="s">
        <v>131</v>
      </c>
      <c r="AF12" s="383" t="s">
        <v>130</v>
      </c>
      <c r="AG12" s="118">
        <f t="shared" si="1"/>
        <v>133</v>
      </c>
      <c r="AH12" s="399">
        <v>0.0916898148148148</v>
      </c>
      <c r="AI12" s="120">
        <f t="shared" si="2"/>
        <v>7980</v>
      </c>
      <c r="AJ12" s="270">
        <v>169</v>
      </c>
      <c r="AK12" s="270">
        <v>43</v>
      </c>
      <c r="AL12" s="486">
        <v>0.00168981481481481</v>
      </c>
      <c r="AM12" s="487" t="s">
        <v>145</v>
      </c>
    </row>
    <row r="13" s="413" customFormat="1" ht="23.1" customHeight="1" spans="1:39">
      <c r="A13" s="156">
        <v>9</v>
      </c>
      <c r="B13" s="277"/>
      <c r="C13" s="351" t="s">
        <v>120</v>
      </c>
      <c r="D13" s="436"/>
      <c r="E13" s="432">
        <v>9</v>
      </c>
      <c r="F13" s="433" t="s">
        <v>168</v>
      </c>
      <c r="G13" s="434" t="s">
        <v>169</v>
      </c>
      <c r="H13" s="434" t="str">
        <f t="shared" si="0"/>
        <v>Project Gutenberg (T)</v>
      </c>
      <c r="I13" s="446" t="s">
        <v>124</v>
      </c>
      <c r="J13" s="446" t="s">
        <v>124</v>
      </c>
      <c r="K13" s="446" t="s">
        <v>124</v>
      </c>
      <c r="L13" s="446" t="s">
        <v>124</v>
      </c>
      <c r="M13" s="446" t="s">
        <v>124</v>
      </c>
      <c r="N13" s="447" t="s">
        <v>170</v>
      </c>
      <c r="O13" s="448" t="s">
        <v>171</v>
      </c>
      <c r="P13" s="449" t="s">
        <v>172</v>
      </c>
      <c r="Q13" s="463" t="s">
        <v>173</v>
      </c>
      <c r="R13" s="243" t="str">
        <f>CONCATENATE(RemovePunctuation(G13),"_","i4K","_","CA_",C13,"_",AK13,"_",PROPER(AA13),IF(AB13="",PROPER(AA13),PROPER(AB13)),PROPER(AC13),PROPER(AD13),PROPER(AE13),IF(AE13&lt;&gt;"","SUB",""),PROPER(AF13),IF(AF13&lt;&gt;"","SUB",""),"_","Ed","_","M1",".mpg")</f>
        <v>ProjectGutenberg_i4K_CA_0825_43_ZhoZhoZhoSUB_Ed_M1.mpg</v>
      </c>
      <c r="S13" s="243" t="str">
        <f>CONCATENATE(RemovePunctuation(G13),"_","i5K","_","CA_",C13,"_",AJ13,"_",PROPER(AA13),IF(AB13="",PROPER(AA13),PROPER(AB13)),PROPER(AC13),PROPER(AD13),PROPER(AE13),IF(AE13&lt;&gt;"","SUB",""),PROPER(AF13),IF(AF13&lt;&gt;"","SUB",""),"_","Ed","_","M4",".mpg")</f>
        <v>ProjectGutenberg_i5K_CA_0825_169_ZhoZhoZhoSUB_Ed_M4.mpg</v>
      </c>
      <c r="T13" s="464" t="str">
        <f>CONCATENATE(RemovePunctuation(G13),"TR","_CA","_",C13,"_",AJ13,"_",PROPER(AA13),PROPER(AA13),"_","Ed","_","M2",".mpg")</f>
        <v>ProjectGutenbergTR_CA_0825_169_ZhoZho_Ed_M2.mpg</v>
      </c>
      <c r="U13" s="465" t="s">
        <v>144</v>
      </c>
      <c r="V13" s="466"/>
      <c r="W13" s="467" t="s">
        <v>139</v>
      </c>
      <c r="X13" s="468">
        <v>2018</v>
      </c>
      <c r="Y13" s="383" t="s">
        <v>129</v>
      </c>
      <c r="Z13" s="383" t="s">
        <v>129</v>
      </c>
      <c r="AA13" s="383" t="s">
        <v>130</v>
      </c>
      <c r="AB13" s="383"/>
      <c r="AC13" s="383"/>
      <c r="AD13" s="383"/>
      <c r="AE13" s="383" t="s">
        <v>130</v>
      </c>
      <c r="AF13" s="383"/>
      <c r="AG13" s="118">
        <f t="shared" si="1"/>
        <v>130</v>
      </c>
      <c r="AH13" s="399">
        <v>0.09</v>
      </c>
      <c r="AI13" s="120">
        <f t="shared" si="2"/>
        <v>7800</v>
      </c>
      <c r="AJ13" s="270">
        <v>169</v>
      </c>
      <c r="AK13" s="270">
        <v>43</v>
      </c>
      <c r="AL13" s="486">
        <v>0.00207175925925926</v>
      </c>
      <c r="AM13" s="487" t="s">
        <v>145</v>
      </c>
    </row>
    <row r="14" s="413" customFormat="1" ht="23.1" customHeight="1" spans="1:39">
      <c r="A14" s="156">
        <v>10</v>
      </c>
      <c r="B14" s="277"/>
      <c r="C14" s="351" t="s">
        <v>120</v>
      </c>
      <c r="D14" s="431" t="s">
        <v>174</v>
      </c>
      <c r="E14" s="432">
        <v>1</v>
      </c>
      <c r="F14" s="433" t="s">
        <v>175</v>
      </c>
      <c r="G14" s="434" t="s">
        <v>176</v>
      </c>
      <c r="H14" s="434" t="str">
        <f t="shared" si="0"/>
        <v>New Life (T)</v>
      </c>
      <c r="I14" s="446" t="s">
        <v>124</v>
      </c>
      <c r="J14" s="446" t="s">
        <v>124</v>
      </c>
      <c r="K14" s="446" t="s">
        <v>124</v>
      </c>
      <c r="L14" s="446" t="s">
        <v>124</v>
      </c>
      <c r="M14" s="446" t="s">
        <v>124</v>
      </c>
      <c r="N14" s="447" t="s">
        <v>177</v>
      </c>
      <c r="O14" s="448" t="s">
        <v>178</v>
      </c>
      <c r="P14" s="449" t="s">
        <v>179</v>
      </c>
      <c r="Q14" s="463" t="s">
        <v>180</v>
      </c>
      <c r="R14" s="243" t="str">
        <f>CONCATENATE(RemovePunctuation(G14),"_","i4K","_","CA_",C14,"_",AK14,"_",PROPER(AA14),IF(AB14="",PROPER(AA14),PROPER(AB14)),PROPER(AC14),PROPER(AD14),PROPER(AE14),IF(AE14&lt;&gt;"","SUB",""),PROPER(AF14),IF(AF14&lt;&gt;"","SUB",""),"_","Ed","_","M1",".mpg")</f>
        <v>NewLife_i4K_CA_0825_43_ZhoZhoEngSUBZhoSUB_Ed_M1.mpg</v>
      </c>
      <c r="S14" s="243" t="str">
        <f>CONCATENATE(RemovePunctuation(G14),"_","i5K","_","CA_",C14,"_",AJ14,"_",PROPER(AA14),IF(AB14="",PROPER(AA14),PROPER(AB14)),PROPER(AC14),PROPER(AD14),PROPER(AE14),IF(AE14&lt;&gt;"","SUB",""),PROPER(AF14),IF(AF14&lt;&gt;"","SUB",""),"_","Ed","_","M4",".mpg")</f>
        <v>NewLife_i5K_CA_0825_169_ZhoZhoEngSUBZhoSUB_Ed_M4.mpg</v>
      </c>
      <c r="T14" s="464" t="str">
        <f>CONCATENATE(RemovePunctuation(G14),"TR","_CA","_",C14,"_",AJ14,"_",PROPER(AA14),PROPER(AA14),"_","Ed","_","M2",".mpg")</f>
        <v>NewLifeTR_CA_0825_169_ZhoZho_Ed_M2.mpg</v>
      </c>
      <c r="U14" s="465" t="s">
        <v>127</v>
      </c>
      <c r="V14" s="466"/>
      <c r="W14" s="467" t="s">
        <v>139</v>
      </c>
      <c r="X14" s="468">
        <v>2025</v>
      </c>
      <c r="Y14" s="383" t="s">
        <v>129</v>
      </c>
      <c r="Z14" s="383" t="s">
        <v>129</v>
      </c>
      <c r="AA14" s="383" t="s">
        <v>130</v>
      </c>
      <c r="AB14" s="383"/>
      <c r="AC14" s="383"/>
      <c r="AD14" s="383"/>
      <c r="AE14" s="383" t="s">
        <v>131</v>
      </c>
      <c r="AF14" s="383" t="s">
        <v>130</v>
      </c>
      <c r="AG14" s="118">
        <f t="shared" si="1"/>
        <v>125</v>
      </c>
      <c r="AH14" s="399">
        <v>0.0867013888888889</v>
      </c>
      <c r="AI14" s="120">
        <f t="shared" si="2"/>
        <v>7500</v>
      </c>
      <c r="AJ14" s="270">
        <v>169</v>
      </c>
      <c r="AK14" s="270">
        <v>43</v>
      </c>
      <c r="AL14" s="486">
        <v>0.00087962962962963</v>
      </c>
      <c r="AM14" s="487" t="s">
        <v>132</v>
      </c>
    </row>
    <row r="15" s="413" customFormat="1" ht="23.1" customHeight="1" spans="1:39">
      <c r="A15" s="156">
        <v>11</v>
      </c>
      <c r="B15" s="277"/>
      <c r="C15" s="351" t="s">
        <v>120</v>
      </c>
      <c r="D15" s="431"/>
      <c r="E15" s="432">
        <v>2</v>
      </c>
      <c r="F15" s="433" t="s">
        <v>181</v>
      </c>
      <c r="G15" s="434" t="s">
        <v>182</v>
      </c>
      <c r="H15" s="434" t="str">
        <f t="shared" si="0"/>
        <v>Mumu (T)</v>
      </c>
      <c r="I15" s="446" t="s">
        <v>124</v>
      </c>
      <c r="J15" s="446" t="s">
        <v>124</v>
      </c>
      <c r="K15" s="446" t="s">
        <v>124</v>
      </c>
      <c r="L15" s="446" t="s">
        <v>124</v>
      </c>
      <c r="M15" s="446" t="s">
        <v>124</v>
      </c>
      <c r="N15" s="447" t="s">
        <v>183</v>
      </c>
      <c r="O15" s="448" t="s">
        <v>184</v>
      </c>
      <c r="P15" s="449" t="s">
        <v>185</v>
      </c>
      <c r="Q15" s="463" t="s">
        <v>186</v>
      </c>
      <c r="R15" s="243" t="str">
        <f>CONCATENATE(RemovePunctuation(G15),"_","i4K","_","CA_",C15,"_",AK15,"_",PROPER(AA15),IF(AB15="",PROPER(AA15),PROPER(AB15)),PROPER(AC15),PROPER(AD15),PROPER(AE15),IF(AE15&lt;&gt;"","SUB",""),PROPER(AF15),IF(AF15&lt;&gt;"","SUB",""),"_","Ed","_","M1",".mpg")</f>
        <v>Mumu_i4K_CA_0825_43_ZhoZhoZhoSUB_Ed_M1.mpg</v>
      </c>
      <c r="S15" s="243" t="str">
        <f>CONCATENATE(RemovePunctuation(G15),"_","i5K","_","CA_",C15,"_",AJ15,"_",PROPER(AA15),IF(AB15="",PROPER(AA15),PROPER(AB15)),PROPER(AC15),PROPER(AD15),PROPER(AE15),IF(AE15&lt;&gt;"","SUB",""),PROPER(AF15),IF(AF15&lt;&gt;"","SUB",""),"_","Ed","_","M4",".mpg")</f>
        <v>Mumu_i5K_CA_0825_169_ZhoZhoZhoSUB_Ed_M4.mpg</v>
      </c>
      <c r="T15" s="464" t="str">
        <f>CONCATENATE(RemovePunctuation(G15),"TR","_CA","_",C15,"_",AJ15,"_",PROPER(AA15),PROPER(AA15),"_","Ed","_","M2",".mpg")</f>
        <v>MumuTR_CA_0825_169_ZhoZho_Ed_M2.mpg</v>
      </c>
      <c r="U15" s="465" t="s">
        <v>127</v>
      </c>
      <c r="V15" s="466"/>
      <c r="W15" s="467" t="s">
        <v>139</v>
      </c>
      <c r="X15" s="468">
        <v>2025</v>
      </c>
      <c r="Y15" s="383" t="s">
        <v>129</v>
      </c>
      <c r="Z15" s="383" t="s">
        <v>129</v>
      </c>
      <c r="AA15" s="383" t="s">
        <v>130</v>
      </c>
      <c r="AB15" s="383"/>
      <c r="AC15" s="383"/>
      <c r="AD15" s="383"/>
      <c r="AE15" s="383" t="s">
        <v>130</v>
      </c>
      <c r="AF15" s="383"/>
      <c r="AG15" s="118">
        <f t="shared" si="1"/>
        <v>111</v>
      </c>
      <c r="AH15" s="399">
        <v>0.0769907407407407</v>
      </c>
      <c r="AI15" s="120">
        <f t="shared" si="2"/>
        <v>6660</v>
      </c>
      <c r="AJ15" s="270">
        <v>169</v>
      </c>
      <c r="AK15" s="270">
        <v>43</v>
      </c>
      <c r="AL15" s="486">
        <v>0.000821759259259259</v>
      </c>
      <c r="AM15" s="487" t="s">
        <v>132</v>
      </c>
    </row>
    <row r="16" s="413" customFormat="1" ht="23.1" customHeight="1" spans="1:39">
      <c r="A16" s="156">
        <v>12</v>
      </c>
      <c r="B16" s="277"/>
      <c r="C16" s="351" t="s">
        <v>120</v>
      </c>
      <c r="D16" s="431"/>
      <c r="E16" s="432">
        <v>3</v>
      </c>
      <c r="F16" s="433" t="s">
        <v>187</v>
      </c>
      <c r="G16" s="434" t="s">
        <v>188</v>
      </c>
      <c r="H16" s="434" t="str">
        <f t="shared" si="0"/>
        <v>Fire on the Plain (T)</v>
      </c>
      <c r="I16" s="446" t="s">
        <v>124</v>
      </c>
      <c r="J16" s="446" t="s">
        <v>124</v>
      </c>
      <c r="K16" s="446" t="s">
        <v>124</v>
      </c>
      <c r="L16" s="446" t="s">
        <v>124</v>
      </c>
      <c r="M16" s="446" t="s">
        <v>124</v>
      </c>
      <c r="N16" s="447" t="s">
        <v>189</v>
      </c>
      <c r="O16" s="448" t="s">
        <v>190</v>
      </c>
      <c r="P16" s="449" t="s">
        <v>191</v>
      </c>
      <c r="Q16" s="463" t="s">
        <v>192</v>
      </c>
      <c r="R16" s="243" t="str">
        <f>CONCATENATE(RemovePunctuation(G16),"_","i4K","_","CA_",C16,"_",AK16,"_",PROPER(AA16),IF(AB16="",PROPER(AA16),PROPER(AB16)),PROPER(AC16),PROPER(AD16),PROPER(AE16),IF(AE16&lt;&gt;"","SUB",""),PROPER(AF16),IF(AF16&lt;&gt;"","SUB",""),"_","Ed","_","M1",".mpg")</f>
        <v>FireonthePlain_i4K_CA_0825_43_ZhoZhoEngSUBZhoSUB_Ed_M1.mpg</v>
      </c>
      <c r="S16" s="243" t="str">
        <f>CONCATENATE(RemovePunctuation(G16),"_","i5K","_","CA_",C16,"_",AJ16,"_",PROPER(AA16),IF(AB16="",PROPER(AA16),PROPER(AB16)),PROPER(AC16),PROPER(AD16),PROPER(AE16),IF(AE16&lt;&gt;"","SUB",""),PROPER(AF16),IF(AF16&lt;&gt;"","SUB",""),"_","Ed","_","M4",".mpg")</f>
        <v>FireonthePlain_i5K_CA_0825_169_ZhoZhoEngSUBZhoSUB_Ed_M4.mpg</v>
      </c>
      <c r="T16" s="464" t="str">
        <f>CONCATENATE(RemovePunctuation(G16),"TR","_CA","_",C16,"_",AJ16,"_",PROPER(AA16),PROPER(AA16),"_","Ed","_","M2",".mpg")</f>
        <v>FireonthePlainTR_CA_0825_169_ZhoZho_Ed_M2.mpg</v>
      </c>
      <c r="U16" s="465" t="s">
        <v>127</v>
      </c>
      <c r="V16" s="466"/>
      <c r="W16" s="467" t="s">
        <v>139</v>
      </c>
      <c r="X16" s="468">
        <v>2025</v>
      </c>
      <c r="Y16" s="383" t="s">
        <v>129</v>
      </c>
      <c r="Z16" s="383" t="s">
        <v>129</v>
      </c>
      <c r="AA16" s="383" t="s">
        <v>130</v>
      </c>
      <c r="AB16" s="383"/>
      <c r="AC16" s="383"/>
      <c r="AD16" s="383"/>
      <c r="AE16" s="383" t="s">
        <v>131</v>
      </c>
      <c r="AF16" s="383" t="s">
        <v>130</v>
      </c>
      <c r="AG16" s="118">
        <f t="shared" si="1"/>
        <v>102</v>
      </c>
      <c r="AH16" s="399">
        <v>0.0702314814814815</v>
      </c>
      <c r="AI16" s="120">
        <f t="shared" si="2"/>
        <v>6120</v>
      </c>
      <c r="AJ16" s="270">
        <v>169</v>
      </c>
      <c r="AK16" s="270">
        <v>43</v>
      </c>
      <c r="AL16" s="486">
        <v>0.00112268518518519</v>
      </c>
      <c r="AM16" s="487" t="s">
        <v>132</v>
      </c>
    </row>
    <row r="17" s="413" customFormat="1" ht="23.1" customHeight="1" spans="1:39">
      <c r="A17" s="156">
        <v>13</v>
      </c>
      <c r="B17" s="277"/>
      <c r="C17" s="351" t="s">
        <v>120</v>
      </c>
      <c r="D17" s="431"/>
      <c r="E17" s="432">
        <v>4</v>
      </c>
      <c r="F17" s="433" t="s">
        <v>193</v>
      </c>
      <c r="G17" s="434" t="s">
        <v>194</v>
      </c>
      <c r="H17" s="434" t="str">
        <f t="shared" si="0"/>
        <v>The Way Out (T)</v>
      </c>
      <c r="I17" s="446" t="s">
        <v>124</v>
      </c>
      <c r="J17" s="446" t="s">
        <v>124</v>
      </c>
      <c r="K17" s="446" t="s">
        <v>124</v>
      </c>
      <c r="L17" s="446" t="s">
        <v>124</v>
      </c>
      <c r="M17" s="446" t="s">
        <v>124</v>
      </c>
      <c r="N17" s="447" t="s">
        <v>195</v>
      </c>
      <c r="O17" s="448" t="s">
        <v>196</v>
      </c>
      <c r="P17" s="449" t="s">
        <v>197</v>
      </c>
      <c r="Q17" s="463" t="s">
        <v>198</v>
      </c>
      <c r="R17" s="243" t="str">
        <f>CONCATENATE(RemovePunctuation(G17),"_","i4K","_","CA_",C17,"_",AK17,"_",PROPER(AA17),IF(AB17="",PROPER(AA17),PROPER(AB17)),PROPER(AC17),PROPER(AD17),PROPER(AE17),IF(AE17&lt;&gt;"","SUB",""),PROPER(AF17),IF(AF17&lt;&gt;"","SUB",""),"_","Ed","_","M1",".mpg")</f>
        <v>TheWayOut_i4K_CA_0825_43_ZhoZhoEngSUBZhoSUB_Ed_M1.mpg</v>
      </c>
      <c r="S17" s="243" t="str">
        <f>CONCATENATE(RemovePunctuation(G17),"_","i5K","_","CA_",C17,"_",AJ17,"_",PROPER(AA17),IF(AB17="",PROPER(AA17),PROPER(AB17)),PROPER(AC17),PROPER(AD17),PROPER(AE17),IF(AE17&lt;&gt;"","SUB",""),PROPER(AF17),IF(AF17&lt;&gt;"","SUB",""),"_","Ed","_","M4",".mpg")</f>
        <v>TheWayOut_i5K_CA_0825_169_ZhoZhoEngSUBZhoSUB_Ed_M4.mpg</v>
      </c>
      <c r="T17" s="464" t="str">
        <f>CONCATENATE(RemovePunctuation(G17),"TR","_CA","_",C17,"_",AJ17,"_",PROPER(AA17),PROPER(AA17),"_","Ed","_","M2",".mpg")</f>
        <v>TheWayOutTR_CA_0825_169_ZhoZho_Ed_M2.mpg</v>
      </c>
      <c r="U17" s="465" t="s">
        <v>127</v>
      </c>
      <c r="V17" s="466"/>
      <c r="W17" s="467" t="s">
        <v>139</v>
      </c>
      <c r="X17" s="468">
        <v>2025</v>
      </c>
      <c r="Y17" s="383" t="s">
        <v>129</v>
      </c>
      <c r="Z17" s="383" t="s">
        <v>129</v>
      </c>
      <c r="AA17" s="383" t="s">
        <v>130</v>
      </c>
      <c r="AB17" s="383"/>
      <c r="AC17" s="383"/>
      <c r="AD17" s="383"/>
      <c r="AE17" s="383" t="s">
        <v>131</v>
      </c>
      <c r="AF17" s="383" t="s">
        <v>130</v>
      </c>
      <c r="AG17" s="118">
        <f t="shared" si="1"/>
        <v>130</v>
      </c>
      <c r="AH17" s="399">
        <v>0.0899884259259259</v>
      </c>
      <c r="AI17" s="120">
        <f t="shared" si="2"/>
        <v>7800</v>
      </c>
      <c r="AJ17" s="270">
        <v>169</v>
      </c>
      <c r="AK17" s="270">
        <v>43</v>
      </c>
      <c r="AL17" s="486">
        <v>0.00118055555555556</v>
      </c>
      <c r="AM17" s="487" t="s">
        <v>132</v>
      </c>
    </row>
    <row r="18" s="413" customFormat="1" ht="23.1" customHeight="1" spans="1:39">
      <c r="A18" s="156">
        <v>14</v>
      </c>
      <c r="B18" s="277"/>
      <c r="C18" s="351" t="s">
        <v>120</v>
      </c>
      <c r="D18" s="431"/>
      <c r="E18" s="432">
        <v>5</v>
      </c>
      <c r="F18" s="433" t="s">
        <v>199</v>
      </c>
      <c r="G18" s="434" t="s">
        <v>200</v>
      </c>
      <c r="H18" s="434" t="str">
        <f t="shared" si="0"/>
        <v>Wolf Totem (T)</v>
      </c>
      <c r="I18" s="446" t="s">
        <v>124</v>
      </c>
      <c r="J18" s="446"/>
      <c r="K18" s="446" t="s">
        <v>124</v>
      </c>
      <c r="L18" s="446" t="s">
        <v>124</v>
      </c>
      <c r="M18" s="446" t="s">
        <v>124</v>
      </c>
      <c r="N18" s="447" t="s">
        <v>201</v>
      </c>
      <c r="O18" s="448" t="s">
        <v>202</v>
      </c>
      <c r="P18" s="449" t="s">
        <v>203</v>
      </c>
      <c r="Q18" s="463" t="s">
        <v>204</v>
      </c>
      <c r="R18" s="243" t="str">
        <f>CONCATENATE(RemovePunctuation(G18),"_","i4K","_","CA_",C18,"_",AK18,"_",PROPER(AA18),IF(AB18="",PROPER(AA18),PROPER(AB18)),PROPER(AC18),PROPER(AD18),PROPER(AE18),IF(AE18&lt;&gt;"","SUB",""),PROPER(AF18),IF(AF18&lt;&gt;"","SUB",""),"_","Ed","_","M1",".mpg")</f>
        <v>WolfTotem_i4K_CA_0825_43_ZhoZhoEngSUBZhoSUB_Ed_M1.mpg</v>
      </c>
      <c r="S18" s="243" t="str">
        <f>CONCATENATE(RemovePunctuation(G18),"_","i5K","_","CA_",C18,"_",AJ18,"_",PROPER(AA18),IF(AB18="",PROPER(AA18),PROPER(AB18)),PROPER(AC18),PROPER(AD18),PROPER(AE18),IF(AE18&lt;&gt;"","SUB",""),PROPER(AF18),IF(AF18&lt;&gt;"","SUB",""),"_","Ed","_","M4",".mpg")</f>
        <v>WolfTotem_i5K_CA_0825_169_ZhoZhoEngSUBZhoSUB_Ed_M4.mpg</v>
      </c>
      <c r="T18" s="464" t="str">
        <f>CONCATENATE(RemovePunctuation(G18),"TR","_CA","_",C18,"_",AJ18,"_",PROPER(AA18),PROPER(AA18),"_","Ed","_","M2",".mpg")</f>
        <v>WolfTotemTR_CA_0825_169_ZhoZho_Ed_M2.mpg</v>
      </c>
      <c r="U18" s="465" t="s">
        <v>144</v>
      </c>
      <c r="V18" s="466"/>
      <c r="W18" s="467" t="s">
        <v>139</v>
      </c>
      <c r="X18" s="468">
        <v>2015</v>
      </c>
      <c r="Y18" s="383" t="s">
        <v>129</v>
      </c>
      <c r="Z18" s="383" t="s">
        <v>129</v>
      </c>
      <c r="AA18" s="383" t="s">
        <v>130</v>
      </c>
      <c r="AB18" s="383"/>
      <c r="AC18" s="383"/>
      <c r="AD18" s="383"/>
      <c r="AE18" s="383" t="s">
        <v>131</v>
      </c>
      <c r="AF18" s="383" t="s">
        <v>130</v>
      </c>
      <c r="AG18" s="118">
        <f t="shared" si="1"/>
        <v>122</v>
      </c>
      <c r="AH18" s="399">
        <v>0.0842361111111111</v>
      </c>
      <c r="AI18" s="120">
        <f t="shared" si="2"/>
        <v>7320</v>
      </c>
      <c r="AJ18" s="270">
        <v>169</v>
      </c>
      <c r="AK18" s="270">
        <v>43</v>
      </c>
      <c r="AL18" s="486">
        <v>0.00136574074074074</v>
      </c>
      <c r="AM18" s="487" t="s">
        <v>145</v>
      </c>
    </row>
    <row r="19" s="413" customFormat="1" ht="23.1" customHeight="1" spans="1:39">
      <c r="A19" s="156">
        <v>15</v>
      </c>
      <c r="B19" s="277"/>
      <c r="C19" s="351" t="s">
        <v>120</v>
      </c>
      <c r="D19" s="431"/>
      <c r="E19" s="432">
        <v>6</v>
      </c>
      <c r="F19" s="433" t="s">
        <v>205</v>
      </c>
      <c r="G19" s="434" t="s">
        <v>206</v>
      </c>
      <c r="H19" s="434" t="str">
        <f t="shared" si="0"/>
        <v>River Road (T)</v>
      </c>
      <c r="I19" s="446" t="s">
        <v>124</v>
      </c>
      <c r="J19" s="446"/>
      <c r="K19" s="446" t="s">
        <v>124</v>
      </c>
      <c r="L19" s="446" t="s">
        <v>124</v>
      </c>
      <c r="M19" s="446" t="s">
        <v>124</v>
      </c>
      <c r="N19" s="447" t="s">
        <v>207</v>
      </c>
      <c r="O19" s="448" t="s">
        <v>208</v>
      </c>
      <c r="P19" s="449" t="s">
        <v>209</v>
      </c>
      <c r="Q19" s="463" t="s">
        <v>210</v>
      </c>
      <c r="R19" s="243" t="str">
        <f>CONCATENATE(RemovePunctuation(G19),"_","i4K","_","CA_",C19,"_",AK19,"_",PROPER(AA19),IF(AB19="",PROPER(AA19),PROPER(AB19)),PROPER(AC19),PROPER(AD19),PROPER(AE19),IF(AE19&lt;&gt;"","SUB",""),PROPER(AF19),IF(AF19&lt;&gt;"","SUB",""),"_","Ed","_","M1",".mpg")</f>
        <v>RiverRoad_i4K_CA_0825_43_ZhoZhoEngSUBZhoSUB_Ed_M1.mpg</v>
      </c>
      <c r="S19" s="243" t="str">
        <f>CONCATENATE(RemovePunctuation(G19),"_","i5K","_","CA_",C19,"_",AJ19,"_",PROPER(AA19),IF(AB19="",PROPER(AA19),PROPER(AB19)),PROPER(AC19),PROPER(AD19),PROPER(AE19),IF(AE19&lt;&gt;"","SUB",""),PROPER(AF19),IF(AF19&lt;&gt;"","SUB",""),"_","Ed","_","M4",".mpg")</f>
        <v>RiverRoad_i5K_CA_0825_169_ZhoZhoEngSUBZhoSUB_Ed_M4.mpg</v>
      </c>
      <c r="T19" s="464" t="str">
        <f>CONCATENATE(RemovePunctuation(G19),"TR","_CA","_",C19,"_",AJ19,"_",PROPER(AA19),PROPER(AA19),"_","Ed","_","M2",".mpg")</f>
        <v>RiverRoadTR_CA_0825_169_ZhoZho_Ed_M2.mpg</v>
      </c>
      <c r="U19" s="465" t="s">
        <v>144</v>
      </c>
      <c r="V19" s="466"/>
      <c r="W19" s="467" t="s">
        <v>139</v>
      </c>
      <c r="X19" s="468">
        <v>2015</v>
      </c>
      <c r="Y19" s="383" t="s">
        <v>129</v>
      </c>
      <c r="Z19" s="383" t="s">
        <v>129</v>
      </c>
      <c r="AA19" s="383" t="s">
        <v>130</v>
      </c>
      <c r="AB19" s="383"/>
      <c r="AC19" s="383"/>
      <c r="AD19" s="383"/>
      <c r="AE19" s="383" t="s">
        <v>131</v>
      </c>
      <c r="AF19" s="383" t="s">
        <v>130</v>
      </c>
      <c r="AG19" s="118">
        <f t="shared" si="1"/>
        <v>103</v>
      </c>
      <c r="AH19" s="399">
        <v>0.0708564814814815</v>
      </c>
      <c r="AI19" s="120">
        <f t="shared" si="2"/>
        <v>6180</v>
      </c>
      <c r="AJ19" s="270">
        <v>169</v>
      </c>
      <c r="AK19" s="270">
        <v>43</v>
      </c>
      <c r="AL19" s="486">
        <v>0.000798611111111111</v>
      </c>
      <c r="AM19" s="487" t="s">
        <v>145</v>
      </c>
    </row>
    <row r="20" s="413" customFormat="1" ht="23.1" customHeight="1" spans="1:39">
      <c r="A20" s="156">
        <v>16</v>
      </c>
      <c r="B20" s="277"/>
      <c r="C20" s="351" t="s">
        <v>120</v>
      </c>
      <c r="D20" s="431"/>
      <c r="E20" s="432">
        <v>7</v>
      </c>
      <c r="F20" s="433" t="s">
        <v>211</v>
      </c>
      <c r="G20" s="434" t="s">
        <v>212</v>
      </c>
      <c r="H20" s="434" t="str">
        <f t="shared" si="0"/>
        <v>Kekexili: Mountain Patrol (T)</v>
      </c>
      <c r="I20" s="446" t="s">
        <v>124</v>
      </c>
      <c r="J20" s="446"/>
      <c r="K20" s="446"/>
      <c r="L20" s="446" t="s">
        <v>124</v>
      </c>
      <c r="M20" s="446" t="s">
        <v>124</v>
      </c>
      <c r="N20" s="447" t="s">
        <v>213</v>
      </c>
      <c r="O20" s="448"/>
      <c r="P20" s="449" t="s">
        <v>214</v>
      </c>
      <c r="Q20" s="463"/>
      <c r="R20" s="243" t="str">
        <f>CONCATENATE(RemovePunctuation(G20),"_","i4K","_","CA_",C20,"_",AK20,"_",PROPER(AA20),IF(AB20="",PROPER(AA20),PROPER(AB20)),PROPER(AC20),PROPER(AD20),PROPER(AE20),IF(AE20&lt;&gt;"","SUB",""),PROPER(AF20),IF(AF20&lt;&gt;"","SUB",""),"_","Ed","_","M1",".mpg")</f>
        <v>KekexiliMountainPatrol_i4K_CA_0825_43_ZhoZhoEngSUBZhoSUB_Ed_M1.mpg</v>
      </c>
      <c r="S20" s="243" t="str">
        <f>CONCATENATE(RemovePunctuation(G20),"_","i5K","_","CA_",C20,"_",AJ20,"_",PROPER(AA20),IF(AB20="",PROPER(AA20),PROPER(AB20)),PROPER(AC20),PROPER(AD20),PROPER(AE20),IF(AE20&lt;&gt;"","SUB",""),PROPER(AF20),IF(AF20&lt;&gt;"","SUB",""),"_","Ed","_","M4",".mpg")</f>
        <v>KekexiliMountainPatrol_i5K_CA_0825_169_ZhoZhoEngSUBZhoSUB_Ed_M4.mpg</v>
      </c>
      <c r="T20" s="464" t="str">
        <f>CONCATENATE(RemovePunctuation(G20),"TR","_CA","_",C20,"_",AJ20,"_",PROPER(AA20),PROPER(AA20),"_","Ed","_","M2",".mpg")</f>
        <v>KekexiliMountainPatrolTR_CA_0825_169_ZhoZho_Ed_M2.mpg</v>
      </c>
      <c r="U20" s="465" t="s">
        <v>144</v>
      </c>
      <c r="V20" s="466"/>
      <c r="W20" s="467" t="s">
        <v>139</v>
      </c>
      <c r="X20" s="468">
        <v>2004</v>
      </c>
      <c r="Y20" s="383" t="s">
        <v>129</v>
      </c>
      <c r="Z20" s="383" t="s">
        <v>129</v>
      </c>
      <c r="AA20" s="383" t="s">
        <v>130</v>
      </c>
      <c r="AB20" s="383"/>
      <c r="AC20" s="383"/>
      <c r="AD20" s="383"/>
      <c r="AE20" s="383" t="s">
        <v>131</v>
      </c>
      <c r="AF20" s="383" t="s">
        <v>130</v>
      </c>
      <c r="AG20" s="118">
        <f t="shared" si="1"/>
        <v>88</v>
      </c>
      <c r="AH20" s="399">
        <v>0.0609143518518519</v>
      </c>
      <c r="AI20" s="120">
        <f t="shared" si="2"/>
        <v>5280</v>
      </c>
      <c r="AJ20" s="270">
        <v>169</v>
      </c>
      <c r="AK20" s="270">
        <v>43</v>
      </c>
      <c r="AL20" s="486">
        <v>0.001875</v>
      </c>
      <c r="AM20" s="487" t="s">
        <v>145</v>
      </c>
    </row>
    <row r="21" s="413" customFormat="1" ht="23.1" customHeight="1" spans="1:39">
      <c r="A21" s="156">
        <v>17</v>
      </c>
      <c r="B21" s="277"/>
      <c r="C21" s="351" t="s">
        <v>120</v>
      </c>
      <c r="D21" s="431"/>
      <c r="E21" s="432">
        <v>8</v>
      </c>
      <c r="F21" s="433" t="s">
        <v>215</v>
      </c>
      <c r="G21" s="434" t="s">
        <v>216</v>
      </c>
      <c r="H21" s="434" t="str">
        <f t="shared" si="0"/>
        <v>Only the River Flows (T)</v>
      </c>
      <c r="I21" s="446" t="s">
        <v>124</v>
      </c>
      <c r="J21" s="446"/>
      <c r="K21" s="446"/>
      <c r="L21" s="446" t="s">
        <v>124</v>
      </c>
      <c r="M21" s="446" t="s">
        <v>124</v>
      </c>
      <c r="N21" s="447" t="s">
        <v>217</v>
      </c>
      <c r="O21" s="448"/>
      <c r="P21" s="449" t="s">
        <v>218</v>
      </c>
      <c r="Q21" s="463"/>
      <c r="R21" s="243" t="str">
        <f>CONCATENATE(RemovePunctuation(G21),"_","i4K","_","CA_",C21,"_",AK21,"_",PROPER(AA21),IF(AB21="",PROPER(AA21),PROPER(AB21)),PROPER(AC21),PROPER(AD21),PROPER(AE21),IF(AE21&lt;&gt;"","SUB",""),PROPER(AF21),IF(AF21&lt;&gt;"","SUB",""),"_","Ed","_","M1",".mpg")</f>
        <v>OnlytheRiverFlows_i4K_CA_0825_43_ZhoZhoZhoSUB_Ed_M1.mpg</v>
      </c>
      <c r="S21" s="243" t="str">
        <f>CONCATENATE(RemovePunctuation(G21),"_","i5K","_","CA_",C21,"_",AJ21,"_",PROPER(AA21),IF(AB21="",PROPER(AA21),PROPER(AB21)),PROPER(AC21),PROPER(AD21),PROPER(AE21),IF(AE21&lt;&gt;"","SUB",""),PROPER(AF21),IF(AF21&lt;&gt;"","SUB",""),"_","Ed","_","M4",".mpg")</f>
        <v>OnlytheRiverFlows_i5K_CA_0825_169_ZhoZhoZhoSUB_Ed_M4.mpg</v>
      </c>
      <c r="T21" s="464" t="str">
        <f>CONCATENATE(RemovePunctuation(G21),"TR","_CA","_",C21,"_",AJ21,"_",PROPER(AA21),PROPER(AA21),"_","Ed","_","M2",".mpg")</f>
        <v>OnlytheRiverFlowsTR_CA_0825_169_ZhoZho_Ed_M2.mpg</v>
      </c>
      <c r="U21" s="465" t="s">
        <v>127</v>
      </c>
      <c r="V21" s="466"/>
      <c r="W21" s="467" t="s">
        <v>139</v>
      </c>
      <c r="X21" s="468">
        <v>2023</v>
      </c>
      <c r="Y21" s="383" t="s">
        <v>129</v>
      </c>
      <c r="Z21" s="383" t="s">
        <v>129</v>
      </c>
      <c r="AA21" s="383" t="s">
        <v>130</v>
      </c>
      <c r="AB21" s="383"/>
      <c r="AC21" s="383"/>
      <c r="AD21" s="383"/>
      <c r="AE21" s="383" t="s">
        <v>130</v>
      </c>
      <c r="AF21" s="383"/>
      <c r="AG21" s="118">
        <f t="shared" si="1"/>
        <v>102</v>
      </c>
      <c r="AH21" s="399">
        <v>0.0707060185185185</v>
      </c>
      <c r="AI21" s="120">
        <f t="shared" si="2"/>
        <v>6120</v>
      </c>
      <c r="AJ21" s="270">
        <v>169</v>
      </c>
      <c r="AK21" s="270">
        <v>43</v>
      </c>
      <c r="AL21" s="486">
        <v>0.0009375</v>
      </c>
      <c r="AM21" s="487" t="s">
        <v>145</v>
      </c>
    </row>
    <row r="22" s="413" customFormat="1" ht="23.1" customHeight="1" spans="1:39">
      <c r="A22" s="156">
        <v>18</v>
      </c>
      <c r="B22" s="277"/>
      <c r="C22" s="351" t="s">
        <v>120</v>
      </c>
      <c r="D22" s="431"/>
      <c r="E22" s="432">
        <v>9</v>
      </c>
      <c r="F22" s="433" t="s">
        <v>219</v>
      </c>
      <c r="G22" s="434" t="s">
        <v>220</v>
      </c>
      <c r="H22" s="434" t="str">
        <f t="shared" si="0"/>
        <v>12 Citizens (T)</v>
      </c>
      <c r="I22" s="446" t="s">
        <v>124</v>
      </c>
      <c r="J22" s="446"/>
      <c r="K22" s="446"/>
      <c r="L22" s="446" t="s">
        <v>124</v>
      </c>
      <c r="M22" s="446" t="s">
        <v>124</v>
      </c>
      <c r="N22" s="447" t="s">
        <v>221</v>
      </c>
      <c r="O22" s="448"/>
      <c r="P22" s="449" t="s">
        <v>222</v>
      </c>
      <c r="Q22" s="463"/>
      <c r="R22" s="243" t="str">
        <f>CONCATENATE(RemovePunctuation(G22),"_","i4K","_","CA_",C22,"_",AK22,"_",PROPER(AA22),IF(AB22="",PROPER(AA22),PROPER(AB22)),PROPER(AC22),PROPER(AD22),PROPER(AE22),IF(AE22&lt;&gt;"","SUB",""),PROPER(AF22),IF(AF22&lt;&gt;"","SUB",""),"_","Ed","_","M1",".mpg")</f>
        <v>12Citizens_i4K_CA_0825_43_ZhoZhoEngSUBZhoSUB_Ed_M1.mpg</v>
      </c>
      <c r="S22" s="243" t="str">
        <f>CONCATENATE(RemovePunctuation(G22),"_","i5K","_","CA_",C22,"_",AJ22,"_",PROPER(AA22),IF(AB22="",PROPER(AA22),PROPER(AB22)),PROPER(AC22),PROPER(AD22),PROPER(AE22),IF(AE22&lt;&gt;"","SUB",""),PROPER(AF22),IF(AF22&lt;&gt;"","SUB",""),"_","Ed","_","M4",".mpg")</f>
        <v>12Citizens_i5K_CA_0825_169_ZhoZhoEngSUBZhoSUB_Ed_M4.mpg</v>
      </c>
      <c r="T22" s="464" t="str">
        <f>CONCATENATE(RemovePunctuation(G22),"TR","_CA","_",C22,"_",AJ22,"_",PROPER(AA22),PROPER(AA22),"_","Ed","_","M2",".mpg")</f>
        <v>12CitizensTR_CA_0825_169_ZhoZho_Ed_M2.mpg</v>
      </c>
      <c r="U22" s="465" t="s">
        <v>144</v>
      </c>
      <c r="V22" s="466"/>
      <c r="W22" s="467" t="s">
        <v>139</v>
      </c>
      <c r="X22" s="468">
        <v>2015</v>
      </c>
      <c r="Y22" s="383" t="s">
        <v>129</v>
      </c>
      <c r="Z22" s="383" t="s">
        <v>129</v>
      </c>
      <c r="AA22" s="383" t="s">
        <v>130</v>
      </c>
      <c r="AB22" s="383"/>
      <c r="AC22" s="383"/>
      <c r="AD22" s="383"/>
      <c r="AE22" s="383" t="s">
        <v>131</v>
      </c>
      <c r="AF22" s="383" t="s">
        <v>130</v>
      </c>
      <c r="AG22" s="118">
        <f t="shared" si="1"/>
        <v>108</v>
      </c>
      <c r="AH22" s="399">
        <v>0.0745949074074074</v>
      </c>
      <c r="AI22" s="120">
        <f t="shared" si="2"/>
        <v>6480</v>
      </c>
      <c r="AJ22" s="270">
        <v>169</v>
      </c>
      <c r="AK22" s="270">
        <v>43</v>
      </c>
      <c r="AL22" s="486">
        <v>0.00107638888888889</v>
      </c>
      <c r="AM22" s="487" t="s">
        <v>145</v>
      </c>
    </row>
    <row r="23" s="413" customFormat="1" ht="23.1" customHeight="1" spans="1:39">
      <c r="A23" s="156">
        <v>19</v>
      </c>
      <c r="B23" s="277"/>
      <c r="C23" s="351" t="s">
        <v>120</v>
      </c>
      <c r="D23" s="431"/>
      <c r="E23" s="432">
        <v>10</v>
      </c>
      <c r="F23" s="433" t="s">
        <v>223</v>
      </c>
      <c r="G23" s="434" t="s">
        <v>224</v>
      </c>
      <c r="H23" s="434" t="str">
        <f t="shared" si="0"/>
        <v>Saving Mr. Wu (T)</v>
      </c>
      <c r="I23" s="446" t="s">
        <v>124</v>
      </c>
      <c r="J23" s="446"/>
      <c r="K23" s="446" t="s">
        <v>124</v>
      </c>
      <c r="L23" s="446" t="s">
        <v>124</v>
      </c>
      <c r="M23" s="446" t="s">
        <v>124</v>
      </c>
      <c r="N23" s="447" t="s">
        <v>225</v>
      </c>
      <c r="O23" s="448" t="s">
        <v>226</v>
      </c>
      <c r="P23" s="449" t="s">
        <v>227</v>
      </c>
      <c r="Q23" s="463" t="s">
        <v>228</v>
      </c>
      <c r="R23" s="243" t="str">
        <f>CONCATENATE(RemovePunctuation(G23),"_","i4K","_","CA_",C23,"_",AK23,"_",PROPER(AA23),IF(AB23="",PROPER(AA23),PROPER(AB23)),PROPER(AC23),PROPER(AD23),PROPER(AE23),IF(AE23&lt;&gt;"","SUB",""),PROPER(AF23),IF(AF23&lt;&gt;"","SUB",""),"_","Ed","_","M1",".mpg")</f>
        <v>SavingMrWu_i4K_CA_0825_43_ZhoZhoEngSUBZhoSUB_Ed_M1.mpg</v>
      </c>
      <c r="S23" s="243" t="str">
        <f>CONCATENATE(RemovePunctuation(G23),"_","i5K","_","CA_",C23,"_",AJ23,"_",PROPER(AA23),IF(AB23="",PROPER(AA23),PROPER(AB23)),PROPER(AC23),PROPER(AD23),PROPER(AE23),IF(AE23&lt;&gt;"","SUB",""),PROPER(AF23),IF(AF23&lt;&gt;"","SUB",""),"_","Ed","_","M4",".mpg")</f>
        <v>SavingMrWu_i5K_CA_0825_169_ZhoZhoEngSUBZhoSUB_Ed_M4.mpg</v>
      </c>
      <c r="T23" s="464" t="str">
        <f>CONCATENATE(RemovePunctuation(G23),"TR","_CA","_",C23,"_",AJ23,"_",PROPER(AA23),PROPER(AA23),"_","Ed","_","M2",".mpg")</f>
        <v>SavingMrWuTR_CA_0825_169_ZhoZho_Ed_M2.mpg</v>
      </c>
      <c r="U23" s="465" t="s">
        <v>144</v>
      </c>
      <c r="V23" s="466"/>
      <c r="W23" s="467" t="s">
        <v>139</v>
      </c>
      <c r="X23" s="468">
        <v>2015</v>
      </c>
      <c r="Y23" s="383" t="s">
        <v>129</v>
      </c>
      <c r="Z23" s="383" t="s">
        <v>129</v>
      </c>
      <c r="AA23" s="383" t="s">
        <v>130</v>
      </c>
      <c r="AB23" s="383"/>
      <c r="AC23" s="383"/>
      <c r="AD23" s="383"/>
      <c r="AE23" s="383" t="s">
        <v>131</v>
      </c>
      <c r="AF23" s="383" t="s">
        <v>130</v>
      </c>
      <c r="AG23" s="118">
        <f t="shared" si="1"/>
        <v>106</v>
      </c>
      <c r="AH23" s="399">
        <v>0.0734143518518519</v>
      </c>
      <c r="AI23" s="120">
        <f t="shared" si="2"/>
        <v>6360</v>
      </c>
      <c r="AJ23" s="270">
        <v>169</v>
      </c>
      <c r="AK23" s="270">
        <v>43</v>
      </c>
      <c r="AL23" s="486">
        <v>0.00112268518518519</v>
      </c>
      <c r="AM23" s="487" t="s">
        <v>145</v>
      </c>
    </row>
    <row r="24" s="413" customFormat="1" ht="23.1" customHeight="1" spans="1:39">
      <c r="A24" s="156">
        <v>20</v>
      </c>
      <c r="B24" s="277"/>
      <c r="C24" s="351" t="s">
        <v>120</v>
      </c>
      <c r="D24" s="431"/>
      <c r="E24" s="432">
        <v>11</v>
      </c>
      <c r="F24" s="433" t="s">
        <v>229</v>
      </c>
      <c r="G24" s="434" t="s">
        <v>230</v>
      </c>
      <c r="H24" s="434" t="str">
        <f t="shared" si="0"/>
        <v>The Missing Gun (T)</v>
      </c>
      <c r="I24" s="446" t="s">
        <v>124</v>
      </c>
      <c r="J24" s="446"/>
      <c r="K24" s="446"/>
      <c r="L24" s="446" t="s">
        <v>124</v>
      </c>
      <c r="M24" s="446" t="s">
        <v>124</v>
      </c>
      <c r="N24" s="447" t="s">
        <v>231</v>
      </c>
      <c r="O24" s="448"/>
      <c r="P24" s="449" t="s">
        <v>232</v>
      </c>
      <c r="Q24" s="463"/>
      <c r="R24" s="243" t="str">
        <f>CONCATENATE(RemovePunctuation(G24),"_","i4K","_","CA_",C24,"_",AK24,"_",PROPER(AA24),IF(AB24="",PROPER(AA24),PROPER(AB24)),PROPER(AC24),PROPER(AD24),PROPER(AE24),IF(AE24&lt;&gt;"","SUB",""),PROPER(AF24),IF(AF24&lt;&gt;"","SUB",""),"_","Ed","_","M1",".mpg")</f>
        <v>TheMissingGun_i4K_CA_0825_43_ZhoZhoEngSUBZhoSUB_Ed_M1.mpg</v>
      </c>
      <c r="S24" s="243" t="str">
        <f>CONCATENATE(RemovePunctuation(G24),"_","i5K","_","CA_",C24,"_",AJ24,"_",PROPER(AA24),IF(AB24="",PROPER(AA24),PROPER(AB24)),PROPER(AC24),PROPER(AD24),PROPER(AE24),IF(AE24&lt;&gt;"","SUB",""),PROPER(AF24),IF(AF24&lt;&gt;"","SUB",""),"_","Ed","_","M4",".mpg")</f>
        <v>TheMissingGun_i5K_CA_0825_169_ZhoZhoEngSUBZhoSUB_Ed_M4.mpg</v>
      </c>
      <c r="T24" s="464" t="str">
        <f>CONCATENATE(RemovePunctuation(G24),"TR","_CA","_",C24,"_",AJ24,"_",PROPER(AA24),PROPER(AA24),"_","Ed","_","M2",".mpg")</f>
        <v>TheMissingGunTR_CA_0825_169_ZhoZho_Ed_M2.mpg</v>
      </c>
      <c r="U24" s="465" t="s">
        <v>144</v>
      </c>
      <c r="V24" s="466"/>
      <c r="W24" s="467" t="s">
        <v>139</v>
      </c>
      <c r="X24" s="468">
        <v>2002</v>
      </c>
      <c r="Y24" s="383" t="s">
        <v>129</v>
      </c>
      <c r="Z24" s="383" t="s">
        <v>129</v>
      </c>
      <c r="AA24" s="383" t="s">
        <v>130</v>
      </c>
      <c r="AB24" s="383"/>
      <c r="AC24" s="383"/>
      <c r="AD24" s="383"/>
      <c r="AE24" s="383" t="s">
        <v>131</v>
      </c>
      <c r="AF24" s="383" t="s">
        <v>130</v>
      </c>
      <c r="AG24" s="118">
        <f t="shared" si="1"/>
        <v>90</v>
      </c>
      <c r="AH24" s="399">
        <v>0.0624537037037037</v>
      </c>
      <c r="AI24" s="120">
        <f t="shared" si="2"/>
        <v>5400</v>
      </c>
      <c r="AJ24" s="270">
        <v>169</v>
      </c>
      <c r="AK24" s="270">
        <v>43</v>
      </c>
      <c r="AL24" s="486">
        <v>0.00136574074074074</v>
      </c>
      <c r="AM24" s="487" t="s">
        <v>145</v>
      </c>
    </row>
    <row r="25" s="413" customFormat="1" ht="23.1" customHeight="1" spans="1:39">
      <c r="A25" s="156">
        <v>21</v>
      </c>
      <c r="B25" s="277"/>
      <c r="C25" s="351" t="s">
        <v>120</v>
      </c>
      <c r="D25" s="431"/>
      <c r="E25" s="432">
        <v>12</v>
      </c>
      <c r="F25" s="433" t="s">
        <v>233</v>
      </c>
      <c r="G25" s="434" t="s">
        <v>234</v>
      </c>
      <c r="H25" s="434" t="str">
        <f t="shared" si="0"/>
        <v>The Dead End (T)</v>
      </c>
      <c r="I25" s="446" t="s">
        <v>124</v>
      </c>
      <c r="J25" s="446"/>
      <c r="K25" s="446" t="s">
        <v>124</v>
      </c>
      <c r="L25" s="446" t="s">
        <v>124</v>
      </c>
      <c r="M25" s="446" t="s">
        <v>124</v>
      </c>
      <c r="N25" s="447" t="s">
        <v>235</v>
      </c>
      <c r="O25" s="448" t="s">
        <v>236</v>
      </c>
      <c r="P25" s="449" t="s">
        <v>237</v>
      </c>
      <c r="Q25" s="463" t="s">
        <v>238</v>
      </c>
      <c r="R25" s="243" t="str">
        <f>CONCATENATE(RemovePunctuation(G25),"_","i4K","_","CA_",C25,"_",AK25,"_",PROPER(AA25),IF(AB25="",PROPER(AA25),PROPER(AB25)),PROPER(AC25),PROPER(AD25),PROPER(AE25),IF(AE25&lt;&gt;"","SUB",""),PROPER(AF25),IF(AF25&lt;&gt;"","SUB",""),"_","Ed","_","M1",".mpg")</f>
        <v>TheDeadEnd_i4K_CA_0825_43_ZhoZhoEngSUBZhoSUB_Ed_M1.mpg</v>
      </c>
      <c r="S25" s="243" t="str">
        <f>CONCATENATE(RemovePunctuation(G25),"_","i5K","_","CA_",C25,"_",AJ25,"_",PROPER(AA25),IF(AB25="",PROPER(AA25),PROPER(AB25)),PROPER(AC25),PROPER(AD25),PROPER(AE25),IF(AE25&lt;&gt;"","SUB",""),PROPER(AF25),IF(AF25&lt;&gt;"","SUB",""),"_","Ed","_","M4",".mpg")</f>
        <v>TheDeadEnd_i5K_CA_0825_169_ZhoZhoEngSUBZhoSUB_Ed_M4.mpg</v>
      </c>
      <c r="T25" s="464" t="str">
        <f>CONCATENATE(RemovePunctuation(G25),"TR","_CA","_",C25,"_",AJ25,"_",PROPER(AA25),PROPER(AA25),"_","Ed","_","M2",".mpg")</f>
        <v>TheDeadEndTR_CA_0825_169_ZhoZho_Ed_M2.mpg</v>
      </c>
      <c r="U25" s="465" t="s">
        <v>144</v>
      </c>
      <c r="V25" s="466"/>
      <c r="W25" s="467" t="s">
        <v>139</v>
      </c>
      <c r="X25" s="468">
        <v>2015</v>
      </c>
      <c r="Y25" s="383" t="s">
        <v>129</v>
      </c>
      <c r="Z25" s="383" t="s">
        <v>129</v>
      </c>
      <c r="AA25" s="383" t="s">
        <v>130</v>
      </c>
      <c r="AB25" s="383"/>
      <c r="AC25" s="383"/>
      <c r="AD25" s="383"/>
      <c r="AE25" s="383" t="s">
        <v>131</v>
      </c>
      <c r="AF25" s="383" t="s">
        <v>130</v>
      </c>
      <c r="AG25" s="118">
        <f t="shared" si="1"/>
        <v>139</v>
      </c>
      <c r="AH25" s="399">
        <v>0.0962615740740741</v>
      </c>
      <c r="AI25" s="120">
        <f t="shared" si="2"/>
        <v>8340</v>
      </c>
      <c r="AJ25" s="270">
        <v>169</v>
      </c>
      <c r="AK25" s="270">
        <v>43</v>
      </c>
      <c r="AL25" s="486">
        <v>0.00180555555555556</v>
      </c>
      <c r="AM25" s="487" t="s">
        <v>145</v>
      </c>
    </row>
    <row r="26" s="413" customFormat="1" ht="23.1" customHeight="1" spans="1:39">
      <c r="A26" s="156">
        <v>22</v>
      </c>
      <c r="B26" s="277"/>
      <c r="C26" s="351" t="s">
        <v>120</v>
      </c>
      <c r="D26" s="431"/>
      <c r="E26" s="432">
        <v>13</v>
      </c>
      <c r="F26" s="433" t="s">
        <v>239</v>
      </c>
      <c r="G26" s="434" t="s">
        <v>240</v>
      </c>
      <c r="H26" s="434" t="str">
        <f t="shared" si="0"/>
        <v>Down The Line (T)</v>
      </c>
      <c r="I26" s="446" t="s">
        <v>124</v>
      </c>
      <c r="J26" s="446" t="s">
        <v>124</v>
      </c>
      <c r="K26" s="446" t="s">
        <v>124</v>
      </c>
      <c r="L26" s="446" t="s">
        <v>124</v>
      </c>
      <c r="M26" s="446" t="s">
        <v>124</v>
      </c>
      <c r="N26" s="447" t="s">
        <v>241</v>
      </c>
      <c r="O26" s="448" t="s">
        <v>242</v>
      </c>
      <c r="P26" s="449" t="s">
        <v>243</v>
      </c>
      <c r="Q26" s="463" t="s">
        <v>244</v>
      </c>
      <c r="R26" s="243" t="str">
        <f>CONCATENATE(RemovePunctuation(G26),"_","i4K","_","CA_",C26,"_",AK26,"_",PROPER(AA26),IF(AB26="",PROPER(AA26),PROPER(AB26)),PROPER(AC26),PROPER(AD26),PROPER(AE26),IF(AE26&lt;&gt;"","SUB",""),PROPER(AF26),IF(AF26&lt;&gt;"","SUB",""),"_","Ed","_","M1",".mpg")</f>
        <v>DownTheLine_i4K_CA_0825_43_EngEngZhoSUB_Ed_M1.mpg</v>
      </c>
      <c r="S26" s="243" t="str">
        <f>CONCATENATE(RemovePunctuation(G26),"_","i5K","_","CA_",C26,"_",AJ26,"_",PROPER(AA26),IF(AB26="",PROPER(AA26),PROPER(AB26)),PROPER(AC26),PROPER(AD26),PROPER(AE26),IF(AE26&lt;&gt;"","SUB",""),PROPER(AF26),IF(AF26&lt;&gt;"","SUB",""),"_","Ed","_","M4",".mpg")</f>
        <v>DownTheLine_i5K_CA_0825_169_EngEngZhoSUB_Ed_M4.mpg</v>
      </c>
      <c r="T26" s="464" t="str">
        <f>CONCATENATE(RemovePunctuation(G26),"TR","_CA","_",C26,"_",AJ26,"_",PROPER(AA26),PROPER(AA26),"_","Ed","_","M2",".mpg")</f>
        <v>DownTheLineTR_CA_0825_169_EngEng_Ed_M2.mpg</v>
      </c>
      <c r="U26" s="465" t="s">
        <v>127</v>
      </c>
      <c r="V26" s="466"/>
      <c r="W26" s="467" t="s">
        <v>128</v>
      </c>
      <c r="X26" s="468">
        <v>2014</v>
      </c>
      <c r="Y26" s="383" t="s">
        <v>129</v>
      </c>
      <c r="Z26" s="383" t="s">
        <v>129</v>
      </c>
      <c r="AA26" s="383" t="s">
        <v>131</v>
      </c>
      <c r="AB26" s="383"/>
      <c r="AC26" s="383"/>
      <c r="AD26" s="383"/>
      <c r="AE26" s="383" t="s">
        <v>130</v>
      </c>
      <c r="AF26" s="383"/>
      <c r="AG26" s="118">
        <f t="shared" si="1"/>
        <v>76</v>
      </c>
      <c r="AH26" s="399">
        <v>0.0522569444444444</v>
      </c>
      <c r="AI26" s="120">
        <f t="shared" si="2"/>
        <v>4560</v>
      </c>
      <c r="AJ26" s="270">
        <v>169</v>
      </c>
      <c r="AK26" s="270">
        <v>43</v>
      </c>
      <c r="AL26" s="486">
        <v>0.00122685185185185</v>
      </c>
      <c r="AM26" s="487" t="s">
        <v>245</v>
      </c>
    </row>
    <row r="27" s="413" customFormat="1" ht="23.1" customHeight="1" spans="1:39">
      <c r="A27" s="156">
        <v>23</v>
      </c>
      <c r="B27" s="277"/>
      <c r="C27" s="351" t="s">
        <v>120</v>
      </c>
      <c r="D27" s="431"/>
      <c r="E27" s="432">
        <v>14</v>
      </c>
      <c r="F27" s="433" t="s">
        <v>246</v>
      </c>
      <c r="G27" s="434" t="s">
        <v>247</v>
      </c>
      <c r="H27" s="434" t="str">
        <f t="shared" si="0"/>
        <v>Night Train to Lisbon (T)</v>
      </c>
      <c r="I27" s="446" t="s">
        <v>124</v>
      </c>
      <c r="J27" s="446" t="s">
        <v>124</v>
      </c>
      <c r="K27" s="446" t="s">
        <v>124</v>
      </c>
      <c r="L27" s="446" t="s">
        <v>124</v>
      </c>
      <c r="M27" s="446" t="s">
        <v>124</v>
      </c>
      <c r="N27" s="447" t="s">
        <v>248</v>
      </c>
      <c r="O27" s="448" t="s">
        <v>249</v>
      </c>
      <c r="P27" s="449" t="s">
        <v>250</v>
      </c>
      <c r="Q27" s="463" t="s">
        <v>251</v>
      </c>
      <c r="R27" s="243" t="str">
        <f>CONCATENATE(RemovePunctuation(G27),"_","i4K","_","CA_",C27,"_",AK27,"_",PROPER(AA27),IF(AB27="",PROPER(AA27),PROPER(AB27)),PROPER(AC27),PROPER(AD27),PROPER(AE27),IF(AE27&lt;&gt;"","SUB",""),PROPER(AF27),IF(AF27&lt;&gt;"","SUB",""),"_","Ed","_","M1",".mpg")</f>
        <v>NightTraintoLisbon_i4K_CA_0825_43_EngEngZhoSUB_Ed_M1.mpg</v>
      </c>
      <c r="S27" s="243" t="str">
        <f>CONCATENATE(RemovePunctuation(G27),"_","i5K","_","CA_",C27,"_",AJ27,"_",PROPER(AA27),IF(AB27="",PROPER(AA27),PROPER(AB27)),PROPER(AC27),PROPER(AD27),PROPER(AE27),IF(AE27&lt;&gt;"","SUB",""),PROPER(AF27),IF(AF27&lt;&gt;"","SUB",""),"_","Ed","_","M4",".mpg")</f>
        <v>NightTraintoLisbon_i5K_CA_0825_169_EngEngZhoSUB_Ed_M4.mpg</v>
      </c>
      <c r="T27" s="464" t="str">
        <f>CONCATENATE(RemovePunctuation(G27),"TR","_CA","_",C27,"_",AJ27,"_",PROPER(AA27),PROPER(AA27),"_","Ed","_","M2",".mpg")</f>
        <v>NightTraintoLisbonTR_CA_0825_169_EngEng_Ed_M2.mpg</v>
      </c>
      <c r="U27" s="465" t="s">
        <v>127</v>
      </c>
      <c r="V27" s="466"/>
      <c r="W27" s="467" t="s">
        <v>128</v>
      </c>
      <c r="X27" s="468">
        <v>2013</v>
      </c>
      <c r="Y27" s="383" t="s">
        <v>129</v>
      </c>
      <c r="Z27" s="383" t="s">
        <v>129</v>
      </c>
      <c r="AA27" s="383" t="s">
        <v>131</v>
      </c>
      <c r="AB27" s="383"/>
      <c r="AC27" s="383"/>
      <c r="AD27" s="383"/>
      <c r="AE27" s="383" t="s">
        <v>130</v>
      </c>
      <c r="AF27" s="383"/>
      <c r="AG27" s="118">
        <f t="shared" si="1"/>
        <v>106</v>
      </c>
      <c r="AH27" s="399">
        <v>0.0734606481481481</v>
      </c>
      <c r="AI27" s="120">
        <f t="shared" si="2"/>
        <v>6360</v>
      </c>
      <c r="AJ27" s="270">
        <v>169</v>
      </c>
      <c r="AK27" s="270">
        <v>43</v>
      </c>
      <c r="AL27" s="486">
        <v>0.00143518518518519</v>
      </c>
      <c r="AM27" s="487" t="s">
        <v>245</v>
      </c>
    </row>
    <row r="28" s="413" customFormat="1" ht="23.1" customHeight="1" spans="1:39">
      <c r="A28" s="156">
        <v>24</v>
      </c>
      <c r="B28" s="277"/>
      <c r="C28" s="351" t="s">
        <v>120</v>
      </c>
      <c r="D28" s="431"/>
      <c r="E28" s="432">
        <v>15</v>
      </c>
      <c r="F28" s="433" t="s">
        <v>252</v>
      </c>
      <c r="G28" s="434" t="s">
        <v>253</v>
      </c>
      <c r="H28" s="434" t="str">
        <f t="shared" si="0"/>
        <v>Portraits Trompeurs (T)</v>
      </c>
      <c r="I28" s="446" t="s">
        <v>124</v>
      </c>
      <c r="J28" s="446" t="s">
        <v>124</v>
      </c>
      <c r="K28" s="446"/>
      <c r="L28" s="446" t="s">
        <v>124</v>
      </c>
      <c r="M28" s="446" t="s">
        <v>124</v>
      </c>
      <c r="N28" s="447" t="s">
        <v>254</v>
      </c>
      <c r="O28" s="448"/>
      <c r="P28" s="449" t="s">
        <v>255</v>
      </c>
      <c r="Q28" s="463"/>
      <c r="R28" s="243" t="str">
        <f>CONCATENATE(RemovePunctuation(G28),"_","i4K","_","CA_",C28,"_",AK28,"_",PROPER(AA28),IF(AB28="",PROPER(AA28),PROPER(AB28)),PROPER(AC28),PROPER(AD28),PROPER(AE28),IF(AE28&lt;&gt;"","SUB",""),PROPER(AF28),IF(AF28&lt;&gt;"","SUB",""),"_","Ed","_","M1",".mpg")</f>
        <v>PortraitsTrompeurs_i4K_CA_0825_43_FraFraEngSUBZhoSUB_Ed_M1.mpg</v>
      </c>
      <c r="S28" s="243" t="str">
        <f>CONCATENATE(RemovePunctuation(G28),"_","i5K","_","CA_",C28,"_",AJ28,"_",PROPER(AA28),IF(AB28="",PROPER(AA28),PROPER(AB28)),PROPER(AC28),PROPER(AD28),PROPER(AE28),IF(AE28&lt;&gt;"","SUB",""),PROPER(AF28),IF(AF28&lt;&gt;"","SUB",""),"_","Ed","_","M4",".mpg")</f>
        <v>PortraitsTrompeurs_i5K_CA_0825_169_FraFraEngSUBZhoSUB_Ed_M4.mpg</v>
      </c>
      <c r="T28" s="464" t="str">
        <f>CONCATENATE(RemovePunctuation(G28),"TR","_CA","_",C28,"_",AJ28,"_",PROPER(AA28),PROPER(AA28),"_","Ed","_","M2",".mpg")</f>
        <v>PortraitsTrompeursTR_CA_0825_169_FraFra_Ed_M2.mpg</v>
      </c>
      <c r="U28" s="465" t="s">
        <v>127</v>
      </c>
      <c r="V28" s="466"/>
      <c r="W28" s="467" t="s">
        <v>128</v>
      </c>
      <c r="X28" s="468">
        <v>2024</v>
      </c>
      <c r="Y28" s="383" t="s">
        <v>129</v>
      </c>
      <c r="Z28" s="383" t="s">
        <v>129</v>
      </c>
      <c r="AA28" s="383" t="s">
        <v>256</v>
      </c>
      <c r="AB28" s="383"/>
      <c r="AC28" s="383"/>
      <c r="AD28" s="383"/>
      <c r="AE28" s="383" t="s">
        <v>131</v>
      </c>
      <c r="AF28" s="383" t="s">
        <v>130</v>
      </c>
      <c r="AG28" s="118">
        <f t="shared" si="1"/>
        <v>108</v>
      </c>
      <c r="AH28" s="399">
        <v>0.0743287037037037</v>
      </c>
      <c r="AI28" s="120">
        <f t="shared" si="2"/>
        <v>6480</v>
      </c>
      <c r="AJ28" s="270">
        <v>169</v>
      </c>
      <c r="AK28" s="270">
        <v>43</v>
      </c>
      <c r="AL28" s="486">
        <v>0.00106481481481481</v>
      </c>
      <c r="AM28" s="487" t="s">
        <v>132</v>
      </c>
    </row>
    <row r="29" s="413" customFormat="1" ht="23.1" customHeight="1" spans="1:39">
      <c r="A29" s="156">
        <v>25</v>
      </c>
      <c r="B29" s="277"/>
      <c r="C29" s="351" t="s">
        <v>120</v>
      </c>
      <c r="D29" s="431"/>
      <c r="E29" s="432">
        <v>16</v>
      </c>
      <c r="F29" s="433" t="s">
        <v>257</v>
      </c>
      <c r="G29" s="434" t="s">
        <v>258</v>
      </c>
      <c r="H29" s="434" t="str">
        <f t="shared" si="0"/>
        <v>Our Eternal Summer (T)</v>
      </c>
      <c r="I29" s="446" t="s">
        <v>124</v>
      </c>
      <c r="J29" s="446" t="s">
        <v>124</v>
      </c>
      <c r="K29" s="446" t="s">
        <v>124</v>
      </c>
      <c r="L29" s="446" t="s">
        <v>124</v>
      </c>
      <c r="M29" s="446" t="s">
        <v>124</v>
      </c>
      <c r="N29" s="447" t="s">
        <v>259</v>
      </c>
      <c r="O29" s="448" t="s">
        <v>260</v>
      </c>
      <c r="P29" s="449" t="s">
        <v>261</v>
      </c>
      <c r="Q29" s="463" t="s">
        <v>262</v>
      </c>
      <c r="R29" s="243" t="str">
        <f>CONCATENATE(RemovePunctuation(G29),"_","i4K","_","CA_",C29,"_",AK29,"_",PROPER(AA29),IF(AB29="",PROPER(AA29),PROPER(AB29)),PROPER(AC29),PROPER(AD29),PROPER(AE29),IF(AE29&lt;&gt;"","SUB",""),PROPER(AF29),IF(AF29&lt;&gt;"","SUB",""),"_","Ed","_","M1",".mpg")</f>
        <v>OurEternalSummer_i4K_CA_0825_43_FraFraEngSUBZhoSUB_Ed_M1.mpg</v>
      </c>
      <c r="S29" s="243" t="str">
        <f>CONCATENATE(RemovePunctuation(G29),"_","i5K","_","CA_",C29,"_",AJ29,"_",PROPER(AA29),IF(AB29="",PROPER(AA29),PROPER(AB29)),PROPER(AC29),PROPER(AD29),PROPER(AE29),IF(AE29&lt;&gt;"","SUB",""),PROPER(AF29),IF(AF29&lt;&gt;"","SUB",""),"_","Ed","_","M4",".mpg")</f>
        <v>OurEternalSummer_i5K_CA_0825_169_FraFraEngSUBZhoSUB_Ed_M4.mpg</v>
      </c>
      <c r="T29" s="464" t="str">
        <f>CONCATENATE(RemovePunctuation(G29),"TR","_CA","_",C29,"_",AJ29,"_",PROPER(AA29),PROPER(AA29),"_","Ed","_","M2",".mpg")</f>
        <v>OurEternalSummerTR_CA_0825_169_FraFra_Ed_M2.mpg</v>
      </c>
      <c r="U29" s="465" t="s">
        <v>127</v>
      </c>
      <c r="V29" s="466"/>
      <c r="W29" s="467" t="s">
        <v>128</v>
      </c>
      <c r="X29" s="468">
        <v>2021</v>
      </c>
      <c r="Y29" s="383" t="s">
        <v>129</v>
      </c>
      <c r="Z29" s="383" t="s">
        <v>129</v>
      </c>
      <c r="AA29" s="383" t="s">
        <v>256</v>
      </c>
      <c r="AB29" s="383"/>
      <c r="AC29" s="383"/>
      <c r="AD29" s="383"/>
      <c r="AE29" s="383" t="s">
        <v>131</v>
      </c>
      <c r="AF29" s="383" t="s">
        <v>130</v>
      </c>
      <c r="AG29" s="118">
        <f t="shared" si="1"/>
        <v>75</v>
      </c>
      <c r="AH29" s="399">
        <v>0.0516319444444444</v>
      </c>
      <c r="AI29" s="120">
        <f t="shared" si="2"/>
        <v>4500</v>
      </c>
      <c r="AJ29" s="270">
        <v>169</v>
      </c>
      <c r="AK29" s="270">
        <v>43</v>
      </c>
      <c r="AL29" s="486">
        <v>0.00056712962962963</v>
      </c>
      <c r="AM29" s="487" t="s">
        <v>245</v>
      </c>
    </row>
    <row r="30" s="413" customFormat="1" ht="23.1" customHeight="1" spans="1:39">
      <c r="A30" s="156">
        <v>26</v>
      </c>
      <c r="B30" s="277"/>
      <c r="C30" s="351" t="s">
        <v>120</v>
      </c>
      <c r="D30" s="431"/>
      <c r="E30" s="432">
        <v>17</v>
      </c>
      <c r="F30" s="433" t="s">
        <v>263</v>
      </c>
      <c r="G30" s="434" t="s">
        <v>264</v>
      </c>
      <c r="H30" s="434" t="str">
        <f t="shared" si="0"/>
        <v>Undercover (T)</v>
      </c>
      <c r="I30" s="446" t="s">
        <v>124</v>
      </c>
      <c r="J30" s="446" t="s">
        <v>124</v>
      </c>
      <c r="K30" s="446" t="s">
        <v>124</v>
      </c>
      <c r="L30" s="446" t="s">
        <v>124</v>
      </c>
      <c r="M30" s="446" t="s">
        <v>124</v>
      </c>
      <c r="N30" s="447" t="s">
        <v>265</v>
      </c>
      <c r="O30" s="448" t="s">
        <v>266</v>
      </c>
      <c r="P30" s="449" t="s">
        <v>267</v>
      </c>
      <c r="Q30" s="463" t="s">
        <v>268</v>
      </c>
      <c r="R30" s="243" t="str">
        <f>CONCATENATE(RemovePunctuation(G30),"_","i4K","_","CA_",C30,"_",AK30,"_",PROPER(AA30),IF(AB30="",PROPER(AA30),PROPER(AB30)),PROPER(AC30),PROPER(AD30),PROPER(AE30),IF(AE30&lt;&gt;"","SUB",""),PROPER(AF30),IF(AF30&lt;&gt;"","SUB",""),"_","Ed","_","M1",".mpg")</f>
        <v>Undercover_i4K_CA_0825_43_SpaSpaEngSUBZhoSUB_Ed_M1.mpg</v>
      </c>
      <c r="S30" s="243" t="str">
        <f>CONCATENATE(RemovePunctuation(G30),"_","i5K","_","CA_",C30,"_",AJ30,"_",PROPER(AA30),IF(AB30="",PROPER(AA30),PROPER(AB30)),PROPER(AC30),PROPER(AD30),PROPER(AE30),IF(AE30&lt;&gt;"","SUB",""),PROPER(AF30),IF(AF30&lt;&gt;"","SUB",""),"_","Ed","_","M4",".mpg")</f>
        <v>Undercover_i5K_CA_0825_169_SpaSpaEngSUBZhoSUB_Ed_M4.mpg</v>
      </c>
      <c r="T30" s="464" t="str">
        <f>CONCATENATE(RemovePunctuation(G30),"TR","_CA","_",C30,"_",AJ30,"_",PROPER(AA30),PROPER(AA30),"_","Ed","_","M2",".mpg")</f>
        <v>UndercoverTR_CA_0825_169_SpaSpa_Ed_M2.mpg</v>
      </c>
      <c r="U30" s="465" t="s">
        <v>127</v>
      </c>
      <c r="V30" s="466"/>
      <c r="W30" s="467" t="s">
        <v>128</v>
      </c>
      <c r="X30" s="468">
        <v>2024</v>
      </c>
      <c r="Y30" s="383" t="s">
        <v>129</v>
      </c>
      <c r="Z30" s="383" t="s">
        <v>129</v>
      </c>
      <c r="AA30" s="383" t="s">
        <v>269</v>
      </c>
      <c r="AB30" s="383"/>
      <c r="AC30" s="383"/>
      <c r="AD30" s="383"/>
      <c r="AE30" s="383" t="s">
        <v>131</v>
      </c>
      <c r="AF30" s="383" t="s">
        <v>130</v>
      </c>
      <c r="AG30" s="118">
        <f t="shared" si="1"/>
        <v>118</v>
      </c>
      <c r="AH30" s="399">
        <v>0.0815625</v>
      </c>
      <c r="AI30" s="120">
        <f t="shared" si="2"/>
        <v>7080</v>
      </c>
      <c r="AJ30" s="270">
        <v>169</v>
      </c>
      <c r="AK30" s="270">
        <v>43</v>
      </c>
      <c r="AL30" s="486">
        <v>0.00107638888888889</v>
      </c>
      <c r="AM30" s="487" t="s">
        <v>245</v>
      </c>
    </row>
    <row r="31" s="413" customFormat="1" ht="23.1" customHeight="1" spans="1:39">
      <c r="A31" s="156">
        <v>27</v>
      </c>
      <c r="B31" s="277"/>
      <c r="C31" s="351" t="s">
        <v>120</v>
      </c>
      <c r="D31" s="431"/>
      <c r="E31" s="432">
        <v>18</v>
      </c>
      <c r="F31" s="433" t="s">
        <v>270</v>
      </c>
      <c r="G31" s="434" t="s">
        <v>271</v>
      </c>
      <c r="H31" s="434" t="str">
        <f t="shared" si="0"/>
        <v>Frida - Viva La Vida (T)</v>
      </c>
      <c r="I31" s="446" t="s">
        <v>124</v>
      </c>
      <c r="J31" s="446" t="s">
        <v>124</v>
      </c>
      <c r="K31" s="446" t="s">
        <v>124</v>
      </c>
      <c r="L31" s="446" t="s">
        <v>124</v>
      </c>
      <c r="M31" s="446" t="s">
        <v>124</v>
      </c>
      <c r="N31" s="447" t="s">
        <v>272</v>
      </c>
      <c r="O31" s="448" t="s">
        <v>273</v>
      </c>
      <c r="P31" s="449" t="s">
        <v>274</v>
      </c>
      <c r="Q31" s="463" t="s">
        <v>275</v>
      </c>
      <c r="R31" s="243" t="str">
        <f>CONCATENATE(RemovePunctuation(G31),"_","i4K","_","CA_",C31,"_",AK31,"_",PROPER(AA31),IF(AB31="",PROPER(AA31),PROPER(AB31)),PROPER(AC31),PROPER(AD31),PROPER(AE31),IF(AE31&lt;&gt;"","SUB",""),PROPER(AF31),IF(AF31&lt;&gt;"","SUB",""),"_","Ed","_","M1",".mpg")</f>
        <v>FridaVivaLaVida_i4K_CA_0825_43_SpaSpaEngSUBZhoSUB_Ed_M1.mpg</v>
      </c>
      <c r="S31" s="243" t="str">
        <f>CONCATENATE(RemovePunctuation(G31),"_","i5K","_","CA_",C31,"_",AJ31,"_",PROPER(AA31),IF(AB31="",PROPER(AA31),PROPER(AB31)),PROPER(AC31),PROPER(AD31),PROPER(AE31),IF(AE31&lt;&gt;"","SUB",""),PROPER(AF31),IF(AF31&lt;&gt;"","SUB",""),"_","Ed","_","M4",".mpg")</f>
        <v>FridaVivaLaVida_i5K_CA_0825_169_SpaSpaEngSUBZhoSUB_Ed_M4.mpg</v>
      </c>
      <c r="T31" s="464" t="str">
        <f>CONCATENATE(RemovePunctuation(G31),"TR","_CA","_",C31,"_",AJ31,"_",PROPER(AA31),PROPER(AA31),"_","Ed","_","M2",".mpg")</f>
        <v>FridaVivaLaVidaTR_CA_0825_169_SpaSpa_Ed_M2.mpg</v>
      </c>
      <c r="U31" s="465" t="s">
        <v>127</v>
      </c>
      <c r="V31" s="466"/>
      <c r="W31" s="467" t="s">
        <v>128</v>
      </c>
      <c r="X31" s="468">
        <v>2019</v>
      </c>
      <c r="Y31" s="383" t="s">
        <v>129</v>
      </c>
      <c r="Z31" s="383" t="s">
        <v>129</v>
      </c>
      <c r="AA31" s="383" t="s">
        <v>269</v>
      </c>
      <c r="AB31" s="383"/>
      <c r="AC31" s="383"/>
      <c r="AD31" s="383"/>
      <c r="AE31" s="383" t="s">
        <v>131</v>
      </c>
      <c r="AF31" s="383" t="s">
        <v>130</v>
      </c>
      <c r="AG31" s="118">
        <f t="shared" si="1"/>
        <v>77</v>
      </c>
      <c r="AH31" s="399">
        <v>0.0531365740740741</v>
      </c>
      <c r="AI31" s="120">
        <f t="shared" si="2"/>
        <v>4620</v>
      </c>
      <c r="AJ31" s="270">
        <v>169</v>
      </c>
      <c r="AK31" s="270">
        <v>43</v>
      </c>
      <c r="AL31" s="486">
        <v>0.00136574074074074</v>
      </c>
      <c r="AM31" s="487" t="s">
        <v>132</v>
      </c>
    </row>
    <row r="32" s="413" customFormat="1" ht="23.1" customHeight="1" spans="1:39">
      <c r="A32" s="156">
        <v>28</v>
      </c>
      <c r="B32" s="277"/>
      <c r="C32" s="351" t="s">
        <v>120</v>
      </c>
      <c r="D32" s="431"/>
      <c r="E32" s="432">
        <v>19</v>
      </c>
      <c r="F32" s="433" t="s">
        <v>276</v>
      </c>
      <c r="G32" s="434" t="s">
        <v>277</v>
      </c>
      <c r="H32" s="434" t="str">
        <f t="shared" si="0"/>
        <v>The Eight Mountains (T)</v>
      </c>
      <c r="I32" s="446" t="s">
        <v>124</v>
      </c>
      <c r="J32" s="446" t="s">
        <v>124</v>
      </c>
      <c r="K32" s="446"/>
      <c r="L32" s="446" t="s">
        <v>124</v>
      </c>
      <c r="M32" s="446" t="s">
        <v>124</v>
      </c>
      <c r="N32" s="447" t="s">
        <v>278</v>
      </c>
      <c r="O32" s="448"/>
      <c r="P32" s="449" t="s">
        <v>279</v>
      </c>
      <c r="Q32" s="463"/>
      <c r="R32" s="243" t="str">
        <f>CONCATENATE(RemovePunctuation(G32),"_","i4K","_","CA_",C32,"_",AK32,"_",PROPER(AA32),IF(AB32="",PROPER(AA32),PROPER(AB32)),PROPER(AC32),PROPER(AD32),PROPER(AE32),IF(AE32&lt;&gt;"","SUB",""),PROPER(AF32),IF(AF32&lt;&gt;"","SUB",""),"_","Ed","_","M1",".mpg")</f>
        <v>TheEightMountains_i4K_CA_0825_43_ItaItaEngSUBZhoSUB_Ed_M1.mpg</v>
      </c>
      <c r="S32" s="243" t="str">
        <f>CONCATENATE(RemovePunctuation(G32),"_","i5K","_","CA_",C32,"_",AJ32,"_",PROPER(AA32),IF(AB32="",PROPER(AA32),PROPER(AB32)),PROPER(AC32),PROPER(AD32),PROPER(AE32),IF(AE32&lt;&gt;"","SUB",""),PROPER(AF32),IF(AF32&lt;&gt;"","SUB",""),"_","Ed","_","M4",".mpg")</f>
        <v>TheEightMountains_i5K_CA_0825_169_ItaItaEngSUBZhoSUB_Ed_M4.mpg</v>
      </c>
      <c r="T32" s="464" t="str">
        <f>CONCATENATE(RemovePunctuation(G32),"TR","_CA","_",C32,"_",AJ32,"_",PROPER(AA32),PROPER(AA32),"_","Ed","_","M2",".mpg")</f>
        <v>TheEightMountainsTR_CA_0825_169_ItaIta_Ed_M2.mpg</v>
      </c>
      <c r="U32" s="465" t="s">
        <v>127</v>
      </c>
      <c r="V32" s="466"/>
      <c r="W32" s="467" t="s">
        <v>128</v>
      </c>
      <c r="X32" s="468">
        <v>2022</v>
      </c>
      <c r="Y32" s="383" t="s">
        <v>129</v>
      </c>
      <c r="Z32" s="383" t="s">
        <v>129</v>
      </c>
      <c r="AA32" s="383" t="s">
        <v>280</v>
      </c>
      <c r="AB32" s="383"/>
      <c r="AC32" s="383"/>
      <c r="AD32" s="383"/>
      <c r="AE32" s="383" t="s">
        <v>131</v>
      </c>
      <c r="AF32" s="383" t="s">
        <v>130</v>
      </c>
      <c r="AG32" s="118">
        <f t="shared" si="1"/>
        <v>145</v>
      </c>
      <c r="AH32" s="399">
        <v>0.100046296296296</v>
      </c>
      <c r="AI32" s="120">
        <f t="shared" si="2"/>
        <v>8700</v>
      </c>
      <c r="AJ32" s="270">
        <v>169</v>
      </c>
      <c r="AK32" s="270">
        <v>43</v>
      </c>
      <c r="AL32" s="486">
        <v>0.00136574074074074</v>
      </c>
      <c r="AM32" s="487" t="s">
        <v>245</v>
      </c>
    </row>
    <row r="33" s="413" customFormat="1" ht="23.1" customHeight="1" spans="1:39">
      <c r="A33" s="156">
        <v>29</v>
      </c>
      <c r="B33" s="277"/>
      <c r="C33" s="351" t="s">
        <v>120</v>
      </c>
      <c r="D33" s="431"/>
      <c r="E33" s="432">
        <v>20</v>
      </c>
      <c r="F33" s="433" t="s">
        <v>281</v>
      </c>
      <c r="G33" s="434" t="s">
        <v>282</v>
      </c>
      <c r="H33" s="434" t="str">
        <f t="shared" si="0"/>
        <v>Inside the Uffizi (T)</v>
      </c>
      <c r="I33" s="446" t="s">
        <v>124</v>
      </c>
      <c r="J33" s="446" t="s">
        <v>124</v>
      </c>
      <c r="K33" s="446"/>
      <c r="L33" s="446" t="s">
        <v>124</v>
      </c>
      <c r="M33" s="446" t="s">
        <v>124</v>
      </c>
      <c r="N33" s="447" t="s">
        <v>283</v>
      </c>
      <c r="O33" s="448"/>
      <c r="P33" s="449" t="s">
        <v>284</v>
      </c>
      <c r="Q33" s="463"/>
      <c r="R33" s="243" t="str">
        <f>CONCATENATE(RemovePunctuation(G33),"_","i4K","_","CA_",C33,"_",AK33,"_",PROPER(AA33),IF(AB33="",PROPER(AA33),PROPER(AB33)),PROPER(AC33),PROPER(AD33),PROPER(AE33),IF(AE33&lt;&gt;"","SUB",""),PROPER(AF33),IF(AF33&lt;&gt;"","SUB",""),"_","Ed","_","M1",".mpg")</f>
        <v>InsidetheUffizi_i4K_CA_0825_43_ItaItaEngSUBZhoSUB_Ed_M1.mpg</v>
      </c>
      <c r="S33" s="243" t="str">
        <f>CONCATENATE(RemovePunctuation(G33),"_","i5K","_","CA_",C33,"_",AJ33,"_",PROPER(AA33),IF(AB33="",PROPER(AA33),PROPER(AB33)),PROPER(AC33),PROPER(AD33),PROPER(AE33),IF(AE33&lt;&gt;"","SUB",""),PROPER(AF33),IF(AF33&lt;&gt;"","SUB",""),"_","Ed","_","M4",".mpg")</f>
        <v>InsidetheUffizi_i5K_CA_0825_169_ItaItaEngSUBZhoSUB_Ed_M4.mpg</v>
      </c>
      <c r="T33" s="464" t="str">
        <f>CONCATENATE(RemovePunctuation(G33),"TR","_CA","_",C33,"_",AJ33,"_",PROPER(AA33),PROPER(AA33),"_","Ed","_","M2",".mpg")</f>
        <v>InsidetheUffiziTR_CA_0825_169_ItaIta_Ed_M2.mpg</v>
      </c>
      <c r="U33" s="465" t="s">
        <v>127</v>
      </c>
      <c r="V33" s="466"/>
      <c r="W33" s="467" t="s">
        <v>285</v>
      </c>
      <c r="X33" s="468">
        <v>2021</v>
      </c>
      <c r="Y33" s="383" t="s">
        <v>129</v>
      </c>
      <c r="Z33" s="383" t="s">
        <v>129</v>
      </c>
      <c r="AA33" s="383" t="s">
        <v>280</v>
      </c>
      <c r="AB33" s="383"/>
      <c r="AC33" s="383"/>
      <c r="AD33" s="383"/>
      <c r="AE33" s="383" t="s">
        <v>131</v>
      </c>
      <c r="AF33" s="383" t="s">
        <v>130</v>
      </c>
      <c r="AG33" s="118">
        <f t="shared" si="1"/>
        <v>83</v>
      </c>
      <c r="AH33" s="399">
        <v>0.0575231481481481</v>
      </c>
      <c r="AI33" s="120">
        <f t="shared" si="2"/>
        <v>4980</v>
      </c>
      <c r="AJ33" s="270">
        <v>169</v>
      </c>
      <c r="AK33" s="270">
        <v>43</v>
      </c>
      <c r="AL33" s="486">
        <v>0.00114583333333333</v>
      </c>
      <c r="AM33" s="487" t="s">
        <v>245</v>
      </c>
    </row>
    <row r="34" s="413" customFormat="1" ht="23.1" customHeight="1" spans="1:39">
      <c r="A34" s="156">
        <v>30</v>
      </c>
      <c r="B34" s="277"/>
      <c r="C34" s="351" t="s">
        <v>120</v>
      </c>
      <c r="D34" s="431"/>
      <c r="E34" s="432">
        <v>21</v>
      </c>
      <c r="F34" s="433" t="s">
        <v>286</v>
      </c>
      <c r="G34" s="434" t="s">
        <v>287</v>
      </c>
      <c r="H34" s="434" t="str">
        <f t="shared" si="0"/>
        <v>Alpha. (T)</v>
      </c>
      <c r="I34" s="446" t="s">
        <v>124</v>
      </c>
      <c r="J34" s="446" t="s">
        <v>124</v>
      </c>
      <c r="K34" s="446"/>
      <c r="L34" s="446" t="s">
        <v>124</v>
      </c>
      <c r="M34" s="446" t="s">
        <v>124</v>
      </c>
      <c r="N34" s="447" t="s">
        <v>288</v>
      </c>
      <c r="O34" s="448"/>
      <c r="P34" s="449" t="s">
        <v>289</v>
      </c>
      <c r="Q34" s="463"/>
      <c r="R34" s="243" t="str">
        <f>CONCATENATE(RemovePunctuation(G34),"_","i4K","_","CA_",C34,"_",AK34,"_",PROPER(AA34),IF(AB34="",PROPER(AA34),PROPER(AB34)),PROPER(AC34),PROPER(AD34),PROPER(AE34),IF(AE34&lt;&gt;"","SUB",""),PROPER(AF34),IF(AF34&lt;&gt;"","SUB",""),"_","Ed","_","M1",".mpg")</f>
        <v>Alpha_i4K_CA_0825_43_NldNldEngSUBZhoSUB_Ed_M1.mpg</v>
      </c>
      <c r="S34" s="243" t="str">
        <f>CONCATENATE(RemovePunctuation(G34),"_","i5K","_","CA_",C34,"_",AJ34,"_",PROPER(AA34),IF(AB34="",PROPER(AA34),PROPER(AB34)),PROPER(AC34),PROPER(AD34),PROPER(AE34),IF(AE34&lt;&gt;"","SUB",""),PROPER(AF34),IF(AF34&lt;&gt;"","SUB",""),"_","Ed","_","M4",".mpg")</f>
        <v>Alpha_i5K_CA_0825_169_NldNldEngSUBZhoSUB_Ed_M4.mpg</v>
      </c>
      <c r="T34" s="464" t="str">
        <f>CONCATENATE(RemovePunctuation(G34),"TR","_CA","_",C34,"_",AJ34,"_",PROPER(AA34),PROPER(AA34),"_","Ed","_","M2",".mpg")</f>
        <v>AlphaTR_CA_0825_169_NldNld_Ed_M2.mpg</v>
      </c>
      <c r="U34" s="465" t="s">
        <v>127</v>
      </c>
      <c r="V34" s="466"/>
      <c r="W34" s="467" t="s">
        <v>128</v>
      </c>
      <c r="X34" s="468">
        <v>2024</v>
      </c>
      <c r="Y34" s="383" t="s">
        <v>129</v>
      </c>
      <c r="Z34" s="383" t="s">
        <v>129</v>
      </c>
      <c r="AA34" s="383" t="s">
        <v>290</v>
      </c>
      <c r="AB34" s="383"/>
      <c r="AC34" s="383"/>
      <c r="AD34" s="383"/>
      <c r="AE34" s="383" t="s">
        <v>131</v>
      </c>
      <c r="AF34" s="383" t="s">
        <v>130</v>
      </c>
      <c r="AG34" s="118">
        <f t="shared" si="1"/>
        <v>105</v>
      </c>
      <c r="AH34" s="399">
        <v>0.0723032407407407</v>
      </c>
      <c r="AI34" s="120">
        <f t="shared" si="2"/>
        <v>6300</v>
      </c>
      <c r="AJ34" s="270">
        <v>169</v>
      </c>
      <c r="AK34" s="270">
        <v>43</v>
      </c>
      <c r="AL34" s="486">
        <v>0.00136574074074074</v>
      </c>
      <c r="AM34" s="487" t="s">
        <v>132</v>
      </c>
    </row>
    <row r="35" s="413" customFormat="1" ht="23.1" customHeight="1" spans="1:39">
      <c r="A35" s="156">
        <v>31</v>
      </c>
      <c r="B35" s="277"/>
      <c r="C35" s="351" t="s">
        <v>120</v>
      </c>
      <c r="D35" s="431"/>
      <c r="E35" s="432">
        <v>22</v>
      </c>
      <c r="F35" s="433" t="s">
        <v>291</v>
      </c>
      <c r="G35" s="434" t="s">
        <v>292</v>
      </c>
      <c r="H35" s="434" t="str">
        <f t="shared" si="0"/>
        <v>Department Q: A Conspiracy of Faith (T)</v>
      </c>
      <c r="I35" s="446" t="s">
        <v>124</v>
      </c>
      <c r="J35" s="446" t="s">
        <v>124</v>
      </c>
      <c r="K35" s="446" t="s">
        <v>124</v>
      </c>
      <c r="L35" s="446" t="s">
        <v>124</v>
      </c>
      <c r="M35" s="446" t="s">
        <v>124</v>
      </c>
      <c r="N35" s="447" t="s">
        <v>293</v>
      </c>
      <c r="O35" s="448" t="s">
        <v>294</v>
      </c>
      <c r="P35" s="449" t="s">
        <v>295</v>
      </c>
      <c r="Q35" s="463" t="s">
        <v>296</v>
      </c>
      <c r="R35" s="243" t="str">
        <f>CONCATENATE(RemovePunctuation(G35),"_","i4K","_","CA_",C35,"_",AK35,"_",PROPER(AA35),IF(AB35="",PROPER(AA35),PROPER(AB35)),PROPER(AC35),PROPER(AD35),PROPER(AE35),IF(AE35&lt;&gt;"","SUB",""),PROPER(AF35),IF(AF35&lt;&gt;"","SUB",""),"_","Ed","_","M1",".mpg")</f>
        <v>DepartmentQAConspiracyofFaith_i4K_CA_0825_43_DanDanEngSUBZhoSUB_Ed_M1.mpg</v>
      </c>
      <c r="S35" s="243" t="str">
        <f>CONCATENATE(RemovePunctuation(G35),"_","i5K","_","CA_",C35,"_",AJ35,"_",PROPER(AA35),IF(AB35="",PROPER(AA35),PROPER(AB35)),PROPER(AC35),PROPER(AD35),PROPER(AE35),IF(AE35&lt;&gt;"","SUB",""),PROPER(AF35),IF(AF35&lt;&gt;"","SUB",""),"_","Ed","_","M4",".mpg")</f>
        <v>DepartmentQAConspiracyofFaith_i5K_CA_0825_169_DanDanEngSUBZhoSUB_Ed_M4.mpg</v>
      </c>
      <c r="T35" s="464" t="str">
        <f>CONCATENATE(RemovePunctuation(G35),"TR","_CA","_",C35,"_",AJ35,"_",PROPER(AA35),PROPER(AA35),"_","Ed","_","M2",".mpg")</f>
        <v>DepartmentQAConspiracyofFaithTR_CA_0825_169_DanDan_Ed_M2.mpg</v>
      </c>
      <c r="U35" s="465" t="s">
        <v>127</v>
      </c>
      <c r="V35" s="466"/>
      <c r="W35" s="467" t="s">
        <v>128</v>
      </c>
      <c r="X35" s="468">
        <v>2016</v>
      </c>
      <c r="Y35" s="383" t="s">
        <v>129</v>
      </c>
      <c r="Z35" s="383" t="s">
        <v>129</v>
      </c>
      <c r="AA35" s="383" t="s">
        <v>297</v>
      </c>
      <c r="AB35" s="383"/>
      <c r="AC35" s="383"/>
      <c r="AD35" s="383"/>
      <c r="AE35" s="383" t="s">
        <v>131</v>
      </c>
      <c r="AF35" s="383" t="s">
        <v>130</v>
      </c>
      <c r="AG35" s="118">
        <f t="shared" si="1"/>
        <v>108</v>
      </c>
      <c r="AH35" s="399">
        <v>0.0746180555555556</v>
      </c>
      <c r="AI35" s="120">
        <f t="shared" si="2"/>
        <v>6480</v>
      </c>
      <c r="AJ35" s="270">
        <v>169</v>
      </c>
      <c r="AK35" s="270">
        <v>43</v>
      </c>
      <c r="AL35" s="486">
        <v>0.00111111111111111</v>
      </c>
      <c r="AM35" s="487" t="s">
        <v>245</v>
      </c>
    </row>
    <row r="36" s="413" customFormat="1" ht="23.1" customHeight="1" spans="1:39">
      <c r="A36" s="156">
        <v>32</v>
      </c>
      <c r="B36" s="277"/>
      <c r="C36" s="351" t="s">
        <v>120</v>
      </c>
      <c r="D36" s="431"/>
      <c r="E36" s="432">
        <v>23</v>
      </c>
      <c r="F36" s="433" t="s">
        <v>298</v>
      </c>
      <c r="G36" s="434" t="s">
        <v>299</v>
      </c>
      <c r="H36" s="434" t="str">
        <f t="shared" si="0"/>
        <v>Department Q: The Absent One (T)</v>
      </c>
      <c r="I36" s="446" t="s">
        <v>124</v>
      </c>
      <c r="J36" s="446" t="s">
        <v>124</v>
      </c>
      <c r="K36" s="446"/>
      <c r="L36" s="446" t="s">
        <v>124</v>
      </c>
      <c r="M36" s="446" t="s">
        <v>124</v>
      </c>
      <c r="N36" s="447" t="s">
        <v>300</v>
      </c>
      <c r="O36" s="448"/>
      <c r="P36" s="449" t="s">
        <v>301</v>
      </c>
      <c r="Q36" s="463"/>
      <c r="R36" s="243" t="str">
        <f>CONCATENATE(RemovePunctuation(G36),"_","i4K","_","CA_",C36,"_",AK36,"_",PROPER(AA36),IF(AB36="",PROPER(AA36),PROPER(AB36)),PROPER(AC36),PROPER(AD36),PROPER(AE36),IF(AE36&lt;&gt;"","SUB",""),PROPER(AF36),IF(AF36&lt;&gt;"","SUB",""),"_","Ed","_","M1",".mpg")</f>
        <v>DepartmentQTheAbsentOne_i4K_CA_0825_43_DanDanEngSUBZhoSUB_Ed_M1.mpg</v>
      </c>
      <c r="S36" s="243" t="str">
        <f>CONCATENATE(RemovePunctuation(G36),"_","i5K","_","CA_",C36,"_",AJ36,"_",PROPER(AA36),IF(AB36="",PROPER(AA36),PROPER(AB36)),PROPER(AC36),PROPER(AD36),PROPER(AE36),IF(AE36&lt;&gt;"","SUB",""),PROPER(AF36),IF(AF36&lt;&gt;"","SUB",""),"_","Ed","_","M4",".mpg")</f>
        <v>DepartmentQTheAbsentOne_i5K_CA_0825_169_DanDanEngSUBZhoSUB_Ed_M4.mpg</v>
      </c>
      <c r="T36" s="464" t="str">
        <f>CONCATENATE(RemovePunctuation(G36),"TR","_CA","_",C36,"_",AJ36,"_",PROPER(AA36),PROPER(AA36),"_","Ed","_","M2",".mpg")</f>
        <v>DepartmentQTheAbsentOneTR_CA_0825_169_DanDan_Ed_M2.mpg</v>
      </c>
      <c r="U36" s="465" t="s">
        <v>127</v>
      </c>
      <c r="V36" s="466"/>
      <c r="W36" s="467" t="s">
        <v>128</v>
      </c>
      <c r="X36" s="468">
        <v>2014</v>
      </c>
      <c r="Y36" s="383" t="s">
        <v>129</v>
      </c>
      <c r="Z36" s="383" t="s">
        <v>129</v>
      </c>
      <c r="AA36" s="383" t="s">
        <v>297</v>
      </c>
      <c r="AB36" s="383"/>
      <c r="AC36" s="383"/>
      <c r="AD36" s="383"/>
      <c r="AE36" s="383" t="s">
        <v>131</v>
      </c>
      <c r="AF36" s="383" t="s">
        <v>130</v>
      </c>
      <c r="AG36" s="118">
        <f t="shared" si="1"/>
        <v>116</v>
      </c>
      <c r="AH36" s="399">
        <v>0.0802199074074074</v>
      </c>
      <c r="AI36" s="120">
        <f t="shared" si="2"/>
        <v>6960</v>
      </c>
      <c r="AJ36" s="270">
        <v>169</v>
      </c>
      <c r="AK36" s="270">
        <v>43</v>
      </c>
      <c r="AL36" s="486">
        <v>0.00121527777777778</v>
      </c>
      <c r="AM36" s="487" t="s">
        <v>245</v>
      </c>
    </row>
    <row r="37" s="413" customFormat="1" ht="23.1" customHeight="1" spans="1:39">
      <c r="A37" s="156">
        <v>33</v>
      </c>
      <c r="B37" s="277"/>
      <c r="C37" s="351" t="s">
        <v>120</v>
      </c>
      <c r="D37" s="431"/>
      <c r="E37" s="432">
        <v>24</v>
      </c>
      <c r="F37" s="433" t="s">
        <v>302</v>
      </c>
      <c r="G37" s="434" t="s">
        <v>303</v>
      </c>
      <c r="H37" s="434" t="str">
        <f t="shared" si="0"/>
        <v>Department Q: The Keeper of Lost Causes (T)</v>
      </c>
      <c r="I37" s="446" t="s">
        <v>124</v>
      </c>
      <c r="J37" s="446" t="s">
        <v>124</v>
      </c>
      <c r="K37" s="446" t="s">
        <v>124</v>
      </c>
      <c r="L37" s="446" t="s">
        <v>124</v>
      </c>
      <c r="M37" s="446" t="s">
        <v>124</v>
      </c>
      <c r="N37" s="447" t="s">
        <v>304</v>
      </c>
      <c r="O37" s="448" t="s">
        <v>305</v>
      </c>
      <c r="P37" s="449" t="s">
        <v>306</v>
      </c>
      <c r="Q37" s="463" t="s">
        <v>307</v>
      </c>
      <c r="R37" s="243" t="str">
        <f>CONCATENATE(RemovePunctuation(G37),"_","i4K","_","CA_",C37,"_",AK37,"_",PROPER(AA37),IF(AB37="",PROPER(AA37),PROPER(AB37)),PROPER(AC37),PROPER(AD37),PROPER(AE37),IF(AE37&lt;&gt;"","SUB",""),PROPER(AF37),IF(AF37&lt;&gt;"","SUB",""),"_","Ed","_","M1",".mpg")</f>
        <v>DepartmentQTheKeeperofLostCauses_i4K_CA_0825_43_DanDanEngSUBZhoSUB_Ed_M1.mpg</v>
      </c>
      <c r="S37" s="243" t="str">
        <f>CONCATENATE(RemovePunctuation(G37),"_","i5K","_","CA_",C37,"_",AJ37,"_",PROPER(AA37),IF(AB37="",PROPER(AA37),PROPER(AB37)),PROPER(AC37),PROPER(AD37),PROPER(AE37),IF(AE37&lt;&gt;"","SUB",""),PROPER(AF37),IF(AF37&lt;&gt;"","SUB",""),"_","Ed","_","M4",".mpg")</f>
        <v>DepartmentQTheKeeperofLostCauses_i5K_CA_0825_169_DanDanEngSUBZhoSUB_Ed_M4.mpg</v>
      </c>
      <c r="T37" s="464" t="str">
        <f>CONCATENATE(RemovePunctuation(G37),"TR","_CA","_",C37,"_",AJ37,"_",PROPER(AA37),PROPER(AA37),"_","Ed","_","M2",".mpg")</f>
        <v>DepartmentQTheKeeperofLostCausesTR_CA_0825_169_DanDan_Ed_M2.mpg</v>
      </c>
      <c r="U37" s="465" t="s">
        <v>127</v>
      </c>
      <c r="V37" s="466"/>
      <c r="W37" s="467" t="s">
        <v>128</v>
      </c>
      <c r="X37" s="468">
        <v>2013</v>
      </c>
      <c r="Y37" s="383" t="s">
        <v>129</v>
      </c>
      <c r="Z37" s="383" t="s">
        <v>129</v>
      </c>
      <c r="AA37" s="383" t="s">
        <v>297</v>
      </c>
      <c r="AB37" s="383"/>
      <c r="AC37" s="383"/>
      <c r="AD37" s="383"/>
      <c r="AE37" s="383" t="s">
        <v>131</v>
      </c>
      <c r="AF37" s="383" t="s">
        <v>130</v>
      </c>
      <c r="AG37" s="118">
        <f t="shared" si="1"/>
        <v>93</v>
      </c>
      <c r="AH37" s="399">
        <v>0.0643634259259259</v>
      </c>
      <c r="AI37" s="120">
        <f t="shared" si="2"/>
        <v>5580</v>
      </c>
      <c r="AJ37" s="270">
        <v>169</v>
      </c>
      <c r="AK37" s="270">
        <v>43</v>
      </c>
      <c r="AL37" s="486">
        <v>0.00112268518518519</v>
      </c>
      <c r="AM37" s="487" t="s">
        <v>245</v>
      </c>
    </row>
    <row r="38" s="413" customFormat="1" ht="23.1" customHeight="1" spans="1:39">
      <c r="A38" s="156">
        <v>34</v>
      </c>
      <c r="B38" s="277"/>
      <c r="C38" s="351" t="s">
        <v>120</v>
      </c>
      <c r="D38" s="437" t="s">
        <v>308</v>
      </c>
      <c r="E38" s="432">
        <v>1</v>
      </c>
      <c r="F38" s="433" t="s">
        <v>309</v>
      </c>
      <c r="G38" s="434" t="s">
        <v>310</v>
      </c>
      <c r="H38" s="434" t="str">
        <f t="shared" si="0"/>
        <v>Ala Changso (T)</v>
      </c>
      <c r="I38" s="446" t="s">
        <v>124</v>
      </c>
      <c r="J38" s="446" t="s">
        <v>124</v>
      </c>
      <c r="K38" s="446" t="s">
        <v>124</v>
      </c>
      <c r="L38" s="446" t="s">
        <v>124</v>
      </c>
      <c r="M38" s="446" t="s">
        <v>124</v>
      </c>
      <c r="N38" s="447" t="s">
        <v>311</v>
      </c>
      <c r="O38" s="448" t="s">
        <v>312</v>
      </c>
      <c r="P38" s="449" t="s">
        <v>313</v>
      </c>
      <c r="Q38" s="463" t="s">
        <v>314</v>
      </c>
      <c r="R38" s="243" t="str">
        <f>CONCATENATE(RemovePunctuation(G38),"_","i4K","_","CA_",C38,"_",AK38,"_",PROPER(AA38),IF(AB38="",PROPER(AA38),PROPER(AB38)),PROPER(AC38),PROPER(AD38),PROPER(AE38),IF(AE38&lt;&gt;"","SUB",""),PROPER(AF38),IF(AF38&lt;&gt;"","SUB",""),"_","Ed","_","M1",".mpg")</f>
        <v>AlaChangso_i4K_CA_0825_43_ZhoZhoEngSUBZhoSUB_Ed_M1.mpg</v>
      </c>
      <c r="S38" s="243" t="str">
        <f>CONCATENATE(RemovePunctuation(G38),"_","i5K","_","CA_",C38,"_",AJ38,"_",PROPER(AA38),IF(AB38="",PROPER(AA38),PROPER(AB38)),PROPER(AC38),PROPER(AD38),PROPER(AE38),IF(AE38&lt;&gt;"","SUB",""),PROPER(AF38),IF(AF38&lt;&gt;"","SUB",""),"_","Ed","_","M4",".mpg")</f>
        <v>AlaChangso_i5K_CA_0825_169_ZhoZhoEngSUBZhoSUB_Ed_M4.mpg</v>
      </c>
      <c r="T38" s="464" t="str">
        <f>CONCATENATE(RemovePunctuation(G38),"TR","_CA","_",C38,"_",AJ38,"_",PROPER(AA38),PROPER(AA38),"_","Ed","_","M2",".mpg")</f>
        <v>AlaChangsoTR_CA_0825_169_ZhoZho_Ed_M2.mpg</v>
      </c>
      <c r="U38" s="465" t="s">
        <v>144</v>
      </c>
      <c r="V38" s="466"/>
      <c r="W38" s="467" t="s">
        <v>139</v>
      </c>
      <c r="X38" s="468">
        <v>2018</v>
      </c>
      <c r="Y38" s="383" t="s">
        <v>129</v>
      </c>
      <c r="Z38" s="383" t="s">
        <v>129</v>
      </c>
      <c r="AA38" s="383" t="s">
        <v>130</v>
      </c>
      <c r="AB38" s="383"/>
      <c r="AC38" s="383"/>
      <c r="AD38" s="383"/>
      <c r="AE38" s="383" t="s">
        <v>131</v>
      </c>
      <c r="AF38" s="383" t="s">
        <v>130</v>
      </c>
      <c r="AG38" s="118">
        <f t="shared" si="1"/>
        <v>110</v>
      </c>
      <c r="AH38" s="399">
        <v>0.0759837962962963</v>
      </c>
      <c r="AI38" s="120">
        <f t="shared" si="2"/>
        <v>6600</v>
      </c>
      <c r="AJ38" s="270">
        <v>169</v>
      </c>
      <c r="AK38" s="270">
        <v>43</v>
      </c>
      <c r="AL38" s="486">
        <v>0.00128472222222222</v>
      </c>
      <c r="AM38" s="487" t="s">
        <v>145</v>
      </c>
    </row>
    <row r="39" s="413" customFormat="1" ht="23.1" customHeight="1" spans="1:39">
      <c r="A39" s="156">
        <v>35</v>
      </c>
      <c r="B39" s="277"/>
      <c r="C39" s="351" t="s">
        <v>120</v>
      </c>
      <c r="D39" s="437"/>
      <c r="E39" s="432">
        <v>2</v>
      </c>
      <c r="F39" s="433" t="s">
        <v>315</v>
      </c>
      <c r="G39" s="434" t="s">
        <v>316</v>
      </c>
      <c r="H39" s="434" t="str">
        <f t="shared" si="0"/>
        <v>Breakup Buddies (T)</v>
      </c>
      <c r="I39" s="446" t="s">
        <v>124</v>
      </c>
      <c r="J39" s="446" t="s">
        <v>124</v>
      </c>
      <c r="K39" s="446"/>
      <c r="L39" s="446" t="s">
        <v>124</v>
      </c>
      <c r="M39" s="446" t="s">
        <v>124</v>
      </c>
      <c r="N39" s="447" t="s">
        <v>317</v>
      </c>
      <c r="O39" s="448"/>
      <c r="P39" s="449" t="s">
        <v>318</v>
      </c>
      <c r="Q39" s="463"/>
      <c r="R39" s="243" t="str">
        <f>CONCATENATE(RemovePunctuation(G39),"_","i4K","_","CA_",C39,"_",AK39,"_",PROPER(AA39),IF(AB39="",PROPER(AA39),PROPER(AB39)),PROPER(AC39),PROPER(AD39),PROPER(AE39),IF(AE39&lt;&gt;"","SUB",""),PROPER(AF39),IF(AF39&lt;&gt;"","SUB",""),"_","Ed","_","M1",".mpg")</f>
        <v>BreakupBuddies_i4K_CA_0825_43_ZhoZhoEngSUBZhoSUB_Ed_M1.mpg</v>
      </c>
      <c r="S39" s="243" t="str">
        <f>CONCATENATE(RemovePunctuation(G39),"_","i5K","_","CA_",C39,"_",AJ39,"_",PROPER(AA39),IF(AB39="",PROPER(AA39),PROPER(AB39)),PROPER(AC39),PROPER(AD39),PROPER(AE39),IF(AE39&lt;&gt;"","SUB",""),PROPER(AF39),IF(AF39&lt;&gt;"","SUB",""),"_","Ed","_","M4",".mpg")</f>
        <v>BreakupBuddies_i5K_CA_0825_169_ZhoZhoEngSUBZhoSUB_Ed_M4.mpg</v>
      </c>
      <c r="T39" s="464" t="str">
        <f>CONCATENATE(RemovePunctuation(G39),"TR","_CA","_",C39,"_",AJ39,"_",PROPER(AA39),PROPER(AA39),"_","Ed","_","M2",".mpg")</f>
        <v>BreakupBuddiesTR_CA_0825_169_ZhoZho_Ed_M2.mpg</v>
      </c>
      <c r="U39" s="465" t="s">
        <v>144</v>
      </c>
      <c r="V39" s="466"/>
      <c r="W39" s="467" t="s">
        <v>139</v>
      </c>
      <c r="X39" s="468">
        <v>2014</v>
      </c>
      <c r="Y39" s="383" t="s">
        <v>129</v>
      </c>
      <c r="Z39" s="383" t="s">
        <v>129</v>
      </c>
      <c r="AA39" s="383" t="s">
        <v>130</v>
      </c>
      <c r="AB39" s="383"/>
      <c r="AC39" s="383"/>
      <c r="AD39" s="383"/>
      <c r="AE39" s="383" t="s">
        <v>131</v>
      </c>
      <c r="AF39" s="383" t="s">
        <v>130</v>
      </c>
      <c r="AG39" s="118">
        <f t="shared" si="1"/>
        <v>114</v>
      </c>
      <c r="AH39" s="399">
        <v>0.0784953703703704</v>
      </c>
      <c r="AI39" s="120">
        <f t="shared" si="2"/>
        <v>6840</v>
      </c>
      <c r="AJ39" s="270">
        <v>169</v>
      </c>
      <c r="AK39" s="270">
        <v>43</v>
      </c>
      <c r="AL39" s="486">
        <v>0.00181712962962963</v>
      </c>
      <c r="AM39" s="487" t="s">
        <v>145</v>
      </c>
    </row>
    <row r="40" s="413" customFormat="1" ht="23.1" customHeight="1" spans="1:39">
      <c r="A40" s="156">
        <v>36</v>
      </c>
      <c r="B40" s="277"/>
      <c r="C40" s="351" t="s">
        <v>120</v>
      </c>
      <c r="D40" s="437"/>
      <c r="E40" s="432">
        <v>3</v>
      </c>
      <c r="F40" s="433" t="s">
        <v>319</v>
      </c>
      <c r="G40" s="434" t="s">
        <v>320</v>
      </c>
      <c r="H40" s="434" t="str">
        <f t="shared" si="0"/>
        <v>Get Help (T)</v>
      </c>
      <c r="I40" s="446" t="s">
        <v>124</v>
      </c>
      <c r="J40" s="446" t="s">
        <v>124</v>
      </c>
      <c r="K40" s="446" t="s">
        <v>124</v>
      </c>
      <c r="L40" s="446" t="s">
        <v>124</v>
      </c>
      <c r="M40" s="446" t="s">
        <v>124</v>
      </c>
      <c r="N40" s="447" t="s">
        <v>321</v>
      </c>
      <c r="O40" s="448" t="s">
        <v>322</v>
      </c>
      <c r="P40" s="449" t="s">
        <v>323</v>
      </c>
      <c r="Q40" s="463" t="s">
        <v>324</v>
      </c>
      <c r="R40" s="243" t="str">
        <f>CONCATENATE(RemovePunctuation(G40),"_","i4K","_","CA_",C40,"_",AK40,"_",PROPER(AA40),IF(AB40="",PROPER(AA40),PROPER(AB40)),PROPER(AC40),PROPER(AD40),PROPER(AE40),IF(AE40&lt;&gt;"","SUB",""),PROPER(AF40),IF(AF40&lt;&gt;"","SUB",""),"_","Ed","_","M1",".mpg")</f>
        <v>GetHelp_i4K_CA_0825_43_ItaItaEngSUBZhoSUB_Ed_M1.mpg</v>
      </c>
      <c r="S40" s="243" t="str">
        <f>CONCATENATE(RemovePunctuation(G40),"_","i5K","_","CA_",C40,"_",AJ40,"_",PROPER(AA40),IF(AB40="",PROPER(AA40),PROPER(AB40)),PROPER(AC40),PROPER(AD40),PROPER(AE40),IF(AE40&lt;&gt;"","SUB",""),PROPER(AF40),IF(AF40&lt;&gt;"","SUB",""),"_","Ed","_","M4",".mpg")</f>
        <v>GetHelp_i5K_CA_0825_169_ItaItaEngSUBZhoSUB_Ed_M4.mpg</v>
      </c>
      <c r="T40" s="464" t="str">
        <f>CONCATENATE(RemovePunctuation(G40),"TR","_CA","_",C40,"_",AJ40,"_",PROPER(AA40),PROPER(AA40),"_","Ed","_","M2",".mpg")</f>
        <v>GetHelpTR_CA_0825_169_ItaIta_Ed_M2.mpg</v>
      </c>
      <c r="U40" s="465" t="s">
        <v>127</v>
      </c>
      <c r="V40" s="466"/>
      <c r="W40" s="467" t="s">
        <v>128</v>
      </c>
      <c r="X40" s="468">
        <v>2025</v>
      </c>
      <c r="Y40" s="383" t="s">
        <v>129</v>
      </c>
      <c r="Z40" s="383" t="s">
        <v>129</v>
      </c>
      <c r="AA40" s="383" t="s">
        <v>280</v>
      </c>
      <c r="AB40" s="383"/>
      <c r="AC40" s="383"/>
      <c r="AD40" s="383"/>
      <c r="AE40" s="383" t="s">
        <v>131</v>
      </c>
      <c r="AF40" s="383" t="s">
        <v>130</v>
      </c>
      <c r="AG40" s="118">
        <f t="shared" si="1"/>
        <v>104</v>
      </c>
      <c r="AH40" s="399">
        <v>0.0716550925925926</v>
      </c>
      <c r="AI40" s="120">
        <f t="shared" si="2"/>
        <v>6240</v>
      </c>
      <c r="AJ40" s="270">
        <v>169</v>
      </c>
      <c r="AK40" s="270">
        <v>43</v>
      </c>
      <c r="AL40" s="486">
        <v>0.00114583333333333</v>
      </c>
      <c r="AM40" s="487" t="s">
        <v>132</v>
      </c>
    </row>
    <row r="41" s="413" customFormat="1" ht="23.1" customHeight="1" spans="1:39">
      <c r="A41" s="156">
        <v>37</v>
      </c>
      <c r="B41" s="277"/>
      <c r="C41" s="351" t="s">
        <v>120</v>
      </c>
      <c r="D41" s="437"/>
      <c r="E41" s="432">
        <v>4</v>
      </c>
      <c r="F41" s="433" t="s">
        <v>325</v>
      </c>
      <c r="G41" s="434" t="s">
        <v>326</v>
      </c>
      <c r="H41" s="434" t="str">
        <f t="shared" si="0"/>
        <v>Cape No. 7 (T)</v>
      </c>
      <c r="I41" s="446" t="s">
        <v>124</v>
      </c>
      <c r="J41" s="446" t="s">
        <v>124</v>
      </c>
      <c r="K41" s="446" t="s">
        <v>124</v>
      </c>
      <c r="L41" s="446" t="s">
        <v>124</v>
      </c>
      <c r="M41" s="446" t="s">
        <v>124</v>
      </c>
      <c r="N41" s="447" t="s">
        <v>327</v>
      </c>
      <c r="O41" s="448" t="s">
        <v>328</v>
      </c>
      <c r="P41" s="449" t="s">
        <v>329</v>
      </c>
      <c r="Q41" s="463" t="s">
        <v>330</v>
      </c>
      <c r="R41" s="243" t="str">
        <f>CONCATENATE(RemovePunctuation(G41),"_","i4K","_","CA_",C41,"_",AK41,"_",PROPER(AA41),IF(AB41="",PROPER(AA41),PROPER(AB41)),PROPER(AC41),PROPER(AD41),PROPER(AE41),IF(AE41&lt;&gt;"","SUB",""),PROPER(AF41),IF(AF41&lt;&gt;"","SUB",""),"_","Ed","_","M1",".mpg")</f>
        <v>CapeNo7_i4K_CA_0825_43_ZhoZhoZhoSUB_Ed_M1.mpg</v>
      </c>
      <c r="S41" s="243" t="str">
        <f>CONCATENATE(RemovePunctuation(G41),"_","i5K","_","CA_",C41,"_",AJ41,"_",PROPER(AA41),IF(AB41="",PROPER(AA41),PROPER(AB41)),PROPER(AC41),PROPER(AD41),PROPER(AE41),IF(AE41&lt;&gt;"","SUB",""),PROPER(AF41),IF(AF41&lt;&gt;"","SUB",""),"_","Ed","_","M4",".mpg")</f>
        <v>CapeNo7_i5K_CA_0825_169_ZhoZhoZhoSUB_Ed_M4.mpg</v>
      </c>
      <c r="T41" s="464" t="str">
        <f>CONCATENATE(RemovePunctuation(G41),"TR","_CA","_",C41,"_",AJ41,"_",PROPER(AA41),PROPER(AA41),"_","Ed","_","M2",".mpg")</f>
        <v>CapeNo7TR_CA_0825_169_ZhoZho_Ed_M2.mpg</v>
      </c>
      <c r="U41" s="465" t="s">
        <v>144</v>
      </c>
      <c r="V41" s="466"/>
      <c r="W41" s="467" t="s">
        <v>139</v>
      </c>
      <c r="X41" s="468">
        <v>2009</v>
      </c>
      <c r="Y41" s="383" t="s">
        <v>129</v>
      </c>
      <c r="Z41" s="383" t="s">
        <v>129</v>
      </c>
      <c r="AA41" s="383" t="s">
        <v>130</v>
      </c>
      <c r="AB41" s="383"/>
      <c r="AC41" s="383"/>
      <c r="AD41" s="383"/>
      <c r="AE41" s="383" t="s">
        <v>130</v>
      </c>
      <c r="AF41" s="383"/>
      <c r="AG41" s="118">
        <f t="shared" si="1"/>
        <v>120</v>
      </c>
      <c r="AH41" s="399">
        <v>0.0828240740740741</v>
      </c>
      <c r="AI41" s="120">
        <f t="shared" si="2"/>
        <v>7200</v>
      </c>
      <c r="AJ41" s="270">
        <v>169</v>
      </c>
      <c r="AK41" s="270">
        <v>43</v>
      </c>
      <c r="AL41" s="486">
        <v>0.000428240740740741</v>
      </c>
      <c r="AM41" s="487" t="s">
        <v>145</v>
      </c>
    </row>
    <row r="42" s="413" customFormat="1" ht="23.1" customHeight="1" spans="1:39">
      <c r="A42" s="156">
        <v>38</v>
      </c>
      <c r="B42" s="277"/>
      <c r="C42" s="351" t="s">
        <v>120</v>
      </c>
      <c r="D42" s="436" t="s">
        <v>331</v>
      </c>
      <c r="E42" s="432">
        <v>1</v>
      </c>
      <c r="F42" s="433" t="s">
        <v>332</v>
      </c>
      <c r="G42" s="434" t="s">
        <v>333</v>
      </c>
      <c r="H42" s="434" t="str">
        <f t="shared" si="0"/>
        <v>The Visitors (T)</v>
      </c>
      <c r="I42" s="446" t="s">
        <v>124</v>
      </c>
      <c r="J42" s="446" t="s">
        <v>124</v>
      </c>
      <c r="K42" s="446" t="s">
        <v>124</v>
      </c>
      <c r="L42" s="446" t="s">
        <v>124</v>
      </c>
      <c r="M42" s="446" t="s">
        <v>124</v>
      </c>
      <c r="N42" s="447" t="s">
        <v>334</v>
      </c>
      <c r="O42" s="448" t="s">
        <v>335</v>
      </c>
      <c r="P42" s="449" t="s">
        <v>336</v>
      </c>
      <c r="Q42" s="463" t="s">
        <v>337</v>
      </c>
      <c r="R42" s="243" t="str">
        <f>CONCATENATE(RemovePunctuation(G42),"_","i4K","_","CA_",C42,"_",AK42,"_",PROPER(AA42),IF(AB42="",PROPER(AA42),PROPER(AB42)),PROPER(AC42),PROPER(AD42),PROPER(AE42),IF(AE42&lt;&gt;"","SUB",""),PROPER(AF42),IF(AF42&lt;&gt;"","SUB",""),"_","Ed","_","M1",".mpg")</f>
        <v>TheVisitors_i4K_CA_0825_43_FraFraEngSUBZhoSUB_Ed_M1.mpg</v>
      </c>
      <c r="S42" s="243" t="str">
        <f>CONCATENATE(RemovePunctuation(G42),"_","i5K","_","CA_",C42,"_",AJ42,"_",PROPER(AA42),IF(AB42="",PROPER(AA42),PROPER(AB42)),PROPER(AC42),PROPER(AD42),PROPER(AE42),IF(AE42&lt;&gt;"","SUB",""),PROPER(AF42),IF(AF42&lt;&gt;"","SUB",""),"_","Ed","_","M4",".mpg")</f>
        <v>TheVisitors_i5K_CA_0825_169_FraFraEngSUBZhoSUB_Ed_M4.mpg</v>
      </c>
      <c r="T42" s="464" t="str">
        <f>CONCATENATE(RemovePunctuation(G42),"TR","_CA","_",C42,"_",AJ42,"_",PROPER(AA42),PROPER(AA42),"_","Ed","_","M2",".mpg")</f>
        <v>TheVisitorsTR_CA_0825_169_FraFra_Ed_M2.mpg</v>
      </c>
      <c r="U42" s="465" t="s">
        <v>127</v>
      </c>
      <c r="V42" s="466"/>
      <c r="W42" s="467" t="s">
        <v>338</v>
      </c>
      <c r="X42" s="468">
        <v>1993</v>
      </c>
      <c r="Y42" s="383" t="s">
        <v>129</v>
      </c>
      <c r="Z42" s="383" t="s">
        <v>129</v>
      </c>
      <c r="AA42" s="383" t="s">
        <v>256</v>
      </c>
      <c r="AB42" s="383"/>
      <c r="AC42" s="383"/>
      <c r="AD42" s="383"/>
      <c r="AE42" s="383" t="s">
        <v>131</v>
      </c>
      <c r="AF42" s="383" t="s">
        <v>130</v>
      </c>
      <c r="AG42" s="118">
        <f t="shared" si="1"/>
        <v>104</v>
      </c>
      <c r="AH42" s="399">
        <v>0.0722222222222222</v>
      </c>
      <c r="AI42" s="120">
        <f t="shared" si="2"/>
        <v>6240</v>
      </c>
      <c r="AJ42" s="270">
        <v>169</v>
      </c>
      <c r="AK42" s="270">
        <v>43</v>
      </c>
      <c r="AL42" s="486">
        <v>0.00200231481481481</v>
      </c>
      <c r="AM42" s="487" t="s">
        <v>245</v>
      </c>
    </row>
    <row r="43" s="413" customFormat="1" ht="23.1" customHeight="1" spans="1:39">
      <c r="A43" s="156">
        <v>39</v>
      </c>
      <c r="B43" s="277"/>
      <c r="C43" s="351" t="s">
        <v>120</v>
      </c>
      <c r="D43" s="431" t="s">
        <v>339</v>
      </c>
      <c r="E43" s="432">
        <v>1</v>
      </c>
      <c r="F43" s="433" t="s">
        <v>340</v>
      </c>
      <c r="G43" s="434" t="s">
        <v>341</v>
      </c>
      <c r="H43" s="434" t="str">
        <f t="shared" si="0"/>
        <v>I Am What I Am 2 (T)</v>
      </c>
      <c r="I43" s="446" t="s">
        <v>124</v>
      </c>
      <c r="J43" s="446" t="s">
        <v>124</v>
      </c>
      <c r="K43" s="446" t="s">
        <v>124</v>
      </c>
      <c r="L43" s="446" t="s">
        <v>124</v>
      </c>
      <c r="M43" s="446" t="s">
        <v>124</v>
      </c>
      <c r="N43" s="447" t="s">
        <v>342</v>
      </c>
      <c r="O43" s="448" t="s">
        <v>343</v>
      </c>
      <c r="P43" s="449" t="s">
        <v>344</v>
      </c>
      <c r="Q43" s="463" t="s">
        <v>345</v>
      </c>
      <c r="R43" s="243" t="str">
        <f>CONCATENATE(RemovePunctuation(G43),"_","i4K","_","CA_",C43,"_",AK43,"_",PROPER(AA43),IF(AB43="",PROPER(AA43),PROPER(AB43)),PROPER(AC43),PROPER(AD43),PROPER(AE43),IF(AE43&lt;&gt;"","SUB",""),PROPER(AF43),IF(AF43&lt;&gt;"","SUB",""),"_","Ed","_","M1",".mpg")</f>
        <v>IAmWhatIAm2_i4K_CA_0825_43_ZhoZhoEngSUBZhoSUB_Ed_M1.mpg</v>
      </c>
      <c r="S43" s="243" t="str">
        <f>CONCATENATE(RemovePunctuation(G43),"_","i5K","_","CA_",C43,"_",AJ43,"_",PROPER(AA43),IF(AB43="",PROPER(AA43),PROPER(AB43)),PROPER(AC43),PROPER(AD43),PROPER(AE43),IF(AE43&lt;&gt;"","SUB",""),PROPER(AF43),IF(AF43&lt;&gt;"","SUB",""),"_","Ed","_","M4",".mpg")</f>
        <v>IAmWhatIAm2_i5K_CA_0825_169_ZhoZhoEngSUBZhoSUB_Ed_M4.mpg</v>
      </c>
      <c r="T43" s="464" t="str">
        <f>CONCATENATE(RemovePunctuation(G43),"TR","_CA","_",C43,"_",AJ43,"_",PROPER(AA43),PROPER(AA43),"_","Ed","_","M2",".mpg")</f>
        <v>IAmWhatIAm2TR_CA_0825_169_ZhoZho_Ed_M2.mpg</v>
      </c>
      <c r="U43" s="465" t="s">
        <v>127</v>
      </c>
      <c r="V43" s="466"/>
      <c r="W43" s="467" t="s">
        <v>139</v>
      </c>
      <c r="X43" s="468">
        <v>2024</v>
      </c>
      <c r="Y43" s="383" t="s">
        <v>129</v>
      </c>
      <c r="Z43" s="383" t="s">
        <v>129</v>
      </c>
      <c r="AA43" s="383" t="s">
        <v>130</v>
      </c>
      <c r="AB43" s="383"/>
      <c r="AC43" s="383"/>
      <c r="AD43" s="383"/>
      <c r="AE43" s="383" t="s">
        <v>131</v>
      </c>
      <c r="AF43" s="383" t="s">
        <v>130</v>
      </c>
      <c r="AG43" s="118">
        <f t="shared" si="1"/>
        <v>133</v>
      </c>
      <c r="AH43" s="399">
        <v>0.0921180555555555</v>
      </c>
      <c r="AI43" s="120">
        <f t="shared" si="2"/>
        <v>7980</v>
      </c>
      <c r="AJ43" s="270">
        <v>169</v>
      </c>
      <c r="AK43" s="270">
        <v>43</v>
      </c>
      <c r="AL43" s="486">
        <v>0.00150462962962963</v>
      </c>
      <c r="AM43" s="487" t="s">
        <v>132</v>
      </c>
    </row>
    <row r="44" s="413" customFormat="1" ht="23.1" customHeight="1" spans="1:39">
      <c r="A44" s="156">
        <v>40</v>
      </c>
      <c r="B44" s="277"/>
      <c r="C44" s="351" t="s">
        <v>120</v>
      </c>
      <c r="D44" s="431"/>
      <c r="E44" s="432">
        <v>2</v>
      </c>
      <c r="F44" s="433" t="s">
        <v>346</v>
      </c>
      <c r="G44" s="434" t="s">
        <v>347</v>
      </c>
      <c r="H44" s="434" t="str">
        <f t="shared" si="0"/>
        <v>Qiaohu and the Fantastic Flying Ship (T)</v>
      </c>
      <c r="I44" s="446" t="s">
        <v>124</v>
      </c>
      <c r="J44" s="446" t="s">
        <v>124</v>
      </c>
      <c r="K44" s="446"/>
      <c r="L44" s="446" t="s">
        <v>124</v>
      </c>
      <c r="M44" s="446" t="s">
        <v>124</v>
      </c>
      <c r="N44" s="447" t="s">
        <v>348</v>
      </c>
      <c r="O44" s="448"/>
      <c r="P44" s="449" t="s">
        <v>349</v>
      </c>
      <c r="Q44" s="463"/>
      <c r="R44" s="243" t="str">
        <f>CONCATENATE(RemovePunctuation(G44),"_","i4K","_","CA_",C44,"_",AK44,"_",PROPER(AA44),IF(AB44="",PROPER(AA44),PROPER(AB44)),PROPER(AC44),PROPER(AD44),PROPER(AE44),IF(AE44&lt;&gt;"","SUB",""),PROPER(AF44),IF(AF44&lt;&gt;"","SUB",""),"_","Ed","_","M1",".mpg")</f>
        <v>QiaohuandtheFantasticFlyingShip_i4K_CA_0825_43_ZhoZhoZhoSUB_Ed_M1.mpg</v>
      </c>
      <c r="S44" s="243" t="str">
        <f>CONCATENATE(RemovePunctuation(G44),"_","i5K","_","CA_",C44,"_",AJ44,"_",PROPER(AA44),IF(AB44="",PROPER(AA44),PROPER(AB44)),PROPER(AC44),PROPER(AD44),PROPER(AE44),IF(AE44&lt;&gt;"","SUB",""),PROPER(AF44),IF(AF44&lt;&gt;"","SUB",""),"_","Ed","_","M4",".mpg")</f>
        <v>QiaohuandtheFantasticFlyingShip_i5K_CA_0825_169_ZhoZhoZhoSUB_Ed_M4.mpg</v>
      </c>
      <c r="T44" s="464" t="str">
        <f>CONCATENATE(RemovePunctuation(G44),"TR","_CA","_",C44,"_",AJ44,"_",PROPER(AA44),PROPER(AA44),"_","Ed","_","M2",".mpg")</f>
        <v>QiaohuandtheFantasticFlyingShipTR_CA_0825_169_ZhoZho_Ed_M2.mpg</v>
      </c>
      <c r="U44" s="465" t="s">
        <v>127</v>
      </c>
      <c r="V44" s="466"/>
      <c r="W44" s="467" t="s">
        <v>128</v>
      </c>
      <c r="X44" s="468">
        <v>2019</v>
      </c>
      <c r="Y44" s="383" t="s">
        <v>129</v>
      </c>
      <c r="Z44" s="383" t="s">
        <v>129</v>
      </c>
      <c r="AA44" s="383" t="s">
        <v>130</v>
      </c>
      <c r="AB44" s="383"/>
      <c r="AC44" s="383"/>
      <c r="AD44" s="383"/>
      <c r="AE44" s="383" t="s">
        <v>130</v>
      </c>
      <c r="AF44" s="383"/>
      <c r="AG44" s="118">
        <f t="shared" si="1"/>
        <v>81</v>
      </c>
      <c r="AH44" s="399">
        <v>0.0560185185185185</v>
      </c>
      <c r="AI44" s="120">
        <f t="shared" si="2"/>
        <v>4860</v>
      </c>
      <c r="AJ44" s="270">
        <v>169</v>
      </c>
      <c r="AK44" s="270">
        <v>43</v>
      </c>
      <c r="AL44" s="486">
        <v>0.00126157407407407</v>
      </c>
      <c r="AM44" s="487" t="s">
        <v>245</v>
      </c>
    </row>
    <row r="45" s="413" customFormat="1" ht="23.1" customHeight="1" spans="1:39">
      <c r="A45" s="156">
        <v>41</v>
      </c>
      <c r="B45" s="277"/>
      <c r="C45" s="351" t="s">
        <v>120</v>
      </c>
      <c r="D45" s="431"/>
      <c r="E45" s="432">
        <v>3</v>
      </c>
      <c r="F45" s="433" t="s">
        <v>350</v>
      </c>
      <c r="G45" s="434" t="s">
        <v>351</v>
      </c>
      <c r="H45" s="434" t="str">
        <f t="shared" si="0"/>
        <v>Qiaohu and the Island of Rainbow Carnations (T)</v>
      </c>
      <c r="I45" s="446" t="s">
        <v>124</v>
      </c>
      <c r="J45" s="446" t="s">
        <v>124</v>
      </c>
      <c r="K45" s="446"/>
      <c r="L45" s="446" t="s">
        <v>124</v>
      </c>
      <c r="M45" s="446" t="s">
        <v>124</v>
      </c>
      <c r="N45" s="447" t="s">
        <v>352</v>
      </c>
      <c r="O45" s="448"/>
      <c r="P45" s="449" t="s">
        <v>353</v>
      </c>
      <c r="Q45" s="463"/>
      <c r="R45" s="243" t="str">
        <f>CONCATENATE(RemovePunctuation(G45),"_","i4K","_","CA_",C45,"_",AK45,"_",PROPER(AA45),IF(AB45="",PROPER(AA45),PROPER(AB45)),PROPER(AC45),PROPER(AD45),PROPER(AE45),IF(AE45&lt;&gt;"","SUB",""),PROPER(AF45),IF(AF45&lt;&gt;"","SUB",""),"_","Ed","_","M1",".mpg")</f>
        <v>QiaohuandtheIslandofRainbowCarnations_i4K_CA_0825_43_ZhoZhoZhoSUB_Ed_M1.mpg</v>
      </c>
      <c r="S45" s="243" t="str">
        <f>CONCATENATE(RemovePunctuation(G45),"_","i5K","_","CA_",C45,"_",AJ45,"_",PROPER(AA45),IF(AB45="",PROPER(AA45),PROPER(AB45)),PROPER(AC45),PROPER(AD45),PROPER(AE45),IF(AE45&lt;&gt;"","SUB",""),PROPER(AF45),IF(AF45&lt;&gt;"","SUB",""),"_","Ed","_","M4",".mpg")</f>
        <v>QiaohuandtheIslandofRainbowCarnations_i5K_CA_0825_169_ZhoZhoZhoSUB_Ed_M4.mpg</v>
      </c>
      <c r="T45" s="464" t="str">
        <f>CONCATENATE(RemovePunctuation(G45),"TR","_CA","_",C45,"_",AJ45,"_",PROPER(AA45),PROPER(AA45),"_","Ed","_","M2",".mpg")</f>
        <v>QiaohuandtheIslandofRainbowCarnationsTR_CA_0825_169_ZhoZho_Ed_M2.mpg</v>
      </c>
      <c r="U45" s="465" t="s">
        <v>127</v>
      </c>
      <c r="V45" s="466"/>
      <c r="W45" s="467" t="s">
        <v>128</v>
      </c>
      <c r="X45" s="468">
        <v>2021</v>
      </c>
      <c r="Y45" s="383" t="s">
        <v>129</v>
      </c>
      <c r="Z45" s="383" t="s">
        <v>129</v>
      </c>
      <c r="AA45" s="383" t="s">
        <v>130</v>
      </c>
      <c r="AB45" s="383"/>
      <c r="AC45" s="383"/>
      <c r="AD45" s="383"/>
      <c r="AE45" s="383" t="s">
        <v>130</v>
      </c>
      <c r="AF45" s="383"/>
      <c r="AG45" s="118">
        <f t="shared" si="1"/>
        <v>80</v>
      </c>
      <c r="AH45" s="399">
        <v>0.0552893518518519</v>
      </c>
      <c r="AI45" s="120">
        <f t="shared" si="2"/>
        <v>4800</v>
      </c>
      <c r="AJ45" s="270">
        <v>169</v>
      </c>
      <c r="AK45" s="270">
        <v>43</v>
      </c>
      <c r="AL45" s="486">
        <v>0.00172453703703704</v>
      </c>
      <c r="AM45" s="487" t="s">
        <v>245</v>
      </c>
    </row>
    <row r="46" s="413" customFormat="1" ht="23.1" customHeight="1" spans="1:39">
      <c r="A46" s="156">
        <v>42</v>
      </c>
      <c r="B46" s="277"/>
      <c r="C46" s="351" t="s">
        <v>120</v>
      </c>
      <c r="D46" s="431"/>
      <c r="E46" s="432">
        <v>4</v>
      </c>
      <c r="F46" s="433" t="s">
        <v>354</v>
      </c>
      <c r="G46" s="434" t="s">
        <v>355</v>
      </c>
      <c r="H46" s="434" t="str">
        <f t="shared" si="0"/>
        <v>200% Wolf (T)</v>
      </c>
      <c r="I46" s="446" t="s">
        <v>124</v>
      </c>
      <c r="J46" s="446" t="s">
        <v>124</v>
      </c>
      <c r="K46" s="446" t="s">
        <v>124</v>
      </c>
      <c r="L46" s="446" t="s">
        <v>124</v>
      </c>
      <c r="M46" s="446" t="s">
        <v>124</v>
      </c>
      <c r="N46" s="447" t="s">
        <v>356</v>
      </c>
      <c r="O46" s="448" t="s">
        <v>357</v>
      </c>
      <c r="P46" s="449" t="s">
        <v>358</v>
      </c>
      <c r="Q46" s="463" t="s">
        <v>359</v>
      </c>
      <c r="R46" s="243" t="str">
        <f>CONCATENATE(RemovePunctuation(G46),"_","i4K","_","CA_",C46,"_",AK46,"_",PROPER(AA46),IF(AB46="",PROPER(AA46),PROPER(AB46)),PROPER(AC46),PROPER(AD46),PROPER(AE46),IF(AE46&lt;&gt;"","SUB",""),PROPER(AF46),IF(AF46&lt;&gt;"","SUB",""),"_","Ed","_","M1",".mpg")</f>
        <v>200Wolf_i4K_CA_0825_43_EngEngZhoSUB_Ed_M1.mpg</v>
      </c>
      <c r="S46" s="243" t="str">
        <f>CONCATENATE(RemovePunctuation(G46),"_","i5K","_","CA_",C46,"_",AJ46,"_",PROPER(AA46),IF(AB46="",PROPER(AA46),PROPER(AB46)),PROPER(AC46),PROPER(AD46),PROPER(AE46),IF(AE46&lt;&gt;"","SUB",""),PROPER(AF46),IF(AF46&lt;&gt;"","SUB",""),"_","Ed","_","M4",".mpg")</f>
        <v>200Wolf_i5K_CA_0825_169_EngEngZhoSUB_Ed_M4.mpg</v>
      </c>
      <c r="T46" s="464" t="str">
        <f>CONCATENATE(RemovePunctuation(G46),"TR","_CA","_",C46,"_",AJ46,"_",PROPER(AA46),PROPER(AA46),"_","Ed","_","M2",".mpg")</f>
        <v>200WolfTR_CA_0825_169_EngEng_Ed_M2.mpg</v>
      </c>
      <c r="U46" s="465" t="s">
        <v>127</v>
      </c>
      <c r="V46" s="466"/>
      <c r="W46" s="467" t="s">
        <v>128</v>
      </c>
      <c r="X46" s="468">
        <v>2024</v>
      </c>
      <c r="Y46" s="383" t="s">
        <v>129</v>
      </c>
      <c r="Z46" s="383" t="s">
        <v>129</v>
      </c>
      <c r="AA46" s="383" t="s">
        <v>131</v>
      </c>
      <c r="AB46" s="383"/>
      <c r="AC46" s="383"/>
      <c r="AD46" s="383"/>
      <c r="AE46" s="383" t="s">
        <v>130</v>
      </c>
      <c r="AF46" s="383"/>
      <c r="AG46" s="118">
        <f t="shared" si="1"/>
        <v>98</v>
      </c>
      <c r="AH46" s="399">
        <v>0.067974537037037</v>
      </c>
      <c r="AI46" s="120">
        <f t="shared" si="2"/>
        <v>5880</v>
      </c>
      <c r="AJ46" s="270">
        <v>169</v>
      </c>
      <c r="AK46" s="270">
        <v>43</v>
      </c>
      <c r="AL46" s="486">
        <v>0.00105324074074074</v>
      </c>
      <c r="AM46" s="487" t="s">
        <v>132</v>
      </c>
    </row>
    <row r="47" s="413" customFormat="1" ht="23.1" customHeight="1" spans="1:39">
      <c r="A47" s="156">
        <v>43</v>
      </c>
      <c r="B47" s="277"/>
      <c r="C47" s="351" t="s">
        <v>120</v>
      </c>
      <c r="D47" s="431"/>
      <c r="E47" s="432">
        <v>5</v>
      </c>
      <c r="F47" s="433" t="s">
        <v>360</v>
      </c>
      <c r="G47" s="434" t="s">
        <v>361</v>
      </c>
      <c r="H47" s="434" t="str">
        <f t="shared" si="0"/>
        <v>Asterix Versus Caesar (T)</v>
      </c>
      <c r="I47" s="446" t="s">
        <v>124</v>
      </c>
      <c r="J47" s="446" t="s">
        <v>124</v>
      </c>
      <c r="K47" s="446" t="s">
        <v>124</v>
      </c>
      <c r="L47" s="446" t="s">
        <v>124</v>
      </c>
      <c r="M47" s="446" t="s">
        <v>124</v>
      </c>
      <c r="N47" s="447" t="s">
        <v>362</v>
      </c>
      <c r="O47" s="448" t="s">
        <v>363</v>
      </c>
      <c r="P47" s="449" t="s">
        <v>364</v>
      </c>
      <c r="Q47" s="463" t="s">
        <v>365</v>
      </c>
      <c r="R47" s="243" t="str">
        <f>CONCATENATE(RemovePunctuation(G47),"_","i4K","_","CA_",C47,"_",AK47,"_",PROPER(AA47),IF(AB47="",PROPER(AA47),PROPER(AB47)),PROPER(AC47),PROPER(AD47),PROPER(AE47),IF(AE47&lt;&gt;"","SUB",""),PROPER(AF47),IF(AF47&lt;&gt;"","SUB",""),"_","Ed","_","M1",".mpg")</f>
        <v>AsterixVersusCaesar_i4K_CA_0825_43_FraFraEngSUBZhoSUB_Ed_M1.mpg</v>
      </c>
      <c r="S47" s="243" t="str">
        <f>CONCATENATE(RemovePunctuation(G47),"_","i5K","_","CA_",C47,"_",AJ47,"_",PROPER(AA47),IF(AB47="",PROPER(AA47),PROPER(AB47)),PROPER(AC47),PROPER(AD47),PROPER(AE47),IF(AE47&lt;&gt;"","SUB",""),PROPER(AF47),IF(AF47&lt;&gt;"","SUB",""),"_","Ed","_","M4",".mpg")</f>
        <v>AsterixVersusCaesar_i5K_CA_0825_169_FraFraEngSUBZhoSUB_Ed_M4.mpg</v>
      </c>
      <c r="T47" s="464" t="str">
        <f>CONCATENATE(RemovePunctuation(G47),"TR","_CA","_",C47,"_",AJ47,"_",PROPER(AA47),PROPER(AA47),"_","Ed","_","M2",".mpg")</f>
        <v>AsterixVersusCaesarTR_CA_0825_169_FraFra_Ed_M2.mpg</v>
      </c>
      <c r="U47" s="465" t="s">
        <v>127</v>
      </c>
      <c r="V47" s="466"/>
      <c r="W47" s="467" t="s">
        <v>338</v>
      </c>
      <c r="X47" s="468">
        <v>1985</v>
      </c>
      <c r="Y47" s="383" t="s">
        <v>129</v>
      </c>
      <c r="Z47" s="383" t="s">
        <v>129</v>
      </c>
      <c r="AA47" s="383" t="s">
        <v>256</v>
      </c>
      <c r="AB47" s="383"/>
      <c r="AC47" s="383"/>
      <c r="AD47" s="383"/>
      <c r="AE47" s="383" t="s">
        <v>131</v>
      </c>
      <c r="AF47" s="383" t="s">
        <v>130</v>
      </c>
      <c r="AG47" s="118">
        <f t="shared" si="1"/>
        <v>77</v>
      </c>
      <c r="AH47" s="399">
        <v>0.0532986111111111</v>
      </c>
      <c r="AI47" s="120">
        <f t="shared" si="2"/>
        <v>4620</v>
      </c>
      <c r="AJ47" s="270">
        <v>169</v>
      </c>
      <c r="AK47" s="270">
        <v>43</v>
      </c>
      <c r="AL47" s="486">
        <v>0.00128472222222222</v>
      </c>
      <c r="AM47" s="487" t="s">
        <v>245</v>
      </c>
    </row>
    <row r="48" s="413" customFormat="1" ht="23" customHeight="1" spans="1:39">
      <c r="A48" s="156">
        <v>44</v>
      </c>
      <c r="B48" s="277"/>
      <c r="C48" s="351" t="s">
        <v>120</v>
      </c>
      <c r="D48" s="438" t="s">
        <v>366</v>
      </c>
      <c r="E48" s="245">
        <v>1</v>
      </c>
      <c r="F48" s="439" t="s">
        <v>367</v>
      </c>
      <c r="G48" s="245" t="s">
        <v>368</v>
      </c>
      <c r="H48" s="434" t="str">
        <f t="shared" ref="H48:H54" si="3">G48&amp;" (T)"</f>
        <v>New Onboard (T)</v>
      </c>
      <c r="I48" s="31" t="s">
        <v>124</v>
      </c>
      <c r="J48" s="31" t="s">
        <v>124</v>
      </c>
      <c r="K48" s="446" t="s">
        <v>124</v>
      </c>
      <c r="L48" s="31" t="s">
        <v>124</v>
      </c>
      <c r="M48" s="31" t="s">
        <v>124</v>
      </c>
      <c r="N48" s="447" t="s">
        <v>369</v>
      </c>
      <c r="O48" s="448" t="s">
        <v>370</v>
      </c>
      <c r="P48" s="450" t="s">
        <v>371</v>
      </c>
      <c r="Q48" s="469"/>
      <c r="R48" s="470" t="str">
        <f>CONCATENATE(RemovePunctuation(G48),,"_CA","_",C48,"_",AJ48,"_",PROPER(AA48),IF(AB48="",PROPER(AA48),PROPER(AB48)),PROPER(AC48),PROPER(AD48),PROPER(AE48),IF(AE48&lt;&gt;"","SUB",""),PROPER(AF48),IF(AF48&lt;&gt;"","SUB",""),"_","Ed","_","M2",".mpg")</f>
        <v>NewOnboard_CA_0825_169_EngEngEngSUBZhoSUB_Ed_M2.mpg</v>
      </c>
      <c r="S48" s="471"/>
      <c r="T48" s="472" t="s">
        <v>372</v>
      </c>
      <c r="U48" s="466"/>
      <c r="V48" s="466"/>
      <c r="W48" s="467" t="s">
        <v>139</v>
      </c>
      <c r="X48" s="466"/>
      <c r="Y48" s="383" t="s">
        <v>129</v>
      </c>
      <c r="Z48" s="383" t="s">
        <v>129</v>
      </c>
      <c r="AA48" s="383" t="s">
        <v>131</v>
      </c>
      <c r="AB48" s="478"/>
      <c r="AC48" s="478"/>
      <c r="AD48" s="478"/>
      <c r="AE48" s="383" t="s">
        <v>131</v>
      </c>
      <c r="AF48" s="383" t="s">
        <v>130</v>
      </c>
      <c r="AG48" s="118">
        <f t="shared" si="1"/>
        <v>2</v>
      </c>
      <c r="AH48" s="411">
        <v>0.00105324074074074</v>
      </c>
      <c r="AI48" s="120">
        <f t="shared" si="2"/>
        <v>120</v>
      </c>
      <c r="AJ48" s="270">
        <v>169</v>
      </c>
      <c r="AK48" s="270">
        <v>43</v>
      </c>
      <c r="AL48" s="486">
        <v>0.00105324074074074</v>
      </c>
      <c r="AM48" s="487"/>
    </row>
    <row r="49" s="413" customFormat="1" ht="23" customHeight="1" spans="1:39">
      <c r="A49" s="156">
        <v>45</v>
      </c>
      <c r="B49" s="277"/>
      <c r="C49" s="351" t="s">
        <v>120</v>
      </c>
      <c r="D49" s="440" t="s">
        <v>373</v>
      </c>
      <c r="E49" s="156">
        <v>1</v>
      </c>
      <c r="F49" s="441" t="s">
        <v>374</v>
      </c>
      <c r="G49" s="156" t="s">
        <v>375</v>
      </c>
      <c r="H49" s="442" t="s">
        <v>376</v>
      </c>
      <c r="I49" s="295" t="s">
        <v>124</v>
      </c>
      <c r="J49" s="295"/>
      <c r="K49" s="294"/>
      <c r="L49" s="295"/>
      <c r="M49" s="295"/>
      <c r="N49" s="447" t="s">
        <v>377</v>
      </c>
      <c r="O49" s="442" t="s">
        <v>376</v>
      </c>
      <c r="P49" s="451" t="s">
        <v>376</v>
      </c>
      <c r="Q49" s="451" t="s">
        <v>376</v>
      </c>
      <c r="R49" s="442" t="s">
        <v>376</v>
      </c>
      <c r="S49" s="442" t="s">
        <v>376</v>
      </c>
      <c r="T49" s="156" t="s">
        <v>378</v>
      </c>
      <c r="U49" s="466"/>
      <c r="V49" s="466"/>
      <c r="W49" s="467" t="s">
        <v>139</v>
      </c>
      <c r="X49" s="466"/>
      <c r="Y49" s="383" t="s">
        <v>129</v>
      </c>
      <c r="Z49" s="383" t="s">
        <v>129</v>
      </c>
      <c r="AA49" s="383" t="s">
        <v>131</v>
      </c>
      <c r="AB49" s="478"/>
      <c r="AC49" s="478"/>
      <c r="AD49" s="478"/>
      <c r="AE49" s="383" t="s">
        <v>131</v>
      </c>
      <c r="AF49" s="383" t="s">
        <v>130</v>
      </c>
      <c r="AG49" s="118">
        <f t="shared" si="1"/>
        <v>5</v>
      </c>
      <c r="AH49" s="227">
        <v>0.00309027777777778</v>
      </c>
      <c r="AI49" s="120">
        <f t="shared" si="2"/>
        <v>300</v>
      </c>
      <c r="AJ49" s="270">
        <v>169</v>
      </c>
      <c r="AK49" s="270">
        <v>43</v>
      </c>
      <c r="AL49" s="486">
        <v>0.00309027777777778</v>
      </c>
      <c r="AM49" s="487"/>
    </row>
  </sheetData>
  <autoFilter xmlns:etc="http://www.wps.cn/officeDocument/2017/etCustomData" ref="A4:AM49" etc:filterBottomFollowUsedRange="0">
    <extLst/>
  </autoFilter>
  <mergeCells count="56">
    <mergeCell ref="F1:G1"/>
    <mergeCell ref="I1:L1"/>
    <mergeCell ref="F2:H2"/>
    <mergeCell ref="I2:K2"/>
    <mergeCell ref="L2:M2"/>
    <mergeCell ref="N2:O2"/>
    <mergeCell ref="P2:Q2"/>
    <mergeCell ref="R2:S2"/>
    <mergeCell ref="U2:Z2"/>
    <mergeCell ref="AA2:AF2"/>
    <mergeCell ref="AH2:AI2"/>
    <mergeCell ref="AJ2:AK2"/>
    <mergeCell ref="R48:S48"/>
    <mergeCell ref="A3:A4"/>
    <mergeCell ref="B3:B4"/>
    <mergeCell ref="C3:C4"/>
    <mergeCell ref="D3:D4"/>
    <mergeCell ref="D5:D13"/>
    <mergeCell ref="D14:D37"/>
    <mergeCell ref="D38:D41"/>
    <mergeCell ref="D43:D47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K3:AK4"/>
    <mergeCell ref="AL2:AL4"/>
    <mergeCell ref="AM3:AM4"/>
  </mergeCells>
  <dataValidations count="1">
    <dataValidation type="list" allowBlank="1" showInputMessage="1" showErrorMessage="1" sqref="AC5:AD47">
      <formula1>"中文,英语,德语,法语,日语,西班牙语,意大利语,韩语,印地语,俄语,阿拉伯语,泰语,巴西语,希腊语,葡萄牙语,印尼语,荷兰语,克罗地亚语,土耳其语,马来西亚语,匈牙利语,保加利亚语,瑞典语,拉脱维亚语,挪威语,丹麦语,立陶宛语,波兰语,南非语,希伯来语,芬兰语,捷克语,格鲁吉亚语,波斯语,菲律宾语,罗马尼亚语,冰岛语,孟加拉语,阿尔巴尼亚语,蒙古语,马其顿语,泰米尔语,其它"</formula1>
    </dataValidation>
  </dataValidations>
  <pageMargins left="0.75" right="0.75" top="1" bottom="1" header="0.5" footer="0.5"/>
  <pageSetup paperSize="1" orientation="portrait"/>
  <headerFooter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AHE192"/>
  <sheetViews>
    <sheetView zoomScale="80" zoomScaleNormal="80" workbookViewId="0">
      <pane xSplit="8" ySplit="4" topLeftCell="R124" activePane="bottomRight" state="frozen"/>
      <selection/>
      <selection pane="topRight"/>
      <selection pane="bottomLeft"/>
      <selection pane="bottomRight" activeCell="H145" sqref="H145"/>
    </sheetView>
  </sheetViews>
  <sheetFormatPr defaultColWidth="8" defaultRowHeight="15.75"/>
  <cols>
    <col min="1" max="1" width="3.95" style="336" customWidth="1"/>
    <col min="2" max="2" width="7.75833333333333" style="336" customWidth="1"/>
    <col min="3" max="3" width="5.73333333333333" style="336" customWidth="1"/>
    <col min="4" max="5" width="4.38333333333333" style="337" customWidth="1"/>
    <col min="6" max="6" width="3.25833333333333" style="337" customWidth="1"/>
    <col min="7" max="7" width="39.525" style="338" customWidth="1"/>
    <col min="8" max="8" width="60.3083333333333" style="337" customWidth="1"/>
    <col min="9" max="10" width="4.88333333333333" style="337" customWidth="1"/>
    <col min="11" max="11" width="4.88333333333333" style="337" hidden="1" customWidth="1"/>
    <col min="12" max="13" width="4.88333333333333" style="337" customWidth="1"/>
    <col min="14" max="14" width="23.75" style="337" customWidth="1"/>
    <col min="15" max="15" width="23.125" style="337" hidden="1" customWidth="1"/>
    <col min="16" max="16" width="46.5583333333333" style="339" customWidth="1"/>
    <col min="17" max="17" width="57.1916666666667" style="339" customWidth="1"/>
    <col min="18" max="18" width="4.53333333333333" style="337" customWidth="1"/>
    <col min="19" max="19" width="4.35833333333333" style="340" customWidth="1"/>
    <col min="20" max="21" width="4.53333333333333" style="340" customWidth="1"/>
    <col min="22" max="23" width="4.53333333333333" style="337" customWidth="1"/>
    <col min="24" max="25" width="5.63333333333333" style="341" customWidth="1"/>
    <col min="26" max="26" width="8.75833333333333" style="341" customWidth="1"/>
    <col min="27" max="27" width="11.5083333333333" style="337" customWidth="1"/>
    <col min="28" max="28" width="11.3833333333333" style="337" customWidth="1"/>
    <col min="29" max="29" width="14.2166666666667" style="337" customWidth="1"/>
    <col min="30" max="30" width="7.34166666666667" style="337" customWidth="1"/>
    <col min="31" max="31" width="7.38333333333333" style="342" customWidth="1"/>
    <col min="32" max="32" width="7.35" style="343" customWidth="1"/>
    <col min="33" max="33" width="5.14166666666667" style="344" customWidth="1"/>
    <col min="34" max="35" width="5.14166666666667" style="345" customWidth="1"/>
    <col min="36" max="36" width="5.14166666666667" style="337" customWidth="1"/>
    <col min="37" max="39" width="4.14166666666667" style="339" hidden="1" customWidth="1"/>
    <col min="40" max="889" width="8" style="346"/>
    <col min="890" max="16384" width="8" style="336"/>
  </cols>
  <sheetData>
    <row r="1" ht="16.5" spans="22:22">
      <c r="V1" s="340"/>
    </row>
    <row r="2" ht="18.95" customHeight="1" spans="1:39">
      <c r="A2" s="14" t="s">
        <v>379</v>
      </c>
      <c r="B2" s="13"/>
      <c r="C2" s="13"/>
      <c r="D2" s="13"/>
      <c r="E2" s="13"/>
      <c r="F2" s="13"/>
      <c r="G2" s="13"/>
      <c r="H2" s="143"/>
      <c r="I2" s="363" t="s">
        <v>73</v>
      </c>
      <c r="J2" s="364"/>
      <c r="K2" s="89"/>
      <c r="L2" s="87" t="s">
        <v>74</v>
      </c>
      <c r="M2" s="89"/>
      <c r="N2" s="365" t="s">
        <v>380</v>
      </c>
      <c r="O2" s="323"/>
      <c r="P2" s="366" t="s">
        <v>381</v>
      </c>
      <c r="Q2" s="377"/>
      <c r="R2" s="378" t="s">
        <v>80</v>
      </c>
      <c r="S2" s="14"/>
      <c r="T2" s="14"/>
      <c r="U2" s="14"/>
      <c r="V2" s="14"/>
      <c r="W2" s="14"/>
      <c r="X2" s="379" t="s">
        <v>382</v>
      </c>
      <c r="Y2" s="387"/>
      <c r="Z2" s="55"/>
      <c r="AA2" s="65" t="s">
        <v>81</v>
      </c>
      <c r="AB2" s="65"/>
      <c r="AC2" s="216"/>
      <c r="AD2" s="388" t="s">
        <v>82</v>
      </c>
      <c r="AE2" s="389"/>
      <c r="AF2" s="390" t="s">
        <v>84</v>
      </c>
      <c r="AG2" s="346"/>
      <c r="AH2" s="346"/>
      <c r="AI2" s="346"/>
      <c r="AJ2" s="346"/>
      <c r="AK2" s="346"/>
      <c r="AL2" s="346"/>
      <c r="AM2" s="346"/>
    </row>
    <row r="3" ht="18" customHeight="1" spans="1:39">
      <c r="A3" s="116" t="s">
        <v>85</v>
      </c>
      <c r="B3" s="272" t="s">
        <v>86</v>
      </c>
      <c r="C3" s="272" t="s">
        <v>87</v>
      </c>
      <c r="D3" s="78" t="s">
        <v>383</v>
      </c>
      <c r="E3" s="77" t="s">
        <v>384</v>
      </c>
      <c r="F3" s="347" t="s">
        <v>89</v>
      </c>
      <c r="G3" s="348" t="s">
        <v>90</v>
      </c>
      <c r="H3" s="348" t="s">
        <v>91</v>
      </c>
      <c r="I3" s="367" t="s">
        <v>93</v>
      </c>
      <c r="J3" s="367" t="s">
        <v>94</v>
      </c>
      <c r="K3" s="368" t="s">
        <v>385</v>
      </c>
      <c r="L3" s="94" t="s">
        <v>386</v>
      </c>
      <c r="M3" s="369" t="s">
        <v>387</v>
      </c>
      <c r="N3" s="370" t="s">
        <v>98</v>
      </c>
      <c r="O3" s="43" t="s">
        <v>385</v>
      </c>
      <c r="P3" s="371" t="s">
        <v>388</v>
      </c>
      <c r="Q3" s="371" t="s">
        <v>101</v>
      </c>
      <c r="R3" s="68" t="s">
        <v>109</v>
      </c>
      <c r="S3" s="68" t="s">
        <v>110</v>
      </c>
      <c r="T3" s="24" t="s">
        <v>111</v>
      </c>
      <c r="U3" s="24" t="s">
        <v>112</v>
      </c>
      <c r="V3" s="68" t="s">
        <v>113</v>
      </c>
      <c r="W3" s="68" t="s">
        <v>114</v>
      </c>
      <c r="X3" s="380" t="s">
        <v>107</v>
      </c>
      <c r="Y3" s="380" t="s">
        <v>108</v>
      </c>
      <c r="Z3" s="24" t="s">
        <v>115</v>
      </c>
      <c r="AA3" s="391" t="s">
        <v>389</v>
      </c>
      <c r="AB3" s="69" t="s">
        <v>117</v>
      </c>
      <c r="AC3" s="116" t="s">
        <v>116</v>
      </c>
      <c r="AD3" s="392" t="s">
        <v>390</v>
      </c>
      <c r="AE3" s="393" t="s">
        <v>391</v>
      </c>
      <c r="AF3" s="394" t="s">
        <v>84</v>
      </c>
      <c r="AG3" s="346"/>
      <c r="AH3" s="346"/>
      <c r="AI3" s="346"/>
      <c r="AJ3" s="346"/>
      <c r="AK3" s="346"/>
      <c r="AL3" s="346"/>
      <c r="AM3" s="346"/>
    </row>
    <row r="4" ht="65" customHeight="1" spans="1:32">
      <c r="A4" s="69"/>
      <c r="B4" s="114"/>
      <c r="C4" s="114"/>
      <c r="D4" s="24"/>
      <c r="E4" s="23"/>
      <c r="F4" s="69"/>
      <c r="G4" s="348"/>
      <c r="H4" s="348"/>
      <c r="I4" s="367"/>
      <c r="J4" s="367"/>
      <c r="K4" s="368"/>
      <c r="L4" s="94"/>
      <c r="M4" s="372"/>
      <c r="N4" s="370"/>
      <c r="O4" s="43"/>
      <c r="P4" s="371"/>
      <c r="Q4" s="371"/>
      <c r="R4" s="24"/>
      <c r="S4" s="24"/>
      <c r="T4" s="23"/>
      <c r="U4" s="23"/>
      <c r="V4" s="24"/>
      <c r="W4" s="24"/>
      <c r="X4" s="381"/>
      <c r="Y4" s="381"/>
      <c r="Z4" s="23"/>
      <c r="AA4" s="395"/>
      <c r="AB4" s="71"/>
      <c r="AC4" s="69"/>
      <c r="AD4" s="396"/>
      <c r="AE4" s="397"/>
      <c r="AF4" s="398"/>
    </row>
    <row r="5" s="336" customFormat="1" ht="24" customHeight="1" spans="1:889">
      <c r="A5" s="349">
        <v>1</v>
      </c>
      <c r="B5" s="350"/>
      <c r="C5" s="351" t="s">
        <v>120</v>
      </c>
      <c r="D5" s="352" t="s">
        <v>392</v>
      </c>
      <c r="E5" s="348"/>
      <c r="F5" s="81">
        <v>1</v>
      </c>
      <c r="G5" s="353" t="s">
        <v>393</v>
      </c>
      <c r="H5" s="354" t="s">
        <v>394</v>
      </c>
      <c r="I5" s="100" t="s">
        <v>124</v>
      </c>
      <c r="J5" s="100" t="s">
        <v>124</v>
      </c>
      <c r="K5" s="100"/>
      <c r="L5" s="100" t="s">
        <v>124</v>
      </c>
      <c r="M5" s="100" t="s">
        <v>124</v>
      </c>
      <c r="N5" s="373" t="s">
        <v>395</v>
      </c>
      <c r="O5" s="374"/>
      <c r="P5" s="375" t="str">
        <f>CONCATENATE(RemovePunctuation(H5),"_CA","_","i4K","_",C5,"_",AE5,"_",PROPER(R5),IF(S5="",PROPER(R5),PROPER(S5)),PROPER(T5),PROPER(U5),PROPER(V5),IF(V5&lt;&gt;"","SUB",""),PROPER(W5),IF(W5&lt;&gt;"","SUB",""),"_","Ed","_","M1",".mpg")</f>
        <v>HantangCulture_CA_i4K_0825_43_ZhoZhoEngSUBZhoSUB_Ed_M1.mpg</v>
      </c>
      <c r="Q5" s="375" t="str">
        <f>CONCATENATE(RemovePunctuation(H5),"_CA","_","i5K","_",C5,"_",AD5,"_",PROPER(R5),IF(S5="",PROPER(R5),PROPER(S5)),PROPER(T5),PROPER(U5),PROPER(V5),IF(V5&lt;&gt;"","SUB",""),PROPER(W5),IF(W5&lt;&gt;"","SUB",""),"_","Ed","_","M4",".mpg")</f>
        <v>HantangCulture_CA_i5K_0825_169_ZhoZhoEngSUBZhoSUB_Ed_M4.mpg</v>
      </c>
      <c r="R5" s="382" t="s">
        <v>130</v>
      </c>
      <c r="S5" s="383"/>
      <c r="T5" s="383"/>
      <c r="U5" s="383"/>
      <c r="V5" s="382" t="s">
        <v>131</v>
      </c>
      <c r="W5" s="382" t="s">
        <v>130</v>
      </c>
      <c r="X5" s="349" t="s">
        <v>129</v>
      </c>
      <c r="Y5" s="349" t="s">
        <v>129</v>
      </c>
      <c r="Z5" s="120">
        <f>ROUNDUP(HOUR(AA5)*60+MINUTE(AA5)+SECOND(AA5)/60,0)</f>
        <v>30</v>
      </c>
      <c r="AA5" s="304" t="str">
        <f>TEXT((HOUR(AC5)*60+MINUTE(AC5)+IF(SECOND(AC5)&lt;=29,0,1))*60/86400,"hh:mm:ss")</f>
        <v>00:30:00</v>
      </c>
      <c r="AB5" s="120">
        <f>Z5*60</f>
        <v>1800</v>
      </c>
      <c r="AC5" s="399">
        <v>0.0208217592592593</v>
      </c>
      <c r="AD5" s="400">
        <v>169</v>
      </c>
      <c r="AE5" s="400">
        <v>43</v>
      </c>
      <c r="AF5" s="349"/>
      <c r="AG5" s="344"/>
      <c r="AH5" s="345"/>
      <c r="AI5" s="345"/>
      <c r="AJ5" s="337"/>
      <c r="AK5" s="339"/>
      <c r="AL5" s="339"/>
      <c r="AM5" s="339"/>
      <c r="AN5" s="346"/>
      <c r="AO5" s="346"/>
      <c r="AP5" s="337"/>
      <c r="AQ5" s="337"/>
      <c r="AR5" s="337"/>
      <c r="AS5" s="337"/>
      <c r="AT5" s="337"/>
      <c r="AU5" s="337"/>
      <c r="AV5" s="337"/>
      <c r="AW5" s="337"/>
      <c r="AX5" s="337"/>
      <c r="AY5" s="337"/>
      <c r="AZ5" s="337"/>
      <c r="BA5" s="337"/>
      <c r="BB5" s="337"/>
      <c r="BC5" s="337"/>
      <c r="BD5" s="337"/>
      <c r="BE5" s="337"/>
      <c r="BF5" s="337"/>
      <c r="BG5" s="337"/>
      <c r="BH5" s="337"/>
      <c r="BI5" s="337"/>
      <c r="BJ5" s="337"/>
      <c r="BK5" s="337"/>
      <c r="BL5" s="337"/>
      <c r="BM5" s="337"/>
      <c r="BN5" s="337"/>
      <c r="BO5" s="337"/>
      <c r="BP5" s="337"/>
      <c r="BQ5" s="337"/>
      <c r="BR5" s="337"/>
      <c r="BS5" s="337"/>
      <c r="BT5" s="337"/>
      <c r="BU5" s="337"/>
      <c r="BV5" s="337"/>
      <c r="BW5" s="337"/>
      <c r="BX5" s="337"/>
      <c r="BY5" s="337"/>
      <c r="BZ5" s="337"/>
      <c r="CA5" s="337"/>
      <c r="CB5" s="337"/>
      <c r="CC5" s="337"/>
      <c r="CD5" s="337"/>
      <c r="CE5" s="337"/>
      <c r="CF5" s="337"/>
      <c r="CG5" s="337"/>
      <c r="CH5" s="337"/>
      <c r="CI5" s="337"/>
      <c r="CJ5" s="337"/>
      <c r="CK5" s="337"/>
      <c r="CL5" s="337"/>
      <c r="CM5" s="337"/>
      <c r="CN5" s="337"/>
      <c r="CO5" s="337"/>
      <c r="CP5" s="337"/>
      <c r="CQ5" s="337"/>
      <c r="CR5" s="337"/>
      <c r="CS5" s="337"/>
      <c r="CT5" s="337"/>
      <c r="CU5" s="337"/>
      <c r="CV5" s="337"/>
      <c r="CW5" s="337"/>
      <c r="CX5" s="337"/>
      <c r="CY5" s="337"/>
      <c r="CZ5" s="337"/>
      <c r="DA5" s="337"/>
      <c r="DB5" s="337"/>
      <c r="DC5" s="337"/>
      <c r="DD5" s="337"/>
      <c r="DE5" s="337"/>
      <c r="DF5" s="337"/>
      <c r="DG5" s="337"/>
      <c r="DH5" s="337"/>
      <c r="DI5" s="337"/>
      <c r="DJ5" s="337"/>
      <c r="DK5" s="337"/>
      <c r="DL5" s="337"/>
      <c r="DM5" s="337"/>
      <c r="DN5" s="337"/>
      <c r="DO5" s="337"/>
      <c r="DP5" s="337"/>
      <c r="DQ5" s="337"/>
      <c r="DR5" s="337"/>
      <c r="DS5" s="337"/>
      <c r="DT5" s="337"/>
      <c r="DU5" s="337"/>
      <c r="DV5" s="337"/>
      <c r="DW5" s="337"/>
      <c r="DX5" s="337"/>
      <c r="DY5" s="337"/>
      <c r="DZ5" s="337"/>
      <c r="EA5" s="337"/>
      <c r="EB5" s="337"/>
      <c r="EC5" s="337"/>
      <c r="ED5" s="337"/>
      <c r="EE5" s="337"/>
      <c r="EF5" s="337"/>
      <c r="EG5" s="337"/>
      <c r="EH5" s="337"/>
      <c r="EI5" s="337"/>
      <c r="EJ5" s="337"/>
      <c r="EK5" s="337"/>
      <c r="EL5" s="337"/>
      <c r="EM5" s="337"/>
      <c r="EN5" s="337"/>
      <c r="EO5" s="337"/>
      <c r="EP5" s="337"/>
      <c r="EQ5" s="337"/>
      <c r="ER5" s="337"/>
      <c r="ES5" s="337"/>
      <c r="ET5" s="337"/>
      <c r="EU5" s="337"/>
      <c r="EV5" s="337"/>
      <c r="EW5" s="337"/>
      <c r="EX5" s="337"/>
      <c r="EY5" s="337"/>
      <c r="EZ5" s="337"/>
      <c r="FA5" s="337"/>
      <c r="FB5" s="337"/>
      <c r="FC5" s="337"/>
      <c r="FD5" s="337"/>
      <c r="FE5" s="337"/>
      <c r="FF5" s="337"/>
      <c r="FG5" s="337"/>
      <c r="FH5" s="337"/>
      <c r="FI5" s="337"/>
      <c r="FJ5" s="337"/>
      <c r="FK5" s="337"/>
      <c r="FL5" s="337"/>
      <c r="FM5" s="337"/>
      <c r="FN5" s="337"/>
      <c r="FO5" s="337"/>
      <c r="FP5" s="337"/>
      <c r="FQ5" s="337"/>
      <c r="FR5" s="337"/>
      <c r="FS5" s="337"/>
      <c r="FT5" s="337"/>
      <c r="FU5" s="337"/>
      <c r="FV5" s="337"/>
      <c r="FW5" s="337"/>
      <c r="FX5" s="337"/>
      <c r="FY5" s="337"/>
      <c r="FZ5" s="337"/>
      <c r="GA5" s="337"/>
      <c r="GB5" s="337"/>
      <c r="GC5" s="337"/>
      <c r="GD5" s="337"/>
      <c r="GE5" s="337"/>
      <c r="GF5" s="337"/>
      <c r="GG5" s="337"/>
      <c r="GH5" s="337"/>
      <c r="GI5" s="337"/>
      <c r="GJ5" s="337"/>
      <c r="GK5" s="337"/>
      <c r="GL5" s="337"/>
      <c r="GM5" s="337"/>
      <c r="GN5" s="337"/>
      <c r="GO5" s="337"/>
      <c r="GP5" s="337"/>
      <c r="GQ5" s="337"/>
      <c r="GR5" s="337"/>
      <c r="GS5" s="337"/>
      <c r="GT5" s="337"/>
      <c r="GU5" s="337"/>
      <c r="GV5" s="337"/>
      <c r="GW5" s="337"/>
      <c r="GX5" s="337"/>
      <c r="GY5" s="337"/>
      <c r="GZ5" s="337"/>
      <c r="HA5" s="337"/>
      <c r="HB5" s="337"/>
      <c r="HC5" s="337"/>
      <c r="HD5" s="337"/>
      <c r="HE5" s="337"/>
      <c r="HF5" s="337"/>
      <c r="HG5" s="337"/>
      <c r="HH5" s="337"/>
      <c r="HI5" s="337"/>
      <c r="HJ5" s="337"/>
      <c r="HK5" s="337"/>
      <c r="HL5" s="337"/>
      <c r="HM5" s="337"/>
      <c r="HN5" s="337"/>
      <c r="HO5" s="337"/>
      <c r="HP5" s="337"/>
      <c r="HQ5" s="337"/>
      <c r="HR5" s="337"/>
      <c r="HS5" s="337"/>
      <c r="HT5" s="337"/>
      <c r="HU5" s="337"/>
      <c r="HV5" s="337"/>
      <c r="HW5" s="337"/>
      <c r="HX5" s="337"/>
      <c r="HY5" s="337"/>
      <c r="HZ5" s="337"/>
      <c r="IA5" s="337"/>
      <c r="IB5" s="337"/>
      <c r="IC5" s="337"/>
      <c r="ID5" s="337"/>
      <c r="IE5" s="337"/>
      <c r="IF5" s="337"/>
      <c r="IG5" s="337"/>
      <c r="IH5" s="337"/>
      <c r="II5" s="337"/>
      <c r="IJ5" s="337"/>
      <c r="IK5" s="337"/>
      <c r="IL5" s="337"/>
      <c r="IM5" s="337"/>
      <c r="IN5" s="337"/>
      <c r="IO5" s="337"/>
      <c r="IP5" s="337"/>
      <c r="IQ5" s="337"/>
      <c r="IR5" s="337"/>
      <c r="IS5" s="337"/>
      <c r="IT5" s="337"/>
      <c r="IU5" s="337"/>
      <c r="IV5" s="337"/>
      <c r="IW5" s="337"/>
      <c r="IX5" s="337"/>
      <c r="IY5" s="337"/>
      <c r="IZ5" s="337"/>
      <c r="JA5" s="337"/>
      <c r="JB5" s="337"/>
      <c r="JC5" s="337"/>
      <c r="JD5" s="337"/>
      <c r="JE5" s="337"/>
      <c r="JF5" s="337"/>
      <c r="JG5" s="337"/>
      <c r="JH5" s="337"/>
      <c r="JI5" s="337"/>
      <c r="JJ5" s="337"/>
      <c r="JK5" s="337"/>
      <c r="JL5" s="337"/>
      <c r="JM5" s="337"/>
      <c r="JN5" s="337"/>
      <c r="JO5" s="337"/>
      <c r="JP5" s="337"/>
      <c r="JQ5" s="337"/>
      <c r="JR5" s="337"/>
      <c r="JS5" s="337"/>
      <c r="JT5" s="337"/>
      <c r="JU5" s="337"/>
      <c r="JV5" s="337"/>
      <c r="JW5" s="337"/>
      <c r="JX5" s="337"/>
      <c r="JY5" s="337"/>
      <c r="JZ5" s="337"/>
      <c r="KA5" s="337"/>
      <c r="KB5" s="337"/>
      <c r="KC5" s="337"/>
      <c r="KD5" s="337"/>
      <c r="KE5" s="337"/>
      <c r="KF5" s="337"/>
      <c r="KG5" s="337"/>
      <c r="KH5" s="337"/>
      <c r="KI5" s="337"/>
      <c r="KJ5" s="337"/>
      <c r="KK5" s="337"/>
      <c r="KL5" s="337"/>
      <c r="KM5" s="337"/>
      <c r="KN5" s="337"/>
      <c r="KO5" s="337"/>
      <c r="KP5" s="337"/>
      <c r="KQ5" s="337"/>
      <c r="KR5" s="337"/>
      <c r="KS5" s="337"/>
      <c r="KT5" s="337"/>
      <c r="KU5" s="337"/>
      <c r="KV5" s="337"/>
      <c r="KW5" s="337"/>
      <c r="KX5" s="337"/>
      <c r="KY5" s="337"/>
      <c r="KZ5" s="337"/>
      <c r="LA5" s="337"/>
      <c r="LB5" s="337"/>
      <c r="LC5" s="337"/>
      <c r="LD5" s="337"/>
      <c r="LE5" s="337"/>
      <c r="LF5" s="337"/>
      <c r="LG5" s="337"/>
      <c r="LH5" s="337"/>
      <c r="LI5" s="337"/>
      <c r="LJ5" s="337"/>
      <c r="LK5" s="337"/>
      <c r="LL5" s="337"/>
      <c r="LM5" s="337"/>
      <c r="LN5" s="337"/>
      <c r="LO5" s="337"/>
      <c r="LP5" s="337"/>
      <c r="LQ5" s="337"/>
      <c r="LR5" s="337"/>
      <c r="LS5" s="337"/>
      <c r="LT5" s="337"/>
      <c r="LU5" s="337"/>
      <c r="LV5" s="337"/>
      <c r="LW5" s="337"/>
      <c r="LX5" s="337"/>
      <c r="LY5" s="337"/>
      <c r="LZ5" s="337"/>
      <c r="MA5" s="337"/>
      <c r="MB5" s="337"/>
      <c r="MC5" s="337"/>
      <c r="MD5" s="337"/>
      <c r="ME5" s="337"/>
      <c r="MF5" s="337"/>
      <c r="MG5" s="337"/>
      <c r="MH5" s="337"/>
      <c r="MI5" s="337"/>
      <c r="MJ5" s="337"/>
      <c r="MK5" s="337"/>
      <c r="ML5" s="337"/>
      <c r="MM5" s="337"/>
      <c r="MN5" s="337"/>
      <c r="MO5" s="337"/>
      <c r="MP5" s="337"/>
      <c r="MQ5" s="337"/>
      <c r="MR5" s="337"/>
      <c r="MS5" s="337"/>
      <c r="MT5" s="337"/>
      <c r="MU5" s="337"/>
      <c r="MV5" s="337"/>
      <c r="MW5" s="337"/>
      <c r="MX5" s="337"/>
      <c r="MY5" s="337"/>
      <c r="MZ5" s="337"/>
      <c r="NA5" s="337"/>
      <c r="NB5" s="337"/>
      <c r="NC5" s="337"/>
      <c r="ND5" s="337"/>
      <c r="NE5" s="337"/>
      <c r="NF5" s="337"/>
      <c r="NG5" s="337"/>
      <c r="NH5" s="337"/>
      <c r="NI5" s="337"/>
      <c r="NJ5" s="337"/>
      <c r="NK5" s="337"/>
      <c r="NL5" s="337"/>
      <c r="NM5" s="337"/>
      <c r="NN5" s="337"/>
      <c r="NO5" s="337"/>
      <c r="NP5" s="337"/>
      <c r="NQ5" s="337"/>
      <c r="NR5" s="337"/>
      <c r="NS5" s="337"/>
      <c r="NT5" s="337"/>
      <c r="NU5" s="337"/>
      <c r="NV5" s="337"/>
      <c r="NW5" s="337"/>
      <c r="NX5" s="337"/>
      <c r="NY5" s="337"/>
      <c r="NZ5" s="337"/>
      <c r="OA5" s="337"/>
      <c r="OB5" s="337"/>
      <c r="OC5" s="337"/>
      <c r="OD5" s="337"/>
      <c r="OE5" s="337"/>
      <c r="OF5" s="337"/>
      <c r="OG5" s="337"/>
      <c r="OH5" s="337"/>
      <c r="OI5" s="337"/>
      <c r="OJ5" s="337"/>
      <c r="OK5" s="337"/>
      <c r="OL5" s="337"/>
      <c r="OM5" s="337"/>
      <c r="ON5" s="337"/>
      <c r="OO5" s="337"/>
      <c r="OP5" s="337"/>
      <c r="OQ5" s="337"/>
      <c r="OR5" s="337"/>
      <c r="OS5" s="337"/>
      <c r="OT5" s="337"/>
      <c r="OU5" s="337"/>
      <c r="OV5" s="337"/>
      <c r="OW5" s="337"/>
      <c r="OX5" s="337"/>
      <c r="OY5" s="337"/>
      <c r="OZ5" s="337"/>
      <c r="PA5" s="337"/>
      <c r="PB5" s="337"/>
      <c r="PC5" s="337"/>
      <c r="PD5" s="337"/>
      <c r="PE5" s="337"/>
      <c r="PF5" s="337"/>
      <c r="PG5" s="337"/>
      <c r="PH5" s="337"/>
      <c r="PI5" s="337"/>
      <c r="PJ5" s="337"/>
      <c r="PK5" s="337"/>
      <c r="PL5" s="337"/>
      <c r="PM5" s="337"/>
      <c r="PN5" s="337"/>
      <c r="PO5" s="337"/>
      <c r="PP5" s="337"/>
      <c r="PQ5" s="337"/>
      <c r="PR5" s="337"/>
      <c r="PS5" s="337"/>
      <c r="PT5" s="337"/>
      <c r="PU5" s="337"/>
      <c r="PV5" s="337"/>
      <c r="PW5" s="337"/>
      <c r="PX5" s="337"/>
      <c r="PY5" s="337"/>
      <c r="PZ5" s="337"/>
      <c r="QA5" s="337"/>
      <c r="QB5" s="337"/>
      <c r="QC5" s="337"/>
      <c r="QD5" s="337"/>
      <c r="QE5" s="337"/>
      <c r="QF5" s="337"/>
      <c r="QG5" s="337"/>
      <c r="QH5" s="337"/>
      <c r="QI5" s="337"/>
      <c r="QJ5" s="337"/>
      <c r="QK5" s="337"/>
      <c r="QL5" s="337"/>
      <c r="QM5" s="337"/>
      <c r="QN5" s="337"/>
      <c r="QO5" s="337"/>
      <c r="QP5" s="337"/>
      <c r="QQ5" s="337"/>
      <c r="QR5" s="337"/>
      <c r="QS5" s="337"/>
      <c r="QT5" s="337"/>
      <c r="QU5" s="337"/>
      <c r="QV5" s="337"/>
      <c r="QW5" s="337"/>
      <c r="QX5" s="337"/>
      <c r="QY5" s="337"/>
      <c r="QZ5" s="337"/>
      <c r="RA5" s="337"/>
      <c r="RB5" s="337"/>
      <c r="RC5" s="337"/>
      <c r="RD5" s="337"/>
      <c r="RE5" s="337"/>
      <c r="RF5" s="337"/>
      <c r="RG5" s="337"/>
      <c r="RH5" s="337"/>
      <c r="RI5" s="337"/>
      <c r="RJ5" s="337"/>
      <c r="RK5" s="337"/>
      <c r="RL5" s="337"/>
      <c r="RM5" s="337"/>
      <c r="RN5" s="337"/>
      <c r="RO5" s="337"/>
      <c r="RP5" s="337"/>
      <c r="RQ5" s="337"/>
      <c r="RR5" s="337"/>
      <c r="RS5" s="337"/>
      <c r="RT5" s="337"/>
      <c r="RU5" s="337"/>
      <c r="RV5" s="337"/>
      <c r="RW5" s="337"/>
      <c r="RX5" s="337"/>
      <c r="RY5" s="337"/>
      <c r="RZ5" s="337"/>
      <c r="SA5" s="337"/>
      <c r="SB5" s="337"/>
      <c r="SC5" s="337"/>
      <c r="SD5" s="337"/>
      <c r="SE5" s="337"/>
      <c r="SF5" s="337"/>
      <c r="SG5" s="337"/>
      <c r="SH5" s="337"/>
      <c r="SI5" s="337"/>
      <c r="SJ5" s="337"/>
      <c r="SK5" s="337"/>
      <c r="SL5" s="337"/>
      <c r="SM5" s="337"/>
      <c r="SN5" s="337"/>
      <c r="SO5" s="337"/>
      <c r="SP5" s="337"/>
      <c r="SQ5" s="337"/>
      <c r="SR5" s="337"/>
      <c r="SS5" s="337"/>
      <c r="ST5" s="337"/>
      <c r="SU5" s="337"/>
      <c r="SV5" s="337"/>
      <c r="SW5" s="337"/>
      <c r="SX5" s="337"/>
      <c r="SY5" s="337"/>
      <c r="SZ5" s="337"/>
      <c r="TA5" s="337"/>
      <c r="TB5" s="337"/>
      <c r="TC5" s="337"/>
      <c r="TD5" s="337"/>
      <c r="TE5" s="337"/>
      <c r="TF5" s="337"/>
      <c r="TG5" s="337"/>
      <c r="TH5" s="337"/>
      <c r="TI5" s="337"/>
      <c r="TJ5" s="337"/>
      <c r="TK5" s="337"/>
      <c r="TL5" s="337"/>
      <c r="TM5" s="337"/>
      <c r="TN5" s="337"/>
      <c r="TO5" s="337"/>
      <c r="TP5" s="337"/>
      <c r="TQ5" s="337"/>
      <c r="TR5" s="337"/>
      <c r="TS5" s="337"/>
      <c r="TT5" s="337"/>
      <c r="TU5" s="337"/>
      <c r="TV5" s="337"/>
      <c r="TW5" s="337"/>
      <c r="TX5" s="337"/>
      <c r="TY5" s="337"/>
      <c r="TZ5" s="337"/>
      <c r="UA5" s="337"/>
      <c r="UB5" s="337"/>
      <c r="UC5" s="337"/>
      <c r="UD5" s="337"/>
      <c r="UE5" s="337"/>
      <c r="UF5" s="337"/>
      <c r="UG5" s="337"/>
      <c r="UH5" s="337"/>
      <c r="UI5" s="337"/>
      <c r="UJ5" s="337"/>
      <c r="UK5" s="337"/>
      <c r="UL5" s="337"/>
      <c r="UM5" s="337"/>
      <c r="UN5" s="337"/>
      <c r="UO5" s="337"/>
      <c r="UP5" s="337"/>
      <c r="UQ5" s="337"/>
      <c r="UR5" s="337"/>
      <c r="US5" s="337"/>
      <c r="UT5" s="337"/>
      <c r="UU5" s="337"/>
      <c r="UV5" s="337"/>
      <c r="UW5" s="337"/>
      <c r="UX5" s="337"/>
      <c r="UY5" s="337"/>
      <c r="UZ5" s="337"/>
      <c r="VA5" s="337"/>
      <c r="VB5" s="337"/>
      <c r="VC5" s="337"/>
      <c r="VD5" s="337"/>
      <c r="VE5" s="337"/>
      <c r="VF5" s="337"/>
      <c r="VG5" s="337"/>
      <c r="VH5" s="337"/>
      <c r="VI5" s="337"/>
      <c r="VJ5" s="337"/>
      <c r="VK5" s="337"/>
      <c r="VL5" s="337"/>
      <c r="VM5" s="337"/>
      <c r="VN5" s="337"/>
      <c r="VO5" s="337"/>
      <c r="VP5" s="337"/>
      <c r="VQ5" s="337"/>
      <c r="VR5" s="337"/>
      <c r="VS5" s="337"/>
      <c r="VT5" s="337"/>
      <c r="VU5" s="337"/>
      <c r="VV5" s="337"/>
      <c r="VW5" s="337"/>
      <c r="VX5" s="337"/>
      <c r="VY5" s="337"/>
      <c r="VZ5" s="337"/>
      <c r="WA5" s="337"/>
      <c r="WB5" s="337"/>
      <c r="WC5" s="337"/>
      <c r="WD5" s="337"/>
      <c r="WE5" s="337"/>
      <c r="WF5" s="337"/>
      <c r="WG5" s="337"/>
      <c r="WH5" s="337"/>
      <c r="WI5" s="337"/>
      <c r="WJ5" s="337"/>
      <c r="WK5" s="337"/>
      <c r="WL5" s="337"/>
      <c r="WM5" s="337"/>
      <c r="WN5" s="337"/>
      <c r="WO5" s="337"/>
      <c r="WP5" s="337"/>
      <c r="WQ5" s="337"/>
      <c r="WR5" s="337"/>
      <c r="WS5" s="337"/>
      <c r="WT5" s="337"/>
      <c r="WU5" s="337"/>
      <c r="WV5" s="337"/>
      <c r="WW5" s="337"/>
      <c r="WX5" s="337"/>
      <c r="WY5" s="337"/>
      <c r="WZ5" s="337"/>
      <c r="XA5" s="337"/>
      <c r="XB5" s="337"/>
      <c r="XC5" s="337"/>
      <c r="XD5" s="337"/>
      <c r="XE5" s="337"/>
      <c r="XF5" s="337"/>
      <c r="XG5" s="337"/>
      <c r="XH5" s="337"/>
      <c r="XI5" s="337"/>
      <c r="XJ5" s="337"/>
      <c r="XK5" s="337"/>
      <c r="XL5" s="337"/>
      <c r="XM5" s="337"/>
      <c r="XN5" s="337"/>
      <c r="XO5" s="337"/>
      <c r="XP5" s="337"/>
      <c r="XQ5" s="337"/>
      <c r="XR5" s="337"/>
      <c r="XS5" s="337"/>
      <c r="XT5" s="337"/>
      <c r="XU5" s="337"/>
      <c r="XV5" s="337"/>
      <c r="XW5" s="337"/>
      <c r="XX5" s="337"/>
      <c r="XY5" s="337"/>
      <c r="XZ5" s="337"/>
      <c r="YA5" s="337"/>
      <c r="YB5" s="337"/>
      <c r="YC5" s="337"/>
      <c r="YD5" s="337"/>
      <c r="YE5" s="337"/>
      <c r="YF5" s="337"/>
      <c r="YG5" s="337"/>
      <c r="YH5" s="337"/>
      <c r="YI5" s="337"/>
      <c r="YJ5" s="337"/>
      <c r="YK5" s="337"/>
      <c r="YL5" s="337"/>
      <c r="YM5" s="337"/>
      <c r="YN5" s="337"/>
      <c r="YO5" s="337"/>
      <c r="YP5" s="337"/>
      <c r="YQ5" s="337"/>
      <c r="YR5" s="337"/>
      <c r="YS5" s="337"/>
      <c r="YT5" s="337"/>
      <c r="YU5" s="337"/>
      <c r="YV5" s="337"/>
      <c r="YW5" s="337"/>
      <c r="YX5" s="337"/>
      <c r="YY5" s="337"/>
      <c r="YZ5" s="337"/>
      <c r="ZA5" s="337"/>
      <c r="ZB5" s="337"/>
      <c r="ZC5" s="337"/>
      <c r="ZD5" s="337"/>
      <c r="ZE5" s="337"/>
      <c r="ZF5" s="337"/>
      <c r="ZG5" s="337"/>
      <c r="ZH5" s="337"/>
      <c r="ZI5" s="337"/>
      <c r="ZJ5" s="337"/>
      <c r="ZK5" s="337"/>
      <c r="ZL5" s="337"/>
      <c r="ZM5" s="337"/>
      <c r="ZN5" s="337"/>
      <c r="ZO5" s="337"/>
      <c r="ZP5" s="337"/>
      <c r="ZQ5" s="337"/>
      <c r="ZR5" s="337"/>
      <c r="ZS5" s="337"/>
      <c r="ZT5" s="337"/>
      <c r="ZU5" s="337"/>
      <c r="ZV5" s="337"/>
      <c r="ZW5" s="337"/>
      <c r="ZX5" s="337"/>
      <c r="ZY5" s="337"/>
      <c r="ZZ5" s="337"/>
      <c r="AAA5" s="337"/>
      <c r="AAB5" s="337"/>
      <c r="AAC5" s="337"/>
      <c r="AAD5" s="337"/>
      <c r="AAE5" s="337"/>
      <c r="AAF5" s="337"/>
      <c r="AAG5" s="337"/>
      <c r="AAH5" s="337"/>
      <c r="AAI5" s="337"/>
      <c r="AAJ5" s="337"/>
      <c r="AAK5" s="337"/>
      <c r="AAL5" s="337"/>
      <c r="AAM5" s="337"/>
      <c r="AAN5" s="337"/>
      <c r="AAO5" s="337"/>
      <c r="AAP5" s="337"/>
      <c r="AAQ5" s="337"/>
      <c r="AAR5" s="337"/>
      <c r="AAS5" s="337"/>
      <c r="AAT5" s="337"/>
      <c r="AAU5" s="337"/>
      <c r="AAV5" s="337"/>
      <c r="AAW5" s="337"/>
      <c r="AAX5" s="337"/>
      <c r="AAY5" s="337"/>
      <c r="AAZ5" s="337"/>
      <c r="ABA5" s="337"/>
      <c r="ABB5" s="337"/>
      <c r="ABC5" s="337"/>
      <c r="ABD5" s="337"/>
      <c r="ABE5" s="337"/>
      <c r="ABF5" s="337"/>
      <c r="ABG5" s="337"/>
      <c r="ABH5" s="337"/>
      <c r="ABI5" s="337"/>
      <c r="ABJ5" s="337"/>
      <c r="ABK5" s="337"/>
      <c r="ABL5" s="337"/>
      <c r="ABM5" s="337"/>
      <c r="ABN5" s="337"/>
      <c r="ABO5" s="337"/>
      <c r="ABP5" s="337"/>
      <c r="ABQ5" s="337"/>
      <c r="ABR5" s="337"/>
      <c r="ABS5" s="337"/>
      <c r="ABT5" s="337"/>
      <c r="ABU5" s="337"/>
      <c r="ABV5" s="337"/>
      <c r="ABW5" s="337"/>
      <c r="ABX5" s="337"/>
      <c r="ABY5" s="337"/>
      <c r="ABZ5" s="337"/>
      <c r="ACA5" s="337"/>
      <c r="ACB5" s="337"/>
      <c r="ACC5" s="337"/>
      <c r="ACD5" s="337"/>
      <c r="ACE5" s="337"/>
      <c r="ACF5" s="337"/>
      <c r="ACG5" s="337"/>
      <c r="ACH5" s="337"/>
      <c r="ACI5" s="337"/>
      <c r="ACJ5" s="337"/>
      <c r="ACK5" s="337"/>
      <c r="ACL5" s="337"/>
      <c r="ACM5" s="337"/>
      <c r="ACN5" s="337"/>
      <c r="ACO5" s="337"/>
      <c r="ACP5" s="337"/>
      <c r="ACQ5" s="337"/>
      <c r="ACR5" s="337"/>
      <c r="ACS5" s="337"/>
      <c r="ACT5" s="337"/>
      <c r="ACU5" s="337"/>
      <c r="ACV5" s="337"/>
      <c r="ACW5" s="337"/>
      <c r="ACX5" s="337"/>
      <c r="ACY5" s="337"/>
      <c r="ACZ5" s="337"/>
      <c r="ADA5" s="337"/>
      <c r="ADB5" s="337"/>
      <c r="ADC5" s="337"/>
      <c r="ADD5" s="337"/>
      <c r="ADE5" s="337"/>
      <c r="ADF5" s="337"/>
      <c r="ADG5" s="337"/>
      <c r="ADH5" s="337"/>
      <c r="ADI5" s="337"/>
      <c r="ADJ5" s="337"/>
      <c r="ADK5" s="337"/>
      <c r="ADL5" s="337"/>
      <c r="ADM5" s="337"/>
      <c r="ADN5" s="337"/>
      <c r="ADO5" s="337"/>
      <c r="ADP5" s="337"/>
      <c r="ADQ5" s="337"/>
      <c r="ADR5" s="337"/>
      <c r="ADS5" s="337"/>
      <c r="ADT5" s="337"/>
      <c r="ADU5" s="337"/>
      <c r="ADV5" s="337"/>
      <c r="ADW5" s="337"/>
      <c r="ADX5" s="337"/>
      <c r="ADY5" s="337"/>
      <c r="ADZ5" s="337"/>
      <c r="AEA5" s="337"/>
      <c r="AEB5" s="337"/>
      <c r="AEC5" s="337"/>
      <c r="AED5" s="337"/>
      <c r="AEE5" s="337"/>
      <c r="AEF5" s="337"/>
      <c r="AEG5" s="337"/>
      <c r="AEH5" s="337"/>
      <c r="AEI5" s="337"/>
      <c r="AEJ5" s="337"/>
      <c r="AEK5" s="337"/>
      <c r="AEL5" s="337"/>
      <c r="AEM5" s="337"/>
      <c r="AEN5" s="337"/>
      <c r="AEO5" s="337"/>
      <c r="AEP5" s="337"/>
      <c r="AEQ5" s="337"/>
      <c r="AER5" s="337"/>
      <c r="AES5" s="337"/>
      <c r="AET5" s="337"/>
      <c r="AEU5" s="337"/>
      <c r="AEV5" s="337"/>
      <c r="AEW5" s="337"/>
      <c r="AEX5" s="337"/>
      <c r="AEY5" s="337"/>
      <c r="AEZ5" s="337"/>
      <c r="AFA5" s="337"/>
      <c r="AFB5" s="337"/>
      <c r="AFC5" s="337"/>
      <c r="AFD5" s="337"/>
      <c r="AFE5" s="337"/>
      <c r="AFF5" s="337"/>
      <c r="AFG5" s="337"/>
      <c r="AFH5" s="337"/>
      <c r="AFI5" s="337"/>
      <c r="AFJ5" s="337"/>
      <c r="AFK5" s="337"/>
      <c r="AFL5" s="337"/>
      <c r="AFM5" s="337"/>
      <c r="AFN5" s="337"/>
      <c r="AFO5" s="337"/>
      <c r="AFP5" s="337"/>
      <c r="AFQ5" s="337"/>
      <c r="AFR5" s="337"/>
      <c r="AFS5" s="337"/>
      <c r="AFT5" s="337"/>
      <c r="AFU5" s="337"/>
      <c r="AFV5" s="337"/>
      <c r="AFW5" s="337"/>
      <c r="AFX5" s="337"/>
      <c r="AFY5" s="337"/>
      <c r="AFZ5" s="337"/>
      <c r="AGA5" s="337"/>
      <c r="AGB5" s="337"/>
      <c r="AGC5" s="337"/>
      <c r="AGD5" s="337"/>
      <c r="AGE5" s="337"/>
      <c r="AGF5" s="337"/>
      <c r="AGG5" s="337"/>
      <c r="AGH5" s="337"/>
      <c r="AGI5" s="337"/>
      <c r="AGJ5" s="337"/>
      <c r="AGK5" s="337"/>
      <c r="AGL5" s="337"/>
      <c r="AGM5" s="337"/>
      <c r="AGN5" s="337"/>
      <c r="AGO5" s="337"/>
      <c r="AGP5" s="337"/>
      <c r="AGQ5" s="337"/>
      <c r="AGR5" s="337"/>
      <c r="AGS5" s="337"/>
      <c r="AGT5" s="337"/>
      <c r="AGU5" s="337"/>
      <c r="AGV5" s="337"/>
      <c r="AGW5" s="337"/>
      <c r="AGX5" s="337"/>
      <c r="AGY5" s="337"/>
      <c r="AGZ5" s="337"/>
      <c r="AHA5" s="346"/>
      <c r="AHB5" s="346"/>
      <c r="AHC5" s="346"/>
      <c r="AHD5" s="346"/>
      <c r="AHE5" s="346"/>
    </row>
    <row r="6" s="336" customFormat="1" ht="24" customHeight="1" spans="1:889">
      <c r="A6" s="349">
        <v>2</v>
      </c>
      <c r="B6" s="350"/>
      <c r="C6" s="351" t="s">
        <v>120</v>
      </c>
      <c r="D6" s="352"/>
      <c r="E6" s="348"/>
      <c r="F6" s="81">
        <v>2</v>
      </c>
      <c r="G6" s="353" t="s">
        <v>396</v>
      </c>
      <c r="H6" s="354" t="s">
        <v>397</v>
      </c>
      <c r="I6" s="100" t="s">
        <v>124</v>
      </c>
      <c r="J6" s="100" t="s">
        <v>124</v>
      </c>
      <c r="K6" s="100"/>
      <c r="L6" s="100" t="s">
        <v>124</v>
      </c>
      <c r="M6" s="100" t="s">
        <v>124</v>
      </c>
      <c r="N6" s="373" t="s">
        <v>398</v>
      </c>
      <c r="O6" s="374"/>
      <c r="P6" s="375" t="str">
        <f>CONCATENATE(RemovePunctuation(H6),"_CA","_","i4K","_",C6,"_",AE6,"_",PROPER(R6),IF(S6="",PROPER(R6),PROPER(S6)),PROPER(T6),PROPER(U6),PROPER(V6),IF(V6&lt;&gt;"","SUB",""),PROPER(W6),IF(W6&lt;&gt;"","SUB",""),"_","Ed","_","M1",".mpg")</f>
        <v>WildAidPublicServiceAnnouncementShowcase_CA_i4K_0825_43_ZhoZhoEngSUBZhoSUB_Ed_M1.mpg</v>
      </c>
      <c r="Q6" s="375" t="str">
        <f>CONCATENATE(RemovePunctuation(H6),"_CA","_","i5K","_",C6,"_",AD6,"_",PROPER(R6),IF(S6="",PROPER(R6),PROPER(S6)),PROPER(T6),PROPER(U6),PROPER(V6),IF(V6&lt;&gt;"","SUB",""),PROPER(W6),IF(W6&lt;&gt;"","SUB",""),"_","Ed","_","M4",".mpg")</f>
        <v>WildAidPublicServiceAnnouncementShowcase_CA_i5K_0825_169_ZhoZhoEngSUBZhoSUB_Ed_M4.mpg</v>
      </c>
      <c r="R6" s="382" t="s">
        <v>130</v>
      </c>
      <c r="S6" s="383"/>
      <c r="T6" s="383"/>
      <c r="U6" s="383"/>
      <c r="V6" s="382" t="s">
        <v>131</v>
      </c>
      <c r="W6" s="382" t="s">
        <v>130</v>
      </c>
      <c r="X6" s="349" t="s">
        <v>129</v>
      </c>
      <c r="Y6" s="349" t="s">
        <v>129</v>
      </c>
      <c r="Z6" s="120">
        <f>ROUNDUP(HOUR(AA6)*60+MINUTE(AA6)+SECOND(AA6)/60,0)</f>
        <v>18</v>
      </c>
      <c r="AA6" s="304" t="str">
        <f>TEXT((HOUR(AC6)*60+MINUTE(AC6)+IF(SECOND(AC6)&lt;=29,0,1))*60/86400,"hh:mm:ss")</f>
        <v>00:18:00</v>
      </c>
      <c r="AB6" s="120">
        <f>Z6*60</f>
        <v>1080</v>
      </c>
      <c r="AC6" s="399">
        <v>0.0126736111111111</v>
      </c>
      <c r="AD6" s="400">
        <v>169</v>
      </c>
      <c r="AE6" s="400">
        <v>43</v>
      </c>
      <c r="AF6" s="349"/>
      <c r="AG6" s="344"/>
      <c r="AH6" s="345"/>
      <c r="AI6" s="345"/>
      <c r="AJ6" s="337"/>
      <c r="AK6" s="339"/>
      <c r="AL6" s="339"/>
      <c r="AM6" s="339"/>
      <c r="AN6" s="346"/>
      <c r="AO6" s="346"/>
      <c r="AP6" s="337"/>
      <c r="AQ6" s="337"/>
      <c r="AR6" s="337"/>
      <c r="AS6" s="337"/>
      <c r="AT6" s="337"/>
      <c r="AU6" s="337"/>
      <c r="AV6" s="337"/>
      <c r="AW6" s="337"/>
      <c r="AX6" s="337"/>
      <c r="AY6" s="337"/>
      <c r="AZ6" s="337"/>
      <c r="BA6" s="337"/>
      <c r="BB6" s="337"/>
      <c r="BC6" s="337"/>
      <c r="BD6" s="337"/>
      <c r="BE6" s="337"/>
      <c r="BF6" s="337"/>
      <c r="BG6" s="337"/>
      <c r="BH6" s="337"/>
      <c r="BI6" s="337"/>
      <c r="BJ6" s="337"/>
      <c r="BK6" s="337"/>
      <c r="BL6" s="337"/>
      <c r="BM6" s="337"/>
      <c r="BN6" s="337"/>
      <c r="BO6" s="337"/>
      <c r="BP6" s="337"/>
      <c r="BQ6" s="337"/>
      <c r="BR6" s="337"/>
      <c r="BS6" s="337"/>
      <c r="BT6" s="337"/>
      <c r="BU6" s="337"/>
      <c r="BV6" s="337"/>
      <c r="BW6" s="337"/>
      <c r="BX6" s="337"/>
      <c r="BY6" s="337"/>
      <c r="BZ6" s="337"/>
      <c r="CA6" s="337"/>
      <c r="CB6" s="337"/>
      <c r="CC6" s="337"/>
      <c r="CD6" s="337"/>
      <c r="CE6" s="337"/>
      <c r="CF6" s="337"/>
      <c r="CG6" s="337"/>
      <c r="CH6" s="337"/>
      <c r="CI6" s="337"/>
      <c r="CJ6" s="337"/>
      <c r="CK6" s="337"/>
      <c r="CL6" s="337"/>
      <c r="CM6" s="337"/>
      <c r="CN6" s="337"/>
      <c r="CO6" s="337"/>
      <c r="CP6" s="337"/>
      <c r="CQ6" s="337"/>
      <c r="CR6" s="337"/>
      <c r="CS6" s="337"/>
      <c r="CT6" s="337"/>
      <c r="CU6" s="337"/>
      <c r="CV6" s="337"/>
      <c r="CW6" s="337"/>
      <c r="CX6" s="337"/>
      <c r="CY6" s="337"/>
      <c r="CZ6" s="337"/>
      <c r="DA6" s="337"/>
      <c r="DB6" s="337"/>
      <c r="DC6" s="337"/>
      <c r="DD6" s="337"/>
      <c r="DE6" s="337"/>
      <c r="DF6" s="337"/>
      <c r="DG6" s="337"/>
      <c r="DH6" s="337"/>
      <c r="DI6" s="337"/>
      <c r="DJ6" s="337"/>
      <c r="DK6" s="337"/>
      <c r="DL6" s="337"/>
      <c r="DM6" s="337"/>
      <c r="DN6" s="337"/>
      <c r="DO6" s="337"/>
      <c r="DP6" s="337"/>
      <c r="DQ6" s="337"/>
      <c r="DR6" s="337"/>
      <c r="DS6" s="337"/>
      <c r="DT6" s="337"/>
      <c r="DU6" s="337"/>
      <c r="DV6" s="337"/>
      <c r="DW6" s="337"/>
      <c r="DX6" s="337"/>
      <c r="DY6" s="337"/>
      <c r="DZ6" s="337"/>
      <c r="EA6" s="337"/>
      <c r="EB6" s="337"/>
      <c r="EC6" s="337"/>
      <c r="ED6" s="337"/>
      <c r="EE6" s="337"/>
      <c r="EF6" s="337"/>
      <c r="EG6" s="337"/>
      <c r="EH6" s="337"/>
      <c r="EI6" s="337"/>
      <c r="EJ6" s="337"/>
      <c r="EK6" s="337"/>
      <c r="EL6" s="337"/>
      <c r="EM6" s="337"/>
      <c r="EN6" s="337"/>
      <c r="EO6" s="337"/>
      <c r="EP6" s="337"/>
      <c r="EQ6" s="337"/>
      <c r="ER6" s="337"/>
      <c r="ES6" s="337"/>
      <c r="ET6" s="337"/>
      <c r="EU6" s="337"/>
      <c r="EV6" s="337"/>
      <c r="EW6" s="337"/>
      <c r="EX6" s="337"/>
      <c r="EY6" s="337"/>
      <c r="EZ6" s="337"/>
      <c r="FA6" s="337"/>
      <c r="FB6" s="337"/>
      <c r="FC6" s="337"/>
      <c r="FD6" s="337"/>
      <c r="FE6" s="337"/>
      <c r="FF6" s="337"/>
      <c r="FG6" s="337"/>
      <c r="FH6" s="337"/>
      <c r="FI6" s="337"/>
      <c r="FJ6" s="337"/>
      <c r="FK6" s="337"/>
      <c r="FL6" s="337"/>
      <c r="FM6" s="337"/>
      <c r="FN6" s="337"/>
      <c r="FO6" s="337"/>
      <c r="FP6" s="337"/>
      <c r="FQ6" s="337"/>
      <c r="FR6" s="337"/>
      <c r="FS6" s="337"/>
      <c r="FT6" s="337"/>
      <c r="FU6" s="337"/>
      <c r="FV6" s="337"/>
      <c r="FW6" s="337"/>
      <c r="FX6" s="337"/>
      <c r="FY6" s="337"/>
      <c r="FZ6" s="337"/>
      <c r="GA6" s="337"/>
      <c r="GB6" s="337"/>
      <c r="GC6" s="337"/>
      <c r="GD6" s="337"/>
      <c r="GE6" s="337"/>
      <c r="GF6" s="337"/>
      <c r="GG6" s="337"/>
      <c r="GH6" s="337"/>
      <c r="GI6" s="337"/>
      <c r="GJ6" s="337"/>
      <c r="GK6" s="337"/>
      <c r="GL6" s="337"/>
      <c r="GM6" s="337"/>
      <c r="GN6" s="337"/>
      <c r="GO6" s="337"/>
      <c r="GP6" s="337"/>
      <c r="GQ6" s="337"/>
      <c r="GR6" s="337"/>
      <c r="GS6" s="337"/>
      <c r="GT6" s="337"/>
      <c r="GU6" s="337"/>
      <c r="GV6" s="337"/>
      <c r="GW6" s="337"/>
      <c r="GX6" s="337"/>
      <c r="GY6" s="337"/>
      <c r="GZ6" s="337"/>
      <c r="HA6" s="337"/>
      <c r="HB6" s="337"/>
      <c r="HC6" s="337"/>
      <c r="HD6" s="337"/>
      <c r="HE6" s="337"/>
      <c r="HF6" s="337"/>
      <c r="HG6" s="337"/>
      <c r="HH6" s="337"/>
      <c r="HI6" s="337"/>
      <c r="HJ6" s="337"/>
      <c r="HK6" s="337"/>
      <c r="HL6" s="337"/>
      <c r="HM6" s="337"/>
      <c r="HN6" s="337"/>
      <c r="HO6" s="337"/>
      <c r="HP6" s="337"/>
      <c r="HQ6" s="337"/>
      <c r="HR6" s="337"/>
      <c r="HS6" s="337"/>
      <c r="HT6" s="337"/>
      <c r="HU6" s="337"/>
      <c r="HV6" s="337"/>
      <c r="HW6" s="337"/>
      <c r="HX6" s="337"/>
      <c r="HY6" s="337"/>
      <c r="HZ6" s="337"/>
      <c r="IA6" s="337"/>
      <c r="IB6" s="337"/>
      <c r="IC6" s="337"/>
      <c r="ID6" s="337"/>
      <c r="IE6" s="337"/>
      <c r="IF6" s="337"/>
      <c r="IG6" s="337"/>
      <c r="IH6" s="337"/>
      <c r="II6" s="337"/>
      <c r="IJ6" s="337"/>
      <c r="IK6" s="337"/>
      <c r="IL6" s="337"/>
      <c r="IM6" s="337"/>
      <c r="IN6" s="337"/>
      <c r="IO6" s="337"/>
      <c r="IP6" s="337"/>
      <c r="IQ6" s="337"/>
      <c r="IR6" s="337"/>
      <c r="IS6" s="337"/>
      <c r="IT6" s="337"/>
      <c r="IU6" s="337"/>
      <c r="IV6" s="337"/>
      <c r="IW6" s="337"/>
      <c r="IX6" s="337"/>
      <c r="IY6" s="337"/>
      <c r="IZ6" s="337"/>
      <c r="JA6" s="337"/>
      <c r="JB6" s="337"/>
      <c r="JC6" s="337"/>
      <c r="JD6" s="337"/>
      <c r="JE6" s="337"/>
      <c r="JF6" s="337"/>
      <c r="JG6" s="337"/>
      <c r="JH6" s="337"/>
      <c r="JI6" s="337"/>
      <c r="JJ6" s="337"/>
      <c r="JK6" s="337"/>
      <c r="JL6" s="337"/>
      <c r="JM6" s="337"/>
      <c r="JN6" s="337"/>
      <c r="JO6" s="337"/>
      <c r="JP6" s="337"/>
      <c r="JQ6" s="337"/>
      <c r="JR6" s="337"/>
      <c r="JS6" s="337"/>
      <c r="JT6" s="337"/>
      <c r="JU6" s="337"/>
      <c r="JV6" s="337"/>
      <c r="JW6" s="337"/>
      <c r="JX6" s="337"/>
      <c r="JY6" s="337"/>
      <c r="JZ6" s="337"/>
      <c r="KA6" s="337"/>
      <c r="KB6" s="337"/>
      <c r="KC6" s="337"/>
      <c r="KD6" s="337"/>
      <c r="KE6" s="337"/>
      <c r="KF6" s="337"/>
      <c r="KG6" s="337"/>
      <c r="KH6" s="337"/>
      <c r="KI6" s="337"/>
      <c r="KJ6" s="337"/>
      <c r="KK6" s="337"/>
      <c r="KL6" s="337"/>
      <c r="KM6" s="337"/>
      <c r="KN6" s="337"/>
      <c r="KO6" s="337"/>
      <c r="KP6" s="337"/>
      <c r="KQ6" s="337"/>
      <c r="KR6" s="337"/>
      <c r="KS6" s="337"/>
      <c r="KT6" s="337"/>
      <c r="KU6" s="337"/>
      <c r="KV6" s="337"/>
      <c r="KW6" s="337"/>
      <c r="KX6" s="337"/>
      <c r="KY6" s="337"/>
      <c r="KZ6" s="337"/>
      <c r="LA6" s="337"/>
      <c r="LB6" s="337"/>
      <c r="LC6" s="337"/>
      <c r="LD6" s="337"/>
      <c r="LE6" s="337"/>
      <c r="LF6" s="337"/>
      <c r="LG6" s="337"/>
      <c r="LH6" s="337"/>
      <c r="LI6" s="337"/>
      <c r="LJ6" s="337"/>
      <c r="LK6" s="337"/>
      <c r="LL6" s="337"/>
      <c r="LM6" s="337"/>
      <c r="LN6" s="337"/>
      <c r="LO6" s="337"/>
      <c r="LP6" s="337"/>
      <c r="LQ6" s="337"/>
      <c r="LR6" s="337"/>
      <c r="LS6" s="337"/>
      <c r="LT6" s="337"/>
      <c r="LU6" s="337"/>
      <c r="LV6" s="337"/>
      <c r="LW6" s="337"/>
      <c r="LX6" s="337"/>
      <c r="LY6" s="337"/>
      <c r="LZ6" s="337"/>
      <c r="MA6" s="337"/>
      <c r="MB6" s="337"/>
      <c r="MC6" s="337"/>
      <c r="MD6" s="337"/>
      <c r="ME6" s="337"/>
      <c r="MF6" s="337"/>
      <c r="MG6" s="337"/>
      <c r="MH6" s="337"/>
      <c r="MI6" s="337"/>
      <c r="MJ6" s="337"/>
      <c r="MK6" s="337"/>
      <c r="ML6" s="337"/>
      <c r="MM6" s="337"/>
      <c r="MN6" s="337"/>
      <c r="MO6" s="337"/>
      <c r="MP6" s="337"/>
      <c r="MQ6" s="337"/>
      <c r="MR6" s="337"/>
      <c r="MS6" s="337"/>
      <c r="MT6" s="337"/>
      <c r="MU6" s="337"/>
      <c r="MV6" s="337"/>
      <c r="MW6" s="337"/>
      <c r="MX6" s="337"/>
      <c r="MY6" s="337"/>
      <c r="MZ6" s="337"/>
      <c r="NA6" s="337"/>
      <c r="NB6" s="337"/>
      <c r="NC6" s="337"/>
      <c r="ND6" s="337"/>
      <c r="NE6" s="337"/>
      <c r="NF6" s="337"/>
      <c r="NG6" s="337"/>
      <c r="NH6" s="337"/>
      <c r="NI6" s="337"/>
      <c r="NJ6" s="337"/>
      <c r="NK6" s="337"/>
      <c r="NL6" s="337"/>
      <c r="NM6" s="337"/>
      <c r="NN6" s="337"/>
      <c r="NO6" s="337"/>
      <c r="NP6" s="337"/>
      <c r="NQ6" s="337"/>
      <c r="NR6" s="337"/>
      <c r="NS6" s="337"/>
      <c r="NT6" s="337"/>
      <c r="NU6" s="337"/>
      <c r="NV6" s="337"/>
      <c r="NW6" s="337"/>
      <c r="NX6" s="337"/>
      <c r="NY6" s="337"/>
      <c r="NZ6" s="337"/>
      <c r="OA6" s="337"/>
      <c r="OB6" s="337"/>
      <c r="OC6" s="337"/>
      <c r="OD6" s="337"/>
      <c r="OE6" s="337"/>
      <c r="OF6" s="337"/>
      <c r="OG6" s="337"/>
      <c r="OH6" s="337"/>
      <c r="OI6" s="337"/>
      <c r="OJ6" s="337"/>
      <c r="OK6" s="337"/>
      <c r="OL6" s="337"/>
      <c r="OM6" s="337"/>
      <c r="ON6" s="337"/>
      <c r="OO6" s="337"/>
      <c r="OP6" s="337"/>
      <c r="OQ6" s="337"/>
      <c r="OR6" s="337"/>
      <c r="OS6" s="337"/>
      <c r="OT6" s="337"/>
      <c r="OU6" s="337"/>
      <c r="OV6" s="337"/>
      <c r="OW6" s="337"/>
      <c r="OX6" s="337"/>
      <c r="OY6" s="337"/>
      <c r="OZ6" s="337"/>
      <c r="PA6" s="337"/>
      <c r="PB6" s="337"/>
      <c r="PC6" s="337"/>
      <c r="PD6" s="337"/>
      <c r="PE6" s="337"/>
      <c r="PF6" s="337"/>
      <c r="PG6" s="337"/>
      <c r="PH6" s="337"/>
      <c r="PI6" s="337"/>
      <c r="PJ6" s="337"/>
      <c r="PK6" s="337"/>
      <c r="PL6" s="337"/>
      <c r="PM6" s="337"/>
      <c r="PN6" s="337"/>
      <c r="PO6" s="337"/>
      <c r="PP6" s="337"/>
      <c r="PQ6" s="337"/>
      <c r="PR6" s="337"/>
      <c r="PS6" s="337"/>
      <c r="PT6" s="337"/>
      <c r="PU6" s="337"/>
      <c r="PV6" s="337"/>
      <c r="PW6" s="337"/>
      <c r="PX6" s="337"/>
      <c r="PY6" s="337"/>
      <c r="PZ6" s="337"/>
      <c r="QA6" s="337"/>
      <c r="QB6" s="337"/>
      <c r="QC6" s="337"/>
      <c r="QD6" s="337"/>
      <c r="QE6" s="337"/>
      <c r="QF6" s="337"/>
      <c r="QG6" s="337"/>
      <c r="QH6" s="337"/>
      <c r="QI6" s="337"/>
      <c r="QJ6" s="337"/>
      <c r="QK6" s="337"/>
      <c r="QL6" s="337"/>
      <c r="QM6" s="337"/>
      <c r="QN6" s="337"/>
      <c r="QO6" s="337"/>
      <c r="QP6" s="337"/>
      <c r="QQ6" s="337"/>
      <c r="QR6" s="337"/>
      <c r="QS6" s="337"/>
      <c r="QT6" s="337"/>
      <c r="QU6" s="337"/>
      <c r="QV6" s="337"/>
      <c r="QW6" s="337"/>
      <c r="QX6" s="337"/>
      <c r="QY6" s="337"/>
      <c r="QZ6" s="337"/>
      <c r="RA6" s="337"/>
      <c r="RB6" s="337"/>
      <c r="RC6" s="337"/>
      <c r="RD6" s="337"/>
      <c r="RE6" s="337"/>
      <c r="RF6" s="337"/>
      <c r="RG6" s="337"/>
      <c r="RH6" s="337"/>
      <c r="RI6" s="337"/>
      <c r="RJ6" s="337"/>
      <c r="RK6" s="337"/>
      <c r="RL6" s="337"/>
      <c r="RM6" s="337"/>
      <c r="RN6" s="337"/>
      <c r="RO6" s="337"/>
      <c r="RP6" s="337"/>
      <c r="RQ6" s="337"/>
      <c r="RR6" s="337"/>
      <c r="RS6" s="337"/>
      <c r="RT6" s="337"/>
      <c r="RU6" s="337"/>
      <c r="RV6" s="337"/>
      <c r="RW6" s="337"/>
      <c r="RX6" s="337"/>
      <c r="RY6" s="337"/>
      <c r="RZ6" s="337"/>
      <c r="SA6" s="337"/>
      <c r="SB6" s="337"/>
      <c r="SC6" s="337"/>
      <c r="SD6" s="337"/>
      <c r="SE6" s="337"/>
      <c r="SF6" s="337"/>
      <c r="SG6" s="337"/>
      <c r="SH6" s="337"/>
      <c r="SI6" s="337"/>
      <c r="SJ6" s="337"/>
      <c r="SK6" s="337"/>
      <c r="SL6" s="337"/>
      <c r="SM6" s="337"/>
      <c r="SN6" s="337"/>
      <c r="SO6" s="337"/>
      <c r="SP6" s="337"/>
      <c r="SQ6" s="337"/>
      <c r="SR6" s="337"/>
      <c r="SS6" s="337"/>
      <c r="ST6" s="337"/>
      <c r="SU6" s="337"/>
      <c r="SV6" s="337"/>
      <c r="SW6" s="337"/>
      <c r="SX6" s="337"/>
      <c r="SY6" s="337"/>
      <c r="SZ6" s="337"/>
      <c r="TA6" s="337"/>
      <c r="TB6" s="337"/>
      <c r="TC6" s="337"/>
      <c r="TD6" s="337"/>
      <c r="TE6" s="337"/>
      <c r="TF6" s="337"/>
      <c r="TG6" s="337"/>
      <c r="TH6" s="337"/>
      <c r="TI6" s="337"/>
      <c r="TJ6" s="337"/>
      <c r="TK6" s="337"/>
      <c r="TL6" s="337"/>
      <c r="TM6" s="337"/>
      <c r="TN6" s="337"/>
      <c r="TO6" s="337"/>
      <c r="TP6" s="337"/>
      <c r="TQ6" s="337"/>
      <c r="TR6" s="337"/>
      <c r="TS6" s="337"/>
      <c r="TT6" s="337"/>
      <c r="TU6" s="337"/>
      <c r="TV6" s="337"/>
      <c r="TW6" s="337"/>
      <c r="TX6" s="337"/>
      <c r="TY6" s="337"/>
      <c r="TZ6" s="337"/>
      <c r="UA6" s="337"/>
      <c r="UB6" s="337"/>
      <c r="UC6" s="337"/>
      <c r="UD6" s="337"/>
      <c r="UE6" s="337"/>
      <c r="UF6" s="337"/>
      <c r="UG6" s="337"/>
      <c r="UH6" s="337"/>
      <c r="UI6" s="337"/>
      <c r="UJ6" s="337"/>
      <c r="UK6" s="337"/>
      <c r="UL6" s="337"/>
      <c r="UM6" s="337"/>
      <c r="UN6" s="337"/>
      <c r="UO6" s="337"/>
      <c r="UP6" s="337"/>
      <c r="UQ6" s="337"/>
      <c r="UR6" s="337"/>
      <c r="US6" s="337"/>
      <c r="UT6" s="337"/>
      <c r="UU6" s="337"/>
      <c r="UV6" s="337"/>
      <c r="UW6" s="337"/>
      <c r="UX6" s="337"/>
      <c r="UY6" s="337"/>
      <c r="UZ6" s="337"/>
      <c r="VA6" s="337"/>
      <c r="VB6" s="337"/>
      <c r="VC6" s="337"/>
      <c r="VD6" s="337"/>
      <c r="VE6" s="337"/>
      <c r="VF6" s="337"/>
      <c r="VG6" s="337"/>
      <c r="VH6" s="337"/>
      <c r="VI6" s="337"/>
      <c r="VJ6" s="337"/>
      <c r="VK6" s="337"/>
      <c r="VL6" s="337"/>
      <c r="VM6" s="337"/>
      <c r="VN6" s="337"/>
      <c r="VO6" s="337"/>
      <c r="VP6" s="337"/>
      <c r="VQ6" s="337"/>
      <c r="VR6" s="337"/>
      <c r="VS6" s="337"/>
      <c r="VT6" s="337"/>
      <c r="VU6" s="337"/>
      <c r="VV6" s="337"/>
      <c r="VW6" s="337"/>
      <c r="VX6" s="337"/>
      <c r="VY6" s="337"/>
      <c r="VZ6" s="337"/>
      <c r="WA6" s="337"/>
      <c r="WB6" s="337"/>
      <c r="WC6" s="337"/>
      <c r="WD6" s="337"/>
      <c r="WE6" s="337"/>
      <c r="WF6" s="337"/>
      <c r="WG6" s="337"/>
      <c r="WH6" s="337"/>
      <c r="WI6" s="337"/>
      <c r="WJ6" s="337"/>
      <c r="WK6" s="337"/>
      <c r="WL6" s="337"/>
      <c r="WM6" s="337"/>
      <c r="WN6" s="337"/>
      <c r="WO6" s="337"/>
      <c r="WP6" s="337"/>
      <c r="WQ6" s="337"/>
      <c r="WR6" s="337"/>
      <c r="WS6" s="337"/>
      <c r="WT6" s="337"/>
      <c r="WU6" s="337"/>
      <c r="WV6" s="337"/>
      <c r="WW6" s="337"/>
      <c r="WX6" s="337"/>
      <c r="WY6" s="337"/>
      <c r="WZ6" s="337"/>
      <c r="XA6" s="337"/>
      <c r="XB6" s="337"/>
      <c r="XC6" s="337"/>
      <c r="XD6" s="337"/>
      <c r="XE6" s="337"/>
      <c r="XF6" s="337"/>
      <c r="XG6" s="337"/>
      <c r="XH6" s="337"/>
      <c r="XI6" s="337"/>
      <c r="XJ6" s="337"/>
      <c r="XK6" s="337"/>
      <c r="XL6" s="337"/>
      <c r="XM6" s="337"/>
      <c r="XN6" s="337"/>
      <c r="XO6" s="337"/>
      <c r="XP6" s="337"/>
      <c r="XQ6" s="337"/>
      <c r="XR6" s="337"/>
      <c r="XS6" s="337"/>
      <c r="XT6" s="337"/>
      <c r="XU6" s="337"/>
      <c r="XV6" s="337"/>
      <c r="XW6" s="337"/>
      <c r="XX6" s="337"/>
      <c r="XY6" s="337"/>
      <c r="XZ6" s="337"/>
      <c r="YA6" s="337"/>
      <c r="YB6" s="337"/>
      <c r="YC6" s="337"/>
      <c r="YD6" s="337"/>
      <c r="YE6" s="337"/>
      <c r="YF6" s="337"/>
      <c r="YG6" s="337"/>
      <c r="YH6" s="337"/>
      <c r="YI6" s="337"/>
      <c r="YJ6" s="337"/>
      <c r="YK6" s="337"/>
      <c r="YL6" s="337"/>
      <c r="YM6" s="337"/>
      <c r="YN6" s="337"/>
      <c r="YO6" s="337"/>
      <c r="YP6" s="337"/>
      <c r="YQ6" s="337"/>
      <c r="YR6" s="337"/>
      <c r="YS6" s="337"/>
      <c r="YT6" s="337"/>
      <c r="YU6" s="337"/>
      <c r="YV6" s="337"/>
      <c r="YW6" s="337"/>
      <c r="YX6" s="337"/>
      <c r="YY6" s="337"/>
      <c r="YZ6" s="337"/>
      <c r="ZA6" s="337"/>
      <c r="ZB6" s="337"/>
      <c r="ZC6" s="337"/>
      <c r="ZD6" s="337"/>
      <c r="ZE6" s="337"/>
      <c r="ZF6" s="337"/>
      <c r="ZG6" s="337"/>
      <c r="ZH6" s="337"/>
      <c r="ZI6" s="337"/>
      <c r="ZJ6" s="337"/>
      <c r="ZK6" s="337"/>
      <c r="ZL6" s="337"/>
      <c r="ZM6" s="337"/>
      <c r="ZN6" s="337"/>
      <c r="ZO6" s="337"/>
      <c r="ZP6" s="337"/>
      <c r="ZQ6" s="337"/>
      <c r="ZR6" s="337"/>
      <c r="ZS6" s="337"/>
      <c r="ZT6" s="337"/>
      <c r="ZU6" s="337"/>
      <c r="ZV6" s="337"/>
      <c r="ZW6" s="337"/>
      <c r="ZX6" s="337"/>
      <c r="ZY6" s="337"/>
      <c r="ZZ6" s="337"/>
      <c r="AAA6" s="337"/>
      <c r="AAB6" s="337"/>
      <c r="AAC6" s="337"/>
      <c r="AAD6" s="337"/>
      <c r="AAE6" s="337"/>
      <c r="AAF6" s="337"/>
      <c r="AAG6" s="337"/>
      <c r="AAH6" s="337"/>
      <c r="AAI6" s="337"/>
      <c r="AAJ6" s="337"/>
      <c r="AAK6" s="337"/>
      <c r="AAL6" s="337"/>
      <c r="AAM6" s="337"/>
      <c r="AAN6" s="337"/>
      <c r="AAO6" s="337"/>
      <c r="AAP6" s="337"/>
      <c r="AAQ6" s="337"/>
      <c r="AAR6" s="337"/>
      <c r="AAS6" s="337"/>
      <c r="AAT6" s="337"/>
      <c r="AAU6" s="337"/>
      <c r="AAV6" s="337"/>
      <c r="AAW6" s="337"/>
      <c r="AAX6" s="337"/>
      <c r="AAY6" s="337"/>
      <c r="AAZ6" s="337"/>
      <c r="ABA6" s="337"/>
      <c r="ABB6" s="337"/>
      <c r="ABC6" s="337"/>
      <c r="ABD6" s="337"/>
      <c r="ABE6" s="337"/>
      <c r="ABF6" s="337"/>
      <c r="ABG6" s="337"/>
      <c r="ABH6" s="337"/>
      <c r="ABI6" s="337"/>
      <c r="ABJ6" s="337"/>
      <c r="ABK6" s="337"/>
      <c r="ABL6" s="337"/>
      <c r="ABM6" s="337"/>
      <c r="ABN6" s="337"/>
      <c r="ABO6" s="337"/>
      <c r="ABP6" s="337"/>
      <c r="ABQ6" s="337"/>
      <c r="ABR6" s="337"/>
      <c r="ABS6" s="337"/>
      <c r="ABT6" s="337"/>
      <c r="ABU6" s="337"/>
      <c r="ABV6" s="337"/>
      <c r="ABW6" s="337"/>
      <c r="ABX6" s="337"/>
      <c r="ABY6" s="337"/>
      <c r="ABZ6" s="337"/>
      <c r="ACA6" s="337"/>
      <c r="ACB6" s="337"/>
      <c r="ACC6" s="337"/>
      <c r="ACD6" s="337"/>
      <c r="ACE6" s="337"/>
      <c r="ACF6" s="337"/>
      <c r="ACG6" s="337"/>
      <c r="ACH6" s="337"/>
      <c r="ACI6" s="337"/>
      <c r="ACJ6" s="337"/>
      <c r="ACK6" s="337"/>
      <c r="ACL6" s="337"/>
      <c r="ACM6" s="337"/>
      <c r="ACN6" s="337"/>
      <c r="ACO6" s="337"/>
      <c r="ACP6" s="337"/>
      <c r="ACQ6" s="337"/>
      <c r="ACR6" s="337"/>
      <c r="ACS6" s="337"/>
      <c r="ACT6" s="337"/>
      <c r="ACU6" s="337"/>
      <c r="ACV6" s="337"/>
      <c r="ACW6" s="337"/>
      <c r="ACX6" s="337"/>
      <c r="ACY6" s="337"/>
      <c r="ACZ6" s="337"/>
      <c r="ADA6" s="337"/>
      <c r="ADB6" s="337"/>
      <c r="ADC6" s="337"/>
      <c r="ADD6" s="337"/>
      <c r="ADE6" s="337"/>
      <c r="ADF6" s="337"/>
      <c r="ADG6" s="337"/>
      <c r="ADH6" s="337"/>
      <c r="ADI6" s="337"/>
      <c r="ADJ6" s="337"/>
      <c r="ADK6" s="337"/>
      <c r="ADL6" s="337"/>
      <c r="ADM6" s="337"/>
      <c r="ADN6" s="337"/>
      <c r="ADO6" s="337"/>
      <c r="ADP6" s="337"/>
      <c r="ADQ6" s="337"/>
      <c r="ADR6" s="337"/>
      <c r="ADS6" s="337"/>
      <c r="ADT6" s="337"/>
      <c r="ADU6" s="337"/>
      <c r="ADV6" s="337"/>
      <c r="ADW6" s="337"/>
      <c r="ADX6" s="337"/>
      <c r="ADY6" s="337"/>
      <c r="ADZ6" s="337"/>
      <c r="AEA6" s="337"/>
      <c r="AEB6" s="337"/>
      <c r="AEC6" s="337"/>
      <c r="AED6" s="337"/>
      <c r="AEE6" s="337"/>
      <c r="AEF6" s="337"/>
      <c r="AEG6" s="337"/>
      <c r="AEH6" s="337"/>
      <c r="AEI6" s="337"/>
      <c r="AEJ6" s="337"/>
      <c r="AEK6" s="337"/>
      <c r="AEL6" s="337"/>
      <c r="AEM6" s="337"/>
      <c r="AEN6" s="337"/>
      <c r="AEO6" s="337"/>
      <c r="AEP6" s="337"/>
      <c r="AEQ6" s="337"/>
      <c r="AER6" s="337"/>
      <c r="AES6" s="337"/>
      <c r="AET6" s="337"/>
      <c r="AEU6" s="337"/>
      <c r="AEV6" s="337"/>
      <c r="AEW6" s="337"/>
      <c r="AEX6" s="337"/>
      <c r="AEY6" s="337"/>
      <c r="AEZ6" s="337"/>
      <c r="AFA6" s="337"/>
      <c r="AFB6" s="337"/>
      <c r="AFC6" s="337"/>
      <c r="AFD6" s="337"/>
      <c r="AFE6" s="337"/>
      <c r="AFF6" s="337"/>
      <c r="AFG6" s="337"/>
      <c r="AFH6" s="337"/>
      <c r="AFI6" s="337"/>
      <c r="AFJ6" s="337"/>
      <c r="AFK6" s="337"/>
      <c r="AFL6" s="337"/>
      <c r="AFM6" s="337"/>
      <c r="AFN6" s="337"/>
      <c r="AFO6" s="337"/>
      <c r="AFP6" s="337"/>
      <c r="AFQ6" s="337"/>
      <c r="AFR6" s="337"/>
      <c r="AFS6" s="337"/>
      <c r="AFT6" s="337"/>
      <c r="AFU6" s="337"/>
      <c r="AFV6" s="337"/>
      <c r="AFW6" s="337"/>
      <c r="AFX6" s="337"/>
      <c r="AFY6" s="337"/>
      <c r="AFZ6" s="337"/>
      <c r="AGA6" s="337"/>
      <c r="AGB6" s="337"/>
      <c r="AGC6" s="337"/>
      <c r="AGD6" s="337"/>
      <c r="AGE6" s="337"/>
      <c r="AGF6" s="337"/>
      <c r="AGG6" s="337"/>
      <c r="AGH6" s="337"/>
      <c r="AGI6" s="337"/>
      <c r="AGJ6" s="337"/>
      <c r="AGK6" s="337"/>
      <c r="AGL6" s="337"/>
      <c r="AGM6" s="337"/>
      <c r="AGN6" s="337"/>
      <c r="AGO6" s="337"/>
      <c r="AGP6" s="337"/>
      <c r="AGQ6" s="337"/>
      <c r="AGR6" s="337"/>
      <c r="AGS6" s="337"/>
      <c r="AGT6" s="337"/>
      <c r="AGU6" s="337"/>
      <c r="AGV6" s="337"/>
      <c r="AGW6" s="337"/>
      <c r="AGX6" s="337"/>
      <c r="AGY6" s="337"/>
      <c r="AGZ6" s="337"/>
      <c r="AHA6" s="346"/>
      <c r="AHB6" s="346"/>
      <c r="AHC6" s="346"/>
      <c r="AHD6" s="346"/>
      <c r="AHE6" s="346"/>
    </row>
    <row r="7" s="336" customFormat="1" ht="24" customHeight="1" spans="1:889">
      <c r="A7" s="349">
        <v>3</v>
      </c>
      <c r="B7" s="350"/>
      <c r="C7" s="351" t="s">
        <v>120</v>
      </c>
      <c r="D7" s="352"/>
      <c r="E7" s="348"/>
      <c r="F7" s="81">
        <v>3</v>
      </c>
      <c r="G7" s="353" t="s">
        <v>399</v>
      </c>
      <c r="H7" s="354" t="s">
        <v>400</v>
      </c>
      <c r="I7" s="100" t="s">
        <v>124</v>
      </c>
      <c r="J7" s="100" t="s">
        <v>124</v>
      </c>
      <c r="K7" s="100" t="s">
        <v>124</v>
      </c>
      <c r="L7" s="100" t="s">
        <v>124</v>
      </c>
      <c r="M7" s="100" t="s">
        <v>124</v>
      </c>
      <c r="N7" s="373" t="s">
        <v>401</v>
      </c>
      <c r="O7" s="374" t="s">
        <v>402</v>
      </c>
      <c r="P7" s="375" t="str">
        <f>CONCATENATE(RemovePunctuation(H7),"_CA","_","i4K","_",C7,"_",AE7,"_",PROPER(R7),IF(S7="",PROPER(R7),PROPER(S7)),PROPER(T7),PROPER(U7),PROPER(V7),IF(V7&lt;&gt;"","SUB",""),PROPER(W7),IF(W7&lt;&gt;"","SUB",""),"_","Ed","_","M1",".mpg")</f>
        <v>PandaStoriesEp01_CA_i4K_0825_43_ZhoZhoEngSUBZhoSUB_Ed_M1.mpg</v>
      </c>
      <c r="Q7" s="375" t="str">
        <f>CONCATENATE(RemovePunctuation(H7),"_CA","_","i5K","_",C7,"_",AD7,"_",PROPER(R7),IF(S7="",PROPER(R7),PROPER(S7)),PROPER(T7),PROPER(U7),PROPER(V7),IF(V7&lt;&gt;"","SUB",""),PROPER(W7),IF(W7&lt;&gt;"","SUB",""),"_","Ed","_","M4",".mpg")</f>
        <v>PandaStoriesEp01_CA_i5K_0825_169_ZhoZhoEngSUBZhoSUB_Ed_M4.mpg</v>
      </c>
      <c r="R7" s="382" t="s">
        <v>130</v>
      </c>
      <c r="S7" s="383"/>
      <c r="T7" s="383"/>
      <c r="U7" s="383"/>
      <c r="V7" s="382" t="s">
        <v>131</v>
      </c>
      <c r="W7" s="382" t="s">
        <v>130</v>
      </c>
      <c r="X7" s="349" t="s">
        <v>129</v>
      </c>
      <c r="Y7" s="349" t="s">
        <v>129</v>
      </c>
      <c r="Z7" s="120">
        <f>ROUNDUP(HOUR(AA7)*60+MINUTE(AA7)+SECOND(AA7)/60,0)</f>
        <v>5</v>
      </c>
      <c r="AA7" s="304" t="str">
        <f>TEXT((HOUR(AC7)*60+MINUTE(AC7)+IF(SECOND(AC7)&lt;=29,0,1))*60/86400,"hh:mm:ss")</f>
        <v>00:05:00</v>
      </c>
      <c r="AB7" s="120">
        <f>Z7*60</f>
        <v>300</v>
      </c>
      <c r="AC7" s="399">
        <v>0.00361111111111111</v>
      </c>
      <c r="AD7" s="400">
        <v>169</v>
      </c>
      <c r="AE7" s="400">
        <v>43</v>
      </c>
      <c r="AF7" s="349" t="s">
        <v>132</v>
      </c>
      <c r="AG7" s="344"/>
      <c r="AH7" s="345"/>
      <c r="AI7" s="345"/>
      <c r="AJ7" s="337"/>
      <c r="AK7" s="339"/>
      <c r="AL7" s="339"/>
      <c r="AM7" s="339"/>
      <c r="AN7" s="346"/>
      <c r="AO7" s="346"/>
      <c r="AP7" s="337"/>
      <c r="AQ7" s="337"/>
      <c r="AR7" s="337"/>
      <c r="AS7" s="337"/>
      <c r="AT7" s="337"/>
      <c r="AU7" s="337"/>
      <c r="AV7" s="337"/>
      <c r="AW7" s="337"/>
      <c r="AX7" s="337"/>
      <c r="AY7" s="337"/>
      <c r="AZ7" s="337"/>
      <c r="BA7" s="337"/>
      <c r="BB7" s="337"/>
      <c r="BC7" s="337"/>
      <c r="BD7" s="337"/>
      <c r="BE7" s="337"/>
      <c r="BF7" s="337"/>
      <c r="BG7" s="337"/>
      <c r="BH7" s="337"/>
      <c r="BI7" s="337"/>
      <c r="BJ7" s="337"/>
      <c r="BK7" s="337"/>
      <c r="BL7" s="337"/>
      <c r="BM7" s="337"/>
      <c r="BN7" s="337"/>
      <c r="BO7" s="337"/>
      <c r="BP7" s="337"/>
      <c r="BQ7" s="337"/>
      <c r="BR7" s="337"/>
      <c r="BS7" s="337"/>
      <c r="BT7" s="337"/>
      <c r="BU7" s="337"/>
      <c r="BV7" s="337"/>
      <c r="BW7" s="337"/>
      <c r="BX7" s="337"/>
      <c r="BY7" s="337"/>
      <c r="BZ7" s="337"/>
      <c r="CA7" s="337"/>
      <c r="CB7" s="337"/>
      <c r="CC7" s="337"/>
      <c r="CD7" s="337"/>
      <c r="CE7" s="337"/>
      <c r="CF7" s="337"/>
      <c r="CG7" s="337"/>
      <c r="CH7" s="337"/>
      <c r="CI7" s="337"/>
      <c r="CJ7" s="337"/>
      <c r="CK7" s="337"/>
      <c r="CL7" s="337"/>
      <c r="CM7" s="337"/>
      <c r="CN7" s="337"/>
      <c r="CO7" s="337"/>
      <c r="CP7" s="337"/>
      <c r="CQ7" s="337"/>
      <c r="CR7" s="337"/>
      <c r="CS7" s="337"/>
      <c r="CT7" s="337"/>
      <c r="CU7" s="337"/>
      <c r="CV7" s="337"/>
      <c r="CW7" s="337"/>
      <c r="CX7" s="337"/>
      <c r="CY7" s="337"/>
      <c r="CZ7" s="337"/>
      <c r="DA7" s="337"/>
      <c r="DB7" s="337"/>
      <c r="DC7" s="337"/>
      <c r="DD7" s="337"/>
      <c r="DE7" s="337"/>
      <c r="DF7" s="337"/>
      <c r="DG7" s="337"/>
      <c r="DH7" s="337"/>
      <c r="DI7" s="337"/>
      <c r="DJ7" s="337"/>
      <c r="DK7" s="337"/>
      <c r="DL7" s="337"/>
      <c r="DM7" s="337"/>
      <c r="DN7" s="337"/>
      <c r="DO7" s="337"/>
      <c r="DP7" s="337"/>
      <c r="DQ7" s="337"/>
      <c r="DR7" s="337"/>
      <c r="DS7" s="337"/>
      <c r="DT7" s="337"/>
      <c r="DU7" s="337"/>
      <c r="DV7" s="337"/>
      <c r="DW7" s="337"/>
      <c r="DX7" s="337"/>
      <c r="DY7" s="337"/>
      <c r="DZ7" s="337"/>
      <c r="EA7" s="337"/>
      <c r="EB7" s="337"/>
      <c r="EC7" s="337"/>
      <c r="ED7" s="337"/>
      <c r="EE7" s="337"/>
      <c r="EF7" s="337"/>
      <c r="EG7" s="337"/>
      <c r="EH7" s="337"/>
      <c r="EI7" s="337"/>
      <c r="EJ7" s="337"/>
      <c r="EK7" s="337"/>
      <c r="EL7" s="337"/>
      <c r="EM7" s="337"/>
      <c r="EN7" s="337"/>
      <c r="EO7" s="337"/>
      <c r="EP7" s="337"/>
      <c r="EQ7" s="337"/>
      <c r="ER7" s="337"/>
      <c r="ES7" s="337"/>
      <c r="ET7" s="337"/>
      <c r="EU7" s="337"/>
      <c r="EV7" s="337"/>
      <c r="EW7" s="337"/>
      <c r="EX7" s="337"/>
      <c r="EY7" s="337"/>
      <c r="EZ7" s="337"/>
      <c r="FA7" s="337"/>
      <c r="FB7" s="337"/>
      <c r="FC7" s="337"/>
      <c r="FD7" s="337"/>
      <c r="FE7" s="337"/>
      <c r="FF7" s="337"/>
      <c r="FG7" s="337"/>
      <c r="FH7" s="337"/>
      <c r="FI7" s="337"/>
      <c r="FJ7" s="337"/>
      <c r="FK7" s="337"/>
      <c r="FL7" s="337"/>
      <c r="FM7" s="337"/>
      <c r="FN7" s="337"/>
      <c r="FO7" s="337"/>
      <c r="FP7" s="337"/>
      <c r="FQ7" s="337"/>
      <c r="FR7" s="337"/>
      <c r="FS7" s="337"/>
      <c r="FT7" s="337"/>
      <c r="FU7" s="337"/>
      <c r="FV7" s="337"/>
      <c r="FW7" s="337"/>
      <c r="FX7" s="337"/>
      <c r="FY7" s="337"/>
      <c r="FZ7" s="337"/>
      <c r="GA7" s="337"/>
      <c r="GB7" s="337"/>
      <c r="GC7" s="337"/>
      <c r="GD7" s="337"/>
      <c r="GE7" s="337"/>
      <c r="GF7" s="337"/>
      <c r="GG7" s="337"/>
      <c r="GH7" s="337"/>
      <c r="GI7" s="337"/>
      <c r="GJ7" s="337"/>
      <c r="GK7" s="337"/>
      <c r="GL7" s="337"/>
      <c r="GM7" s="337"/>
      <c r="GN7" s="337"/>
      <c r="GO7" s="337"/>
      <c r="GP7" s="337"/>
      <c r="GQ7" s="337"/>
      <c r="GR7" s="337"/>
      <c r="GS7" s="337"/>
      <c r="GT7" s="337"/>
      <c r="GU7" s="337"/>
      <c r="GV7" s="337"/>
      <c r="GW7" s="337"/>
      <c r="GX7" s="337"/>
      <c r="GY7" s="337"/>
      <c r="GZ7" s="337"/>
      <c r="HA7" s="337"/>
      <c r="HB7" s="337"/>
      <c r="HC7" s="337"/>
      <c r="HD7" s="337"/>
      <c r="HE7" s="337"/>
      <c r="HF7" s="337"/>
      <c r="HG7" s="337"/>
      <c r="HH7" s="337"/>
      <c r="HI7" s="337"/>
      <c r="HJ7" s="337"/>
      <c r="HK7" s="337"/>
      <c r="HL7" s="337"/>
      <c r="HM7" s="337"/>
      <c r="HN7" s="337"/>
      <c r="HO7" s="337"/>
      <c r="HP7" s="337"/>
      <c r="HQ7" s="337"/>
      <c r="HR7" s="337"/>
      <c r="HS7" s="337"/>
      <c r="HT7" s="337"/>
      <c r="HU7" s="337"/>
      <c r="HV7" s="337"/>
      <c r="HW7" s="337"/>
      <c r="HX7" s="337"/>
      <c r="HY7" s="337"/>
      <c r="HZ7" s="337"/>
      <c r="IA7" s="337"/>
      <c r="IB7" s="337"/>
      <c r="IC7" s="337"/>
      <c r="ID7" s="337"/>
      <c r="IE7" s="337"/>
      <c r="IF7" s="337"/>
      <c r="IG7" s="337"/>
      <c r="IH7" s="337"/>
      <c r="II7" s="337"/>
      <c r="IJ7" s="337"/>
      <c r="IK7" s="337"/>
      <c r="IL7" s="337"/>
      <c r="IM7" s="337"/>
      <c r="IN7" s="337"/>
      <c r="IO7" s="337"/>
      <c r="IP7" s="337"/>
      <c r="IQ7" s="337"/>
      <c r="IR7" s="337"/>
      <c r="IS7" s="337"/>
      <c r="IT7" s="337"/>
      <c r="IU7" s="337"/>
      <c r="IV7" s="337"/>
      <c r="IW7" s="337"/>
      <c r="IX7" s="337"/>
      <c r="IY7" s="337"/>
      <c r="IZ7" s="337"/>
      <c r="JA7" s="337"/>
      <c r="JB7" s="337"/>
      <c r="JC7" s="337"/>
      <c r="JD7" s="337"/>
      <c r="JE7" s="337"/>
      <c r="JF7" s="337"/>
      <c r="JG7" s="337"/>
      <c r="JH7" s="337"/>
      <c r="JI7" s="337"/>
      <c r="JJ7" s="337"/>
      <c r="JK7" s="337"/>
      <c r="JL7" s="337"/>
      <c r="JM7" s="337"/>
      <c r="JN7" s="337"/>
      <c r="JO7" s="337"/>
      <c r="JP7" s="337"/>
      <c r="JQ7" s="337"/>
      <c r="JR7" s="337"/>
      <c r="JS7" s="337"/>
      <c r="JT7" s="337"/>
      <c r="JU7" s="337"/>
      <c r="JV7" s="337"/>
      <c r="JW7" s="337"/>
      <c r="JX7" s="337"/>
      <c r="JY7" s="337"/>
      <c r="JZ7" s="337"/>
      <c r="KA7" s="337"/>
      <c r="KB7" s="337"/>
      <c r="KC7" s="337"/>
      <c r="KD7" s="337"/>
      <c r="KE7" s="337"/>
      <c r="KF7" s="337"/>
      <c r="KG7" s="337"/>
      <c r="KH7" s="337"/>
      <c r="KI7" s="337"/>
      <c r="KJ7" s="337"/>
      <c r="KK7" s="337"/>
      <c r="KL7" s="337"/>
      <c r="KM7" s="337"/>
      <c r="KN7" s="337"/>
      <c r="KO7" s="337"/>
      <c r="KP7" s="337"/>
      <c r="KQ7" s="337"/>
      <c r="KR7" s="337"/>
      <c r="KS7" s="337"/>
      <c r="KT7" s="337"/>
      <c r="KU7" s="337"/>
      <c r="KV7" s="337"/>
      <c r="KW7" s="337"/>
      <c r="KX7" s="337"/>
      <c r="KY7" s="337"/>
      <c r="KZ7" s="337"/>
      <c r="LA7" s="337"/>
      <c r="LB7" s="337"/>
      <c r="LC7" s="337"/>
      <c r="LD7" s="337"/>
      <c r="LE7" s="337"/>
      <c r="LF7" s="337"/>
      <c r="LG7" s="337"/>
      <c r="LH7" s="337"/>
      <c r="LI7" s="337"/>
      <c r="LJ7" s="337"/>
      <c r="LK7" s="337"/>
      <c r="LL7" s="337"/>
      <c r="LM7" s="337"/>
      <c r="LN7" s="337"/>
      <c r="LO7" s="337"/>
      <c r="LP7" s="337"/>
      <c r="LQ7" s="337"/>
      <c r="LR7" s="337"/>
      <c r="LS7" s="337"/>
      <c r="LT7" s="337"/>
      <c r="LU7" s="337"/>
      <c r="LV7" s="337"/>
      <c r="LW7" s="337"/>
      <c r="LX7" s="337"/>
      <c r="LY7" s="337"/>
      <c r="LZ7" s="337"/>
      <c r="MA7" s="337"/>
      <c r="MB7" s="337"/>
      <c r="MC7" s="337"/>
      <c r="MD7" s="337"/>
      <c r="ME7" s="337"/>
      <c r="MF7" s="337"/>
      <c r="MG7" s="337"/>
      <c r="MH7" s="337"/>
      <c r="MI7" s="337"/>
      <c r="MJ7" s="337"/>
      <c r="MK7" s="337"/>
      <c r="ML7" s="337"/>
      <c r="MM7" s="337"/>
      <c r="MN7" s="337"/>
      <c r="MO7" s="337"/>
      <c r="MP7" s="337"/>
      <c r="MQ7" s="337"/>
      <c r="MR7" s="337"/>
      <c r="MS7" s="337"/>
      <c r="MT7" s="337"/>
      <c r="MU7" s="337"/>
      <c r="MV7" s="337"/>
      <c r="MW7" s="337"/>
      <c r="MX7" s="337"/>
      <c r="MY7" s="337"/>
      <c r="MZ7" s="337"/>
      <c r="NA7" s="337"/>
      <c r="NB7" s="337"/>
      <c r="NC7" s="337"/>
      <c r="ND7" s="337"/>
      <c r="NE7" s="337"/>
      <c r="NF7" s="337"/>
      <c r="NG7" s="337"/>
      <c r="NH7" s="337"/>
      <c r="NI7" s="337"/>
      <c r="NJ7" s="337"/>
      <c r="NK7" s="337"/>
      <c r="NL7" s="337"/>
      <c r="NM7" s="337"/>
      <c r="NN7" s="337"/>
      <c r="NO7" s="337"/>
      <c r="NP7" s="337"/>
      <c r="NQ7" s="337"/>
      <c r="NR7" s="337"/>
      <c r="NS7" s="337"/>
      <c r="NT7" s="337"/>
      <c r="NU7" s="337"/>
      <c r="NV7" s="337"/>
      <c r="NW7" s="337"/>
      <c r="NX7" s="337"/>
      <c r="NY7" s="337"/>
      <c r="NZ7" s="337"/>
      <c r="OA7" s="337"/>
      <c r="OB7" s="337"/>
      <c r="OC7" s="337"/>
      <c r="OD7" s="337"/>
      <c r="OE7" s="337"/>
      <c r="OF7" s="337"/>
      <c r="OG7" s="337"/>
      <c r="OH7" s="337"/>
      <c r="OI7" s="337"/>
      <c r="OJ7" s="337"/>
      <c r="OK7" s="337"/>
      <c r="OL7" s="337"/>
      <c r="OM7" s="337"/>
      <c r="ON7" s="337"/>
      <c r="OO7" s="337"/>
      <c r="OP7" s="337"/>
      <c r="OQ7" s="337"/>
      <c r="OR7" s="337"/>
      <c r="OS7" s="337"/>
      <c r="OT7" s="337"/>
      <c r="OU7" s="337"/>
      <c r="OV7" s="337"/>
      <c r="OW7" s="337"/>
      <c r="OX7" s="337"/>
      <c r="OY7" s="337"/>
      <c r="OZ7" s="337"/>
      <c r="PA7" s="337"/>
      <c r="PB7" s="337"/>
      <c r="PC7" s="337"/>
      <c r="PD7" s="337"/>
      <c r="PE7" s="337"/>
      <c r="PF7" s="337"/>
      <c r="PG7" s="337"/>
      <c r="PH7" s="337"/>
      <c r="PI7" s="337"/>
      <c r="PJ7" s="337"/>
      <c r="PK7" s="337"/>
      <c r="PL7" s="337"/>
      <c r="PM7" s="337"/>
      <c r="PN7" s="337"/>
      <c r="PO7" s="337"/>
      <c r="PP7" s="337"/>
      <c r="PQ7" s="337"/>
      <c r="PR7" s="337"/>
      <c r="PS7" s="337"/>
      <c r="PT7" s="337"/>
      <c r="PU7" s="337"/>
      <c r="PV7" s="337"/>
      <c r="PW7" s="337"/>
      <c r="PX7" s="337"/>
      <c r="PY7" s="337"/>
      <c r="PZ7" s="337"/>
      <c r="QA7" s="337"/>
      <c r="QB7" s="337"/>
      <c r="QC7" s="337"/>
      <c r="QD7" s="337"/>
      <c r="QE7" s="337"/>
      <c r="QF7" s="337"/>
      <c r="QG7" s="337"/>
      <c r="QH7" s="337"/>
      <c r="QI7" s="337"/>
      <c r="QJ7" s="337"/>
      <c r="QK7" s="337"/>
      <c r="QL7" s="337"/>
      <c r="QM7" s="337"/>
      <c r="QN7" s="337"/>
      <c r="QO7" s="337"/>
      <c r="QP7" s="337"/>
      <c r="QQ7" s="337"/>
      <c r="QR7" s="337"/>
      <c r="QS7" s="337"/>
      <c r="QT7" s="337"/>
      <c r="QU7" s="337"/>
      <c r="QV7" s="337"/>
      <c r="QW7" s="337"/>
      <c r="QX7" s="337"/>
      <c r="QY7" s="337"/>
      <c r="QZ7" s="337"/>
      <c r="RA7" s="337"/>
      <c r="RB7" s="337"/>
      <c r="RC7" s="337"/>
      <c r="RD7" s="337"/>
      <c r="RE7" s="337"/>
      <c r="RF7" s="337"/>
      <c r="RG7" s="337"/>
      <c r="RH7" s="337"/>
      <c r="RI7" s="337"/>
      <c r="RJ7" s="337"/>
      <c r="RK7" s="337"/>
      <c r="RL7" s="337"/>
      <c r="RM7" s="337"/>
      <c r="RN7" s="337"/>
      <c r="RO7" s="337"/>
      <c r="RP7" s="337"/>
      <c r="RQ7" s="337"/>
      <c r="RR7" s="337"/>
      <c r="RS7" s="337"/>
      <c r="RT7" s="337"/>
      <c r="RU7" s="337"/>
      <c r="RV7" s="337"/>
      <c r="RW7" s="337"/>
      <c r="RX7" s="337"/>
      <c r="RY7" s="337"/>
      <c r="RZ7" s="337"/>
      <c r="SA7" s="337"/>
      <c r="SB7" s="337"/>
      <c r="SC7" s="337"/>
      <c r="SD7" s="337"/>
      <c r="SE7" s="337"/>
      <c r="SF7" s="337"/>
      <c r="SG7" s="337"/>
      <c r="SH7" s="337"/>
      <c r="SI7" s="337"/>
      <c r="SJ7" s="337"/>
      <c r="SK7" s="337"/>
      <c r="SL7" s="337"/>
      <c r="SM7" s="337"/>
      <c r="SN7" s="337"/>
      <c r="SO7" s="337"/>
      <c r="SP7" s="337"/>
      <c r="SQ7" s="337"/>
      <c r="SR7" s="337"/>
      <c r="SS7" s="337"/>
      <c r="ST7" s="337"/>
      <c r="SU7" s="337"/>
      <c r="SV7" s="337"/>
      <c r="SW7" s="337"/>
      <c r="SX7" s="337"/>
      <c r="SY7" s="337"/>
      <c r="SZ7" s="337"/>
      <c r="TA7" s="337"/>
      <c r="TB7" s="337"/>
      <c r="TC7" s="337"/>
      <c r="TD7" s="337"/>
      <c r="TE7" s="337"/>
      <c r="TF7" s="337"/>
      <c r="TG7" s="337"/>
      <c r="TH7" s="337"/>
      <c r="TI7" s="337"/>
      <c r="TJ7" s="337"/>
      <c r="TK7" s="337"/>
      <c r="TL7" s="337"/>
      <c r="TM7" s="337"/>
      <c r="TN7" s="337"/>
      <c r="TO7" s="337"/>
      <c r="TP7" s="337"/>
      <c r="TQ7" s="337"/>
      <c r="TR7" s="337"/>
      <c r="TS7" s="337"/>
      <c r="TT7" s="337"/>
      <c r="TU7" s="337"/>
      <c r="TV7" s="337"/>
      <c r="TW7" s="337"/>
      <c r="TX7" s="337"/>
      <c r="TY7" s="337"/>
      <c r="TZ7" s="337"/>
      <c r="UA7" s="337"/>
      <c r="UB7" s="337"/>
      <c r="UC7" s="337"/>
      <c r="UD7" s="337"/>
      <c r="UE7" s="337"/>
      <c r="UF7" s="337"/>
      <c r="UG7" s="337"/>
      <c r="UH7" s="337"/>
      <c r="UI7" s="337"/>
      <c r="UJ7" s="337"/>
      <c r="UK7" s="337"/>
      <c r="UL7" s="337"/>
      <c r="UM7" s="337"/>
      <c r="UN7" s="337"/>
      <c r="UO7" s="337"/>
      <c r="UP7" s="337"/>
      <c r="UQ7" s="337"/>
      <c r="UR7" s="337"/>
      <c r="US7" s="337"/>
      <c r="UT7" s="337"/>
      <c r="UU7" s="337"/>
      <c r="UV7" s="337"/>
      <c r="UW7" s="337"/>
      <c r="UX7" s="337"/>
      <c r="UY7" s="337"/>
      <c r="UZ7" s="337"/>
      <c r="VA7" s="337"/>
      <c r="VB7" s="337"/>
      <c r="VC7" s="337"/>
      <c r="VD7" s="337"/>
      <c r="VE7" s="337"/>
      <c r="VF7" s="337"/>
      <c r="VG7" s="337"/>
      <c r="VH7" s="337"/>
      <c r="VI7" s="337"/>
      <c r="VJ7" s="337"/>
      <c r="VK7" s="337"/>
      <c r="VL7" s="337"/>
      <c r="VM7" s="337"/>
      <c r="VN7" s="337"/>
      <c r="VO7" s="337"/>
      <c r="VP7" s="337"/>
      <c r="VQ7" s="337"/>
      <c r="VR7" s="337"/>
      <c r="VS7" s="337"/>
      <c r="VT7" s="337"/>
      <c r="VU7" s="337"/>
      <c r="VV7" s="337"/>
      <c r="VW7" s="337"/>
      <c r="VX7" s="337"/>
      <c r="VY7" s="337"/>
      <c r="VZ7" s="337"/>
      <c r="WA7" s="337"/>
      <c r="WB7" s="337"/>
      <c r="WC7" s="337"/>
      <c r="WD7" s="337"/>
      <c r="WE7" s="337"/>
      <c r="WF7" s="337"/>
      <c r="WG7" s="337"/>
      <c r="WH7" s="337"/>
      <c r="WI7" s="337"/>
      <c r="WJ7" s="337"/>
      <c r="WK7" s="337"/>
      <c r="WL7" s="337"/>
      <c r="WM7" s="337"/>
      <c r="WN7" s="337"/>
      <c r="WO7" s="337"/>
      <c r="WP7" s="337"/>
      <c r="WQ7" s="337"/>
      <c r="WR7" s="337"/>
      <c r="WS7" s="337"/>
      <c r="WT7" s="337"/>
      <c r="WU7" s="337"/>
      <c r="WV7" s="337"/>
      <c r="WW7" s="337"/>
      <c r="WX7" s="337"/>
      <c r="WY7" s="337"/>
      <c r="WZ7" s="337"/>
      <c r="XA7" s="337"/>
      <c r="XB7" s="337"/>
      <c r="XC7" s="337"/>
      <c r="XD7" s="337"/>
      <c r="XE7" s="337"/>
      <c r="XF7" s="337"/>
      <c r="XG7" s="337"/>
      <c r="XH7" s="337"/>
      <c r="XI7" s="337"/>
      <c r="XJ7" s="337"/>
      <c r="XK7" s="337"/>
      <c r="XL7" s="337"/>
      <c r="XM7" s="337"/>
      <c r="XN7" s="337"/>
      <c r="XO7" s="337"/>
      <c r="XP7" s="337"/>
      <c r="XQ7" s="337"/>
      <c r="XR7" s="337"/>
      <c r="XS7" s="337"/>
      <c r="XT7" s="337"/>
      <c r="XU7" s="337"/>
      <c r="XV7" s="337"/>
      <c r="XW7" s="337"/>
      <c r="XX7" s="337"/>
      <c r="XY7" s="337"/>
      <c r="XZ7" s="337"/>
      <c r="YA7" s="337"/>
      <c r="YB7" s="337"/>
      <c r="YC7" s="337"/>
      <c r="YD7" s="337"/>
      <c r="YE7" s="337"/>
      <c r="YF7" s="337"/>
      <c r="YG7" s="337"/>
      <c r="YH7" s="337"/>
      <c r="YI7" s="337"/>
      <c r="YJ7" s="337"/>
      <c r="YK7" s="337"/>
      <c r="YL7" s="337"/>
      <c r="YM7" s="337"/>
      <c r="YN7" s="337"/>
      <c r="YO7" s="337"/>
      <c r="YP7" s="337"/>
      <c r="YQ7" s="337"/>
      <c r="YR7" s="337"/>
      <c r="YS7" s="337"/>
      <c r="YT7" s="337"/>
      <c r="YU7" s="337"/>
      <c r="YV7" s="337"/>
      <c r="YW7" s="337"/>
      <c r="YX7" s="337"/>
      <c r="YY7" s="337"/>
      <c r="YZ7" s="337"/>
      <c r="ZA7" s="337"/>
      <c r="ZB7" s="337"/>
      <c r="ZC7" s="337"/>
      <c r="ZD7" s="337"/>
      <c r="ZE7" s="337"/>
      <c r="ZF7" s="337"/>
      <c r="ZG7" s="337"/>
      <c r="ZH7" s="337"/>
      <c r="ZI7" s="337"/>
      <c r="ZJ7" s="337"/>
      <c r="ZK7" s="337"/>
      <c r="ZL7" s="337"/>
      <c r="ZM7" s="337"/>
      <c r="ZN7" s="337"/>
      <c r="ZO7" s="337"/>
      <c r="ZP7" s="337"/>
      <c r="ZQ7" s="337"/>
      <c r="ZR7" s="337"/>
      <c r="ZS7" s="337"/>
      <c r="ZT7" s="337"/>
      <c r="ZU7" s="337"/>
      <c r="ZV7" s="337"/>
      <c r="ZW7" s="337"/>
      <c r="ZX7" s="337"/>
      <c r="ZY7" s="337"/>
      <c r="ZZ7" s="337"/>
      <c r="AAA7" s="337"/>
      <c r="AAB7" s="337"/>
      <c r="AAC7" s="337"/>
      <c r="AAD7" s="337"/>
      <c r="AAE7" s="337"/>
      <c r="AAF7" s="337"/>
      <c r="AAG7" s="337"/>
      <c r="AAH7" s="337"/>
      <c r="AAI7" s="337"/>
      <c r="AAJ7" s="337"/>
      <c r="AAK7" s="337"/>
      <c r="AAL7" s="337"/>
      <c r="AAM7" s="337"/>
      <c r="AAN7" s="337"/>
      <c r="AAO7" s="337"/>
      <c r="AAP7" s="337"/>
      <c r="AAQ7" s="337"/>
      <c r="AAR7" s="337"/>
      <c r="AAS7" s="337"/>
      <c r="AAT7" s="337"/>
      <c r="AAU7" s="337"/>
      <c r="AAV7" s="337"/>
      <c r="AAW7" s="337"/>
      <c r="AAX7" s="337"/>
      <c r="AAY7" s="337"/>
      <c r="AAZ7" s="337"/>
      <c r="ABA7" s="337"/>
      <c r="ABB7" s="337"/>
      <c r="ABC7" s="337"/>
      <c r="ABD7" s="337"/>
      <c r="ABE7" s="337"/>
      <c r="ABF7" s="337"/>
      <c r="ABG7" s="337"/>
      <c r="ABH7" s="337"/>
      <c r="ABI7" s="337"/>
      <c r="ABJ7" s="337"/>
      <c r="ABK7" s="337"/>
      <c r="ABL7" s="337"/>
      <c r="ABM7" s="337"/>
      <c r="ABN7" s="337"/>
      <c r="ABO7" s="337"/>
      <c r="ABP7" s="337"/>
      <c r="ABQ7" s="337"/>
      <c r="ABR7" s="337"/>
      <c r="ABS7" s="337"/>
      <c r="ABT7" s="337"/>
      <c r="ABU7" s="337"/>
      <c r="ABV7" s="337"/>
      <c r="ABW7" s="337"/>
      <c r="ABX7" s="337"/>
      <c r="ABY7" s="337"/>
      <c r="ABZ7" s="337"/>
      <c r="ACA7" s="337"/>
      <c r="ACB7" s="337"/>
      <c r="ACC7" s="337"/>
      <c r="ACD7" s="337"/>
      <c r="ACE7" s="337"/>
      <c r="ACF7" s="337"/>
      <c r="ACG7" s="337"/>
      <c r="ACH7" s="337"/>
      <c r="ACI7" s="337"/>
      <c r="ACJ7" s="337"/>
      <c r="ACK7" s="337"/>
      <c r="ACL7" s="337"/>
      <c r="ACM7" s="337"/>
      <c r="ACN7" s="337"/>
      <c r="ACO7" s="337"/>
      <c r="ACP7" s="337"/>
      <c r="ACQ7" s="337"/>
      <c r="ACR7" s="337"/>
      <c r="ACS7" s="337"/>
      <c r="ACT7" s="337"/>
      <c r="ACU7" s="337"/>
      <c r="ACV7" s="337"/>
      <c r="ACW7" s="337"/>
      <c r="ACX7" s="337"/>
      <c r="ACY7" s="337"/>
      <c r="ACZ7" s="337"/>
      <c r="ADA7" s="337"/>
      <c r="ADB7" s="337"/>
      <c r="ADC7" s="337"/>
      <c r="ADD7" s="337"/>
      <c r="ADE7" s="337"/>
      <c r="ADF7" s="337"/>
      <c r="ADG7" s="337"/>
      <c r="ADH7" s="337"/>
      <c r="ADI7" s="337"/>
      <c r="ADJ7" s="337"/>
      <c r="ADK7" s="337"/>
      <c r="ADL7" s="337"/>
      <c r="ADM7" s="337"/>
      <c r="ADN7" s="337"/>
      <c r="ADO7" s="337"/>
      <c r="ADP7" s="337"/>
      <c r="ADQ7" s="337"/>
      <c r="ADR7" s="337"/>
      <c r="ADS7" s="337"/>
      <c r="ADT7" s="337"/>
      <c r="ADU7" s="337"/>
      <c r="ADV7" s="337"/>
      <c r="ADW7" s="337"/>
      <c r="ADX7" s="337"/>
      <c r="ADY7" s="337"/>
      <c r="ADZ7" s="337"/>
      <c r="AEA7" s="337"/>
      <c r="AEB7" s="337"/>
      <c r="AEC7" s="337"/>
      <c r="AED7" s="337"/>
      <c r="AEE7" s="337"/>
      <c r="AEF7" s="337"/>
      <c r="AEG7" s="337"/>
      <c r="AEH7" s="337"/>
      <c r="AEI7" s="337"/>
      <c r="AEJ7" s="337"/>
      <c r="AEK7" s="337"/>
      <c r="AEL7" s="337"/>
      <c r="AEM7" s="337"/>
      <c r="AEN7" s="337"/>
      <c r="AEO7" s="337"/>
      <c r="AEP7" s="337"/>
      <c r="AEQ7" s="337"/>
      <c r="AER7" s="337"/>
      <c r="AES7" s="337"/>
      <c r="AET7" s="337"/>
      <c r="AEU7" s="337"/>
      <c r="AEV7" s="337"/>
      <c r="AEW7" s="337"/>
      <c r="AEX7" s="337"/>
      <c r="AEY7" s="337"/>
      <c r="AEZ7" s="337"/>
      <c r="AFA7" s="337"/>
      <c r="AFB7" s="337"/>
      <c r="AFC7" s="337"/>
      <c r="AFD7" s="337"/>
      <c r="AFE7" s="337"/>
      <c r="AFF7" s="337"/>
      <c r="AFG7" s="337"/>
      <c r="AFH7" s="337"/>
      <c r="AFI7" s="337"/>
      <c r="AFJ7" s="337"/>
      <c r="AFK7" s="337"/>
      <c r="AFL7" s="337"/>
      <c r="AFM7" s="337"/>
      <c r="AFN7" s="337"/>
      <c r="AFO7" s="337"/>
      <c r="AFP7" s="337"/>
      <c r="AFQ7" s="337"/>
      <c r="AFR7" s="337"/>
      <c r="AFS7" s="337"/>
      <c r="AFT7" s="337"/>
      <c r="AFU7" s="337"/>
      <c r="AFV7" s="337"/>
      <c r="AFW7" s="337"/>
      <c r="AFX7" s="337"/>
      <c r="AFY7" s="337"/>
      <c r="AFZ7" s="337"/>
      <c r="AGA7" s="337"/>
      <c r="AGB7" s="337"/>
      <c r="AGC7" s="337"/>
      <c r="AGD7" s="337"/>
      <c r="AGE7" s="337"/>
      <c r="AGF7" s="337"/>
      <c r="AGG7" s="337"/>
      <c r="AGH7" s="337"/>
      <c r="AGI7" s="337"/>
      <c r="AGJ7" s="337"/>
      <c r="AGK7" s="337"/>
      <c r="AGL7" s="337"/>
      <c r="AGM7" s="337"/>
      <c r="AGN7" s="337"/>
      <c r="AGO7" s="337"/>
      <c r="AGP7" s="337"/>
      <c r="AGQ7" s="337"/>
      <c r="AGR7" s="337"/>
      <c r="AGS7" s="337"/>
      <c r="AGT7" s="337"/>
      <c r="AGU7" s="337"/>
      <c r="AGV7" s="337"/>
      <c r="AGW7" s="337"/>
      <c r="AGX7" s="337"/>
      <c r="AGY7" s="337"/>
      <c r="AGZ7" s="337"/>
      <c r="AHA7" s="346"/>
      <c r="AHB7" s="346"/>
      <c r="AHC7" s="346"/>
      <c r="AHD7" s="346"/>
      <c r="AHE7" s="346"/>
    </row>
    <row r="8" s="336" customFormat="1" ht="24" customHeight="1" spans="1:889">
      <c r="A8" s="349">
        <v>4</v>
      </c>
      <c r="B8" s="350"/>
      <c r="C8" s="351" t="s">
        <v>120</v>
      </c>
      <c r="D8" s="352"/>
      <c r="E8" s="348"/>
      <c r="F8" s="81">
        <v>4</v>
      </c>
      <c r="G8" s="355" t="s">
        <v>403</v>
      </c>
      <c r="H8" s="354" t="s">
        <v>404</v>
      </c>
      <c r="I8" s="100" t="s">
        <v>124</v>
      </c>
      <c r="J8" s="100" t="s">
        <v>124</v>
      </c>
      <c r="K8" s="100" t="s">
        <v>124</v>
      </c>
      <c r="L8" s="100" t="s">
        <v>124</v>
      </c>
      <c r="M8" s="100" t="s">
        <v>124</v>
      </c>
      <c r="N8" s="373" t="s">
        <v>405</v>
      </c>
      <c r="O8" s="374" t="s">
        <v>406</v>
      </c>
      <c r="P8" s="375" t="str">
        <f>CONCATENATE(RemovePunctuation(H8),"_CA","_","i4K","_",C8,"_",AE8,"_",PROPER(R8),IF(S8="",PROPER(R8),PROPER(S8)),PROPER(T8),PROPER(U8),PROPER(V8),IF(V8&lt;&gt;"","SUB",""),PROPER(W8),IF(W8&lt;&gt;"","SUB",""),"_","Ed","_","M1",".mpg")</f>
        <v>MilkARunningRiverofCivilization2_CA_i4K_0825_43_ZhoZhoZhoSUB_Ed_M1.mpg</v>
      </c>
      <c r="Q8" s="375" t="str">
        <f>CONCATENATE(RemovePunctuation(H8),"_CA","_","i5K","_",C8,"_",AD8,"_",PROPER(R8),IF(S8="",PROPER(R8),PROPER(S8)),PROPER(T8),PROPER(U8),PROPER(V8),IF(V8&lt;&gt;"","SUB",""),PROPER(W8),IF(W8&lt;&gt;"","SUB",""),"_","Ed","_","M4",".mpg")</f>
        <v>MilkARunningRiverofCivilization2_CA_i5K_0825_169_ZhoZhoZhoSUB_Ed_M4.mpg</v>
      </c>
      <c r="R8" s="382" t="s">
        <v>130</v>
      </c>
      <c r="S8" s="383"/>
      <c r="T8" s="383"/>
      <c r="U8" s="383"/>
      <c r="V8" s="382" t="s">
        <v>130</v>
      </c>
      <c r="W8" s="383"/>
      <c r="X8" s="349" t="s">
        <v>129</v>
      </c>
      <c r="Y8" s="349" t="s">
        <v>129</v>
      </c>
      <c r="Z8" s="120">
        <f>ROUNDUP(HOUR(AA8)*60+MINUTE(AA8)+SECOND(AA8)/60,0)</f>
        <v>33</v>
      </c>
      <c r="AA8" s="304" t="str">
        <f>TEXT((HOUR(AC8)*60+MINUTE(AC8)+IF(SECOND(AC8)&lt;=29,0,1))*60/86400,"hh:mm:ss")</f>
        <v>00:33:00</v>
      </c>
      <c r="AB8" s="120">
        <f>Z8*60</f>
        <v>1980</v>
      </c>
      <c r="AC8" s="399">
        <v>0.0229050925925926</v>
      </c>
      <c r="AD8" s="400">
        <v>169</v>
      </c>
      <c r="AE8" s="400">
        <v>43</v>
      </c>
      <c r="AF8" s="349" t="s">
        <v>132</v>
      </c>
      <c r="AG8" s="344"/>
      <c r="AH8" s="345"/>
      <c r="AI8" s="345"/>
      <c r="AJ8" s="337"/>
      <c r="AK8" s="339"/>
      <c r="AL8" s="339"/>
      <c r="AM8" s="339"/>
      <c r="AN8" s="346"/>
      <c r="AO8" s="346"/>
      <c r="AP8" s="337"/>
      <c r="AQ8" s="337"/>
      <c r="AR8" s="337"/>
      <c r="AS8" s="337"/>
      <c r="AT8" s="337"/>
      <c r="AU8" s="337"/>
      <c r="AV8" s="337"/>
      <c r="AW8" s="337"/>
      <c r="AX8" s="337"/>
      <c r="AY8" s="337"/>
      <c r="AZ8" s="337"/>
      <c r="BA8" s="337"/>
      <c r="BB8" s="337"/>
      <c r="BC8" s="337"/>
      <c r="BD8" s="337"/>
      <c r="BE8" s="337"/>
      <c r="BF8" s="337"/>
      <c r="BG8" s="337"/>
      <c r="BH8" s="337"/>
      <c r="BI8" s="337"/>
      <c r="BJ8" s="337"/>
      <c r="BK8" s="337"/>
      <c r="BL8" s="337"/>
      <c r="BM8" s="337"/>
      <c r="BN8" s="337"/>
      <c r="BO8" s="337"/>
      <c r="BP8" s="337"/>
      <c r="BQ8" s="337"/>
      <c r="BR8" s="337"/>
      <c r="BS8" s="337"/>
      <c r="BT8" s="337"/>
      <c r="BU8" s="337"/>
      <c r="BV8" s="337"/>
      <c r="BW8" s="337"/>
      <c r="BX8" s="337"/>
      <c r="BY8" s="337"/>
      <c r="BZ8" s="337"/>
      <c r="CA8" s="337"/>
      <c r="CB8" s="337"/>
      <c r="CC8" s="337"/>
      <c r="CD8" s="337"/>
      <c r="CE8" s="337"/>
      <c r="CF8" s="337"/>
      <c r="CG8" s="337"/>
      <c r="CH8" s="337"/>
      <c r="CI8" s="337"/>
      <c r="CJ8" s="337"/>
      <c r="CK8" s="337"/>
      <c r="CL8" s="337"/>
      <c r="CM8" s="337"/>
      <c r="CN8" s="337"/>
      <c r="CO8" s="337"/>
      <c r="CP8" s="337"/>
      <c r="CQ8" s="337"/>
      <c r="CR8" s="337"/>
      <c r="CS8" s="337"/>
      <c r="CT8" s="337"/>
      <c r="CU8" s="337"/>
      <c r="CV8" s="337"/>
      <c r="CW8" s="337"/>
      <c r="CX8" s="337"/>
      <c r="CY8" s="337"/>
      <c r="CZ8" s="337"/>
      <c r="DA8" s="337"/>
      <c r="DB8" s="337"/>
      <c r="DC8" s="337"/>
      <c r="DD8" s="337"/>
      <c r="DE8" s="337"/>
      <c r="DF8" s="337"/>
      <c r="DG8" s="337"/>
      <c r="DH8" s="337"/>
      <c r="DI8" s="337"/>
      <c r="DJ8" s="337"/>
      <c r="DK8" s="337"/>
      <c r="DL8" s="337"/>
      <c r="DM8" s="337"/>
      <c r="DN8" s="337"/>
      <c r="DO8" s="337"/>
      <c r="DP8" s="337"/>
      <c r="DQ8" s="337"/>
      <c r="DR8" s="337"/>
      <c r="DS8" s="337"/>
      <c r="DT8" s="337"/>
      <c r="DU8" s="337"/>
      <c r="DV8" s="337"/>
      <c r="DW8" s="337"/>
      <c r="DX8" s="337"/>
      <c r="DY8" s="337"/>
      <c r="DZ8" s="337"/>
      <c r="EA8" s="337"/>
      <c r="EB8" s="337"/>
      <c r="EC8" s="337"/>
      <c r="ED8" s="337"/>
      <c r="EE8" s="337"/>
      <c r="EF8" s="337"/>
      <c r="EG8" s="337"/>
      <c r="EH8" s="337"/>
      <c r="EI8" s="337"/>
      <c r="EJ8" s="337"/>
      <c r="EK8" s="337"/>
      <c r="EL8" s="337"/>
      <c r="EM8" s="337"/>
      <c r="EN8" s="337"/>
      <c r="EO8" s="337"/>
      <c r="EP8" s="337"/>
      <c r="EQ8" s="337"/>
      <c r="ER8" s="337"/>
      <c r="ES8" s="337"/>
      <c r="ET8" s="337"/>
      <c r="EU8" s="337"/>
      <c r="EV8" s="337"/>
      <c r="EW8" s="337"/>
      <c r="EX8" s="337"/>
      <c r="EY8" s="337"/>
      <c r="EZ8" s="337"/>
      <c r="FA8" s="337"/>
      <c r="FB8" s="337"/>
      <c r="FC8" s="337"/>
      <c r="FD8" s="337"/>
      <c r="FE8" s="337"/>
      <c r="FF8" s="337"/>
      <c r="FG8" s="337"/>
      <c r="FH8" s="337"/>
      <c r="FI8" s="337"/>
      <c r="FJ8" s="337"/>
      <c r="FK8" s="337"/>
      <c r="FL8" s="337"/>
      <c r="FM8" s="337"/>
      <c r="FN8" s="337"/>
      <c r="FO8" s="337"/>
      <c r="FP8" s="337"/>
      <c r="FQ8" s="337"/>
      <c r="FR8" s="337"/>
      <c r="FS8" s="337"/>
      <c r="FT8" s="337"/>
      <c r="FU8" s="337"/>
      <c r="FV8" s="337"/>
      <c r="FW8" s="337"/>
      <c r="FX8" s="337"/>
      <c r="FY8" s="337"/>
      <c r="FZ8" s="337"/>
      <c r="GA8" s="337"/>
      <c r="GB8" s="337"/>
      <c r="GC8" s="337"/>
      <c r="GD8" s="337"/>
      <c r="GE8" s="337"/>
      <c r="GF8" s="337"/>
      <c r="GG8" s="337"/>
      <c r="GH8" s="337"/>
      <c r="GI8" s="337"/>
      <c r="GJ8" s="337"/>
      <c r="GK8" s="337"/>
      <c r="GL8" s="337"/>
      <c r="GM8" s="337"/>
      <c r="GN8" s="337"/>
      <c r="GO8" s="337"/>
      <c r="GP8" s="337"/>
      <c r="GQ8" s="337"/>
      <c r="GR8" s="337"/>
      <c r="GS8" s="337"/>
      <c r="GT8" s="337"/>
      <c r="GU8" s="337"/>
      <c r="GV8" s="337"/>
      <c r="GW8" s="337"/>
      <c r="GX8" s="337"/>
      <c r="GY8" s="337"/>
      <c r="GZ8" s="337"/>
      <c r="HA8" s="337"/>
      <c r="HB8" s="337"/>
      <c r="HC8" s="337"/>
      <c r="HD8" s="337"/>
      <c r="HE8" s="337"/>
      <c r="HF8" s="337"/>
      <c r="HG8" s="337"/>
      <c r="HH8" s="337"/>
      <c r="HI8" s="337"/>
      <c r="HJ8" s="337"/>
      <c r="HK8" s="337"/>
      <c r="HL8" s="337"/>
      <c r="HM8" s="337"/>
      <c r="HN8" s="337"/>
      <c r="HO8" s="337"/>
      <c r="HP8" s="337"/>
      <c r="HQ8" s="337"/>
      <c r="HR8" s="337"/>
      <c r="HS8" s="337"/>
      <c r="HT8" s="337"/>
      <c r="HU8" s="337"/>
      <c r="HV8" s="337"/>
      <c r="HW8" s="337"/>
      <c r="HX8" s="337"/>
      <c r="HY8" s="337"/>
      <c r="HZ8" s="337"/>
      <c r="IA8" s="337"/>
      <c r="IB8" s="337"/>
      <c r="IC8" s="337"/>
      <c r="ID8" s="337"/>
      <c r="IE8" s="337"/>
      <c r="IF8" s="337"/>
      <c r="IG8" s="337"/>
      <c r="IH8" s="337"/>
      <c r="II8" s="337"/>
      <c r="IJ8" s="337"/>
      <c r="IK8" s="337"/>
      <c r="IL8" s="337"/>
      <c r="IM8" s="337"/>
      <c r="IN8" s="337"/>
      <c r="IO8" s="337"/>
      <c r="IP8" s="337"/>
      <c r="IQ8" s="337"/>
      <c r="IR8" s="337"/>
      <c r="IS8" s="337"/>
      <c r="IT8" s="337"/>
      <c r="IU8" s="337"/>
      <c r="IV8" s="337"/>
      <c r="IW8" s="337"/>
      <c r="IX8" s="337"/>
      <c r="IY8" s="337"/>
      <c r="IZ8" s="337"/>
      <c r="JA8" s="337"/>
      <c r="JB8" s="337"/>
      <c r="JC8" s="337"/>
      <c r="JD8" s="337"/>
      <c r="JE8" s="337"/>
      <c r="JF8" s="337"/>
      <c r="JG8" s="337"/>
      <c r="JH8" s="337"/>
      <c r="JI8" s="337"/>
      <c r="JJ8" s="337"/>
      <c r="JK8" s="337"/>
      <c r="JL8" s="337"/>
      <c r="JM8" s="337"/>
      <c r="JN8" s="337"/>
      <c r="JO8" s="337"/>
      <c r="JP8" s="337"/>
      <c r="JQ8" s="337"/>
      <c r="JR8" s="337"/>
      <c r="JS8" s="337"/>
      <c r="JT8" s="337"/>
      <c r="JU8" s="337"/>
      <c r="JV8" s="337"/>
      <c r="JW8" s="337"/>
      <c r="JX8" s="337"/>
      <c r="JY8" s="337"/>
      <c r="JZ8" s="337"/>
      <c r="KA8" s="337"/>
      <c r="KB8" s="337"/>
      <c r="KC8" s="337"/>
      <c r="KD8" s="337"/>
      <c r="KE8" s="337"/>
      <c r="KF8" s="337"/>
      <c r="KG8" s="337"/>
      <c r="KH8" s="337"/>
      <c r="KI8" s="337"/>
      <c r="KJ8" s="337"/>
      <c r="KK8" s="337"/>
      <c r="KL8" s="337"/>
      <c r="KM8" s="337"/>
      <c r="KN8" s="337"/>
      <c r="KO8" s="337"/>
      <c r="KP8" s="337"/>
      <c r="KQ8" s="337"/>
      <c r="KR8" s="337"/>
      <c r="KS8" s="337"/>
      <c r="KT8" s="337"/>
      <c r="KU8" s="337"/>
      <c r="KV8" s="337"/>
      <c r="KW8" s="337"/>
      <c r="KX8" s="337"/>
      <c r="KY8" s="337"/>
      <c r="KZ8" s="337"/>
      <c r="LA8" s="337"/>
      <c r="LB8" s="337"/>
      <c r="LC8" s="337"/>
      <c r="LD8" s="337"/>
      <c r="LE8" s="337"/>
      <c r="LF8" s="337"/>
      <c r="LG8" s="337"/>
      <c r="LH8" s="337"/>
      <c r="LI8" s="337"/>
      <c r="LJ8" s="337"/>
      <c r="LK8" s="337"/>
      <c r="LL8" s="337"/>
      <c r="LM8" s="337"/>
      <c r="LN8" s="337"/>
      <c r="LO8" s="337"/>
      <c r="LP8" s="337"/>
      <c r="LQ8" s="337"/>
      <c r="LR8" s="337"/>
      <c r="LS8" s="337"/>
      <c r="LT8" s="337"/>
      <c r="LU8" s="337"/>
      <c r="LV8" s="337"/>
      <c r="LW8" s="337"/>
      <c r="LX8" s="337"/>
      <c r="LY8" s="337"/>
      <c r="LZ8" s="337"/>
      <c r="MA8" s="337"/>
      <c r="MB8" s="337"/>
      <c r="MC8" s="337"/>
      <c r="MD8" s="337"/>
      <c r="ME8" s="337"/>
      <c r="MF8" s="337"/>
      <c r="MG8" s="337"/>
      <c r="MH8" s="337"/>
      <c r="MI8" s="337"/>
      <c r="MJ8" s="337"/>
      <c r="MK8" s="337"/>
      <c r="ML8" s="337"/>
      <c r="MM8" s="337"/>
      <c r="MN8" s="337"/>
      <c r="MO8" s="337"/>
      <c r="MP8" s="337"/>
      <c r="MQ8" s="337"/>
      <c r="MR8" s="337"/>
      <c r="MS8" s="337"/>
      <c r="MT8" s="337"/>
      <c r="MU8" s="337"/>
      <c r="MV8" s="337"/>
      <c r="MW8" s="337"/>
      <c r="MX8" s="337"/>
      <c r="MY8" s="337"/>
      <c r="MZ8" s="337"/>
      <c r="NA8" s="337"/>
      <c r="NB8" s="337"/>
      <c r="NC8" s="337"/>
      <c r="ND8" s="337"/>
      <c r="NE8" s="337"/>
      <c r="NF8" s="337"/>
      <c r="NG8" s="337"/>
      <c r="NH8" s="337"/>
      <c r="NI8" s="337"/>
      <c r="NJ8" s="337"/>
      <c r="NK8" s="337"/>
      <c r="NL8" s="337"/>
      <c r="NM8" s="337"/>
      <c r="NN8" s="337"/>
      <c r="NO8" s="337"/>
      <c r="NP8" s="337"/>
      <c r="NQ8" s="337"/>
      <c r="NR8" s="337"/>
      <c r="NS8" s="337"/>
      <c r="NT8" s="337"/>
      <c r="NU8" s="337"/>
      <c r="NV8" s="337"/>
      <c r="NW8" s="337"/>
      <c r="NX8" s="337"/>
      <c r="NY8" s="337"/>
      <c r="NZ8" s="337"/>
      <c r="OA8" s="337"/>
      <c r="OB8" s="337"/>
      <c r="OC8" s="337"/>
      <c r="OD8" s="337"/>
      <c r="OE8" s="337"/>
      <c r="OF8" s="337"/>
      <c r="OG8" s="337"/>
      <c r="OH8" s="337"/>
      <c r="OI8" s="337"/>
      <c r="OJ8" s="337"/>
      <c r="OK8" s="337"/>
      <c r="OL8" s="337"/>
      <c r="OM8" s="337"/>
      <c r="ON8" s="337"/>
      <c r="OO8" s="337"/>
      <c r="OP8" s="337"/>
      <c r="OQ8" s="337"/>
      <c r="OR8" s="337"/>
      <c r="OS8" s="337"/>
      <c r="OT8" s="337"/>
      <c r="OU8" s="337"/>
      <c r="OV8" s="337"/>
      <c r="OW8" s="337"/>
      <c r="OX8" s="337"/>
      <c r="OY8" s="337"/>
      <c r="OZ8" s="337"/>
      <c r="PA8" s="337"/>
      <c r="PB8" s="337"/>
      <c r="PC8" s="337"/>
      <c r="PD8" s="337"/>
      <c r="PE8" s="337"/>
      <c r="PF8" s="337"/>
      <c r="PG8" s="337"/>
      <c r="PH8" s="337"/>
      <c r="PI8" s="337"/>
      <c r="PJ8" s="337"/>
      <c r="PK8" s="337"/>
      <c r="PL8" s="337"/>
      <c r="PM8" s="337"/>
      <c r="PN8" s="337"/>
      <c r="PO8" s="337"/>
      <c r="PP8" s="337"/>
      <c r="PQ8" s="337"/>
      <c r="PR8" s="337"/>
      <c r="PS8" s="337"/>
      <c r="PT8" s="337"/>
      <c r="PU8" s="337"/>
      <c r="PV8" s="337"/>
      <c r="PW8" s="337"/>
      <c r="PX8" s="337"/>
      <c r="PY8" s="337"/>
      <c r="PZ8" s="337"/>
      <c r="QA8" s="337"/>
      <c r="QB8" s="337"/>
      <c r="QC8" s="337"/>
      <c r="QD8" s="337"/>
      <c r="QE8" s="337"/>
      <c r="QF8" s="337"/>
      <c r="QG8" s="337"/>
      <c r="QH8" s="337"/>
      <c r="QI8" s="337"/>
      <c r="QJ8" s="337"/>
      <c r="QK8" s="337"/>
      <c r="QL8" s="337"/>
      <c r="QM8" s="337"/>
      <c r="QN8" s="337"/>
      <c r="QO8" s="337"/>
      <c r="QP8" s="337"/>
      <c r="QQ8" s="337"/>
      <c r="QR8" s="337"/>
      <c r="QS8" s="337"/>
      <c r="QT8" s="337"/>
      <c r="QU8" s="337"/>
      <c r="QV8" s="337"/>
      <c r="QW8" s="337"/>
      <c r="QX8" s="337"/>
      <c r="QY8" s="337"/>
      <c r="QZ8" s="337"/>
      <c r="RA8" s="337"/>
      <c r="RB8" s="337"/>
      <c r="RC8" s="337"/>
      <c r="RD8" s="337"/>
      <c r="RE8" s="337"/>
      <c r="RF8" s="337"/>
      <c r="RG8" s="337"/>
      <c r="RH8" s="337"/>
      <c r="RI8" s="337"/>
      <c r="RJ8" s="337"/>
      <c r="RK8" s="337"/>
      <c r="RL8" s="337"/>
      <c r="RM8" s="337"/>
      <c r="RN8" s="337"/>
      <c r="RO8" s="337"/>
      <c r="RP8" s="337"/>
      <c r="RQ8" s="337"/>
      <c r="RR8" s="337"/>
      <c r="RS8" s="337"/>
      <c r="RT8" s="337"/>
      <c r="RU8" s="337"/>
      <c r="RV8" s="337"/>
      <c r="RW8" s="337"/>
      <c r="RX8" s="337"/>
      <c r="RY8" s="337"/>
      <c r="RZ8" s="337"/>
      <c r="SA8" s="337"/>
      <c r="SB8" s="337"/>
      <c r="SC8" s="337"/>
      <c r="SD8" s="337"/>
      <c r="SE8" s="337"/>
      <c r="SF8" s="337"/>
      <c r="SG8" s="337"/>
      <c r="SH8" s="337"/>
      <c r="SI8" s="337"/>
      <c r="SJ8" s="337"/>
      <c r="SK8" s="337"/>
      <c r="SL8" s="337"/>
      <c r="SM8" s="337"/>
      <c r="SN8" s="337"/>
      <c r="SO8" s="337"/>
      <c r="SP8" s="337"/>
      <c r="SQ8" s="337"/>
      <c r="SR8" s="337"/>
      <c r="SS8" s="337"/>
      <c r="ST8" s="337"/>
      <c r="SU8" s="337"/>
      <c r="SV8" s="337"/>
      <c r="SW8" s="337"/>
      <c r="SX8" s="337"/>
      <c r="SY8" s="337"/>
      <c r="SZ8" s="337"/>
      <c r="TA8" s="337"/>
      <c r="TB8" s="337"/>
      <c r="TC8" s="337"/>
      <c r="TD8" s="337"/>
      <c r="TE8" s="337"/>
      <c r="TF8" s="337"/>
      <c r="TG8" s="337"/>
      <c r="TH8" s="337"/>
      <c r="TI8" s="337"/>
      <c r="TJ8" s="337"/>
      <c r="TK8" s="337"/>
      <c r="TL8" s="337"/>
      <c r="TM8" s="337"/>
      <c r="TN8" s="337"/>
      <c r="TO8" s="337"/>
      <c r="TP8" s="337"/>
      <c r="TQ8" s="337"/>
      <c r="TR8" s="337"/>
      <c r="TS8" s="337"/>
      <c r="TT8" s="337"/>
      <c r="TU8" s="337"/>
      <c r="TV8" s="337"/>
      <c r="TW8" s="337"/>
      <c r="TX8" s="337"/>
      <c r="TY8" s="337"/>
      <c r="TZ8" s="337"/>
      <c r="UA8" s="337"/>
      <c r="UB8" s="337"/>
      <c r="UC8" s="337"/>
      <c r="UD8" s="337"/>
      <c r="UE8" s="337"/>
      <c r="UF8" s="337"/>
      <c r="UG8" s="337"/>
      <c r="UH8" s="337"/>
      <c r="UI8" s="337"/>
      <c r="UJ8" s="337"/>
      <c r="UK8" s="337"/>
      <c r="UL8" s="337"/>
      <c r="UM8" s="337"/>
      <c r="UN8" s="337"/>
      <c r="UO8" s="337"/>
      <c r="UP8" s="337"/>
      <c r="UQ8" s="337"/>
      <c r="UR8" s="337"/>
      <c r="US8" s="337"/>
      <c r="UT8" s="337"/>
      <c r="UU8" s="337"/>
      <c r="UV8" s="337"/>
      <c r="UW8" s="337"/>
      <c r="UX8" s="337"/>
      <c r="UY8" s="337"/>
      <c r="UZ8" s="337"/>
      <c r="VA8" s="337"/>
      <c r="VB8" s="337"/>
      <c r="VC8" s="337"/>
      <c r="VD8" s="337"/>
      <c r="VE8" s="337"/>
      <c r="VF8" s="337"/>
      <c r="VG8" s="337"/>
      <c r="VH8" s="337"/>
      <c r="VI8" s="337"/>
      <c r="VJ8" s="337"/>
      <c r="VK8" s="337"/>
      <c r="VL8" s="337"/>
      <c r="VM8" s="337"/>
      <c r="VN8" s="337"/>
      <c r="VO8" s="337"/>
      <c r="VP8" s="337"/>
      <c r="VQ8" s="337"/>
      <c r="VR8" s="337"/>
      <c r="VS8" s="337"/>
      <c r="VT8" s="337"/>
      <c r="VU8" s="337"/>
      <c r="VV8" s="337"/>
      <c r="VW8" s="337"/>
      <c r="VX8" s="337"/>
      <c r="VY8" s="337"/>
      <c r="VZ8" s="337"/>
      <c r="WA8" s="337"/>
      <c r="WB8" s="337"/>
      <c r="WC8" s="337"/>
      <c r="WD8" s="337"/>
      <c r="WE8" s="337"/>
      <c r="WF8" s="337"/>
      <c r="WG8" s="337"/>
      <c r="WH8" s="337"/>
      <c r="WI8" s="337"/>
      <c r="WJ8" s="337"/>
      <c r="WK8" s="337"/>
      <c r="WL8" s="337"/>
      <c r="WM8" s="337"/>
      <c r="WN8" s="337"/>
      <c r="WO8" s="337"/>
      <c r="WP8" s="337"/>
      <c r="WQ8" s="337"/>
      <c r="WR8" s="337"/>
      <c r="WS8" s="337"/>
      <c r="WT8" s="337"/>
      <c r="WU8" s="337"/>
      <c r="WV8" s="337"/>
      <c r="WW8" s="337"/>
      <c r="WX8" s="337"/>
      <c r="WY8" s="337"/>
      <c r="WZ8" s="337"/>
      <c r="XA8" s="337"/>
      <c r="XB8" s="337"/>
      <c r="XC8" s="337"/>
      <c r="XD8" s="337"/>
      <c r="XE8" s="337"/>
      <c r="XF8" s="337"/>
      <c r="XG8" s="337"/>
      <c r="XH8" s="337"/>
      <c r="XI8" s="337"/>
      <c r="XJ8" s="337"/>
      <c r="XK8" s="337"/>
      <c r="XL8" s="337"/>
      <c r="XM8" s="337"/>
      <c r="XN8" s="337"/>
      <c r="XO8" s="337"/>
      <c r="XP8" s="337"/>
      <c r="XQ8" s="337"/>
      <c r="XR8" s="337"/>
      <c r="XS8" s="337"/>
      <c r="XT8" s="337"/>
      <c r="XU8" s="337"/>
      <c r="XV8" s="337"/>
      <c r="XW8" s="337"/>
      <c r="XX8" s="337"/>
      <c r="XY8" s="337"/>
      <c r="XZ8" s="337"/>
      <c r="YA8" s="337"/>
      <c r="YB8" s="337"/>
      <c r="YC8" s="337"/>
      <c r="YD8" s="337"/>
      <c r="YE8" s="337"/>
      <c r="YF8" s="337"/>
      <c r="YG8" s="337"/>
      <c r="YH8" s="337"/>
      <c r="YI8" s="337"/>
      <c r="YJ8" s="337"/>
      <c r="YK8" s="337"/>
      <c r="YL8" s="337"/>
      <c r="YM8" s="337"/>
      <c r="YN8" s="337"/>
      <c r="YO8" s="337"/>
      <c r="YP8" s="337"/>
      <c r="YQ8" s="337"/>
      <c r="YR8" s="337"/>
      <c r="YS8" s="337"/>
      <c r="YT8" s="337"/>
      <c r="YU8" s="337"/>
      <c r="YV8" s="337"/>
      <c r="YW8" s="337"/>
      <c r="YX8" s="337"/>
      <c r="YY8" s="337"/>
      <c r="YZ8" s="337"/>
      <c r="ZA8" s="337"/>
      <c r="ZB8" s="337"/>
      <c r="ZC8" s="337"/>
      <c r="ZD8" s="337"/>
      <c r="ZE8" s="337"/>
      <c r="ZF8" s="337"/>
      <c r="ZG8" s="337"/>
      <c r="ZH8" s="337"/>
      <c r="ZI8" s="337"/>
      <c r="ZJ8" s="337"/>
      <c r="ZK8" s="337"/>
      <c r="ZL8" s="337"/>
      <c r="ZM8" s="337"/>
      <c r="ZN8" s="337"/>
      <c r="ZO8" s="337"/>
      <c r="ZP8" s="337"/>
      <c r="ZQ8" s="337"/>
      <c r="ZR8" s="337"/>
      <c r="ZS8" s="337"/>
      <c r="ZT8" s="337"/>
      <c r="ZU8" s="337"/>
      <c r="ZV8" s="337"/>
      <c r="ZW8" s="337"/>
      <c r="ZX8" s="337"/>
      <c r="ZY8" s="337"/>
      <c r="ZZ8" s="337"/>
      <c r="AAA8" s="337"/>
      <c r="AAB8" s="337"/>
      <c r="AAC8" s="337"/>
      <c r="AAD8" s="337"/>
      <c r="AAE8" s="337"/>
      <c r="AAF8" s="337"/>
      <c r="AAG8" s="337"/>
      <c r="AAH8" s="337"/>
      <c r="AAI8" s="337"/>
      <c r="AAJ8" s="337"/>
      <c r="AAK8" s="337"/>
      <c r="AAL8" s="337"/>
      <c r="AAM8" s="337"/>
      <c r="AAN8" s="337"/>
      <c r="AAO8" s="337"/>
      <c r="AAP8" s="337"/>
      <c r="AAQ8" s="337"/>
      <c r="AAR8" s="337"/>
      <c r="AAS8" s="337"/>
      <c r="AAT8" s="337"/>
      <c r="AAU8" s="337"/>
      <c r="AAV8" s="337"/>
      <c r="AAW8" s="337"/>
      <c r="AAX8" s="337"/>
      <c r="AAY8" s="337"/>
      <c r="AAZ8" s="337"/>
      <c r="ABA8" s="337"/>
      <c r="ABB8" s="337"/>
      <c r="ABC8" s="337"/>
      <c r="ABD8" s="337"/>
      <c r="ABE8" s="337"/>
      <c r="ABF8" s="337"/>
      <c r="ABG8" s="337"/>
      <c r="ABH8" s="337"/>
      <c r="ABI8" s="337"/>
      <c r="ABJ8" s="337"/>
      <c r="ABK8" s="337"/>
      <c r="ABL8" s="337"/>
      <c r="ABM8" s="337"/>
      <c r="ABN8" s="337"/>
      <c r="ABO8" s="337"/>
      <c r="ABP8" s="337"/>
      <c r="ABQ8" s="337"/>
      <c r="ABR8" s="337"/>
      <c r="ABS8" s="337"/>
      <c r="ABT8" s="337"/>
      <c r="ABU8" s="337"/>
      <c r="ABV8" s="337"/>
      <c r="ABW8" s="337"/>
      <c r="ABX8" s="337"/>
      <c r="ABY8" s="337"/>
      <c r="ABZ8" s="337"/>
      <c r="ACA8" s="337"/>
      <c r="ACB8" s="337"/>
      <c r="ACC8" s="337"/>
      <c r="ACD8" s="337"/>
      <c r="ACE8" s="337"/>
      <c r="ACF8" s="337"/>
      <c r="ACG8" s="337"/>
      <c r="ACH8" s="337"/>
      <c r="ACI8" s="337"/>
      <c r="ACJ8" s="337"/>
      <c r="ACK8" s="337"/>
      <c r="ACL8" s="337"/>
      <c r="ACM8" s="337"/>
      <c r="ACN8" s="337"/>
      <c r="ACO8" s="337"/>
      <c r="ACP8" s="337"/>
      <c r="ACQ8" s="337"/>
      <c r="ACR8" s="337"/>
      <c r="ACS8" s="337"/>
      <c r="ACT8" s="337"/>
      <c r="ACU8" s="337"/>
      <c r="ACV8" s="337"/>
      <c r="ACW8" s="337"/>
      <c r="ACX8" s="337"/>
      <c r="ACY8" s="337"/>
      <c r="ACZ8" s="337"/>
      <c r="ADA8" s="337"/>
      <c r="ADB8" s="337"/>
      <c r="ADC8" s="337"/>
      <c r="ADD8" s="337"/>
      <c r="ADE8" s="337"/>
      <c r="ADF8" s="337"/>
      <c r="ADG8" s="337"/>
      <c r="ADH8" s="337"/>
      <c r="ADI8" s="337"/>
      <c r="ADJ8" s="337"/>
      <c r="ADK8" s="337"/>
      <c r="ADL8" s="337"/>
      <c r="ADM8" s="337"/>
      <c r="ADN8" s="337"/>
      <c r="ADO8" s="337"/>
      <c r="ADP8" s="337"/>
      <c r="ADQ8" s="337"/>
      <c r="ADR8" s="337"/>
      <c r="ADS8" s="337"/>
      <c r="ADT8" s="337"/>
      <c r="ADU8" s="337"/>
      <c r="ADV8" s="337"/>
      <c r="ADW8" s="337"/>
      <c r="ADX8" s="337"/>
      <c r="ADY8" s="337"/>
      <c r="ADZ8" s="337"/>
      <c r="AEA8" s="337"/>
      <c r="AEB8" s="337"/>
      <c r="AEC8" s="337"/>
      <c r="AED8" s="337"/>
      <c r="AEE8" s="337"/>
      <c r="AEF8" s="337"/>
      <c r="AEG8" s="337"/>
      <c r="AEH8" s="337"/>
      <c r="AEI8" s="337"/>
      <c r="AEJ8" s="337"/>
      <c r="AEK8" s="337"/>
      <c r="AEL8" s="337"/>
      <c r="AEM8" s="337"/>
      <c r="AEN8" s="337"/>
      <c r="AEO8" s="337"/>
      <c r="AEP8" s="337"/>
      <c r="AEQ8" s="337"/>
      <c r="AER8" s="337"/>
      <c r="AES8" s="337"/>
      <c r="AET8" s="337"/>
      <c r="AEU8" s="337"/>
      <c r="AEV8" s="337"/>
      <c r="AEW8" s="337"/>
      <c r="AEX8" s="337"/>
      <c r="AEY8" s="337"/>
      <c r="AEZ8" s="337"/>
      <c r="AFA8" s="337"/>
      <c r="AFB8" s="337"/>
      <c r="AFC8" s="337"/>
      <c r="AFD8" s="337"/>
      <c r="AFE8" s="337"/>
      <c r="AFF8" s="337"/>
      <c r="AFG8" s="337"/>
      <c r="AFH8" s="337"/>
      <c r="AFI8" s="337"/>
      <c r="AFJ8" s="337"/>
      <c r="AFK8" s="337"/>
      <c r="AFL8" s="337"/>
      <c r="AFM8" s="337"/>
      <c r="AFN8" s="337"/>
      <c r="AFO8" s="337"/>
      <c r="AFP8" s="337"/>
      <c r="AFQ8" s="337"/>
      <c r="AFR8" s="337"/>
      <c r="AFS8" s="337"/>
      <c r="AFT8" s="337"/>
      <c r="AFU8" s="337"/>
      <c r="AFV8" s="337"/>
      <c r="AFW8" s="337"/>
      <c r="AFX8" s="337"/>
      <c r="AFY8" s="337"/>
      <c r="AFZ8" s="337"/>
      <c r="AGA8" s="337"/>
      <c r="AGB8" s="337"/>
      <c r="AGC8" s="337"/>
      <c r="AGD8" s="337"/>
      <c r="AGE8" s="337"/>
      <c r="AGF8" s="337"/>
      <c r="AGG8" s="337"/>
      <c r="AGH8" s="337"/>
      <c r="AGI8" s="337"/>
      <c r="AGJ8" s="337"/>
      <c r="AGK8" s="337"/>
      <c r="AGL8" s="337"/>
      <c r="AGM8" s="337"/>
      <c r="AGN8" s="337"/>
      <c r="AGO8" s="337"/>
      <c r="AGP8" s="337"/>
      <c r="AGQ8" s="337"/>
      <c r="AGR8" s="337"/>
      <c r="AGS8" s="337"/>
      <c r="AGT8" s="337"/>
      <c r="AGU8" s="337"/>
      <c r="AGV8" s="337"/>
      <c r="AGW8" s="337"/>
      <c r="AGX8" s="337"/>
      <c r="AGY8" s="337"/>
      <c r="AGZ8" s="337"/>
      <c r="AHA8" s="346"/>
      <c r="AHB8" s="346"/>
      <c r="AHC8" s="346"/>
      <c r="AHD8" s="346"/>
      <c r="AHE8" s="346"/>
    </row>
    <row r="9" s="336" customFormat="1" ht="24" customHeight="1" spans="1:889">
      <c r="A9" s="349">
        <v>5</v>
      </c>
      <c r="B9" s="350"/>
      <c r="C9" s="351" t="s">
        <v>120</v>
      </c>
      <c r="D9" s="352"/>
      <c r="E9" s="348"/>
      <c r="F9" s="81">
        <v>5</v>
      </c>
      <c r="G9" s="355" t="s">
        <v>407</v>
      </c>
      <c r="H9" s="354" t="s">
        <v>408</v>
      </c>
      <c r="I9" s="100" t="s">
        <v>124</v>
      </c>
      <c r="J9" s="100" t="s">
        <v>124</v>
      </c>
      <c r="K9" s="100" t="s">
        <v>124</v>
      </c>
      <c r="L9" s="100" t="s">
        <v>124</v>
      </c>
      <c r="M9" s="100" t="s">
        <v>124</v>
      </c>
      <c r="N9" s="373" t="s">
        <v>409</v>
      </c>
      <c r="O9" s="374" t="s">
        <v>410</v>
      </c>
      <c r="P9" s="375" t="str">
        <f>CONCATENATE(RemovePunctuation(H9),"_CA","_","i4K","_",C9,"_",AE9,"_",PROPER(R9),IF(S9="",PROPER(R9),PROPER(S9)),PROPER(T9),PROPER(U9),PROPER(V9),IF(V9&lt;&gt;"","SUB",""),PROPER(W9),IF(W9&lt;&gt;"","SUB",""),"_","Ed","_","M1",".mpg")</f>
        <v>MilkARunningRiverofCivilization1_CA_i4K_0825_43_ZhoZhoZhoSUB_Ed_M1.mpg</v>
      </c>
      <c r="Q9" s="375" t="str">
        <f>CONCATENATE(RemovePunctuation(H9),"_CA","_","i5K","_",C9,"_",AD9,"_",PROPER(R9),IF(S9="",PROPER(R9),PROPER(S9)),PROPER(T9),PROPER(U9),PROPER(V9),IF(V9&lt;&gt;"","SUB",""),PROPER(W9),IF(W9&lt;&gt;"","SUB",""),"_","Ed","_","M4",".mpg")</f>
        <v>MilkARunningRiverofCivilization1_CA_i5K_0825_169_ZhoZhoZhoSUB_Ed_M4.mpg</v>
      </c>
      <c r="R9" s="382" t="s">
        <v>130</v>
      </c>
      <c r="S9" s="383"/>
      <c r="T9" s="383"/>
      <c r="U9" s="383"/>
      <c r="V9" s="382" t="s">
        <v>130</v>
      </c>
      <c r="W9" s="383"/>
      <c r="X9" s="349" t="s">
        <v>129</v>
      </c>
      <c r="Y9" s="349" t="s">
        <v>129</v>
      </c>
      <c r="Z9" s="120">
        <f t="shared" ref="Z9:Z25" si="0">ROUNDUP(HOUR(AA9)*60+MINUTE(AA9)+SECOND(AA9)/60,0)</f>
        <v>35</v>
      </c>
      <c r="AA9" s="304" t="str">
        <f t="shared" ref="AA9:AA25" si="1">TEXT((HOUR(AC9)*60+MINUTE(AC9)+IF(SECOND(AC9)&lt;=29,0,1))*60/86400,"hh:mm:ss")</f>
        <v>00:35:00</v>
      </c>
      <c r="AB9" s="120">
        <f t="shared" ref="AB9:AB25" si="2">Z9*60</f>
        <v>2100</v>
      </c>
      <c r="AC9" s="399">
        <v>0.024212962962963</v>
      </c>
      <c r="AD9" s="400">
        <v>169</v>
      </c>
      <c r="AE9" s="400">
        <v>43</v>
      </c>
      <c r="AF9" s="349" t="s">
        <v>132</v>
      </c>
      <c r="AG9" s="344"/>
      <c r="AH9" s="345"/>
      <c r="AI9" s="345"/>
      <c r="AJ9" s="337"/>
      <c r="AK9" s="339"/>
      <c r="AL9" s="339"/>
      <c r="AM9" s="339"/>
      <c r="AN9" s="346"/>
      <c r="AO9" s="346"/>
      <c r="AP9" s="337"/>
      <c r="AQ9" s="337"/>
      <c r="AR9" s="337"/>
      <c r="AS9" s="337"/>
      <c r="AT9" s="337"/>
      <c r="AU9" s="337"/>
      <c r="AV9" s="337"/>
      <c r="AW9" s="337"/>
      <c r="AX9" s="337"/>
      <c r="AY9" s="337"/>
      <c r="AZ9" s="337"/>
      <c r="BA9" s="337"/>
      <c r="BB9" s="337"/>
      <c r="BC9" s="337"/>
      <c r="BD9" s="337"/>
      <c r="BE9" s="337"/>
      <c r="BF9" s="337"/>
      <c r="BG9" s="337"/>
      <c r="BH9" s="337"/>
      <c r="BI9" s="337"/>
      <c r="BJ9" s="337"/>
      <c r="BK9" s="337"/>
      <c r="BL9" s="337"/>
      <c r="BM9" s="337"/>
      <c r="BN9" s="337"/>
      <c r="BO9" s="337"/>
      <c r="BP9" s="337"/>
      <c r="BQ9" s="337"/>
      <c r="BR9" s="337"/>
      <c r="BS9" s="337"/>
      <c r="BT9" s="337"/>
      <c r="BU9" s="337"/>
      <c r="BV9" s="337"/>
      <c r="BW9" s="337"/>
      <c r="BX9" s="337"/>
      <c r="BY9" s="337"/>
      <c r="BZ9" s="337"/>
      <c r="CA9" s="337"/>
      <c r="CB9" s="337"/>
      <c r="CC9" s="337"/>
      <c r="CD9" s="337"/>
      <c r="CE9" s="337"/>
      <c r="CF9" s="337"/>
      <c r="CG9" s="337"/>
      <c r="CH9" s="337"/>
      <c r="CI9" s="337"/>
      <c r="CJ9" s="337"/>
      <c r="CK9" s="337"/>
      <c r="CL9" s="337"/>
      <c r="CM9" s="337"/>
      <c r="CN9" s="337"/>
      <c r="CO9" s="337"/>
      <c r="CP9" s="337"/>
      <c r="CQ9" s="337"/>
      <c r="CR9" s="337"/>
      <c r="CS9" s="337"/>
      <c r="CT9" s="337"/>
      <c r="CU9" s="337"/>
      <c r="CV9" s="337"/>
      <c r="CW9" s="337"/>
      <c r="CX9" s="337"/>
      <c r="CY9" s="337"/>
      <c r="CZ9" s="337"/>
      <c r="DA9" s="337"/>
      <c r="DB9" s="337"/>
      <c r="DC9" s="337"/>
      <c r="DD9" s="337"/>
      <c r="DE9" s="337"/>
      <c r="DF9" s="337"/>
      <c r="DG9" s="337"/>
      <c r="DH9" s="337"/>
      <c r="DI9" s="337"/>
      <c r="DJ9" s="337"/>
      <c r="DK9" s="337"/>
      <c r="DL9" s="337"/>
      <c r="DM9" s="337"/>
      <c r="DN9" s="337"/>
      <c r="DO9" s="337"/>
      <c r="DP9" s="337"/>
      <c r="DQ9" s="337"/>
      <c r="DR9" s="337"/>
      <c r="DS9" s="337"/>
      <c r="DT9" s="337"/>
      <c r="DU9" s="337"/>
      <c r="DV9" s="337"/>
      <c r="DW9" s="337"/>
      <c r="DX9" s="337"/>
      <c r="DY9" s="337"/>
      <c r="DZ9" s="337"/>
      <c r="EA9" s="337"/>
      <c r="EB9" s="337"/>
      <c r="EC9" s="337"/>
      <c r="ED9" s="337"/>
      <c r="EE9" s="337"/>
      <c r="EF9" s="337"/>
      <c r="EG9" s="337"/>
      <c r="EH9" s="337"/>
      <c r="EI9" s="337"/>
      <c r="EJ9" s="337"/>
      <c r="EK9" s="337"/>
      <c r="EL9" s="337"/>
      <c r="EM9" s="337"/>
      <c r="EN9" s="337"/>
      <c r="EO9" s="337"/>
      <c r="EP9" s="337"/>
      <c r="EQ9" s="337"/>
      <c r="ER9" s="337"/>
      <c r="ES9" s="337"/>
      <c r="ET9" s="337"/>
      <c r="EU9" s="337"/>
      <c r="EV9" s="337"/>
      <c r="EW9" s="337"/>
      <c r="EX9" s="337"/>
      <c r="EY9" s="337"/>
      <c r="EZ9" s="337"/>
      <c r="FA9" s="337"/>
      <c r="FB9" s="337"/>
      <c r="FC9" s="337"/>
      <c r="FD9" s="337"/>
      <c r="FE9" s="337"/>
      <c r="FF9" s="337"/>
      <c r="FG9" s="337"/>
      <c r="FH9" s="337"/>
      <c r="FI9" s="337"/>
      <c r="FJ9" s="337"/>
      <c r="FK9" s="337"/>
      <c r="FL9" s="337"/>
      <c r="FM9" s="337"/>
      <c r="FN9" s="337"/>
      <c r="FO9" s="337"/>
      <c r="FP9" s="337"/>
      <c r="FQ9" s="337"/>
      <c r="FR9" s="337"/>
      <c r="FS9" s="337"/>
      <c r="FT9" s="337"/>
      <c r="FU9" s="337"/>
      <c r="FV9" s="337"/>
      <c r="FW9" s="337"/>
      <c r="FX9" s="337"/>
      <c r="FY9" s="337"/>
      <c r="FZ9" s="337"/>
      <c r="GA9" s="337"/>
      <c r="GB9" s="337"/>
      <c r="GC9" s="337"/>
      <c r="GD9" s="337"/>
      <c r="GE9" s="337"/>
      <c r="GF9" s="337"/>
      <c r="GG9" s="337"/>
      <c r="GH9" s="337"/>
      <c r="GI9" s="337"/>
      <c r="GJ9" s="337"/>
      <c r="GK9" s="337"/>
      <c r="GL9" s="337"/>
      <c r="GM9" s="337"/>
      <c r="GN9" s="337"/>
      <c r="GO9" s="337"/>
      <c r="GP9" s="337"/>
      <c r="GQ9" s="337"/>
      <c r="GR9" s="337"/>
      <c r="GS9" s="337"/>
      <c r="GT9" s="337"/>
      <c r="GU9" s="337"/>
      <c r="GV9" s="337"/>
      <c r="GW9" s="337"/>
      <c r="GX9" s="337"/>
      <c r="GY9" s="337"/>
      <c r="GZ9" s="337"/>
      <c r="HA9" s="337"/>
      <c r="HB9" s="337"/>
      <c r="HC9" s="337"/>
      <c r="HD9" s="337"/>
      <c r="HE9" s="337"/>
      <c r="HF9" s="337"/>
      <c r="HG9" s="337"/>
      <c r="HH9" s="337"/>
      <c r="HI9" s="337"/>
      <c r="HJ9" s="337"/>
      <c r="HK9" s="337"/>
      <c r="HL9" s="337"/>
      <c r="HM9" s="337"/>
      <c r="HN9" s="337"/>
      <c r="HO9" s="337"/>
      <c r="HP9" s="337"/>
      <c r="HQ9" s="337"/>
      <c r="HR9" s="337"/>
      <c r="HS9" s="337"/>
      <c r="HT9" s="337"/>
      <c r="HU9" s="337"/>
      <c r="HV9" s="337"/>
      <c r="HW9" s="337"/>
      <c r="HX9" s="337"/>
      <c r="HY9" s="337"/>
      <c r="HZ9" s="337"/>
      <c r="IA9" s="337"/>
      <c r="IB9" s="337"/>
      <c r="IC9" s="337"/>
      <c r="ID9" s="337"/>
      <c r="IE9" s="337"/>
      <c r="IF9" s="337"/>
      <c r="IG9" s="337"/>
      <c r="IH9" s="337"/>
      <c r="II9" s="337"/>
      <c r="IJ9" s="337"/>
      <c r="IK9" s="337"/>
      <c r="IL9" s="337"/>
      <c r="IM9" s="337"/>
      <c r="IN9" s="337"/>
      <c r="IO9" s="337"/>
      <c r="IP9" s="337"/>
      <c r="IQ9" s="337"/>
      <c r="IR9" s="337"/>
      <c r="IS9" s="337"/>
      <c r="IT9" s="337"/>
      <c r="IU9" s="337"/>
      <c r="IV9" s="337"/>
      <c r="IW9" s="337"/>
      <c r="IX9" s="337"/>
      <c r="IY9" s="337"/>
      <c r="IZ9" s="337"/>
      <c r="JA9" s="337"/>
      <c r="JB9" s="337"/>
      <c r="JC9" s="337"/>
      <c r="JD9" s="337"/>
      <c r="JE9" s="337"/>
      <c r="JF9" s="337"/>
      <c r="JG9" s="337"/>
      <c r="JH9" s="337"/>
      <c r="JI9" s="337"/>
      <c r="JJ9" s="337"/>
      <c r="JK9" s="337"/>
      <c r="JL9" s="337"/>
      <c r="JM9" s="337"/>
      <c r="JN9" s="337"/>
      <c r="JO9" s="337"/>
      <c r="JP9" s="337"/>
      <c r="JQ9" s="337"/>
      <c r="JR9" s="337"/>
      <c r="JS9" s="337"/>
      <c r="JT9" s="337"/>
      <c r="JU9" s="337"/>
      <c r="JV9" s="337"/>
      <c r="JW9" s="337"/>
      <c r="JX9" s="337"/>
      <c r="JY9" s="337"/>
      <c r="JZ9" s="337"/>
      <c r="KA9" s="337"/>
      <c r="KB9" s="337"/>
      <c r="KC9" s="337"/>
      <c r="KD9" s="337"/>
      <c r="KE9" s="337"/>
      <c r="KF9" s="337"/>
      <c r="KG9" s="337"/>
      <c r="KH9" s="337"/>
      <c r="KI9" s="337"/>
      <c r="KJ9" s="337"/>
      <c r="KK9" s="337"/>
      <c r="KL9" s="337"/>
      <c r="KM9" s="337"/>
      <c r="KN9" s="337"/>
      <c r="KO9" s="337"/>
      <c r="KP9" s="337"/>
      <c r="KQ9" s="337"/>
      <c r="KR9" s="337"/>
      <c r="KS9" s="337"/>
      <c r="KT9" s="337"/>
      <c r="KU9" s="337"/>
      <c r="KV9" s="337"/>
      <c r="KW9" s="337"/>
      <c r="KX9" s="337"/>
      <c r="KY9" s="337"/>
      <c r="KZ9" s="337"/>
      <c r="LA9" s="337"/>
      <c r="LB9" s="337"/>
      <c r="LC9" s="337"/>
      <c r="LD9" s="337"/>
      <c r="LE9" s="337"/>
      <c r="LF9" s="337"/>
      <c r="LG9" s="337"/>
      <c r="LH9" s="337"/>
      <c r="LI9" s="337"/>
      <c r="LJ9" s="337"/>
      <c r="LK9" s="337"/>
      <c r="LL9" s="337"/>
      <c r="LM9" s="337"/>
      <c r="LN9" s="337"/>
      <c r="LO9" s="337"/>
      <c r="LP9" s="337"/>
      <c r="LQ9" s="337"/>
      <c r="LR9" s="337"/>
      <c r="LS9" s="337"/>
      <c r="LT9" s="337"/>
      <c r="LU9" s="337"/>
      <c r="LV9" s="337"/>
      <c r="LW9" s="337"/>
      <c r="LX9" s="337"/>
      <c r="LY9" s="337"/>
      <c r="LZ9" s="337"/>
      <c r="MA9" s="337"/>
      <c r="MB9" s="337"/>
      <c r="MC9" s="337"/>
      <c r="MD9" s="337"/>
      <c r="ME9" s="337"/>
      <c r="MF9" s="337"/>
      <c r="MG9" s="337"/>
      <c r="MH9" s="337"/>
      <c r="MI9" s="337"/>
      <c r="MJ9" s="337"/>
      <c r="MK9" s="337"/>
      <c r="ML9" s="337"/>
      <c r="MM9" s="337"/>
      <c r="MN9" s="337"/>
      <c r="MO9" s="337"/>
      <c r="MP9" s="337"/>
      <c r="MQ9" s="337"/>
      <c r="MR9" s="337"/>
      <c r="MS9" s="337"/>
      <c r="MT9" s="337"/>
      <c r="MU9" s="337"/>
      <c r="MV9" s="337"/>
      <c r="MW9" s="337"/>
      <c r="MX9" s="337"/>
      <c r="MY9" s="337"/>
      <c r="MZ9" s="337"/>
      <c r="NA9" s="337"/>
      <c r="NB9" s="337"/>
      <c r="NC9" s="337"/>
      <c r="ND9" s="337"/>
      <c r="NE9" s="337"/>
      <c r="NF9" s="337"/>
      <c r="NG9" s="337"/>
      <c r="NH9" s="337"/>
      <c r="NI9" s="337"/>
      <c r="NJ9" s="337"/>
      <c r="NK9" s="337"/>
      <c r="NL9" s="337"/>
      <c r="NM9" s="337"/>
      <c r="NN9" s="337"/>
      <c r="NO9" s="337"/>
      <c r="NP9" s="337"/>
      <c r="NQ9" s="337"/>
      <c r="NR9" s="337"/>
      <c r="NS9" s="337"/>
      <c r="NT9" s="337"/>
      <c r="NU9" s="337"/>
      <c r="NV9" s="337"/>
      <c r="NW9" s="337"/>
      <c r="NX9" s="337"/>
      <c r="NY9" s="337"/>
      <c r="NZ9" s="337"/>
      <c r="OA9" s="337"/>
      <c r="OB9" s="337"/>
      <c r="OC9" s="337"/>
      <c r="OD9" s="337"/>
      <c r="OE9" s="337"/>
      <c r="OF9" s="337"/>
      <c r="OG9" s="337"/>
      <c r="OH9" s="337"/>
      <c r="OI9" s="337"/>
      <c r="OJ9" s="337"/>
      <c r="OK9" s="337"/>
      <c r="OL9" s="337"/>
      <c r="OM9" s="337"/>
      <c r="ON9" s="337"/>
      <c r="OO9" s="337"/>
      <c r="OP9" s="337"/>
      <c r="OQ9" s="337"/>
      <c r="OR9" s="337"/>
      <c r="OS9" s="337"/>
      <c r="OT9" s="337"/>
      <c r="OU9" s="337"/>
      <c r="OV9" s="337"/>
      <c r="OW9" s="337"/>
      <c r="OX9" s="337"/>
      <c r="OY9" s="337"/>
      <c r="OZ9" s="337"/>
      <c r="PA9" s="337"/>
      <c r="PB9" s="337"/>
      <c r="PC9" s="337"/>
      <c r="PD9" s="337"/>
      <c r="PE9" s="337"/>
      <c r="PF9" s="337"/>
      <c r="PG9" s="337"/>
      <c r="PH9" s="337"/>
      <c r="PI9" s="337"/>
      <c r="PJ9" s="337"/>
      <c r="PK9" s="337"/>
      <c r="PL9" s="337"/>
      <c r="PM9" s="337"/>
      <c r="PN9" s="337"/>
      <c r="PO9" s="337"/>
      <c r="PP9" s="337"/>
      <c r="PQ9" s="337"/>
      <c r="PR9" s="337"/>
      <c r="PS9" s="337"/>
      <c r="PT9" s="337"/>
      <c r="PU9" s="337"/>
      <c r="PV9" s="337"/>
      <c r="PW9" s="337"/>
      <c r="PX9" s="337"/>
      <c r="PY9" s="337"/>
      <c r="PZ9" s="337"/>
      <c r="QA9" s="337"/>
      <c r="QB9" s="337"/>
      <c r="QC9" s="337"/>
      <c r="QD9" s="337"/>
      <c r="QE9" s="337"/>
      <c r="QF9" s="337"/>
      <c r="QG9" s="337"/>
      <c r="QH9" s="337"/>
      <c r="QI9" s="337"/>
      <c r="QJ9" s="337"/>
      <c r="QK9" s="337"/>
      <c r="QL9" s="337"/>
      <c r="QM9" s="337"/>
      <c r="QN9" s="337"/>
      <c r="QO9" s="337"/>
      <c r="QP9" s="337"/>
      <c r="QQ9" s="337"/>
      <c r="QR9" s="337"/>
      <c r="QS9" s="337"/>
      <c r="QT9" s="337"/>
      <c r="QU9" s="337"/>
      <c r="QV9" s="337"/>
      <c r="QW9" s="337"/>
      <c r="QX9" s="337"/>
      <c r="QY9" s="337"/>
      <c r="QZ9" s="337"/>
      <c r="RA9" s="337"/>
      <c r="RB9" s="337"/>
      <c r="RC9" s="337"/>
      <c r="RD9" s="337"/>
      <c r="RE9" s="337"/>
      <c r="RF9" s="337"/>
      <c r="RG9" s="337"/>
      <c r="RH9" s="337"/>
      <c r="RI9" s="337"/>
      <c r="RJ9" s="337"/>
      <c r="RK9" s="337"/>
      <c r="RL9" s="337"/>
      <c r="RM9" s="337"/>
      <c r="RN9" s="337"/>
      <c r="RO9" s="337"/>
      <c r="RP9" s="337"/>
      <c r="RQ9" s="337"/>
      <c r="RR9" s="337"/>
      <c r="RS9" s="337"/>
      <c r="RT9" s="337"/>
      <c r="RU9" s="337"/>
      <c r="RV9" s="337"/>
      <c r="RW9" s="337"/>
      <c r="RX9" s="337"/>
      <c r="RY9" s="337"/>
      <c r="RZ9" s="337"/>
      <c r="SA9" s="337"/>
      <c r="SB9" s="337"/>
      <c r="SC9" s="337"/>
      <c r="SD9" s="337"/>
      <c r="SE9" s="337"/>
      <c r="SF9" s="337"/>
      <c r="SG9" s="337"/>
      <c r="SH9" s="337"/>
      <c r="SI9" s="337"/>
      <c r="SJ9" s="337"/>
      <c r="SK9" s="337"/>
      <c r="SL9" s="337"/>
      <c r="SM9" s="337"/>
      <c r="SN9" s="337"/>
      <c r="SO9" s="337"/>
      <c r="SP9" s="337"/>
      <c r="SQ9" s="337"/>
      <c r="SR9" s="337"/>
      <c r="SS9" s="337"/>
      <c r="ST9" s="337"/>
      <c r="SU9" s="337"/>
      <c r="SV9" s="337"/>
      <c r="SW9" s="337"/>
      <c r="SX9" s="337"/>
      <c r="SY9" s="337"/>
      <c r="SZ9" s="337"/>
      <c r="TA9" s="337"/>
      <c r="TB9" s="337"/>
      <c r="TC9" s="337"/>
      <c r="TD9" s="337"/>
      <c r="TE9" s="337"/>
      <c r="TF9" s="337"/>
      <c r="TG9" s="337"/>
      <c r="TH9" s="337"/>
      <c r="TI9" s="337"/>
      <c r="TJ9" s="337"/>
      <c r="TK9" s="337"/>
      <c r="TL9" s="337"/>
      <c r="TM9" s="337"/>
      <c r="TN9" s="337"/>
      <c r="TO9" s="337"/>
      <c r="TP9" s="337"/>
      <c r="TQ9" s="337"/>
      <c r="TR9" s="337"/>
      <c r="TS9" s="337"/>
      <c r="TT9" s="337"/>
      <c r="TU9" s="337"/>
      <c r="TV9" s="337"/>
      <c r="TW9" s="337"/>
      <c r="TX9" s="337"/>
      <c r="TY9" s="337"/>
      <c r="TZ9" s="337"/>
      <c r="UA9" s="337"/>
      <c r="UB9" s="337"/>
      <c r="UC9" s="337"/>
      <c r="UD9" s="337"/>
      <c r="UE9" s="337"/>
      <c r="UF9" s="337"/>
      <c r="UG9" s="337"/>
      <c r="UH9" s="337"/>
      <c r="UI9" s="337"/>
      <c r="UJ9" s="337"/>
      <c r="UK9" s="337"/>
      <c r="UL9" s="337"/>
      <c r="UM9" s="337"/>
      <c r="UN9" s="337"/>
      <c r="UO9" s="337"/>
      <c r="UP9" s="337"/>
      <c r="UQ9" s="337"/>
      <c r="UR9" s="337"/>
      <c r="US9" s="337"/>
      <c r="UT9" s="337"/>
      <c r="UU9" s="337"/>
      <c r="UV9" s="337"/>
      <c r="UW9" s="337"/>
      <c r="UX9" s="337"/>
      <c r="UY9" s="337"/>
      <c r="UZ9" s="337"/>
      <c r="VA9" s="337"/>
      <c r="VB9" s="337"/>
      <c r="VC9" s="337"/>
      <c r="VD9" s="337"/>
      <c r="VE9" s="337"/>
      <c r="VF9" s="337"/>
      <c r="VG9" s="337"/>
      <c r="VH9" s="337"/>
      <c r="VI9" s="337"/>
      <c r="VJ9" s="337"/>
      <c r="VK9" s="337"/>
      <c r="VL9" s="337"/>
      <c r="VM9" s="337"/>
      <c r="VN9" s="337"/>
      <c r="VO9" s="337"/>
      <c r="VP9" s="337"/>
      <c r="VQ9" s="337"/>
      <c r="VR9" s="337"/>
      <c r="VS9" s="337"/>
      <c r="VT9" s="337"/>
      <c r="VU9" s="337"/>
      <c r="VV9" s="337"/>
      <c r="VW9" s="337"/>
      <c r="VX9" s="337"/>
      <c r="VY9" s="337"/>
      <c r="VZ9" s="337"/>
      <c r="WA9" s="337"/>
      <c r="WB9" s="337"/>
      <c r="WC9" s="337"/>
      <c r="WD9" s="337"/>
      <c r="WE9" s="337"/>
      <c r="WF9" s="337"/>
      <c r="WG9" s="337"/>
      <c r="WH9" s="337"/>
      <c r="WI9" s="337"/>
      <c r="WJ9" s="337"/>
      <c r="WK9" s="337"/>
      <c r="WL9" s="337"/>
      <c r="WM9" s="337"/>
      <c r="WN9" s="337"/>
      <c r="WO9" s="337"/>
      <c r="WP9" s="337"/>
      <c r="WQ9" s="337"/>
      <c r="WR9" s="337"/>
      <c r="WS9" s="337"/>
      <c r="WT9" s="337"/>
      <c r="WU9" s="337"/>
      <c r="WV9" s="337"/>
      <c r="WW9" s="337"/>
      <c r="WX9" s="337"/>
      <c r="WY9" s="337"/>
      <c r="WZ9" s="337"/>
      <c r="XA9" s="337"/>
      <c r="XB9" s="337"/>
      <c r="XC9" s="337"/>
      <c r="XD9" s="337"/>
      <c r="XE9" s="337"/>
      <c r="XF9" s="337"/>
      <c r="XG9" s="337"/>
      <c r="XH9" s="337"/>
      <c r="XI9" s="337"/>
      <c r="XJ9" s="337"/>
      <c r="XK9" s="337"/>
      <c r="XL9" s="337"/>
      <c r="XM9" s="337"/>
      <c r="XN9" s="337"/>
      <c r="XO9" s="337"/>
      <c r="XP9" s="337"/>
      <c r="XQ9" s="337"/>
      <c r="XR9" s="337"/>
      <c r="XS9" s="337"/>
      <c r="XT9" s="337"/>
      <c r="XU9" s="337"/>
      <c r="XV9" s="337"/>
      <c r="XW9" s="337"/>
      <c r="XX9" s="337"/>
      <c r="XY9" s="337"/>
      <c r="XZ9" s="337"/>
      <c r="YA9" s="337"/>
      <c r="YB9" s="337"/>
      <c r="YC9" s="337"/>
      <c r="YD9" s="337"/>
      <c r="YE9" s="337"/>
      <c r="YF9" s="337"/>
      <c r="YG9" s="337"/>
      <c r="YH9" s="337"/>
      <c r="YI9" s="337"/>
      <c r="YJ9" s="337"/>
      <c r="YK9" s="337"/>
      <c r="YL9" s="337"/>
      <c r="YM9" s="337"/>
      <c r="YN9" s="337"/>
      <c r="YO9" s="337"/>
      <c r="YP9" s="337"/>
      <c r="YQ9" s="337"/>
      <c r="YR9" s="337"/>
      <c r="YS9" s="337"/>
      <c r="YT9" s="337"/>
      <c r="YU9" s="337"/>
      <c r="YV9" s="337"/>
      <c r="YW9" s="337"/>
      <c r="YX9" s="337"/>
      <c r="YY9" s="337"/>
      <c r="YZ9" s="337"/>
      <c r="ZA9" s="337"/>
      <c r="ZB9" s="337"/>
      <c r="ZC9" s="337"/>
      <c r="ZD9" s="337"/>
      <c r="ZE9" s="337"/>
      <c r="ZF9" s="337"/>
      <c r="ZG9" s="337"/>
      <c r="ZH9" s="337"/>
      <c r="ZI9" s="337"/>
      <c r="ZJ9" s="337"/>
      <c r="ZK9" s="337"/>
      <c r="ZL9" s="337"/>
      <c r="ZM9" s="337"/>
      <c r="ZN9" s="337"/>
      <c r="ZO9" s="337"/>
      <c r="ZP9" s="337"/>
      <c r="ZQ9" s="337"/>
      <c r="ZR9" s="337"/>
      <c r="ZS9" s="337"/>
      <c r="ZT9" s="337"/>
      <c r="ZU9" s="337"/>
      <c r="ZV9" s="337"/>
      <c r="ZW9" s="337"/>
      <c r="ZX9" s="337"/>
      <c r="ZY9" s="337"/>
      <c r="ZZ9" s="337"/>
      <c r="AAA9" s="337"/>
      <c r="AAB9" s="337"/>
      <c r="AAC9" s="337"/>
      <c r="AAD9" s="337"/>
      <c r="AAE9" s="337"/>
      <c r="AAF9" s="337"/>
      <c r="AAG9" s="337"/>
      <c r="AAH9" s="337"/>
      <c r="AAI9" s="337"/>
      <c r="AAJ9" s="337"/>
      <c r="AAK9" s="337"/>
      <c r="AAL9" s="337"/>
      <c r="AAM9" s="337"/>
      <c r="AAN9" s="337"/>
      <c r="AAO9" s="337"/>
      <c r="AAP9" s="337"/>
      <c r="AAQ9" s="337"/>
      <c r="AAR9" s="337"/>
      <c r="AAS9" s="337"/>
      <c r="AAT9" s="337"/>
      <c r="AAU9" s="337"/>
      <c r="AAV9" s="337"/>
      <c r="AAW9" s="337"/>
      <c r="AAX9" s="337"/>
      <c r="AAY9" s="337"/>
      <c r="AAZ9" s="337"/>
      <c r="ABA9" s="337"/>
      <c r="ABB9" s="337"/>
      <c r="ABC9" s="337"/>
      <c r="ABD9" s="337"/>
      <c r="ABE9" s="337"/>
      <c r="ABF9" s="337"/>
      <c r="ABG9" s="337"/>
      <c r="ABH9" s="337"/>
      <c r="ABI9" s="337"/>
      <c r="ABJ9" s="337"/>
      <c r="ABK9" s="337"/>
      <c r="ABL9" s="337"/>
      <c r="ABM9" s="337"/>
      <c r="ABN9" s="337"/>
      <c r="ABO9" s="337"/>
      <c r="ABP9" s="337"/>
      <c r="ABQ9" s="337"/>
      <c r="ABR9" s="337"/>
      <c r="ABS9" s="337"/>
      <c r="ABT9" s="337"/>
      <c r="ABU9" s="337"/>
      <c r="ABV9" s="337"/>
      <c r="ABW9" s="337"/>
      <c r="ABX9" s="337"/>
      <c r="ABY9" s="337"/>
      <c r="ABZ9" s="337"/>
      <c r="ACA9" s="337"/>
      <c r="ACB9" s="337"/>
      <c r="ACC9" s="337"/>
      <c r="ACD9" s="337"/>
      <c r="ACE9" s="337"/>
      <c r="ACF9" s="337"/>
      <c r="ACG9" s="337"/>
      <c r="ACH9" s="337"/>
      <c r="ACI9" s="337"/>
      <c r="ACJ9" s="337"/>
      <c r="ACK9" s="337"/>
      <c r="ACL9" s="337"/>
      <c r="ACM9" s="337"/>
      <c r="ACN9" s="337"/>
      <c r="ACO9" s="337"/>
      <c r="ACP9" s="337"/>
      <c r="ACQ9" s="337"/>
      <c r="ACR9" s="337"/>
      <c r="ACS9" s="337"/>
      <c r="ACT9" s="337"/>
      <c r="ACU9" s="337"/>
      <c r="ACV9" s="337"/>
      <c r="ACW9" s="337"/>
      <c r="ACX9" s="337"/>
      <c r="ACY9" s="337"/>
      <c r="ACZ9" s="337"/>
      <c r="ADA9" s="337"/>
      <c r="ADB9" s="337"/>
      <c r="ADC9" s="337"/>
      <c r="ADD9" s="337"/>
      <c r="ADE9" s="337"/>
      <c r="ADF9" s="337"/>
      <c r="ADG9" s="337"/>
      <c r="ADH9" s="337"/>
      <c r="ADI9" s="337"/>
      <c r="ADJ9" s="337"/>
      <c r="ADK9" s="337"/>
      <c r="ADL9" s="337"/>
      <c r="ADM9" s="337"/>
      <c r="ADN9" s="337"/>
      <c r="ADO9" s="337"/>
      <c r="ADP9" s="337"/>
      <c r="ADQ9" s="337"/>
      <c r="ADR9" s="337"/>
      <c r="ADS9" s="337"/>
      <c r="ADT9" s="337"/>
      <c r="ADU9" s="337"/>
      <c r="ADV9" s="337"/>
      <c r="ADW9" s="337"/>
      <c r="ADX9" s="337"/>
      <c r="ADY9" s="337"/>
      <c r="ADZ9" s="337"/>
      <c r="AEA9" s="337"/>
      <c r="AEB9" s="337"/>
      <c r="AEC9" s="337"/>
      <c r="AED9" s="337"/>
      <c r="AEE9" s="337"/>
      <c r="AEF9" s="337"/>
      <c r="AEG9" s="337"/>
      <c r="AEH9" s="337"/>
      <c r="AEI9" s="337"/>
      <c r="AEJ9" s="337"/>
      <c r="AEK9" s="337"/>
      <c r="AEL9" s="337"/>
      <c r="AEM9" s="337"/>
      <c r="AEN9" s="337"/>
      <c r="AEO9" s="337"/>
      <c r="AEP9" s="337"/>
      <c r="AEQ9" s="337"/>
      <c r="AER9" s="337"/>
      <c r="AES9" s="337"/>
      <c r="AET9" s="337"/>
      <c r="AEU9" s="337"/>
      <c r="AEV9" s="337"/>
      <c r="AEW9" s="337"/>
      <c r="AEX9" s="337"/>
      <c r="AEY9" s="337"/>
      <c r="AEZ9" s="337"/>
      <c r="AFA9" s="337"/>
      <c r="AFB9" s="337"/>
      <c r="AFC9" s="337"/>
      <c r="AFD9" s="337"/>
      <c r="AFE9" s="337"/>
      <c r="AFF9" s="337"/>
      <c r="AFG9" s="337"/>
      <c r="AFH9" s="337"/>
      <c r="AFI9" s="337"/>
      <c r="AFJ9" s="337"/>
      <c r="AFK9" s="337"/>
      <c r="AFL9" s="337"/>
      <c r="AFM9" s="337"/>
      <c r="AFN9" s="337"/>
      <c r="AFO9" s="337"/>
      <c r="AFP9" s="337"/>
      <c r="AFQ9" s="337"/>
      <c r="AFR9" s="337"/>
      <c r="AFS9" s="337"/>
      <c r="AFT9" s="337"/>
      <c r="AFU9" s="337"/>
      <c r="AFV9" s="337"/>
      <c r="AFW9" s="337"/>
      <c r="AFX9" s="337"/>
      <c r="AFY9" s="337"/>
      <c r="AFZ9" s="337"/>
      <c r="AGA9" s="337"/>
      <c r="AGB9" s="337"/>
      <c r="AGC9" s="337"/>
      <c r="AGD9" s="337"/>
      <c r="AGE9" s="337"/>
      <c r="AGF9" s="337"/>
      <c r="AGG9" s="337"/>
      <c r="AGH9" s="337"/>
      <c r="AGI9" s="337"/>
      <c r="AGJ9" s="337"/>
      <c r="AGK9" s="337"/>
      <c r="AGL9" s="337"/>
      <c r="AGM9" s="337"/>
      <c r="AGN9" s="337"/>
      <c r="AGO9" s="337"/>
      <c r="AGP9" s="337"/>
      <c r="AGQ9" s="337"/>
      <c r="AGR9" s="337"/>
      <c r="AGS9" s="337"/>
      <c r="AGT9" s="337"/>
      <c r="AGU9" s="337"/>
      <c r="AGV9" s="337"/>
      <c r="AGW9" s="337"/>
      <c r="AGX9" s="337"/>
      <c r="AGY9" s="337"/>
      <c r="AGZ9" s="337"/>
      <c r="AHA9" s="346"/>
      <c r="AHB9" s="346"/>
      <c r="AHC9" s="346"/>
      <c r="AHD9" s="346"/>
      <c r="AHE9" s="346"/>
    </row>
    <row r="10" s="336" customFormat="1" ht="24" customHeight="1" spans="1:889">
      <c r="A10" s="349">
        <v>6</v>
      </c>
      <c r="B10" s="350"/>
      <c r="C10" s="351" t="s">
        <v>120</v>
      </c>
      <c r="D10" s="352"/>
      <c r="E10" s="348"/>
      <c r="F10" s="81">
        <v>6</v>
      </c>
      <c r="G10" s="355" t="s">
        <v>411</v>
      </c>
      <c r="H10" s="354" t="s">
        <v>412</v>
      </c>
      <c r="I10" s="100" t="s">
        <v>124</v>
      </c>
      <c r="J10" s="100"/>
      <c r="K10" s="100" t="s">
        <v>124</v>
      </c>
      <c r="L10" s="100"/>
      <c r="M10" s="100"/>
      <c r="N10" s="373" t="s">
        <v>413</v>
      </c>
      <c r="O10" s="374" t="s">
        <v>414</v>
      </c>
      <c r="P10" s="375"/>
      <c r="Q10" s="375"/>
      <c r="R10" s="382" t="s">
        <v>130</v>
      </c>
      <c r="S10" s="383"/>
      <c r="T10" s="383"/>
      <c r="U10" s="383"/>
      <c r="V10" s="382" t="s">
        <v>130</v>
      </c>
      <c r="W10" s="383"/>
      <c r="X10" s="349" t="s">
        <v>129</v>
      </c>
      <c r="Y10" s="349" t="s">
        <v>129</v>
      </c>
      <c r="Z10" s="120">
        <f t="shared" si="0"/>
        <v>24</v>
      </c>
      <c r="AA10" s="304" t="str">
        <f t="shared" si="1"/>
        <v>00:24:00</v>
      </c>
      <c r="AB10" s="120">
        <f t="shared" si="2"/>
        <v>1440</v>
      </c>
      <c r="AC10" s="399">
        <v>0.0164814814814815</v>
      </c>
      <c r="AD10" s="400">
        <v>169</v>
      </c>
      <c r="AE10" s="400">
        <v>43</v>
      </c>
      <c r="AF10" s="349" t="s">
        <v>132</v>
      </c>
      <c r="AG10" s="344"/>
      <c r="AH10" s="345"/>
      <c r="AI10" s="345"/>
      <c r="AJ10" s="337"/>
      <c r="AK10" s="339"/>
      <c r="AL10" s="339"/>
      <c r="AM10" s="339"/>
      <c r="AN10" s="346"/>
      <c r="AO10" s="346"/>
      <c r="AP10" s="337"/>
      <c r="AQ10" s="337"/>
      <c r="AR10" s="337"/>
      <c r="AS10" s="337"/>
      <c r="AT10" s="337"/>
      <c r="AU10" s="337"/>
      <c r="AV10" s="337"/>
      <c r="AW10" s="337"/>
      <c r="AX10" s="337"/>
      <c r="AY10" s="337"/>
      <c r="AZ10" s="337"/>
      <c r="BA10" s="337"/>
      <c r="BB10" s="337"/>
      <c r="BC10" s="337"/>
      <c r="BD10" s="337"/>
      <c r="BE10" s="337"/>
      <c r="BF10" s="337"/>
      <c r="BG10" s="337"/>
      <c r="BH10" s="337"/>
      <c r="BI10" s="337"/>
      <c r="BJ10" s="337"/>
      <c r="BK10" s="337"/>
      <c r="BL10" s="337"/>
      <c r="BM10" s="337"/>
      <c r="BN10" s="337"/>
      <c r="BO10" s="337"/>
      <c r="BP10" s="337"/>
      <c r="BQ10" s="337"/>
      <c r="BR10" s="337"/>
      <c r="BS10" s="337"/>
      <c r="BT10" s="337"/>
      <c r="BU10" s="337"/>
      <c r="BV10" s="337"/>
      <c r="BW10" s="337"/>
      <c r="BX10" s="337"/>
      <c r="BY10" s="337"/>
      <c r="BZ10" s="337"/>
      <c r="CA10" s="337"/>
      <c r="CB10" s="337"/>
      <c r="CC10" s="337"/>
      <c r="CD10" s="337"/>
      <c r="CE10" s="337"/>
      <c r="CF10" s="337"/>
      <c r="CG10" s="337"/>
      <c r="CH10" s="337"/>
      <c r="CI10" s="337"/>
      <c r="CJ10" s="337"/>
      <c r="CK10" s="337"/>
      <c r="CL10" s="337"/>
      <c r="CM10" s="337"/>
      <c r="CN10" s="337"/>
      <c r="CO10" s="337"/>
      <c r="CP10" s="337"/>
      <c r="CQ10" s="337"/>
      <c r="CR10" s="337"/>
      <c r="CS10" s="337"/>
      <c r="CT10" s="337"/>
      <c r="CU10" s="337"/>
      <c r="CV10" s="337"/>
      <c r="CW10" s="337"/>
      <c r="CX10" s="337"/>
      <c r="CY10" s="337"/>
      <c r="CZ10" s="337"/>
      <c r="DA10" s="337"/>
      <c r="DB10" s="337"/>
      <c r="DC10" s="337"/>
      <c r="DD10" s="337"/>
      <c r="DE10" s="337"/>
      <c r="DF10" s="337"/>
      <c r="DG10" s="337"/>
      <c r="DH10" s="337"/>
      <c r="DI10" s="337"/>
      <c r="DJ10" s="337"/>
      <c r="DK10" s="337"/>
      <c r="DL10" s="337"/>
      <c r="DM10" s="337"/>
      <c r="DN10" s="337"/>
      <c r="DO10" s="337"/>
      <c r="DP10" s="337"/>
      <c r="DQ10" s="337"/>
      <c r="DR10" s="337"/>
      <c r="DS10" s="337"/>
      <c r="DT10" s="337"/>
      <c r="DU10" s="337"/>
      <c r="DV10" s="337"/>
      <c r="DW10" s="337"/>
      <c r="DX10" s="337"/>
      <c r="DY10" s="337"/>
      <c r="DZ10" s="337"/>
      <c r="EA10" s="337"/>
      <c r="EB10" s="337"/>
      <c r="EC10" s="337"/>
      <c r="ED10" s="337"/>
      <c r="EE10" s="337"/>
      <c r="EF10" s="337"/>
      <c r="EG10" s="337"/>
      <c r="EH10" s="337"/>
      <c r="EI10" s="337"/>
      <c r="EJ10" s="337"/>
      <c r="EK10" s="337"/>
      <c r="EL10" s="337"/>
      <c r="EM10" s="337"/>
      <c r="EN10" s="337"/>
      <c r="EO10" s="337"/>
      <c r="EP10" s="337"/>
      <c r="EQ10" s="337"/>
      <c r="ER10" s="337"/>
      <c r="ES10" s="337"/>
      <c r="ET10" s="337"/>
      <c r="EU10" s="337"/>
      <c r="EV10" s="337"/>
      <c r="EW10" s="337"/>
      <c r="EX10" s="337"/>
      <c r="EY10" s="337"/>
      <c r="EZ10" s="337"/>
      <c r="FA10" s="337"/>
      <c r="FB10" s="337"/>
      <c r="FC10" s="337"/>
      <c r="FD10" s="337"/>
      <c r="FE10" s="337"/>
      <c r="FF10" s="337"/>
      <c r="FG10" s="337"/>
      <c r="FH10" s="337"/>
      <c r="FI10" s="337"/>
      <c r="FJ10" s="337"/>
      <c r="FK10" s="337"/>
      <c r="FL10" s="337"/>
      <c r="FM10" s="337"/>
      <c r="FN10" s="337"/>
      <c r="FO10" s="337"/>
      <c r="FP10" s="337"/>
      <c r="FQ10" s="337"/>
      <c r="FR10" s="337"/>
      <c r="FS10" s="337"/>
      <c r="FT10" s="337"/>
      <c r="FU10" s="337"/>
      <c r="FV10" s="337"/>
      <c r="FW10" s="337"/>
      <c r="FX10" s="337"/>
      <c r="FY10" s="337"/>
      <c r="FZ10" s="337"/>
      <c r="GA10" s="337"/>
      <c r="GB10" s="337"/>
      <c r="GC10" s="337"/>
      <c r="GD10" s="337"/>
      <c r="GE10" s="337"/>
      <c r="GF10" s="337"/>
      <c r="GG10" s="337"/>
      <c r="GH10" s="337"/>
      <c r="GI10" s="337"/>
      <c r="GJ10" s="337"/>
      <c r="GK10" s="337"/>
      <c r="GL10" s="337"/>
      <c r="GM10" s="337"/>
      <c r="GN10" s="337"/>
      <c r="GO10" s="337"/>
      <c r="GP10" s="337"/>
      <c r="GQ10" s="337"/>
      <c r="GR10" s="337"/>
      <c r="GS10" s="337"/>
      <c r="GT10" s="337"/>
      <c r="GU10" s="337"/>
      <c r="GV10" s="337"/>
      <c r="GW10" s="337"/>
      <c r="GX10" s="337"/>
      <c r="GY10" s="337"/>
      <c r="GZ10" s="337"/>
      <c r="HA10" s="337"/>
      <c r="HB10" s="337"/>
      <c r="HC10" s="337"/>
      <c r="HD10" s="337"/>
      <c r="HE10" s="337"/>
      <c r="HF10" s="337"/>
      <c r="HG10" s="337"/>
      <c r="HH10" s="337"/>
      <c r="HI10" s="337"/>
      <c r="HJ10" s="337"/>
      <c r="HK10" s="337"/>
      <c r="HL10" s="337"/>
      <c r="HM10" s="337"/>
      <c r="HN10" s="337"/>
      <c r="HO10" s="337"/>
      <c r="HP10" s="337"/>
      <c r="HQ10" s="337"/>
      <c r="HR10" s="337"/>
      <c r="HS10" s="337"/>
      <c r="HT10" s="337"/>
      <c r="HU10" s="337"/>
      <c r="HV10" s="337"/>
      <c r="HW10" s="337"/>
      <c r="HX10" s="337"/>
      <c r="HY10" s="337"/>
      <c r="HZ10" s="337"/>
      <c r="IA10" s="337"/>
      <c r="IB10" s="337"/>
      <c r="IC10" s="337"/>
      <c r="ID10" s="337"/>
      <c r="IE10" s="337"/>
      <c r="IF10" s="337"/>
      <c r="IG10" s="337"/>
      <c r="IH10" s="337"/>
      <c r="II10" s="337"/>
      <c r="IJ10" s="337"/>
      <c r="IK10" s="337"/>
      <c r="IL10" s="337"/>
      <c r="IM10" s="337"/>
      <c r="IN10" s="337"/>
      <c r="IO10" s="337"/>
      <c r="IP10" s="337"/>
      <c r="IQ10" s="337"/>
      <c r="IR10" s="337"/>
      <c r="IS10" s="337"/>
      <c r="IT10" s="337"/>
      <c r="IU10" s="337"/>
      <c r="IV10" s="337"/>
      <c r="IW10" s="337"/>
      <c r="IX10" s="337"/>
      <c r="IY10" s="337"/>
      <c r="IZ10" s="337"/>
      <c r="JA10" s="337"/>
      <c r="JB10" s="337"/>
      <c r="JC10" s="337"/>
      <c r="JD10" s="337"/>
      <c r="JE10" s="337"/>
      <c r="JF10" s="337"/>
      <c r="JG10" s="337"/>
      <c r="JH10" s="337"/>
      <c r="JI10" s="337"/>
      <c r="JJ10" s="337"/>
      <c r="JK10" s="337"/>
      <c r="JL10" s="337"/>
      <c r="JM10" s="337"/>
      <c r="JN10" s="337"/>
      <c r="JO10" s="337"/>
      <c r="JP10" s="337"/>
      <c r="JQ10" s="337"/>
      <c r="JR10" s="337"/>
      <c r="JS10" s="337"/>
      <c r="JT10" s="337"/>
      <c r="JU10" s="337"/>
      <c r="JV10" s="337"/>
      <c r="JW10" s="337"/>
      <c r="JX10" s="337"/>
      <c r="JY10" s="337"/>
      <c r="JZ10" s="337"/>
      <c r="KA10" s="337"/>
      <c r="KB10" s="337"/>
      <c r="KC10" s="337"/>
      <c r="KD10" s="337"/>
      <c r="KE10" s="337"/>
      <c r="KF10" s="337"/>
      <c r="KG10" s="337"/>
      <c r="KH10" s="337"/>
      <c r="KI10" s="337"/>
      <c r="KJ10" s="337"/>
      <c r="KK10" s="337"/>
      <c r="KL10" s="337"/>
      <c r="KM10" s="337"/>
      <c r="KN10" s="337"/>
      <c r="KO10" s="337"/>
      <c r="KP10" s="337"/>
      <c r="KQ10" s="337"/>
      <c r="KR10" s="337"/>
      <c r="KS10" s="337"/>
      <c r="KT10" s="337"/>
      <c r="KU10" s="337"/>
      <c r="KV10" s="337"/>
      <c r="KW10" s="337"/>
      <c r="KX10" s="337"/>
      <c r="KY10" s="337"/>
      <c r="KZ10" s="337"/>
      <c r="LA10" s="337"/>
      <c r="LB10" s="337"/>
      <c r="LC10" s="337"/>
      <c r="LD10" s="337"/>
      <c r="LE10" s="337"/>
      <c r="LF10" s="337"/>
      <c r="LG10" s="337"/>
      <c r="LH10" s="337"/>
      <c r="LI10" s="337"/>
      <c r="LJ10" s="337"/>
      <c r="LK10" s="337"/>
      <c r="LL10" s="337"/>
      <c r="LM10" s="337"/>
      <c r="LN10" s="337"/>
      <c r="LO10" s="337"/>
      <c r="LP10" s="337"/>
      <c r="LQ10" s="337"/>
      <c r="LR10" s="337"/>
      <c r="LS10" s="337"/>
      <c r="LT10" s="337"/>
      <c r="LU10" s="337"/>
      <c r="LV10" s="337"/>
      <c r="LW10" s="337"/>
      <c r="LX10" s="337"/>
      <c r="LY10" s="337"/>
      <c r="LZ10" s="337"/>
      <c r="MA10" s="337"/>
      <c r="MB10" s="337"/>
      <c r="MC10" s="337"/>
      <c r="MD10" s="337"/>
      <c r="ME10" s="337"/>
      <c r="MF10" s="337"/>
      <c r="MG10" s="337"/>
      <c r="MH10" s="337"/>
      <c r="MI10" s="337"/>
      <c r="MJ10" s="337"/>
      <c r="MK10" s="337"/>
      <c r="ML10" s="337"/>
      <c r="MM10" s="337"/>
      <c r="MN10" s="337"/>
      <c r="MO10" s="337"/>
      <c r="MP10" s="337"/>
      <c r="MQ10" s="337"/>
      <c r="MR10" s="337"/>
      <c r="MS10" s="337"/>
      <c r="MT10" s="337"/>
      <c r="MU10" s="337"/>
      <c r="MV10" s="337"/>
      <c r="MW10" s="337"/>
      <c r="MX10" s="337"/>
      <c r="MY10" s="337"/>
      <c r="MZ10" s="337"/>
      <c r="NA10" s="337"/>
      <c r="NB10" s="337"/>
      <c r="NC10" s="337"/>
      <c r="ND10" s="337"/>
      <c r="NE10" s="337"/>
      <c r="NF10" s="337"/>
      <c r="NG10" s="337"/>
      <c r="NH10" s="337"/>
      <c r="NI10" s="337"/>
      <c r="NJ10" s="337"/>
      <c r="NK10" s="337"/>
      <c r="NL10" s="337"/>
      <c r="NM10" s="337"/>
      <c r="NN10" s="337"/>
      <c r="NO10" s="337"/>
      <c r="NP10" s="337"/>
      <c r="NQ10" s="337"/>
      <c r="NR10" s="337"/>
      <c r="NS10" s="337"/>
      <c r="NT10" s="337"/>
      <c r="NU10" s="337"/>
      <c r="NV10" s="337"/>
      <c r="NW10" s="337"/>
      <c r="NX10" s="337"/>
      <c r="NY10" s="337"/>
      <c r="NZ10" s="337"/>
      <c r="OA10" s="337"/>
      <c r="OB10" s="337"/>
      <c r="OC10" s="337"/>
      <c r="OD10" s="337"/>
      <c r="OE10" s="337"/>
      <c r="OF10" s="337"/>
      <c r="OG10" s="337"/>
      <c r="OH10" s="337"/>
      <c r="OI10" s="337"/>
      <c r="OJ10" s="337"/>
      <c r="OK10" s="337"/>
      <c r="OL10" s="337"/>
      <c r="OM10" s="337"/>
      <c r="ON10" s="337"/>
      <c r="OO10" s="337"/>
      <c r="OP10" s="337"/>
      <c r="OQ10" s="337"/>
      <c r="OR10" s="337"/>
      <c r="OS10" s="337"/>
      <c r="OT10" s="337"/>
      <c r="OU10" s="337"/>
      <c r="OV10" s="337"/>
      <c r="OW10" s="337"/>
      <c r="OX10" s="337"/>
      <c r="OY10" s="337"/>
      <c r="OZ10" s="337"/>
      <c r="PA10" s="337"/>
      <c r="PB10" s="337"/>
      <c r="PC10" s="337"/>
      <c r="PD10" s="337"/>
      <c r="PE10" s="337"/>
      <c r="PF10" s="337"/>
      <c r="PG10" s="337"/>
      <c r="PH10" s="337"/>
      <c r="PI10" s="337"/>
      <c r="PJ10" s="337"/>
      <c r="PK10" s="337"/>
      <c r="PL10" s="337"/>
      <c r="PM10" s="337"/>
      <c r="PN10" s="337"/>
      <c r="PO10" s="337"/>
      <c r="PP10" s="337"/>
      <c r="PQ10" s="337"/>
      <c r="PR10" s="337"/>
      <c r="PS10" s="337"/>
      <c r="PT10" s="337"/>
      <c r="PU10" s="337"/>
      <c r="PV10" s="337"/>
      <c r="PW10" s="337"/>
      <c r="PX10" s="337"/>
      <c r="PY10" s="337"/>
      <c r="PZ10" s="337"/>
      <c r="QA10" s="337"/>
      <c r="QB10" s="337"/>
      <c r="QC10" s="337"/>
      <c r="QD10" s="337"/>
      <c r="QE10" s="337"/>
      <c r="QF10" s="337"/>
      <c r="QG10" s="337"/>
      <c r="QH10" s="337"/>
      <c r="QI10" s="337"/>
      <c r="QJ10" s="337"/>
      <c r="QK10" s="337"/>
      <c r="QL10" s="337"/>
      <c r="QM10" s="337"/>
      <c r="QN10" s="337"/>
      <c r="QO10" s="337"/>
      <c r="QP10" s="337"/>
      <c r="QQ10" s="337"/>
      <c r="QR10" s="337"/>
      <c r="QS10" s="337"/>
      <c r="QT10" s="337"/>
      <c r="QU10" s="337"/>
      <c r="QV10" s="337"/>
      <c r="QW10" s="337"/>
      <c r="QX10" s="337"/>
      <c r="QY10" s="337"/>
      <c r="QZ10" s="337"/>
      <c r="RA10" s="337"/>
      <c r="RB10" s="337"/>
      <c r="RC10" s="337"/>
      <c r="RD10" s="337"/>
      <c r="RE10" s="337"/>
      <c r="RF10" s="337"/>
      <c r="RG10" s="337"/>
      <c r="RH10" s="337"/>
      <c r="RI10" s="337"/>
      <c r="RJ10" s="337"/>
      <c r="RK10" s="337"/>
      <c r="RL10" s="337"/>
      <c r="RM10" s="337"/>
      <c r="RN10" s="337"/>
      <c r="RO10" s="337"/>
      <c r="RP10" s="337"/>
      <c r="RQ10" s="337"/>
      <c r="RR10" s="337"/>
      <c r="RS10" s="337"/>
      <c r="RT10" s="337"/>
      <c r="RU10" s="337"/>
      <c r="RV10" s="337"/>
      <c r="RW10" s="337"/>
      <c r="RX10" s="337"/>
      <c r="RY10" s="337"/>
      <c r="RZ10" s="337"/>
      <c r="SA10" s="337"/>
      <c r="SB10" s="337"/>
      <c r="SC10" s="337"/>
      <c r="SD10" s="337"/>
      <c r="SE10" s="337"/>
      <c r="SF10" s="337"/>
      <c r="SG10" s="337"/>
      <c r="SH10" s="337"/>
      <c r="SI10" s="337"/>
      <c r="SJ10" s="337"/>
      <c r="SK10" s="337"/>
      <c r="SL10" s="337"/>
      <c r="SM10" s="337"/>
      <c r="SN10" s="337"/>
      <c r="SO10" s="337"/>
      <c r="SP10" s="337"/>
      <c r="SQ10" s="337"/>
      <c r="SR10" s="337"/>
      <c r="SS10" s="337"/>
      <c r="ST10" s="337"/>
      <c r="SU10" s="337"/>
      <c r="SV10" s="337"/>
      <c r="SW10" s="337"/>
      <c r="SX10" s="337"/>
      <c r="SY10" s="337"/>
      <c r="SZ10" s="337"/>
      <c r="TA10" s="337"/>
      <c r="TB10" s="337"/>
      <c r="TC10" s="337"/>
      <c r="TD10" s="337"/>
      <c r="TE10" s="337"/>
      <c r="TF10" s="337"/>
      <c r="TG10" s="337"/>
      <c r="TH10" s="337"/>
      <c r="TI10" s="337"/>
      <c r="TJ10" s="337"/>
      <c r="TK10" s="337"/>
      <c r="TL10" s="337"/>
      <c r="TM10" s="337"/>
      <c r="TN10" s="337"/>
      <c r="TO10" s="337"/>
      <c r="TP10" s="337"/>
      <c r="TQ10" s="337"/>
      <c r="TR10" s="337"/>
      <c r="TS10" s="337"/>
      <c r="TT10" s="337"/>
      <c r="TU10" s="337"/>
      <c r="TV10" s="337"/>
      <c r="TW10" s="337"/>
      <c r="TX10" s="337"/>
      <c r="TY10" s="337"/>
      <c r="TZ10" s="337"/>
      <c r="UA10" s="337"/>
      <c r="UB10" s="337"/>
      <c r="UC10" s="337"/>
      <c r="UD10" s="337"/>
      <c r="UE10" s="337"/>
      <c r="UF10" s="337"/>
      <c r="UG10" s="337"/>
      <c r="UH10" s="337"/>
      <c r="UI10" s="337"/>
      <c r="UJ10" s="337"/>
      <c r="UK10" s="337"/>
      <c r="UL10" s="337"/>
      <c r="UM10" s="337"/>
      <c r="UN10" s="337"/>
      <c r="UO10" s="337"/>
      <c r="UP10" s="337"/>
      <c r="UQ10" s="337"/>
      <c r="UR10" s="337"/>
      <c r="US10" s="337"/>
      <c r="UT10" s="337"/>
      <c r="UU10" s="337"/>
      <c r="UV10" s="337"/>
      <c r="UW10" s="337"/>
      <c r="UX10" s="337"/>
      <c r="UY10" s="337"/>
      <c r="UZ10" s="337"/>
      <c r="VA10" s="337"/>
      <c r="VB10" s="337"/>
      <c r="VC10" s="337"/>
      <c r="VD10" s="337"/>
      <c r="VE10" s="337"/>
      <c r="VF10" s="337"/>
      <c r="VG10" s="337"/>
      <c r="VH10" s="337"/>
      <c r="VI10" s="337"/>
      <c r="VJ10" s="337"/>
      <c r="VK10" s="337"/>
      <c r="VL10" s="337"/>
      <c r="VM10" s="337"/>
      <c r="VN10" s="337"/>
      <c r="VO10" s="337"/>
      <c r="VP10" s="337"/>
      <c r="VQ10" s="337"/>
      <c r="VR10" s="337"/>
      <c r="VS10" s="337"/>
      <c r="VT10" s="337"/>
      <c r="VU10" s="337"/>
      <c r="VV10" s="337"/>
      <c r="VW10" s="337"/>
      <c r="VX10" s="337"/>
      <c r="VY10" s="337"/>
      <c r="VZ10" s="337"/>
      <c r="WA10" s="337"/>
      <c r="WB10" s="337"/>
      <c r="WC10" s="337"/>
      <c r="WD10" s="337"/>
      <c r="WE10" s="337"/>
      <c r="WF10" s="337"/>
      <c r="WG10" s="337"/>
      <c r="WH10" s="337"/>
      <c r="WI10" s="337"/>
      <c r="WJ10" s="337"/>
      <c r="WK10" s="337"/>
      <c r="WL10" s="337"/>
      <c r="WM10" s="337"/>
      <c r="WN10" s="337"/>
      <c r="WO10" s="337"/>
      <c r="WP10" s="337"/>
      <c r="WQ10" s="337"/>
      <c r="WR10" s="337"/>
      <c r="WS10" s="337"/>
      <c r="WT10" s="337"/>
      <c r="WU10" s="337"/>
      <c r="WV10" s="337"/>
      <c r="WW10" s="337"/>
      <c r="WX10" s="337"/>
      <c r="WY10" s="337"/>
      <c r="WZ10" s="337"/>
      <c r="XA10" s="337"/>
      <c r="XB10" s="337"/>
      <c r="XC10" s="337"/>
      <c r="XD10" s="337"/>
      <c r="XE10" s="337"/>
      <c r="XF10" s="337"/>
      <c r="XG10" s="337"/>
      <c r="XH10" s="337"/>
      <c r="XI10" s="337"/>
      <c r="XJ10" s="337"/>
      <c r="XK10" s="337"/>
      <c r="XL10" s="337"/>
      <c r="XM10" s="337"/>
      <c r="XN10" s="337"/>
      <c r="XO10" s="337"/>
      <c r="XP10" s="337"/>
      <c r="XQ10" s="337"/>
      <c r="XR10" s="337"/>
      <c r="XS10" s="337"/>
      <c r="XT10" s="337"/>
      <c r="XU10" s="337"/>
      <c r="XV10" s="337"/>
      <c r="XW10" s="337"/>
      <c r="XX10" s="337"/>
      <c r="XY10" s="337"/>
      <c r="XZ10" s="337"/>
      <c r="YA10" s="337"/>
      <c r="YB10" s="337"/>
      <c r="YC10" s="337"/>
      <c r="YD10" s="337"/>
      <c r="YE10" s="337"/>
      <c r="YF10" s="337"/>
      <c r="YG10" s="337"/>
      <c r="YH10" s="337"/>
      <c r="YI10" s="337"/>
      <c r="YJ10" s="337"/>
      <c r="YK10" s="337"/>
      <c r="YL10" s="337"/>
      <c r="YM10" s="337"/>
      <c r="YN10" s="337"/>
      <c r="YO10" s="337"/>
      <c r="YP10" s="337"/>
      <c r="YQ10" s="337"/>
      <c r="YR10" s="337"/>
      <c r="YS10" s="337"/>
      <c r="YT10" s="337"/>
      <c r="YU10" s="337"/>
      <c r="YV10" s="337"/>
      <c r="YW10" s="337"/>
      <c r="YX10" s="337"/>
      <c r="YY10" s="337"/>
      <c r="YZ10" s="337"/>
      <c r="ZA10" s="337"/>
      <c r="ZB10" s="337"/>
      <c r="ZC10" s="337"/>
      <c r="ZD10" s="337"/>
      <c r="ZE10" s="337"/>
      <c r="ZF10" s="337"/>
      <c r="ZG10" s="337"/>
      <c r="ZH10" s="337"/>
      <c r="ZI10" s="337"/>
      <c r="ZJ10" s="337"/>
      <c r="ZK10" s="337"/>
      <c r="ZL10" s="337"/>
      <c r="ZM10" s="337"/>
      <c r="ZN10" s="337"/>
      <c r="ZO10" s="337"/>
      <c r="ZP10" s="337"/>
      <c r="ZQ10" s="337"/>
      <c r="ZR10" s="337"/>
      <c r="ZS10" s="337"/>
      <c r="ZT10" s="337"/>
      <c r="ZU10" s="337"/>
      <c r="ZV10" s="337"/>
      <c r="ZW10" s="337"/>
      <c r="ZX10" s="337"/>
      <c r="ZY10" s="337"/>
      <c r="ZZ10" s="337"/>
      <c r="AAA10" s="337"/>
      <c r="AAB10" s="337"/>
      <c r="AAC10" s="337"/>
      <c r="AAD10" s="337"/>
      <c r="AAE10" s="337"/>
      <c r="AAF10" s="337"/>
      <c r="AAG10" s="337"/>
      <c r="AAH10" s="337"/>
      <c r="AAI10" s="337"/>
      <c r="AAJ10" s="337"/>
      <c r="AAK10" s="337"/>
      <c r="AAL10" s="337"/>
      <c r="AAM10" s="337"/>
      <c r="AAN10" s="337"/>
      <c r="AAO10" s="337"/>
      <c r="AAP10" s="337"/>
      <c r="AAQ10" s="337"/>
      <c r="AAR10" s="337"/>
      <c r="AAS10" s="337"/>
      <c r="AAT10" s="337"/>
      <c r="AAU10" s="337"/>
      <c r="AAV10" s="337"/>
      <c r="AAW10" s="337"/>
      <c r="AAX10" s="337"/>
      <c r="AAY10" s="337"/>
      <c r="AAZ10" s="337"/>
      <c r="ABA10" s="337"/>
      <c r="ABB10" s="337"/>
      <c r="ABC10" s="337"/>
      <c r="ABD10" s="337"/>
      <c r="ABE10" s="337"/>
      <c r="ABF10" s="337"/>
      <c r="ABG10" s="337"/>
      <c r="ABH10" s="337"/>
      <c r="ABI10" s="337"/>
      <c r="ABJ10" s="337"/>
      <c r="ABK10" s="337"/>
      <c r="ABL10" s="337"/>
      <c r="ABM10" s="337"/>
      <c r="ABN10" s="337"/>
      <c r="ABO10" s="337"/>
      <c r="ABP10" s="337"/>
      <c r="ABQ10" s="337"/>
      <c r="ABR10" s="337"/>
      <c r="ABS10" s="337"/>
      <c r="ABT10" s="337"/>
      <c r="ABU10" s="337"/>
      <c r="ABV10" s="337"/>
      <c r="ABW10" s="337"/>
      <c r="ABX10" s="337"/>
      <c r="ABY10" s="337"/>
      <c r="ABZ10" s="337"/>
      <c r="ACA10" s="337"/>
      <c r="ACB10" s="337"/>
      <c r="ACC10" s="337"/>
      <c r="ACD10" s="337"/>
      <c r="ACE10" s="337"/>
      <c r="ACF10" s="337"/>
      <c r="ACG10" s="337"/>
      <c r="ACH10" s="337"/>
      <c r="ACI10" s="337"/>
      <c r="ACJ10" s="337"/>
      <c r="ACK10" s="337"/>
      <c r="ACL10" s="337"/>
      <c r="ACM10" s="337"/>
      <c r="ACN10" s="337"/>
      <c r="ACO10" s="337"/>
      <c r="ACP10" s="337"/>
      <c r="ACQ10" s="337"/>
      <c r="ACR10" s="337"/>
      <c r="ACS10" s="337"/>
      <c r="ACT10" s="337"/>
      <c r="ACU10" s="337"/>
      <c r="ACV10" s="337"/>
      <c r="ACW10" s="337"/>
      <c r="ACX10" s="337"/>
      <c r="ACY10" s="337"/>
      <c r="ACZ10" s="337"/>
      <c r="ADA10" s="337"/>
      <c r="ADB10" s="337"/>
      <c r="ADC10" s="337"/>
      <c r="ADD10" s="337"/>
      <c r="ADE10" s="337"/>
      <c r="ADF10" s="337"/>
      <c r="ADG10" s="337"/>
      <c r="ADH10" s="337"/>
      <c r="ADI10" s="337"/>
      <c r="ADJ10" s="337"/>
      <c r="ADK10" s="337"/>
      <c r="ADL10" s="337"/>
      <c r="ADM10" s="337"/>
      <c r="ADN10" s="337"/>
      <c r="ADO10" s="337"/>
      <c r="ADP10" s="337"/>
      <c r="ADQ10" s="337"/>
      <c r="ADR10" s="337"/>
      <c r="ADS10" s="337"/>
      <c r="ADT10" s="337"/>
      <c r="ADU10" s="337"/>
      <c r="ADV10" s="337"/>
      <c r="ADW10" s="337"/>
      <c r="ADX10" s="337"/>
      <c r="ADY10" s="337"/>
      <c r="ADZ10" s="337"/>
      <c r="AEA10" s="337"/>
      <c r="AEB10" s="337"/>
      <c r="AEC10" s="337"/>
      <c r="AED10" s="337"/>
      <c r="AEE10" s="337"/>
      <c r="AEF10" s="337"/>
      <c r="AEG10" s="337"/>
      <c r="AEH10" s="337"/>
      <c r="AEI10" s="337"/>
      <c r="AEJ10" s="337"/>
      <c r="AEK10" s="337"/>
      <c r="AEL10" s="337"/>
      <c r="AEM10" s="337"/>
      <c r="AEN10" s="337"/>
      <c r="AEO10" s="337"/>
      <c r="AEP10" s="337"/>
      <c r="AEQ10" s="337"/>
      <c r="AER10" s="337"/>
      <c r="AES10" s="337"/>
      <c r="AET10" s="337"/>
      <c r="AEU10" s="337"/>
      <c r="AEV10" s="337"/>
      <c r="AEW10" s="337"/>
      <c r="AEX10" s="337"/>
      <c r="AEY10" s="337"/>
      <c r="AEZ10" s="337"/>
      <c r="AFA10" s="337"/>
      <c r="AFB10" s="337"/>
      <c r="AFC10" s="337"/>
      <c r="AFD10" s="337"/>
      <c r="AFE10" s="337"/>
      <c r="AFF10" s="337"/>
      <c r="AFG10" s="337"/>
      <c r="AFH10" s="337"/>
      <c r="AFI10" s="337"/>
      <c r="AFJ10" s="337"/>
      <c r="AFK10" s="337"/>
      <c r="AFL10" s="337"/>
      <c r="AFM10" s="337"/>
      <c r="AFN10" s="337"/>
      <c r="AFO10" s="337"/>
      <c r="AFP10" s="337"/>
      <c r="AFQ10" s="337"/>
      <c r="AFR10" s="337"/>
      <c r="AFS10" s="337"/>
      <c r="AFT10" s="337"/>
      <c r="AFU10" s="337"/>
      <c r="AFV10" s="337"/>
      <c r="AFW10" s="337"/>
      <c r="AFX10" s="337"/>
      <c r="AFY10" s="337"/>
      <c r="AFZ10" s="337"/>
      <c r="AGA10" s="337"/>
      <c r="AGB10" s="337"/>
      <c r="AGC10" s="337"/>
      <c r="AGD10" s="337"/>
      <c r="AGE10" s="337"/>
      <c r="AGF10" s="337"/>
      <c r="AGG10" s="337"/>
      <c r="AGH10" s="337"/>
      <c r="AGI10" s="337"/>
      <c r="AGJ10" s="337"/>
      <c r="AGK10" s="337"/>
      <c r="AGL10" s="337"/>
      <c r="AGM10" s="337"/>
      <c r="AGN10" s="337"/>
      <c r="AGO10" s="337"/>
      <c r="AGP10" s="337"/>
      <c r="AGQ10" s="337"/>
      <c r="AGR10" s="337"/>
      <c r="AGS10" s="337"/>
      <c r="AGT10" s="337"/>
      <c r="AGU10" s="337"/>
      <c r="AGV10" s="337"/>
      <c r="AGW10" s="337"/>
      <c r="AGX10" s="337"/>
      <c r="AGY10" s="337"/>
      <c r="AGZ10" s="337"/>
      <c r="AHA10" s="346"/>
      <c r="AHB10" s="346"/>
      <c r="AHC10" s="346"/>
      <c r="AHD10" s="346"/>
      <c r="AHE10" s="346"/>
    </row>
    <row r="11" s="336" customFormat="1" ht="24" customHeight="1" spans="1:889">
      <c r="A11" s="349">
        <v>7</v>
      </c>
      <c r="B11" s="350"/>
      <c r="C11" s="351" t="s">
        <v>120</v>
      </c>
      <c r="D11" s="352"/>
      <c r="E11" s="348"/>
      <c r="F11" s="81">
        <v>7</v>
      </c>
      <c r="G11" s="355" t="s">
        <v>415</v>
      </c>
      <c r="H11" s="354" t="s">
        <v>416</v>
      </c>
      <c r="I11" s="100" t="s">
        <v>124</v>
      </c>
      <c r="J11" s="100" t="s">
        <v>124</v>
      </c>
      <c r="K11" s="100"/>
      <c r="L11" s="100" t="s">
        <v>124</v>
      </c>
      <c r="M11" s="100" t="s">
        <v>124</v>
      </c>
      <c r="N11" s="373" t="s">
        <v>417</v>
      </c>
      <c r="O11" s="374"/>
      <c r="P11" s="375" t="str">
        <f>CONCATENATE(RemovePunctuation(H11),"_CA","_","i4K","_",C11,"_",AE11,"_",PROPER(R11),IF(S11="",PROPER(R11),PROPER(S11)),PROPER(T11),PROPER(U11),PROPER(V11),IF(V11&lt;&gt;"","SUB",""),PROPER(W11),IF(W11&lt;&gt;"","SUB",""),"_","Ed","_","M1",".mpg")</f>
        <v>QaidamBasin1BeneaththeKunlunMountains_CA_i4K_0825_43_ZhoZhoZhoSUB_Ed_M1.mpg</v>
      </c>
      <c r="Q11" s="375" t="str">
        <f>CONCATENATE(RemovePunctuation(H11),"_CA","_","i5K","_",C11,"_",AD11,"_",PROPER(R11),IF(S11="",PROPER(R11),PROPER(S11)),PROPER(T11),PROPER(U11),PROPER(V11),IF(V11&lt;&gt;"","SUB",""),PROPER(W11),IF(W11&lt;&gt;"","SUB",""),"_","Ed","_","M4",".mpg")</f>
        <v>QaidamBasin1BeneaththeKunlunMountains_CA_i5K_0825_169_ZhoZhoZhoSUB_Ed_M4.mpg</v>
      </c>
      <c r="R11" s="382" t="s">
        <v>130</v>
      </c>
      <c r="S11" s="383"/>
      <c r="T11" s="383"/>
      <c r="U11" s="383"/>
      <c r="V11" s="382" t="s">
        <v>130</v>
      </c>
      <c r="W11" s="383"/>
      <c r="X11" s="349" t="s">
        <v>129</v>
      </c>
      <c r="Y11" s="349" t="s">
        <v>129</v>
      </c>
      <c r="Z11" s="120">
        <f t="shared" si="0"/>
        <v>24</v>
      </c>
      <c r="AA11" s="304" t="str">
        <f t="shared" si="1"/>
        <v>00:24:00</v>
      </c>
      <c r="AB11" s="120">
        <f t="shared" si="2"/>
        <v>1440</v>
      </c>
      <c r="AC11" s="399">
        <v>0.0164930555555556</v>
      </c>
      <c r="AD11" s="400">
        <v>169</v>
      </c>
      <c r="AE11" s="400">
        <v>43</v>
      </c>
      <c r="AF11" s="349" t="s">
        <v>132</v>
      </c>
      <c r="AG11" s="344"/>
      <c r="AH11" s="345"/>
      <c r="AI11" s="345"/>
      <c r="AJ11" s="337"/>
      <c r="AK11" s="339"/>
      <c r="AL11" s="339"/>
      <c r="AM11" s="339"/>
      <c r="AN11" s="346"/>
      <c r="AO11" s="346"/>
      <c r="AP11" s="337"/>
      <c r="AQ11" s="337"/>
      <c r="AR11" s="337"/>
      <c r="AS11" s="337"/>
      <c r="AT11" s="337"/>
      <c r="AU11" s="337"/>
      <c r="AV11" s="337"/>
      <c r="AW11" s="337"/>
      <c r="AX11" s="337"/>
      <c r="AY11" s="337"/>
      <c r="AZ11" s="337"/>
      <c r="BA11" s="337"/>
      <c r="BB11" s="337"/>
      <c r="BC11" s="337"/>
      <c r="BD11" s="337"/>
      <c r="BE11" s="337"/>
      <c r="BF11" s="337"/>
      <c r="BG11" s="337"/>
      <c r="BH11" s="337"/>
      <c r="BI11" s="337"/>
      <c r="BJ11" s="337"/>
      <c r="BK11" s="337"/>
      <c r="BL11" s="337"/>
      <c r="BM11" s="337"/>
      <c r="BN11" s="337"/>
      <c r="BO11" s="337"/>
      <c r="BP11" s="337"/>
      <c r="BQ11" s="337"/>
      <c r="BR11" s="337"/>
      <c r="BS11" s="337"/>
      <c r="BT11" s="337"/>
      <c r="BU11" s="337"/>
      <c r="BV11" s="337"/>
      <c r="BW11" s="337"/>
      <c r="BX11" s="337"/>
      <c r="BY11" s="337"/>
      <c r="BZ11" s="337"/>
      <c r="CA11" s="337"/>
      <c r="CB11" s="337"/>
      <c r="CC11" s="337"/>
      <c r="CD11" s="337"/>
      <c r="CE11" s="337"/>
      <c r="CF11" s="337"/>
      <c r="CG11" s="337"/>
      <c r="CH11" s="337"/>
      <c r="CI11" s="337"/>
      <c r="CJ11" s="337"/>
      <c r="CK11" s="337"/>
      <c r="CL11" s="337"/>
      <c r="CM11" s="337"/>
      <c r="CN11" s="337"/>
      <c r="CO11" s="337"/>
      <c r="CP11" s="337"/>
      <c r="CQ11" s="337"/>
      <c r="CR11" s="337"/>
      <c r="CS11" s="337"/>
      <c r="CT11" s="337"/>
      <c r="CU11" s="337"/>
      <c r="CV11" s="337"/>
      <c r="CW11" s="337"/>
      <c r="CX11" s="337"/>
      <c r="CY11" s="337"/>
      <c r="CZ11" s="337"/>
      <c r="DA11" s="337"/>
      <c r="DB11" s="337"/>
      <c r="DC11" s="337"/>
      <c r="DD11" s="337"/>
      <c r="DE11" s="337"/>
      <c r="DF11" s="337"/>
      <c r="DG11" s="337"/>
      <c r="DH11" s="337"/>
      <c r="DI11" s="337"/>
      <c r="DJ11" s="337"/>
      <c r="DK11" s="337"/>
      <c r="DL11" s="337"/>
      <c r="DM11" s="337"/>
      <c r="DN11" s="337"/>
      <c r="DO11" s="337"/>
      <c r="DP11" s="337"/>
      <c r="DQ11" s="337"/>
      <c r="DR11" s="337"/>
      <c r="DS11" s="337"/>
      <c r="DT11" s="337"/>
      <c r="DU11" s="337"/>
      <c r="DV11" s="337"/>
      <c r="DW11" s="337"/>
      <c r="DX11" s="337"/>
      <c r="DY11" s="337"/>
      <c r="DZ11" s="337"/>
      <c r="EA11" s="337"/>
      <c r="EB11" s="337"/>
      <c r="EC11" s="337"/>
      <c r="ED11" s="337"/>
      <c r="EE11" s="337"/>
      <c r="EF11" s="337"/>
      <c r="EG11" s="337"/>
      <c r="EH11" s="337"/>
      <c r="EI11" s="337"/>
      <c r="EJ11" s="337"/>
      <c r="EK11" s="337"/>
      <c r="EL11" s="337"/>
      <c r="EM11" s="337"/>
      <c r="EN11" s="337"/>
      <c r="EO11" s="337"/>
      <c r="EP11" s="337"/>
      <c r="EQ11" s="337"/>
      <c r="ER11" s="337"/>
      <c r="ES11" s="337"/>
      <c r="ET11" s="337"/>
      <c r="EU11" s="337"/>
      <c r="EV11" s="337"/>
      <c r="EW11" s="337"/>
      <c r="EX11" s="337"/>
      <c r="EY11" s="337"/>
      <c r="EZ11" s="337"/>
      <c r="FA11" s="337"/>
      <c r="FB11" s="337"/>
      <c r="FC11" s="337"/>
      <c r="FD11" s="337"/>
      <c r="FE11" s="337"/>
      <c r="FF11" s="337"/>
      <c r="FG11" s="337"/>
      <c r="FH11" s="337"/>
      <c r="FI11" s="337"/>
      <c r="FJ11" s="337"/>
      <c r="FK11" s="337"/>
      <c r="FL11" s="337"/>
      <c r="FM11" s="337"/>
      <c r="FN11" s="337"/>
      <c r="FO11" s="337"/>
      <c r="FP11" s="337"/>
      <c r="FQ11" s="337"/>
      <c r="FR11" s="337"/>
      <c r="FS11" s="337"/>
      <c r="FT11" s="337"/>
      <c r="FU11" s="337"/>
      <c r="FV11" s="337"/>
      <c r="FW11" s="337"/>
      <c r="FX11" s="337"/>
      <c r="FY11" s="337"/>
      <c r="FZ11" s="337"/>
      <c r="GA11" s="337"/>
      <c r="GB11" s="337"/>
      <c r="GC11" s="337"/>
      <c r="GD11" s="337"/>
      <c r="GE11" s="337"/>
      <c r="GF11" s="337"/>
      <c r="GG11" s="337"/>
      <c r="GH11" s="337"/>
      <c r="GI11" s="337"/>
      <c r="GJ11" s="337"/>
      <c r="GK11" s="337"/>
      <c r="GL11" s="337"/>
      <c r="GM11" s="337"/>
      <c r="GN11" s="337"/>
      <c r="GO11" s="337"/>
      <c r="GP11" s="337"/>
      <c r="GQ11" s="337"/>
      <c r="GR11" s="337"/>
      <c r="GS11" s="337"/>
      <c r="GT11" s="337"/>
      <c r="GU11" s="337"/>
      <c r="GV11" s="337"/>
      <c r="GW11" s="337"/>
      <c r="GX11" s="337"/>
      <c r="GY11" s="337"/>
      <c r="GZ11" s="337"/>
      <c r="HA11" s="337"/>
      <c r="HB11" s="337"/>
      <c r="HC11" s="337"/>
      <c r="HD11" s="337"/>
      <c r="HE11" s="337"/>
      <c r="HF11" s="337"/>
      <c r="HG11" s="337"/>
      <c r="HH11" s="337"/>
      <c r="HI11" s="337"/>
      <c r="HJ11" s="337"/>
      <c r="HK11" s="337"/>
      <c r="HL11" s="337"/>
      <c r="HM11" s="337"/>
      <c r="HN11" s="337"/>
      <c r="HO11" s="337"/>
      <c r="HP11" s="337"/>
      <c r="HQ11" s="337"/>
      <c r="HR11" s="337"/>
      <c r="HS11" s="337"/>
      <c r="HT11" s="337"/>
      <c r="HU11" s="337"/>
      <c r="HV11" s="337"/>
      <c r="HW11" s="337"/>
      <c r="HX11" s="337"/>
      <c r="HY11" s="337"/>
      <c r="HZ11" s="337"/>
      <c r="IA11" s="337"/>
      <c r="IB11" s="337"/>
      <c r="IC11" s="337"/>
      <c r="ID11" s="337"/>
      <c r="IE11" s="337"/>
      <c r="IF11" s="337"/>
      <c r="IG11" s="337"/>
      <c r="IH11" s="337"/>
      <c r="II11" s="337"/>
      <c r="IJ11" s="337"/>
      <c r="IK11" s="337"/>
      <c r="IL11" s="337"/>
      <c r="IM11" s="337"/>
      <c r="IN11" s="337"/>
      <c r="IO11" s="337"/>
      <c r="IP11" s="337"/>
      <c r="IQ11" s="337"/>
      <c r="IR11" s="337"/>
      <c r="IS11" s="337"/>
      <c r="IT11" s="337"/>
      <c r="IU11" s="337"/>
      <c r="IV11" s="337"/>
      <c r="IW11" s="337"/>
      <c r="IX11" s="337"/>
      <c r="IY11" s="337"/>
      <c r="IZ11" s="337"/>
      <c r="JA11" s="337"/>
      <c r="JB11" s="337"/>
      <c r="JC11" s="337"/>
      <c r="JD11" s="337"/>
      <c r="JE11" s="337"/>
      <c r="JF11" s="337"/>
      <c r="JG11" s="337"/>
      <c r="JH11" s="337"/>
      <c r="JI11" s="337"/>
      <c r="JJ11" s="337"/>
      <c r="JK11" s="337"/>
      <c r="JL11" s="337"/>
      <c r="JM11" s="337"/>
      <c r="JN11" s="337"/>
      <c r="JO11" s="337"/>
      <c r="JP11" s="337"/>
      <c r="JQ11" s="337"/>
      <c r="JR11" s="337"/>
      <c r="JS11" s="337"/>
      <c r="JT11" s="337"/>
      <c r="JU11" s="337"/>
      <c r="JV11" s="337"/>
      <c r="JW11" s="337"/>
      <c r="JX11" s="337"/>
      <c r="JY11" s="337"/>
      <c r="JZ11" s="337"/>
      <c r="KA11" s="337"/>
      <c r="KB11" s="337"/>
      <c r="KC11" s="337"/>
      <c r="KD11" s="337"/>
      <c r="KE11" s="337"/>
      <c r="KF11" s="337"/>
      <c r="KG11" s="337"/>
      <c r="KH11" s="337"/>
      <c r="KI11" s="337"/>
      <c r="KJ11" s="337"/>
      <c r="KK11" s="337"/>
      <c r="KL11" s="337"/>
      <c r="KM11" s="337"/>
      <c r="KN11" s="337"/>
      <c r="KO11" s="337"/>
      <c r="KP11" s="337"/>
      <c r="KQ11" s="337"/>
      <c r="KR11" s="337"/>
      <c r="KS11" s="337"/>
      <c r="KT11" s="337"/>
      <c r="KU11" s="337"/>
      <c r="KV11" s="337"/>
      <c r="KW11" s="337"/>
      <c r="KX11" s="337"/>
      <c r="KY11" s="337"/>
      <c r="KZ11" s="337"/>
      <c r="LA11" s="337"/>
      <c r="LB11" s="337"/>
      <c r="LC11" s="337"/>
      <c r="LD11" s="337"/>
      <c r="LE11" s="337"/>
      <c r="LF11" s="337"/>
      <c r="LG11" s="337"/>
      <c r="LH11" s="337"/>
      <c r="LI11" s="337"/>
      <c r="LJ11" s="337"/>
      <c r="LK11" s="337"/>
      <c r="LL11" s="337"/>
      <c r="LM11" s="337"/>
      <c r="LN11" s="337"/>
      <c r="LO11" s="337"/>
      <c r="LP11" s="337"/>
      <c r="LQ11" s="337"/>
      <c r="LR11" s="337"/>
      <c r="LS11" s="337"/>
      <c r="LT11" s="337"/>
      <c r="LU11" s="337"/>
      <c r="LV11" s="337"/>
      <c r="LW11" s="337"/>
      <c r="LX11" s="337"/>
      <c r="LY11" s="337"/>
      <c r="LZ11" s="337"/>
      <c r="MA11" s="337"/>
      <c r="MB11" s="337"/>
      <c r="MC11" s="337"/>
      <c r="MD11" s="337"/>
      <c r="ME11" s="337"/>
      <c r="MF11" s="337"/>
      <c r="MG11" s="337"/>
      <c r="MH11" s="337"/>
      <c r="MI11" s="337"/>
      <c r="MJ11" s="337"/>
      <c r="MK11" s="337"/>
      <c r="ML11" s="337"/>
      <c r="MM11" s="337"/>
      <c r="MN11" s="337"/>
      <c r="MO11" s="337"/>
      <c r="MP11" s="337"/>
      <c r="MQ11" s="337"/>
      <c r="MR11" s="337"/>
      <c r="MS11" s="337"/>
      <c r="MT11" s="337"/>
      <c r="MU11" s="337"/>
      <c r="MV11" s="337"/>
      <c r="MW11" s="337"/>
      <c r="MX11" s="337"/>
      <c r="MY11" s="337"/>
      <c r="MZ11" s="337"/>
      <c r="NA11" s="337"/>
      <c r="NB11" s="337"/>
      <c r="NC11" s="337"/>
      <c r="ND11" s="337"/>
      <c r="NE11" s="337"/>
      <c r="NF11" s="337"/>
      <c r="NG11" s="337"/>
      <c r="NH11" s="337"/>
      <c r="NI11" s="337"/>
      <c r="NJ11" s="337"/>
      <c r="NK11" s="337"/>
      <c r="NL11" s="337"/>
      <c r="NM11" s="337"/>
      <c r="NN11" s="337"/>
      <c r="NO11" s="337"/>
      <c r="NP11" s="337"/>
      <c r="NQ11" s="337"/>
      <c r="NR11" s="337"/>
      <c r="NS11" s="337"/>
      <c r="NT11" s="337"/>
      <c r="NU11" s="337"/>
      <c r="NV11" s="337"/>
      <c r="NW11" s="337"/>
      <c r="NX11" s="337"/>
      <c r="NY11" s="337"/>
      <c r="NZ11" s="337"/>
      <c r="OA11" s="337"/>
      <c r="OB11" s="337"/>
      <c r="OC11" s="337"/>
      <c r="OD11" s="337"/>
      <c r="OE11" s="337"/>
      <c r="OF11" s="337"/>
      <c r="OG11" s="337"/>
      <c r="OH11" s="337"/>
      <c r="OI11" s="337"/>
      <c r="OJ11" s="337"/>
      <c r="OK11" s="337"/>
      <c r="OL11" s="337"/>
      <c r="OM11" s="337"/>
      <c r="ON11" s="337"/>
      <c r="OO11" s="337"/>
      <c r="OP11" s="337"/>
      <c r="OQ11" s="337"/>
      <c r="OR11" s="337"/>
      <c r="OS11" s="337"/>
      <c r="OT11" s="337"/>
      <c r="OU11" s="337"/>
      <c r="OV11" s="337"/>
      <c r="OW11" s="337"/>
      <c r="OX11" s="337"/>
      <c r="OY11" s="337"/>
      <c r="OZ11" s="337"/>
      <c r="PA11" s="337"/>
      <c r="PB11" s="337"/>
      <c r="PC11" s="337"/>
      <c r="PD11" s="337"/>
      <c r="PE11" s="337"/>
      <c r="PF11" s="337"/>
      <c r="PG11" s="337"/>
      <c r="PH11" s="337"/>
      <c r="PI11" s="337"/>
      <c r="PJ11" s="337"/>
      <c r="PK11" s="337"/>
      <c r="PL11" s="337"/>
      <c r="PM11" s="337"/>
      <c r="PN11" s="337"/>
      <c r="PO11" s="337"/>
      <c r="PP11" s="337"/>
      <c r="PQ11" s="337"/>
      <c r="PR11" s="337"/>
      <c r="PS11" s="337"/>
      <c r="PT11" s="337"/>
      <c r="PU11" s="337"/>
      <c r="PV11" s="337"/>
      <c r="PW11" s="337"/>
      <c r="PX11" s="337"/>
      <c r="PY11" s="337"/>
      <c r="PZ11" s="337"/>
      <c r="QA11" s="337"/>
      <c r="QB11" s="337"/>
      <c r="QC11" s="337"/>
      <c r="QD11" s="337"/>
      <c r="QE11" s="337"/>
      <c r="QF11" s="337"/>
      <c r="QG11" s="337"/>
      <c r="QH11" s="337"/>
      <c r="QI11" s="337"/>
      <c r="QJ11" s="337"/>
      <c r="QK11" s="337"/>
      <c r="QL11" s="337"/>
      <c r="QM11" s="337"/>
      <c r="QN11" s="337"/>
      <c r="QO11" s="337"/>
      <c r="QP11" s="337"/>
      <c r="QQ11" s="337"/>
      <c r="QR11" s="337"/>
      <c r="QS11" s="337"/>
      <c r="QT11" s="337"/>
      <c r="QU11" s="337"/>
      <c r="QV11" s="337"/>
      <c r="QW11" s="337"/>
      <c r="QX11" s="337"/>
      <c r="QY11" s="337"/>
      <c r="QZ11" s="337"/>
      <c r="RA11" s="337"/>
      <c r="RB11" s="337"/>
      <c r="RC11" s="337"/>
      <c r="RD11" s="337"/>
      <c r="RE11" s="337"/>
      <c r="RF11" s="337"/>
      <c r="RG11" s="337"/>
      <c r="RH11" s="337"/>
      <c r="RI11" s="337"/>
      <c r="RJ11" s="337"/>
      <c r="RK11" s="337"/>
      <c r="RL11" s="337"/>
      <c r="RM11" s="337"/>
      <c r="RN11" s="337"/>
      <c r="RO11" s="337"/>
      <c r="RP11" s="337"/>
      <c r="RQ11" s="337"/>
      <c r="RR11" s="337"/>
      <c r="RS11" s="337"/>
      <c r="RT11" s="337"/>
      <c r="RU11" s="337"/>
      <c r="RV11" s="337"/>
      <c r="RW11" s="337"/>
      <c r="RX11" s="337"/>
      <c r="RY11" s="337"/>
      <c r="RZ11" s="337"/>
      <c r="SA11" s="337"/>
      <c r="SB11" s="337"/>
      <c r="SC11" s="337"/>
      <c r="SD11" s="337"/>
      <c r="SE11" s="337"/>
      <c r="SF11" s="337"/>
      <c r="SG11" s="337"/>
      <c r="SH11" s="337"/>
      <c r="SI11" s="337"/>
      <c r="SJ11" s="337"/>
      <c r="SK11" s="337"/>
      <c r="SL11" s="337"/>
      <c r="SM11" s="337"/>
      <c r="SN11" s="337"/>
      <c r="SO11" s="337"/>
      <c r="SP11" s="337"/>
      <c r="SQ11" s="337"/>
      <c r="SR11" s="337"/>
      <c r="SS11" s="337"/>
      <c r="ST11" s="337"/>
      <c r="SU11" s="337"/>
      <c r="SV11" s="337"/>
      <c r="SW11" s="337"/>
      <c r="SX11" s="337"/>
      <c r="SY11" s="337"/>
      <c r="SZ11" s="337"/>
      <c r="TA11" s="337"/>
      <c r="TB11" s="337"/>
      <c r="TC11" s="337"/>
      <c r="TD11" s="337"/>
      <c r="TE11" s="337"/>
      <c r="TF11" s="337"/>
      <c r="TG11" s="337"/>
      <c r="TH11" s="337"/>
      <c r="TI11" s="337"/>
      <c r="TJ11" s="337"/>
      <c r="TK11" s="337"/>
      <c r="TL11" s="337"/>
      <c r="TM11" s="337"/>
      <c r="TN11" s="337"/>
      <c r="TO11" s="337"/>
      <c r="TP11" s="337"/>
      <c r="TQ11" s="337"/>
      <c r="TR11" s="337"/>
      <c r="TS11" s="337"/>
      <c r="TT11" s="337"/>
      <c r="TU11" s="337"/>
      <c r="TV11" s="337"/>
      <c r="TW11" s="337"/>
      <c r="TX11" s="337"/>
      <c r="TY11" s="337"/>
      <c r="TZ11" s="337"/>
      <c r="UA11" s="337"/>
      <c r="UB11" s="337"/>
      <c r="UC11" s="337"/>
      <c r="UD11" s="337"/>
      <c r="UE11" s="337"/>
      <c r="UF11" s="337"/>
      <c r="UG11" s="337"/>
      <c r="UH11" s="337"/>
      <c r="UI11" s="337"/>
      <c r="UJ11" s="337"/>
      <c r="UK11" s="337"/>
      <c r="UL11" s="337"/>
      <c r="UM11" s="337"/>
      <c r="UN11" s="337"/>
      <c r="UO11" s="337"/>
      <c r="UP11" s="337"/>
      <c r="UQ11" s="337"/>
      <c r="UR11" s="337"/>
      <c r="US11" s="337"/>
      <c r="UT11" s="337"/>
      <c r="UU11" s="337"/>
      <c r="UV11" s="337"/>
      <c r="UW11" s="337"/>
      <c r="UX11" s="337"/>
      <c r="UY11" s="337"/>
      <c r="UZ11" s="337"/>
      <c r="VA11" s="337"/>
      <c r="VB11" s="337"/>
      <c r="VC11" s="337"/>
      <c r="VD11" s="337"/>
      <c r="VE11" s="337"/>
      <c r="VF11" s="337"/>
      <c r="VG11" s="337"/>
      <c r="VH11" s="337"/>
      <c r="VI11" s="337"/>
      <c r="VJ11" s="337"/>
      <c r="VK11" s="337"/>
      <c r="VL11" s="337"/>
      <c r="VM11" s="337"/>
      <c r="VN11" s="337"/>
      <c r="VO11" s="337"/>
      <c r="VP11" s="337"/>
      <c r="VQ11" s="337"/>
      <c r="VR11" s="337"/>
      <c r="VS11" s="337"/>
      <c r="VT11" s="337"/>
      <c r="VU11" s="337"/>
      <c r="VV11" s="337"/>
      <c r="VW11" s="337"/>
      <c r="VX11" s="337"/>
      <c r="VY11" s="337"/>
      <c r="VZ11" s="337"/>
      <c r="WA11" s="337"/>
      <c r="WB11" s="337"/>
      <c r="WC11" s="337"/>
      <c r="WD11" s="337"/>
      <c r="WE11" s="337"/>
      <c r="WF11" s="337"/>
      <c r="WG11" s="337"/>
      <c r="WH11" s="337"/>
      <c r="WI11" s="337"/>
      <c r="WJ11" s="337"/>
      <c r="WK11" s="337"/>
      <c r="WL11" s="337"/>
      <c r="WM11" s="337"/>
      <c r="WN11" s="337"/>
      <c r="WO11" s="337"/>
      <c r="WP11" s="337"/>
      <c r="WQ11" s="337"/>
      <c r="WR11" s="337"/>
      <c r="WS11" s="337"/>
      <c r="WT11" s="337"/>
      <c r="WU11" s="337"/>
      <c r="WV11" s="337"/>
      <c r="WW11" s="337"/>
      <c r="WX11" s="337"/>
      <c r="WY11" s="337"/>
      <c r="WZ11" s="337"/>
      <c r="XA11" s="337"/>
      <c r="XB11" s="337"/>
      <c r="XC11" s="337"/>
      <c r="XD11" s="337"/>
      <c r="XE11" s="337"/>
      <c r="XF11" s="337"/>
      <c r="XG11" s="337"/>
      <c r="XH11" s="337"/>
      <c r="XI11" s="337"/>
      <c r="XJ11" s="337"/>
      <c r="XK11" s="337"/>
      <c r="XL11" s="337"/>
      <c r="XM11" s="337"/>
      <c r="XN11" s="337"/>
      <c r="XO11" s="337"/>
      <c r="XP11" s="337"/>
      <c r="XQ11" s="337"/>
      <c r="XR11" s="337"/>
      <c r="XS11" s="337"/>
      <c r="XT11" s="337"/>
      <c r="XU11" s="337"/>
      <c r="XV11" s="337"/>
      <c r="XW11" s="337"/>
      <c r="XX11" s="337"/>
      <c r="XY11" s="337"/>
      <c r="XZ11" s="337"/>
      <c r="YA11" s="337"/>
      <c r="YB11" s="337"/>
      <c r="YC11" s="337"/>
      <c r="YD11" s="337"/>
      <c r="YE11" s="337"/>
      <c r="YF11" s="337"/>
      <c r="YG11" s="337"/>
      <c r="YH11" s="337"/>
      <c r="YI11" s="337"/>
      <c r="YJ11" s="337"/>
      <c r="YK11" s="337"/>
      <c r="YL11" s="337"/>
      <c r="YM11" s="337"/>
      <c r="YN11" s="337"/>
      <c r="YO11" s="337"/>
      <c r="YP11" s="337"/>
      <c r="YQ11" s="337"/>
      <c r="YR11" s="337"/>
      <c r="YS11" s="337"/>
      <c r="YT11" s="337"/>
      <c r="YU11" s="337"/>
      <c r="YV11" s="337"/>
      <c r="YW11" s="337"/>
      <c r="YX11" s="337"/>
      <c r="YY11" s="337"/>
      <c r="YZ11" s="337"/>
      <c r="ZA11" s="337"/>
      <c r="ZB11" s="337"/>
      <c r="ZC11" s="337"/>
      <c r="ZD11" s="337"/>
      <c r="ZE11" s="337"/>
      <c r="ZF11" s="337"/>
      <c r="ZG11" s="337"/>
      <c r="ZH11" s="337"/>
      <c r="ZI11" s="337"/>
      <c r="ZJ11" s="337"/>
      <c r="ZK11" s="337"/>
      <c r="ZL11" s="337"/>
      <c r="ZM11" s="337"/>
      <c r="ZN11" s="337"/>
      <c r="ZO11" s="337"/>
      <c r="ZP11" s="337"/>
      <c r="ZQ11" s="337"/>
      <c r="ZR11" s="337"/>
      <c r="ZS11" s="337"/>
      <c r="ZT11" s="337"/>
      <c r="ZU11" s="337"/>
      <c r="ZV11" s="337"/>
      <c r="ZW11" s="337"/>
      <c r="ZX11" s="337"/>
      <c r="ZY11" s="337"/>
      <c r="ZZ11" s="337"/>
      <c r="AAA11" s="337"/>
      <c r="AAB11" s="337"/>
      <c r="AAC11" s="337"/>
      <c r="AAD11" s="337"/>
      <c r="AAE11" s="337"/>
      <c r="AAF11" s="337"/>
      <c r="AAG11" s="337"/>
      <c r="AAH11" s="337"/>
      <c r="AAI11" s="337"/>
      <c r="AAJ11" s="337"/>
      <c r="AAK11" s="337"/>
      <c r="AAL11" s="337"/>
      <c r="AAM11" s="337"/>
      <c r="AAN11" s="337"/>
      <c r="AAO11" s="337"/>
      <c r="AAP11" s="337"/>
      <c r="AAQ11" s="337"/>
      <c r="AAR11" s="337"/>
      <c r="AAS11" s="337"/>
      <c r="AAT11" s="337"/>
      <c r="AAU11" s="337"/>
      <c r="AAV11" s="337"/>
      <c r="AAW11" s="337"/>
      <c r="AAX11" s="337"/>
      <c r="AAY11" s="337"/>
      <c r="AAZ11" s="337"/>
      <c r="ABA11" s="337"/>
      <c r="ABB11" s="337"/>
      <c r="ABC11" s="337"/>
      <c r="ABD11" s="337"/>
      <c r="ABE11" s="337"/>
      <c r="ABF11" s="337"/>
      <c r="ABG11" s="337"/>
      <c r="ABH11" s="337"/>
      <c r="ABI11" s="337"/>
      <c r="ABJ11" s="337"/>
      <c r="ABK11" s="337"/>
      <c r="ABL11" s="337"/>
      <c r="ABM11" s="337"/>
      <c r="ABN11" s="337"/>
      <c r="ABO11" s="337"/>
      <c r="ABP11" s="337"/>
      <c r="ABQ11" s="337"/>
      <c r="ABR11" s="337"/>
      <c r="ABS11" s="337"/>
      <c r="ABT11" s="337"/>
      <c r="ABU11" s="337"/>
      <c r="ABV11" s="337"/>
      <c r="ABW11" s="337"/>
      <c r="ABX11" s="337"/>
      <c r="ABY11" s="337"/>
      <c r="ABZ11" s="337"/>
      <c r="ACA11" s="337"/>
      <c r="ACB11" s="337"/>
      <c r="ACC11" s="337"/>
      <c r="ACD11" s="337"/>
      <c r="ACE11" s="337"/>
      <c r="ACF11" s="337"/>
      <c r="ACG11" s="337"/>
      <c r="ACH11" s="337"/>
      <c r="ACI11" s="337"/>
      <c r="ACJ11" s="337"/>
      <c r="ACK11" s="337"/>
      <c r="ACL11" s="337"/>
      <c r="ACM11" s="337"/>
      <c r="ACN11" s="337"/>
      <c r="ACO11" s="337"/>
      <c r="ACP11" s="337"/>
      <c r="ACQ11" s="337"/>
      <c r="ACR11" s="337"/>
      <c r="ACS11" s="337"/>
      <c r="ACT11" s="337"/>
      <c r="ACU11" s="337"/>
      <c r="ACV11" s="337"/>
      <c r="ACW11" s="337"/>
      <c r="ACX11" s="337"/>
      <c r="ACY11" s="337"/>
      <c r="ACZ11" s="337"/>
      <c r="ADA11" s="337"/>
      <c r="ADB11" s="337"/>
      <c r="ADC11" s="337"/>
      <c r="ADD11" s="337"/>
      <c r="ADE11" s="337"/>
      <c r="ADF11" s="337"/>
      <c r="ADG11" s="337"/>
      <c r="ADH11" s="337"/>
      <c r="ADI11" s="337"/>
      <c r="ADJ11" s="337"/>
      <c r="ADK11" s="337"/>
      <c r="ADL11" s="337"/>
      <c r="ADM11" s="337"/>
      <c r="ADN11" s="337"/>
      <c r="ADO11" s="337"/>
      <c r="ADP11" s="337"/>
      <c r="ADQ11" s="337"/>
      <c r="ADR11" s="337"/>
      <c r="ADS11" s="337"/>
      <c r="ADT11" s="337"/>
      <c r="ADU11" s="337"/>
      <c r="ADV11" s="337"/>
      <c r="ADW11" s="337"/>
      <c r="ADX11" s="337"/>
      <c r="ADY11" s="337"/>
      <c r="ADZ11" s="337"/>
      <c r="AEA11" s="337"/>
      <c r="AEB11" s="337"/>
      <c r="AEC11" s="337"/>
      <c r="AED11" s="337"/>
      <c r="AEE11" s="337"/>
      <c r="AEF11" s="337"/>
      <c r="AEG11" s="337"/>
      <c r="AEH11" s="337"/>
      <c r="AEI11" s="337"/>
      <c r="AEJ11" s="337"/>
      <c r="AEK11" s="337"/>
      <c r="AEL11" s="337"/>
      <c r="AEM11" s="337"/>
      <c r="AEN11" s="337"/>
      <c r="AEO11" s="337"/>
      <c r="AEP11" s="337"/>
      <c r="AEQ11" s="337"/>
      <c r="AER11" s="337"/>
      <c r="AES11" s="337"/>
      <c r="AET11" s="337"/>
      <c r="AEU11" s="337"/>
      <c r="AEV11" s="337"/>
      <c r="AEW11" s="337"/>
      <c r="AEX11" s="337"/>
      <c r="AEY11" s="337"/>
      <c r="AEZ11" s="337"/>
      <c r="AFA11" s="337"/>
      <c r="AFB11" s="337"/>
      <c r="AFC11" s="337"/>
      <c r="AFD11" s="337"/>
      <c r="AFE11" s="337"/>
      <c r="AFF11" s="337"/>
      <c r="AFG11" s="337"/>
      <c r="AFH11" s="337"/>
      <c r="AFI11" s="337"/>
      <c r="AFJ11" s="337"/>
      <c r="AFK11" s="337"/>
      <c r="AFL11" s="337"/>
      <c r="AFM11" s="337"/>
      <c r="AFN11" s="337"/>
      <c r="AFO11" s="337"/>
      <c r="AFP11" s="337"/>
      <c r="AFQ11" s="337"/>
      <c r="AFR11" s="337"/>
      <c r="AFS11" s="337"/>
      <c r="AFT11" s="337"/>
      <c r="AFU11" s="337"/>
      <c r="AFV11" s="337"/>
      <c r="AFW11" s="337"/>
      <c r="AFX11" s="337"/>
      <c r="AFY11" s="337"/>
      <c r="AFZ11" s="337"/>
      <c r="AGA11" s="337"/>
      <c r="AGB11" s="337"/>
      <c r="AGC11" s="337"/>
      <c r="AGD11" s="337"/>
      <c r="AGE11" s="337"/>
      <c r="AGF11" s="337"/>
      <c r="AGG11" s="337"/>
      <c r="AGH11" s="337"/>
      <c r="AGI11" s="337"/>
      <c r="AGJ11" s="337"/>
      <c r="AGK11" s="337"/>
      <c r="AGL11" s="337"/>
      <c r="AGM11" s="337"/>
      <c r="AGN11" s="337"/>
      <c r="AGO11" s="337"/>
      <c r="AGP11" s="337"/>
      <c r="AGQ11" s="337"/>
      <c r="AGR11" s="337"/>
      <c r="AGS11" s="337"/>
      <c r="AGT11" s="337"/>
      <c r="AGU11" s="337"/>
      <c r="AGV11" s="337"/>
      <c r="AGW11" s="337"/>
      <c r="AGX11" s="337"/>
      <c r="AGY11" s="337"/>
      <c r="AGZ11" s="337"/>
      <c r="AHA11" s="346"/>
      <c r="AHB11" s="346"/>
      <c r="AHC11" s="346"/>
      <c r="AHD11" s="346"/>
      <c r="AHE11" s="346"/>
    </row>
    <row r="12" s="336" customFormat="1" ht="24" customHeight="1" spans="1:889">
      <c r="A12" s="349">
        <v>8</v>
      </c>
      <c r="B12" s="350"/>
      <c r="C12" s="351" t="s">
        <v>120</v>
      </c>
      <c r="D12" s="352"/>
      <c r="E12" s="348"/>
      <c r="F12" s="81">
        <v>8</v>
      </c>
      <c r="G12" s="355" t="s">
        <v>418</v>
      </c>
      <c r="H12" s="354" t="s">
        <v>419</v>
      </c>
      <c r="I12" s="100" t="s">
        <v>124</v>
      </c>
      <c r="J12" s="100"/>
      <c r="K12" s="100"/>
      <c r="L12" s="100" t="s">
        <v>124</v>
      </c>
      <c r="M12" s="100"/>
      <c r="N12" s="373" t="s">
        <v>420</v>
      </c>
      <c r="O12" s="374"/>
      <c r="P12" s="375"/>
      <c r="Q12" s="375" t="str">
        <f>CONCATENATE(RemovePunctuation(H12),"_CA","_","i5K","_",C12,"_",AD12,"_",PROPER(R12),IF(S12="",PROPER(R12),PROPER(S12)),PROPER(T12),PROPER(U12),PROPER(V12),IF(V12&lt;&gt;"","SUB",""),PROPER(W12),IF(W12&lt;&gt;"","SUB",""),"_","Ed","_","M4",".mpg")</f>
        <v>ACountryOfSilkThroughoutHistory2_CA_i5K_0825_169_ZhoZhoZhoSUB_Ed_M4.mpg</v>
      </c>
      <c r="R12" s="382" t="s">
        <v>130</v>
      </c>
      <c r="S12" s="383"/>
      <c r="T12" s="383"/>
      <c r="U12" s="383"/>
      <c r="V12" s="382" t="s">
        <v>130</v>
      </c>
      <c r="W12" s="383"/>
      <c r="X12" s="349" t="s">
        <v>129</v>
      </c>
      <c r="Y12" s="349" t="s">
        <v>129</v>
      </c>
      <c r="Z12" s="120">
        <f t="shared" si="0"/>
        <v>24</v>
      </c>
      <c r="AA12" s="304" t="str">
        <f t="shared" si="1"/>
        <v>00:24:00</v>
      </c>
      <c r="AB12" s="120">
        <f t="shared" si="2"/>
        <v>1440</v>
      </c>
      <c r="AC12" s="399">
        <v>0.0166203703703704</v>
      </c>
      <c r="AD12" s="400">
        <v>169</v>
      </c>
      <c r="AE12" s="400">
        <v>43</v>
      </c>
      <c r="AF12" s="349" t="s">
        <v>132</v>
      </c>
      <c r="AG12" s="344"/>
      <c r="AH12" s="345"/>
      <c r="AI12" s="345"/>
      <c r="AJ12" s="337"/>
      <c r="AK12" s="339"/>
      <c r="AL12" s="339"/>
      <c r="AM12" s="339"/>
      <c r="AN12" s="346"/>
      <c r="AO12" s="346"/>
      <c r="AP12" s="337"/>
      <c r="AQ12" s="337"/>
      <c r="AR12" s="337"/>
      <c r="AS12" s="337"/>
      <c r="AT12" s="337"/>
      <c r="AU12" s="337"/>
      <c r="AV12" s="337"/>
      <c r="AW12" s="337"/>
      <c r="AX12" s="337"/>
      <c r="AY12" s="337"/>
      <c r="AZ12" s="337"/>
      <c r="BA12" s="337"/>
      <c r="BB12" s="337"/>
      <c r="BC12" s="337"/>
      <c r="BD12" s="337"/>
      <c r="BE12" s="337"/>
      <c r="BF12" s="337"/>
      <c r="BG12" s="337"/>
      <c r="BH12" s="337"/>
      <c r="BI12" s="337"/>
      <c r="BJ12" s="337"/>
      <c r="BK12" s="337"/>
      <c r="BL12" s="337"/>
      <c r="BM12" s="337"/>
      <c r="BN12" s="337"/>
      <c r="BO12" s="337"/>
      <c r="BP12" s="337"/>
      <c r="BQ12" s="337"/>
      <c r="BR12" s="337"/>
      <c r="BS12" s="337"/>
      <c r="BT12" s="337"/>
      <c r="BU12" s="337"/>
      <c r="BV12" s="337"/>
      <c r="BW12" s="337"/>
      <c r="BX12" s="337"/>
      <c r="BY12" s="337"/>
      <c r="BZ12" s="337"/>
      <c r="CA12" s="337"/>
      <c r="CB12" s="337"/>
      <c r="CC12" s="337"/>
      <c r="CD12" s="337"/>
      <c r="CE12" s="337"/>
      <c r="CF12" s="337"/>
      <c r="CG12" s="337"/>
      <c r="CH12" s="337"/>
      <c r="CI12" s="337"/>
      <c r="CJ12" s="337"/>
      <c r="CK12" s="337"/>
      <c r="CL12" s="337"/>
      <c r="CM12" s="337"/>
      <c r="CN12" s="337"/>
      <c r="CO12" s="337"/>
      <c r="CP12" s="337"/>
      <c r="CQ12" s="337"/>
      <c r="CR12" s="337"/>
      <c r="CS12" s="337"/>
      <c r="CT12" s="337"/>
      <c r="CU12" s="337"/>
      <c r="CV12" s="337"/>
      <c r="CW12" s="337"/>
      <c r="CX12" s="337"/>
      <c r="CY12" s="337"/>
      <c r="CZ12" s="337"/>
      <c r="DA12" s="337"/>
      <c r="DB12" s="337"/>
      <c r="DC12" s="337"/>
      <c r="DD12" s="337"/>
      <c r="DE12" s="337"/>
      <c r="DF12" s="337"/>
      <c r="DG12" s="337"/>
      <c r="DH12" s="337"/>
      <c r="DI12" s="337"/>
      <c r="DJ12" s="337"/>
      <c r="DK12" s="337"/>
      <c r="DL12" s="337"/>
      <c r="DM12" s="337"/>
      <c r="DN12" s="337"/>
      <c r="DO12" s="337"/>
      <c r="DP12" s="337"/>
      <c r="DQ12" s="337"/>
      <c r="DR12" s="337"/>
      <c r="DS12" s="337"/>
      <c r="DT12" s="337"/>
      <c r="DU12" s="337"/>
      <c r="DV12" s="337"/>
      <c r="DW12" s="337"/>
      <c r="DX12" s="337"/>
      <c r="DY12" s="337"/>
      <c r="DZ12" s="337"/>
      <c r="EA12" s="337"/>
      <c r="EB12" s="337"/>
      <c r="EC12" s="337"/>
      <c r="ED12" s="337"/>
      <c r="EE12" s="337"/>
      <c r="EF12" s="337"/>
      <c r="EG12" s="337"/>
      <c r="EH12" s="337"/>
      <c r="EI12" s="337"/>
      <c r="EJ12" s="337"/>
      <c r="EK12" s="337"/>
      <c r="EL12" s="337"/>
      <c r="EM12" s="337"/>
      <c r="EN12" s="337"/>
      <c r="EO12" s="337"/>
      <c r="EP12" s="337"/>
      <c r="EQ12" s="337"/>
      <c r="ER12" s="337"/>
      <c r="ES12" s="337"/>
      <c r="ET12" s="337"/>
      <c r="EU12" s="337"/>
      <c r="EV12" s="337"/>
      <c r="EW12" s="337"/>
      <c r="EX12" s="337"/>
      <c r="EY12" s="337"/>
      <c r="EZ12" s="337"/>
      <c r="FA12" s="337"/>
      <c r="FB12" s="337"/>
      <c r="FC12" s="337"/>
      <c r="FD12" s="337"/>
      <c r="FE12" s="337"/>
      <c r="FF12" s="337"/>
      <c r="FG12" s="337"/>
      <c r="FH12" s="337"/>
      <c r="FI12" s="337"/>
      <c r="FJ12" s="337"/>
      <c r="FK12" s="337"/>
      <c r="FL12" s="337"/>
      <c r="FM12" s="337"/>
      <c r="FN12" s="337"/>
      <c r="FO12" s="337"/>
      <c r="FP12" s="337"/>
      <c r="FQ12" s="337"/>
      <c r="FR12" s="337"/>
      <c r="FS12" s="337"/>
      <c r="FT12" s="337"/>
      <c r="FU12" s="337"/>
      <c r="FV12" s="337"/>
      <c r="FW12" s="337"/>
      <c r="FX12" s="337"/>
      <c r="FY12" s="337"/>
      <c r="FZ12" s="337"/>
      <c r="GA12" s="337"/>
      <c r="GB12" s="337"/>
      <c r="GC12" s="337"/>
      <c r="GD12" s="337"/>
      <c r="GE12" s="337"/>
      <c r="GF12" s="337"/>
      <c r="GG12" s="337"/>
      <c r="GH12" s="337"/>
      <c r="GI12" s="337"/>
      <c r="GJ12" s="337"/>
      <c r="GK12" s="337"/>
      <c r="GL12" s="337"/>
      <c r="GM12" s="337"/>
      <c r="GN12" s="337"/>
      <c r="GO12" s="337"/>
      <c r="GP12" s="337"/>
      <c r="GQ12" s="337"/>
      <c r="GR12" s="337"/>
      <c r="GS12" s="337"/>
      <c r="GT12" s="337"/>
      <c r="GU12" s="337"/>
      <c r="GV12" s="337"/>
      <c r="GW12" s="337"/>
      <c r="GX12" s="337"/>
      <c r="GY12" s="337"/>
      <c r="GZ12" s="337"/>
      <c r="HA12" s="337"/>
      <c r="HB12" s="337"/>
      <c r="HC12" s="337"/>
      <c r="HD12" s="337"/>
      <c r="HE12" s="337"/>
      <c r="HF12" s="337"/>
      <c r="HG12" s="337"/>
      <c r="HH12" s="337"/>
      <c r="HI12" s="337"/>
      <c r="HJ12" s="337"/>
      <c r="HK12" s="337"/>
      <c r="HL12" s="337"/>
      <c r="HM12" s="337"/>
      <c r="HN12" s="337"/>
      <c r="HO12" s="337"/>
      <c r="HP12" s="337"/>
      <c r="HQ12" s="337"/>
      <c r="HR12" s="337"/>
      <c r="HS12" s="337"/>
      <c r="HT12" s="337"/>
      <c r="HU12" s="337"/>
      <c r="HV12" s="337"/>
      <c r="HW12" s="337"/>
      <c r="HX12" s="337"/>
      <c r="HY12" s="337"/>
      <c r="HZ12" s="337"/>
      <c r="IA12" s="337"/>
      <c r="IB12" s="337"/>
      <c r="IC12" s="337"/>
      <c r="ID12" s="337"/>
      <c r="IE12" s="337"/>
      <c r="IF12" s="337"/>
      <c r="IG12" s="337"/>
      <c r="IH12" s="337"/>
      <c r="II12" s="337"/>
      <c r="IJ12" s="337"/>
      <c r="IK12" s="337"/>
      <c r="IL12" s="337"/>
      <c r="IM12" s="337"/>
      <c r="IN12" s="337"/>
      <c r="IO12" s="337"/>
      <c r="IP12" s="337"/>
      <c r="IQ12" s="337"/>
      <c r="IR12" s="337"/>
      <c r="IS12" s="337"/>
      <c r="IT12" s="337"/>
      <c r="IU12" s="337"/>
      <c r="IV12" s="337"/>
      <c r="IW12" s="337"/>
      <c r="IX12" s="337"/>
      <c r="IY12" s="337"/>
      <c r="IZ12" s="337"/>
      <c r="JA12" s="337"/>
      <c r="JB12" s="337"/>
      <c r="JC12" s="337"/>
      <c r="JD12" s="337"/>
      <c r="JE12" s="337"/>
      <c r="JF12" s="337"/>
      <c r="JG12" s="337"/>
      <c r="JH12" s="337"/>
      <c r="JI12" s="337"/>
      <c r="JJ12" s="337"/>
      <c r="JK12" s="337"/>
      <c r="JL12" s="337"/>
      <c r="JM12" s="337"/>
      <c r="JN12" s="337"/>
      <c r="JO12" s="337"/>
      <c r="JP12" s="337"/>
      <c r="JQ12" s="337"/>
      <c r="JR12" s="337"/>
      <c r="JS12" s="337"/>
      <c r="JT12" s="337"/>
      <c r="JU12" s="337"/>
      <c r="JV12" s="337"/>
      <c r="JW12" s="337"/>
      <c r="JX12" s="337"/>
      <c r="JY12" s="337"/>
      <c r="JZ12" s="337"/>
      <c r="KA12" s="337"/>
      <c r="KB12" s="337"/>
      <c r="KC12" s="337"/>
      <c r="KD12" s="337"/>
      <c r="KE12" s="337"/>
      <c r="KF12" s="337"/>
      <c r="KG12" s="337"/>
      <c r="KH12" s="337"/>
      <c r="KI12" s="337"/>
      <c r="KJ12" s="337"/>
      <c r="KK12" s="337"/>
      <c r="KL12" s="337"/>
      <c r="KM12" s="337"/>
      <c r="KN12" s="337"/>
      <c r="KO12" s="337"/>
      <c r="KP12" s="337"/>
      <c r="KQ12" s="337"/>
      <c r="KR12" s="337"/>
      <c r="KS12" s="337"/>
      <c r="KT12" s="337"/>
      <c r="KU12" s="337"/>
      <c r="KV12" s="337"/>
      <c r="KW12" s="337"/>
      <c r="KX12" s="337"/>
      <c r="KY12" s="337"/>
      <c r="KZ12" s="337"/>
      <c r="LA12" s="337"/>
      <c r="LB12" s="337"/>
      <c r="LC12" s="337"/>
      <c r="LD12" s="337"/>
      <c r="LE12" s="337"/>
      <c r="LF12" s="337"/>
      <c r="LG12" s="337"/>
      <c r="LH12" s="337"/>
      <c r="LI12" s="337"/>
      <c r="LJ12" s="337"/>
      <c r="LK12" s="337"/>
      <c r="LL12" s="337"/>
      <c r="LM12" s="337"/>
      <c r="LN12" s="337"/>
      <c r="LO12" s="337"/>
      <c r="LP12" s="337"/>
      <c r="LQ12" s="337"/>
      <c r="LR12" s="337"/>
      <c r="LS12" s="337"/>
      <c r="LT12" s="337"/>
      <c r="LU12" s="337"/>
      <c r="LV12" s="337"/>
      <c r="LW12" s="337"/>
      <c r="LX12" s="337"/>
      <c r="LY12" s="337"/>
      <c r="LZ12" s="337"/>
      <c r="MA12" s="337"/>
      <c r="MB12" s="337"/>
      <c r="MC12" s="337"/>
      <c r="MD12" s="337"/>
      <c r="ME12" s="337"/>
      <c r="MF12" s="337"/>
      <c r="MG12" s="337"/>
      <c r="MH12" s="337"/>
      <c r="MI12" s="337"/>
      <c r="MJ12" s="337"/>
      <c r="MK12" s="337"/>
      <c r="ML12" s="337"/>
      <c r="MM12" s="337"/>
      <c r="MN12" s="337"/>
      <c r="MO12" s="337"/>
      <c r="MP12" s="337"/>
      <c r="MQ12" s="337"/>
      <c r="MR12" s="337"/>
      <c r="MS12" s="337"/>
      <c r="MT12" s="337"/>
      <c r="MU12" s="337"/>
      <c r="MV12" s="337"/>
      <c r="MW12" s="337"/>
      <c r="MX12" s="337"/>
      <c r="MY12" s="337"/>
      <c r="MZ12" s="337"/>
      <c r="NA12" s="337"/>
      <c r="NB12" s="337"/>
      <c r="NC12" s="337"/>
      <c r="ND12" s="337"/>
      <c r="NE12" s="337"/>
      <c r="NF12" s="337"/>
      <c r="NG12" s="337"/>
      <c r="NH12" s="337"/>
      <c r="NI12" s="337"/>
      <c r="NJ12" s="337"/>
      <c r="NK12" s="337"/>
      <c r="NL12" s="337"/>
      <c r="NM12" s="337"/>
      <c r="NN12" s="337"/>
      <c r="NO12" s="337"/>
      <c r="NP12" s="337"/>
      <c r="NQ12" s="337"/>
      <c r="NR12" s="337"/>
      <c r="NS12" s="337"/>
      <c r="NT12" s="337"/>
      <c r="NU12" s="337"/>
      <c r="NV12" s="337"/>
      <c r="NW12" s="337"/>
      <c r="NX12" s="337"/>
      <c r="NY12" s="337"/>
      <c r="NZ12" s="337"/>
      <c r="OA12" s="337"/>
      <c r="OB12" s="337"/>
      <c r="OC12" s="337"/>
      <c r="OD12" s="337"/>
      <c r="OE12" s="337"/>
      <c r="OF12" s="337"/>
      <c r="OG12" s="337"/>
      <c r="OH12" s="337"/>
      <c r="OI12" s="337"/>
      <c r="OJ12" s="337"/>
      <c r="OK12" s="337"/>
      <c r="OL12" s="337"/>
      <c r="OM12" s="337"/>
      <c r="ON12" s="337"/>
      <c r="OO12" s="337"/>
      <c r="OP12" s="337"/>
      <c r="OQ12" s="337"/>
      <c r="OR12" s="337"/>
      <c r="OS12" s="337"/>
      <c r="OT12" s="337"/>
      <c r="OU12" s="337"/>
      <c r="OV12" s="337"/>
      <c r="OW12" s="337"/>
      <c r="OX12" s="337"/>
      <c r="OY12" s="337"/>
      <c r="OZ12" s="337"/>
      <c r="PA12" s="337"/>
      <c r="PB12" s="337"/>
      <c r="PC12" s="337"/>
      <c r="PD12" s="337"/>
      <c r="PE12" s="337"/>
      <c r="PF12" s="337"/>
      <c r="PG12" s="337"/>
      <c r="PH12" s="337"/>
      <c r="PI12" s="337"/>
      <c r="PJ12" s="337"/>
      <c r="PK12" s="337"/>
      <c r="PL12" s="337"/>
      <c r="PM12" s="337"/>
      <c r="PN12" s="337"/>
      <c r="PO12" s="337"/>
      <c r="PP12" s="337"/>
      <c r="PQ12" s="337"/>
      <c r="PR12" s="337"/>
      <c r="PS12" s="337"/>
      <c r="PT12" s="337"/>
      <c r="PU12" s="337"/>
      <c r="PV12" s="337"/>
      <c r="PW12" s="337"/>
      <c r="PX12" s="337"/>
      <c r="PY12" s="337"/>
      <c r="PZ12" s="337"/>
      <c r="QA12" s="337"/>
      <c r="QB12" s="337"/>
      <c r="QC12" s="337"/>
      <c r="QD12" s="337"/>
      <c r="QE12" s="337"/>
      <c r="QF12" s="337"/>
      <c r="QG12" s="337"/>
      <c r="QH12" s="337"/>
      <c r="QI12" s="337"/>
      <c r="QJ12" s="337"/>
      <c r="QK12" s="337"/>
      <c r="QL12" s="337"/>
      <c r="QM12" s="337"/>
      <c r="QN12" s="337"/>
      <c r="QO12" s="337"/>
      <c r="QP12" s="337"/>
      <c r="QQ12" s="337"/>
      <c r="QR12" s="337"/>
      <c r="QS12" s="337"/>
      <c r="QT12" s="337"/>
      <c r="QU12" s="337"/>
      <c r="QV12" s="337"/>
      <c r="QW12" s="337"/>
      <c r="QX12" s="337"/>
      <c r="QY12" s="337"/>
      <c r="QZ12" s="337"/>
      <c r="RA12" s="337"/>
      <c r="RB12" s="337"/>
      <c r="RC12" s="337"/>
      <c r="RD12" s="337"/>
      <c r="RE12" s="337"/>
      <c r="RF12" s="337"/>
      <c r="RG12" s="337"/>
      <c r="RH12" s="337"/>
      <c r="RI12" s="337"/>
      <c r="RJ12" s="337"/>
      <c r="RK12" s="337"/>
      <c r="RL12" s="337"/>
      <c r="RM12" s="337"/>
      <c r="RN12" s="337"/>
      <c r="RO12" s="337"/>
      <c r="RP12" s="337"/>
      <c r="RQ12" s="337"/>
      <c r="RR12" s="337"/>
      <c r="RS12" s="337"/>
      <c r="RT12" s="337"/>
      <c r="RU12" s="337"/>
      <c r="RV12" s="337"/>
      <c r="RW12" s="337"/>
      <c r="RX12" s="337"/>
      <c r="RY12" s="337"/>
      <c r="RZ12" s="337"/>
      <c r="SA12" s="337"/>
      <c r="SB12" s="337"/>
      <c r="SC12" s="337"/>
      <c r="SD12" s="337"/>
      <c r="SE12" s="337"/>
      <c r="SF12" s="337"/>
      <c r="SG12" s="337"/>
      <c r="SH12" s="337"/>
      <c r="SI12" s="337"/>
      <c r="SJ12" s="337"/>
      <c r="SK12" s="337"/>
      <c r="SL12" s="337"/>
      <c r="SM12" s="337"/>
      <c r="SN12" s="337"/>
      <c r="SO12" s="337"/>
      <c r="SP12" s="337"/>
      <c r="SQ12" s="337"/>
      <c r="SR12" s="337"/>
      <c r="SS12" s="337"/>
      <c r="ST12" s="337"/>
      <c r="SU12" s="337"/>
      <c r="SV12" s="337"/>
      <c r="SW12" s="337"/>
      <c r="SX12" s="337"/>
      <c r="SY12" s="337"/>
      <c r="SZ12" s="337"/>
      <c r="TA12" s="337"/>
      <c r="TB12" s="337"/>
      <c r="TC12" s="337"/>
      <c r="TD12" s="337"/>
      <c r="TE12" s="337"/>
      <c r="TF12" s="337"/>
      <c r="TG12" s="337"/>
      <c r="TH12" s="337"/>
      <c r="TI12" s="337"/>
      <c r="TJ12" s="337"/>
      <c r="TK12" s="337"/>
      <c r="TL12" s="337"/>
      <c r="TM12" s="337"/>
      <c r="TN12" s="337"/>
      <c r="TO12" s="337"/>
      <c r="TP12" s="337"/>
      <c r="TQ12" s="337"/>
      <c r="TR12" s="337"/>
      <c r="TS12" s="337"/>
      <c r="TT12" s="337"/>
      <c r="TU12" s="337"/>
      <c r="TV12" s="337"/>
      <c r="TW12" s="337"/>
      <c r="TX12" s="337"/>
      <c r="TY12" s="337"/>
      <c r="TZ12" s="337"/>
      <c r="UA12" s="337"/>
      <c r="UB12" s="337"/>
      <c r="UC12" s="337"/>
      <c r="UD12" s="337"/>
      <c r="UE12" s="337"/>
      <c r="UF12" s="337"/>
      <c r="UG12" s="337"/>
      <c r="UH12" s="337"/>
      <c r="UI12" s="337"/>
      <c r="UJ12" s="337"/>
      <c r="UK12" s="337"/>
      <c r="UL12" s="337"/>
      <c r="UM12" s="337"/>
      <c r="UN12" s="337"/>
      <c r="UO12" s="337"/>
      <c r="UP12" s="337"/>
      <c r="UQ12" s="337"/>
      <c r="UR12" s="337"/>
      <c r="US12" s="337"/>
      <c r="UT12" s="337"/>
      <c r="UU12" s="337"/>
      <c r="UV12" s="337"/>
      <c r="UW12" s="337"/>
      <c r="UX12" s="337"/>
      <c r="UY12" s="337"/>
      <c r="UZ12" s="337"/>
      <c r="VA12" s="337"/>
      <c r="VB12" s="337"/>
      <c r="VC12" s="337"/>
      <c r="VD12" s="337"/>
      <c r="VE12" s="337"/>
      <c r="VF12" s="337"/>
      <c r="VG12" s="337"/>
      <c r="VH12" s="337"/>
      <c r="VI12" s="337"/>
      <c r="VJ12" s="337"/>
      <c r="VK12" s="337"/>
      <c r="VL12" s="337"/>
      <c r="VM12" s="337"/>
      <c r="VN12" s="337"/>
      <c r="VO12" s="337"/>
      <c r="VP12" s="337"/>
      <c r="VQ12" s="337"/>
      <c r="VR12" s="337"/>
      <c r="VS12" s="337"/>
      <c r="VT12" s="337"/>
      <c r="VU12" s="337"/>
      <c r="VV12" s="337"/>
      <c r="VW12" s="337"/>
      <c r="VX12" s="337"/>
      <c r="VY12" s="337"/>
      <c r="VZ12" s="337"/>
      <c r="WA12" s="337"/>
      <c r="WB12" s="337"/>
      <c r="WC12" s="337"/>
      <c r="WD12" s="337"/>
      <c r="WE12" s="337"/>
      <c r="WF12" s="337"/>
      <c r="WG12" s="337"/>
      <c r="WH12" s="337"/>
      <c r="WI12" s="337"/>
      <c r="WJ12" s="337"/>
      <c r="WK12" s="337"/>
      <c r="WL12" s="337"/>
      <c r="WM12" s="337"/>
      <c r="WN12" s="337"/>
      <c r="WO12" s="337"/>
      <c r="WP12" s="337"/>
      <c r="WQ12" s="337"/>
      <c r="WR12" s="337"/>
      <c r="WS12" s="337"/>
      <c r="WT12" s="337"/>
      <c r="WU12" s="337"/>
      <c r="WV12" s="337"/>
      <c r="WW12" s="337"/>
      <c r="WX12" s="337"/>
      <c r="WY12" s="337"/>
      <c r="WZ12" s="337"/>
      <c r="XA12" s="337"/>
      <c r="XB12" s="337"/>
      <c r="XC12" s="337"/>
      <c r="XD12" s="337"/>
      <c r="XE12" s="337"/>
      <c r="XF12" s="337"/>
      <c r="XG12" s="337"/>
      <c r="XH12" s="337"/>
      <c r="XI12" s="337"/>
      <c r="XJ12" s="337"/>
      <c r="XK12" s="337"/>
      <c r="XL12" s="337"/>
      <c r="XM12" s="337"/>
      <c r="XN12" s="337"/>
      <c r="XO12" s="337"/>
      <c r="XP12" s="337"/>
      <c r="XQ12" s="337"/>
      <c r="XR12" s="337"/>
      <c r="XS12" s="337"/>
      <c r="XT12" s="337"/>
      <c r="XU12" s="337"/>
      <c r="XV12" s="337"/>
      <c r="XW12" s="337"/>
      <c r="XX12" s="337"/>
      <c r="XY12" s="337"/>
      <c r="XZ12" s="337"/>
      <c r="YA12" s="337"/>
      <c r="YB12" s="337"/>
      <c r="YC12" s="337"/>
      <c r="YD12" s="337"/>
      <c r="YE12" s="337"/>
      <c r="YF12" s="337"/>
      <c r="YG12" s="337"/>
      <c r="YH12" s="337"/>
      <c r="YI12" s="337"/>
      <c r="YJ12" s="337"/>
      <c r="YK12" s="337"/>
      <c r="YL12" s="337"/>
      <c r="YM12" s="337"/>
      <c r="YN12" s="337"/>
      <c r="YO12" s="337"/>
      <c r="YP12" s="337"/>
      <c r="YQ12" s="337"/>
      <c r="YR12" s="337"/>
      <c r="YS12" s="337"/>
      <c r="YT12" s="337"/>
      <c r="YU12" s="337"/>
      <c r="YV12" s="337"/>
      <c r="YW12" s="337"/>
      <c r="YX12" s="337"/>
      <c r="YY12" s="337"/>
      <c r="YZ12" s="337"/>
      <c r="ZA12" s="337"/>
      <c r="ZB12" s="337"/>
      <c r="ZC12" s="337"/>
      <c r="ZD12" s="337"/>
      <c r="ZE12" s="337"/>
      <c r="ZF12" s="337"/>
      <c r="ZG12" s="337"/>
      <c r="ZH12" s="337"/>
      <c r="ZI12" s="337"/>
      <c r="ZJ12" s="337"/>
      <c r="ZK12" s="337"/>
      <c r="ZL12" s="337"/>
      <c r="ZM12" s="337"/>
      <c r="ZN12" s="337"/>
      <c r="ZO12" s="337"/>
      <c r="ZP12" s="337"/>
      <c r="ZQ12" s="337"/>
      <c r="ZR12" s="337"/>
      <c r="ZS12" s="337"/>
      <c r="ZT12" s="337"/>
      <c r="ZU12" s="337"/>
      <c r="ZV12" s="337"/>
      <c r="ZW12" s="337"/>
      <c r="ZX12" s="337"/>
      <c r="ZY12" s="337"/>
      <c r="ZZ12" s="337"/>
      <c r="AAA12" s="337"/>
      <c r="AAB12" s="337"/>
      <c r="AAC12" s="337"/>
      <c r="AAD12" s="337"/>
      <c r="AAE12" s="337"/>
      <c r="AAF12" s="337"/>
      <c r="AAG12" s="337"/>
      <c r="AAH12" s="337"/>
      <c r="AAI12" s="337"/>
      <c r="AAJ12" s="337"/>
      <c r="AAK12" s="337"/>
      <c r="AAL12" s="337"/>
      <c r="AAM12" s="337"/>
      <c r="AAN12" s="337"/>
      <c r="AAO12" s="337"/>
      <c r="AAP12" s="337"/>
      <c r="AAQ12" s="337"/>
      <c r="AAR12" s="337"/>
      <c r="AAS12" s="337"/>
      <c r="AAT12" s="337"/>
      <c r="AAU12" s="337"/>
      <c r="AAV12" s="337"/>
      <c r="AAW12" s="337"/>
      <c r="AAX12" s="337"/>
      <c r="AAY12" s="337"/>
      <c r="AAZ12" s="337"/>
      <c r="ABA12" s="337"/>
      <c r="ABB12" s="337"/>
      <c r="ABC12" s="337"/>
      <c r="ABD12" s="337"/>
      <c r="ABE12" s="337"/>
      <c r="ABF12" s="337"/>
      <c r="ABG12" s="337"/>
      <c r="ABH12" s="337"/>
      <c r="ABI12" s="337"/>
      <c r="ABJ12" s="337"/>
      <c r="ABK12" s="337"/>
      <c r="ABL12" s="337"/>
      <c r="ABM12" s="337"/>
      <c r="ABN12" s="337"/>
      <c r="ABO12" s="337"/>
      <c r="ABP12" s="337"/>
      <c r="ABQ12" s="337"/>
      <c r="ABR12" s="337"/>
      <c r="ABS12" s="337"/>
      <c r="ABT12" s="337"/>
      <c r="ABU12" s="337"/>
      <c r="ABV12" s="337"/>
      <c r="ABW12" s="337"/>
      <c r="ABX12" s="337"/>
      <c r="ABY12" s="337"/>
      <c r="ABZ12" s="337"/>
      <c r="ACA12" s="337"/>
      <c r="ACB12" s="337"/>
      <c r="ACC12" s="337"/>
      <c r="ACD12" s="337"/>
      <c r="ACE12" s="337"/>
      <c r="ACF12" s="337"/>
      <c r="ACG12" s="337"/>
      <c r="ACH12" s="337"/>
      <c r="ACI12" s="337"/>
      <c r="ACJ12" s="337"/>
      <c r="ACK12" s="337"/>
      <c r="ACL12" s="337"/>
      <c r="ACM12" s="337"/>
      <c r="ACN12" s="337"/>
      <c r="ACO12" s="337"/>
      <c r="ACP12" s="337"/>
      <c r="ACQ12" s="337"/>
      <c r="ACR12" s="337"/>
      <c r="ACS12" s="337"/>
      <c r="ACT12" s="337"/>
      <c r="ACU12" s="337"/>
      <c r="ACV12" s="337"/>
      <c r="ACW12" s="337"/>
      <c r="ACX12" s="337"/>
      <c r="ACY12" s="337"/>
      <c r="ACZ12" s="337"/>
      <c r="ADA12" s="337"/>
      <c r="ADB12" s="337"/>
      <c r="ADC12" s="337"/>
      <c r="ADD12" s="337"/>
      <c r="ADE12" s="337"/>
      <c r="ADF12" s="337"/>
      <c r="ADG12" s="337"/>
      <c r="ADH12" s="337"/>
      <c r="ADI12" s="337"/>
      <c r="ADJ12" s="337"/>
      <c r="ADK12" s="337"/>
      <c r="ADL12" s="337"/>
      <c r="ADM12" s="337"/>
      <c r="ADN12" s="337"/>
      <c r="ADO12" s="337"/>
      <c r="ADP12" s="337"/>
      <c r="ADQ12" s="337"/>
      <c r="ADR12" s="337"/>
      <c r="ADS12" s="337"/>
      <c r="ADT12" s="337"/>
      <c r="ADU12" s="337"/>
      <c r="ADV12" s="337"/>
      <c r="ADW12" s="337"/>
      <c r="ADX12" s="337"/>
      <c r="ADY12" s="337"/>
      <c r="ADZ12" s="337"/>
      <c r="AEA12" s="337"/>
      <c r="AEB12" s="337"/>
      <c r="AEC12" s="337"/>
      <c r="AED12" s="337"/>
      <c r="AEE12" s="337"/>
      <c r="AEF12" s="337"/>
      <c r="AEG12" s="337"/>
      <c r="AEH12" s="337"/>
      <c r="AEI12" s="337"/>
      <c r="AEJ12" s="337"/>
      <c r="AEK12" s="337"/>
      <c r="AEL12" s="337"/>
      <c r="AEM12" s="337"/>
      <c r="AEN12" s="337"/>
      <c r="AEO12" s="337"/>
      <c r="AEP12" s="337"/>
      <c r="AEQ12" s="337"/>
      <c r="AER12" s="337"/>
      <c r="AES12" s="337"/>
      <c r="AET12" s="337"/>
      <c r="AEU12" s="337"/>
      <c r="AEV12" s="337"/>
      <c r="AEW12" s="337"/>
      <c r="AEX12" s="337"/>
      <c r="AEY12" s="337"/>
      <c r="AEZ12" s="337"/>
      <c r="AFA12" s="337"/>
      <c r="AFB12" s="337"/>
      <c r="AFC12" s="337"/>
      <c r="AFD12" s="337"/>
      <c r="AFE12" s="337"/>
      <c r="AFF12" s="337"/>
      <c r="AFG12" s="337"/>
      <c r="AFH12" s="337"/>
      <c r="AFI12" s="337"/>
      <c r="AFJ12" s="337"/>
      <c r="AFK12" s="337"/>
      <c r="AFL12" s="337"/>
      <c r="AFM12" s="337"/>
      <c r="AFN12" s="337"/>
      <c r="AFO12" s="337"/>
      <c r="AFP12" s="337"/>
      <c r="AFQ12" s="337"/>
      <c r="AFR12" s="337"/>
      <c r="AFS12" s="337"/>
      <c r="AFT12" s="337"/>
      <c r="AFU12" s="337"/>
      <c r="AFV12" s="337"/>
      <c r="AFW12" s="337"/>
      <c r="AFX12" s="337"/>
      <c r="AFY12" s="337"/>
      <c r="AFZ12" s="337"/>
      <c r="AGA12" s="337"/>
      <c r="AGB12" s="337"/>
      <c r="AGC12" s="337"/>
      <c r="AGD12" s="337"/>
      <c r="AGE12" s="337"/>
      <c r="AGF12" s="337"/>
      <c r="AGG12" s="337"/>
      <c r="AGH12" s="337"/>
      <c r="AGI12" s="337"/>
      <c r="AGJ12" s="337"/>
      <c r="AGK12" s="337"/>
      <c r="AGL12" s="337"/>
      <c r="AGM12" s="337"/>
      <c r="AGN12" s="337"/>
      <c r="AGO12" s="337"/>
      <c r="AGP12" s="337"/>
      <c r="AGQ12" s="337"/>
      <c r="AGR12" s="337"/>
      <c r="AGS12" s="337"/>
      <c r="AGT12" s="337"/>
      <c r="AGU12" s="337"/>
      <c r="AGV12" s="337"/>
      <c r="AGW12" s="337"/>
      <c r="AGX12" s="337"/>
      <c r="AGY12" s="337"/>
      <c r="AGZ12" s="337"/>
      <c r="AHA12" s="346"/>
      <c r="AHB12" s="346"/>
      <c r="AHC12" s="346"/>
      <c r="AHD12" s="346"/>
      <c r="AHE12" s="346"/>
    </row>
    <row r="13" s="336" customFormat="1" ht="24" customHeight="1" spans="1:889">
      <c r="A13" s="349">
        <v>9</v>
      </c>
      <c r="B13" s="350"/>
      <c r="C13" s="351" t="s">
        <v>120</v>
      </c>
      <c r="D13" s="352"/>
      <c r="E13" s="348"/>
      <c r="F13" s="81">
        <v>9</v>
      </c>
      <c r="G13" s="355" t="s">
        <v>421</v>
      </c>
      <c r="H13" s="354" t="s">
        <v>422</v>
      </c>
      <c r="I13" s="100" t="s">
        <v>124</v>
      </c>
      <c r="J13" s="100" t="s">
        <v>124</v>
      </c>
      <c r="K13" s="100" t="s">
        <v>124</v>
      </c>
      <c r="L13" s="100" t="s">
        <v>124</v>
      </c>
      <c r="M13" s="100" t="s">
        <v>124</v>
      </c>
      <c r="N13" s="373" t="s">
        <v>423</v>
      </c>
      <c r="O13" s="374" t="s">
        <v>424</v>
      </c>
      <c r="P13" s="375" t="str">
        <f>CONCATENATE(RemovePunctuation(H13),"_CA","_","i4K","_",C13,"_",AE13,"_",PROPER(R13),IF(S13="",PROPER(R13),PROPER(S13)),PROPER(T13),PROPER(U13),PROPER(V13),IF(V13&lt;&gt;"","SUB",""),PROPER(W13),IF(W13&lt;&gt;"","SUB",""),"_","Ed","_","M1",".mpg")</f>
        <v>ACountryOfSilkThroughoutHistory1_CA_i4K_0825_43_ZhoZhoZhoSUB_Ed_M1.mpg</v>
      </c>
      <c r="Q13" s="375" t="str">
        <f>CONCATENATE(RemovePunctuation(H13),"_CA","_","i5K","_",C13,"_",AD13,"_",PROPER(R13),IF(S13="",PROPER(R13),PROPER(S13)),PROPER(T13),PROPER(U13),PROPER(V13),IF(V13&lt;&gt;"","SUB",""),PROPER(W13),IF(W13&lt;&gt;"","SUB",""),"_","Ed","_","M4",".mpg")</f>
        <v>ACountryOfSilkThroughoutHistory1_CA_i5K_0825_169_ZhoZhoZhoSUB_Ed_M4.mpg</v>
      </c>
      <c r="R13" s="382" t="s">
        <v>130</v>
      </c>
      <c r="S13" s="383"/>
      <c r="T13" s="383"/>
      <c r="U13" s="383"/>
      <c r="V13" s="382" t="s">
        <v>130</v>
      </c>
      <c r="W13" s="383"/>
      <c r="X13" s="349" t="s">
        <v>129</v>
      </c>
      <c r="Y13" s="349" t="s">
        <v>129</v>
      </c>
      <c r="Z13" s="120">
        <f t="shared" si="0"/>
        <v>24</v>
      </c>
      <c r="AA13" s="304" t="str">
        <f t="shared" si="1"/>
        <v>00:24:00</v>
      </c>
      <c r="AB13" s="120">
        <f t="shared" si="2"/>
        <v>1440</v>
      </c>
      <c r="AC13" s="399">
        <v>0.0166666666666667</v>
      </c>
      <c r="AD13" s="400">
        <v>169</v>
      </c>
      <c r="AE13" s="400">
        <v>43</v>
      </c>
      <c r="AF13" s="349" t="s">
        <v>132</v>
      </c>
      <c r="AG13" s="344"/>
      <c r="AH13" s="345"/>
      <c r="AI13" s="345"/>
      <c r="AJ13" s="337"/>
      <c r="AK13" s="339"/>
      <c r="AL13" s="339"/>
      <c r="AM13" s="339"/>
      <c r="AN13" s="346"/>
      <c r="AO13" s="346"/>
      <c r="AP13" s="337"/>
      <c r="AQ13" s="337"/>
      <c r="AR13" s="337"/>
      <c r="AS13" s="337"/>
      <c r="AT13" s="337"/>
      <c r="AU13" s="337"/>
      <c r="AV13" s="337"/>
      <c r="AW13" s="337"/>
      <c r="AX13" s="337"/>
      <c r="AY13" s="337"/>
      <c r="AZ13" s="337"/>
      <c r="BA13" s="337"/>
      <c r="BB13" s="337"/>
      <c r="BC13" s="337"/>
      <c r="BD13" s="337"/>
      <c r="BE13" s="337"/>
      <c r="BF13" s="337"/>
      <c r="BG13" s="337"/>
      <c r="BH13" s="337"/>
      <c r="BI13" s="337"/>
      <c r="BJ13" s="337"/>
      <c r="BK13" s="337"/>
      <c r="BL13" s="337"/>
      <c r="BM13" s="337"/>
      <c r="BN13" s="337"/>
      <c r="BO13" s="337"/>
      <c r="BP13" s="337"/>
      <c r="BQ13" s="337"/>
      <c r="BR13" s="337"/>
      <c r="BS13" s="337"/>
      <c r="BT13" s="337"/>
      <c r="BU13" s="337"/>
      <c r="BV13" s="337"/>
      <c r="BW13" s="337"/>
      <c r="BX13" s="337"/>
      <c r="BY13" s="337"/>
      <c r="BZ13" s="337"/>
      <c r="CA13" s="337"/>
      <c r="CB13" s="337"/>
      <c r="CC13" s="337"/>
      <c r="CD13" s="337"/>
      <c r="CE13" s="337"/>
      <c r="CF13" s="337"/>
      <c r="CG13" s="337"/>
      <c r="CH13" s="337"/>
      <c r="CI13" s="337"/>
      <c r="CJ13" s="337"/>
      <c r="CK13" s="337"/>
      <c r="CL13" s="337"/>
      <c r="CM13" s="337"/>
      <c r="CN13" s="337"/>
      <c r="CO13" s="337"/>
      <c r="CP13" s="337"/>
      <c r="CQ13" s="337"/>
      <c r="CR13" s="337"/>
      <c r="CS13" s="337"/>
      <c r="CT13" s="337"/>
      <c r="CU13" s="337"/>
      <c r="CV13" s="337"/>
      <c r="CW13" s="337"/>
      <c r="CX13" s="337"/>
      <c r="CY13" s="337"/>
      <c r="CZ13" s="337"/>
      <c r="DA13" s="337"/>
      <c r="DB13" s="337"/>
      <c r="DC13" s="337"/>
      <c r="DD13" s="337"/>
      <c r="DE13" s="337"/>
      <c r="DF13" s="337"/>
      <c r="DG13" s="337"/>
      <c r="DH13" s="337"/>
      <c r="DI13" s="337"/>
      <c r="DJ13" s="337"/>
      <c r="DK13" s="337"/>
      <c r="DL13" s="337"/>
      <c r="DM13" s="337"/>
      <c r="DN13" s="337"/>
      <c r="DO13" s="337"/>
      <c r="DP13" s="337"/>
      <c r="DQ13" s="337"/>
      <c r="DR13" s="337"/>
      <c r="DS13" s="337"/>
      <c r="DT13" s="337"/>
      <c r="DU13" s="337"/>
      <c r="DV13" s="337"/>
      <c r="DW13" s="337"/>
      <c r="DX13" s="337"/>
      <c r="DY13" s="337"/>
      <c r="DZ13" s="337"/>
      <c r="EA13" s="337"/>
      <c r="EB13" s="337"/>
      <c r="EC13" s="337"/>
      <c r="ED13" s="337"/>
      <c r="EE13" s="337"/>
      <c r="EF13" s="337"/>
      <c r="EG13" s="337"/>
      <c r="EH13" s="337"/>
      <c r="EI13" s="337"/>
      <c r="EJ13" s="337"/>
      <c r="EK13" s="337"/>
      <c r="EL13" s="337"/>
      <c r="EM13" s="337"/>
      <c r="EN13" s="337"/>
      <c r="EO13" s="337"/>
      <c r="EP13" s="337"/>
      <c r="EQ13" s="337"/>
      <c r="ER13" s="337"/>
      <c r="ES13" s="337"/>
      <c r="ET13" s="337"/>
      <c r="EU13" s="337"/>
      <c r="EV13" s="337"/>
      <c r="EW13" s="337"/>
      <c r="EX13" s="337"/>
      <c r="EY13" s="337"/>
      <c r="EZ13" s="337"/>
      <c r="FA13" s="337"/>
      <c r="FB13" s="337"/>
      <c r="FC13" s="337"/>
      <c r="FD13" s="337"/>
      <c r="FE13" s="337"/>
      <c r="FF13" s="337"/>
      <c r="FG13" s="337"/>
      <c r="FH13" s="337"/>
      <c r="FI13" s="337"/>
      <c r="FJ13" s="337"/>
      <c r="FK13" s="337"/>
      <c r="FL13" s="337"/>
      <c r="FM13" s="337"/>
      <c r="FN13" s="337"/>
      <c r="FO13" s="337"/>
      <c r="FP13" s="337"/>
      <c r="FQ13" s="337"/>
      <c r="FR13" s="337"/>
      <c r="FS13" s="337"/>
      <c r="FT13" s="337"/>
      <c r="FU13" s="337"/>
      <c r="FV13" s="337"/>
      <c r="FW13" s="337"/>
      <c r="FX13" s="337"/>
      <c r="FY13" s="337"/>
      <c r="FZ13" s="337"/>
      <c r="GA13" s="337"/>
      <c r="GB13" s="337"/>
      <c r="GC13" s="337"/>
      <c r="GD13" s="337"/>
      <c r="GE13" s="337"/>
      <c r="GF13" s="337"/>
      <c r="GG13" s="337"/>
      <c r="GH13" s="337"/>
      <c r="GI13" s="337"/>
      <c r="GJ13" s="337"/>
      <c r="GK13" s="337"/>
      <c r="GL13" s="337"/>
      <c r="GM13" s="337"/>
      <c r="GN13" s="337"/>
      <c r="GO13" s="337"/>
      <c r="GP13" s="337"/>
      <c r="GQ13" s="337"/>
      <c r="GR13" s="337"/>
      <c r="GS13" s="337"/>
      <c r="GT13" s="337"/>
      <c r="GU13" s="337"/>
      <c r="GV13" s="337"/>
      <c r="GW13" s="337"/>
      <c r="GX13" s="337"/>
      <c r="GY13" s="337"/>
      <c r="GZ13" s="337"/>
      <c r="HA13" s="337"/>
      <c r="HB13" s="337"/>
      <c r="HC13" s="337"/>
      <c r="HD13" s="337"/>
      <c r="HE13" s="337"/>
      <c r="HF13" s="337"/>
      <c r="HG13" s="337"/>
      <c r="HH13" s="337"/>
      <c r="HI13" s="337"/>
      <c r="HJ13" s="337"/>
      <c r="HK13" s="337"/>
      <c r="HL13" s="337"/>
      <c r="HM13" s="337"/>
      <c r="HN13" s="337"/>
      <c r="HO13" s="337"/>
      <c r="HP13" s="337"/>
      <c r="HQ13" s="337"/>
      <c r="HR13" s="337"/>
      <c r="HS13" s="337"/>
      <c r="HT13" s="337"/>
      <c r="HU13" s="337"/>
      <c r="HV13" s="337"/>
      <c r="HW13" s="337"/>
      <c r="HX13" s="337"/>
      <c r="HY13" s="337"/>
      <c r="HZ13" s="337"/>
      <c r="IA13" s="337"/>
      <c r="IB13" s="337"/>
      <c r="IC13" s="337"/>
      <c r="ID13" s="337"/>
      <c r="IE13" s="337"/>
      <c r="IF13" s="337"/>
      <c r="IG13" s="337"/>
      <c r="IH13" s="337"/>
      <c r="II13" s="337"/>
      <c r="IJ13" s="337"/>
      <c r="IK13" s="337"/>
      <c r="IL13" s="337"/>
      <c r="IM13" s="337"/>
      <c r="IN13" s="337"/>
      <c r="IO13" s="337"/>
      <c r="IP13" s="337"/>
      <c r="IQ13" s="337"/>
      <c r="IR13" s="337"/>
      <c r="IS13" s="337"/>
      <c r="IT13" s="337"/>
      <c r="IU13" s="337"/>
      <c r="IV13" s="337"/>
      <c r="IW13" s="337"/>
      <c r="IX13" s="337"/>
      <c r="IY13" s="337"/>
      <c r="IZ13" s="337"/>
      <c r="JA13" s="337"/>
      <c r="JB13" s="337"/>
      <c r="JC13" s="337"/>
      <c r="JD13" s="337"/>
      <c r="JE13" s="337"/>
      <c r="JF13" s="337"/>
      <c r="JG13" s="337"/>
      <c r="JH13" s="337"/>
      <c r="JI13" s="337"/>
      <c r="JJ13" s="337"/>
      <c r="JK13" s="337"/>
      <c r="JL13" s="337"/>
      <c r="JM13" s="337"/>
      <c r="JN13" s="337"/>
      <c r="JO13" s="337"/>
      <c r="JP13" s="337"/>
      <c r="JQ13" s="337"/>
      <c r="JR13" s="337"/>
      <c r="JS13" s="337"/>
      <c r="JT13" s="337"/>
      <c r="JU13" s="337"/>
      <c r="JV13" s="337"/>
      <c r="JW13" s="337"/>
      <c r="JX13" s="337"/>
      <c r="JY13" s="337"/>
      <c r="JZ13" s="337"/>
      <c r="KA13" s="337"/>
      <c r="KB13" s="337"/>
      <c r="KC13" s="337"/>
      <c r="KD13" s="337"/>
      <c r="KE13" s="337"/>
      <c r="KF13" s="337"/>
      <c r="KG13" s="337"/>
      <c r="KH13" s="337"/>
      <c r="KI13" s="337"/>
      <c r="KJ13" s="337"/>
      <c r="KK13" s="337"/>
      <c r="KL13" s="337"/>
      <c r="KM13" s="337"/>
      <c r="KN13" s="337"/>
      <c r="KO13" s="337"/>
      <c r="KP13" s="337"/>
      <c r="KQ13" s="337"/>
      <c r="KR13" s="337"/>
      <c r="KS13" s="337"/>
      <c r="KT13" s="337"/>
      <c r="KU13" s="337"/>
      <c r="KV13" s="337"/>
      <c r="KW13" s="337"/>
      <c r="KX13" s="337"/>
      <c r="KY13" s="337"/>
      <c r="KZ13" s="337"/>
      <c r="LA13" s="337"/>
      <c r="LB13" s="337"/>
      <c r="LC13" s="337"/>
      <c r="LD13" s="337"/>
      <c r="LE13" s="337"/>
      <c r="LF13" s="337"/>
      <c r="LG13" s="337"/>
      <c r="LH13" s="337"/>
      <c r="LI13" s="337"/>
      <c r="LJ13" s="337"/>
      <c r="LK13" s="337"/>
      <c r="LL13" s="337"/>
      <c r="LM13" s="337"/>
      <c r="LN13" s="337"/>
      <c r="LO13" s="337"/>
      <c r="LP13" s="337"/>
      <c r="LQ13" s="337"/>
      <c r="LR13" s="337"/>
      <c r="LS13" s="337"/>
      <c r="LT13" s="337"/>
      <c r="LU13" s="337"/>
      <c r="LV13" s="337"/>
      <c r="LW13" s="337"/>
      <c r="LX13" s="337"/>
      <c r="LY13" s="337"/>
      <c r="LZ13" s="337"/>
      <c r="MA13" s="337"/>
      <c r="MB13" s="337"/>
      <c r="MC13" s="337"/>
      <c r="MD13" s="337"/>
      <c r="ME13" s="337"/>
      <c r="MF13" s="337"/>
      <c r="MG13" s="337"/>
      <c r="MH13" s="337"/>
      <c r="MI13" s="337"/>
      <c r="MJ13" s="337"/>
      <c r="MK13" s="337"/>
      <c r="ML13" s="337"/>
      <c r="MM13" s="337"/>
      <c r="MN13" s="337"/>
      <c r="MO13" s="337"/>
      <c r="MP13" s="337"/>
      <c r="MQ13" s="337"/>
      <c r="MR13" s="337"/>
      <c r="MS13" s="337"/>
      <c r="MT13" s="337"/>
      <c r="MU13" s="337"/>
      <c r="MV13" s="337"/>
      <c r="MW13" s="337"/>
      <c r="MX13" s="337"/>
      <c r="MY13" s="337"/>
      <c r="MZ13" s="337"/>
      <c r="NA13" s="337"/>
      <c r="NB13" s="337"/>
      <c r="NC13" s="337"/>
      <c r="ND13" s="337"/>
      <c r="NE13" s="337"/>
      <c r="NF13" s="337"/>
      <c r="NG13" s="337"/>
      <c r="NH13" s="337"/>
      <c r="NI13" s="337"/>
      <c r="NJ13" s="337"/>
      <c r="NK13" s="337"/>
      <c r="NL13" s="337"/>
      <c r="NM13" s="337"/>
      <c r="NN13" s="337"/>
      <c r="NO13" s="337"/>
      <c r="NP13" s="337"/>
      <c r="NQ13" s="337"/>
      <c r="NR13" s="337"/>
      <c r="NS13" s="337"/>
      <c r="NT13" s="337"/>
      <c r="NU13" s="337"/>
      <c r="NV13" s="337"/>
      <c r="NW13" s="337"/>
      <c r="NX13" s="337"/>
      <c r="NY13" s="337"/>
      <c r="NZ13" s="337"/>
      <c r="OA13" s="337"/>
      <c r="OB13" s="337"/>
      <c r="OC13" s="337"/>
      <c r="OD13" s="337"/>
      <c r="OE13" s="337"/>
      <c r="OF13" s="337"/>
      <c r="OG13" s="337"/>
      <c r="OH13" s="337"/>
      <c r="OI13" s="337"/>
      <c r="OJ13" s="337"/>
      <c r="OK13" s="337"/>
      <c r="OL13" s="337"/>
      <c r="OM13" s="337"/>
      <c r="ON13" s="337"/>
      <c r="OO13" s="337"/>
      <c r="OP13" s="337"/>
      <c r="OQ13" s="337"/>
      <c r="OR13" s="337"/>
      <c r="OS13" s="337"/>
      <c r="OT13" s="337"/>
      <c r="OU13" s="337"/>
      <c r="OV13" s="337"/>
      <c r="OW13" s="337"/>
      <c r="OX13" s="337"/>
      <c r="OY13" s="337"/>
      <c r="OZ13" s="337"/>
      <c r="PA13" s="337"/>
      <c r="PB13" s="337"/>
      <c r="PC13" s="337"/>
      <c r="PD13" s="337"/>
      <c r="PE13" s="337"/>
      <c r="PF13" s="337"/>
      <c r="PG13" s="337"/>
      <c r="PH13" s="337"/>
      <c r="PI13" s="337"/>
      <c r="PJ13" s="337"/>
      <c r="PK13" s="337"/>
      <c r="PL13" s="337"/>
      <c r="PM13" s="337"/>
      <c r="PN13" s="337"/>
      <c r="PO13" s="337"/>
      <c r="PP13" s="337"/>
      <c r="PQ13" s="337"/>
      <c r="PR13" s="337"/>
      <c r="PS13" s="337"/>
      <c r="PT13" s="337"/>
      <c r="PU13" s="337"/>
      <c r="PV13" s="337"/>
      <c r="PW13" s="337"/>
      <c r="PX13" s="337"/>
      <c r="PY13" s="337"/>
      <c r="PZ13" s="337"/>
      <c r="QA13" s="337"/>
      <c r="QB13" s="337"/>
      <c r="QC13" s="337"/>
      <c r="QD13" s="337"/>
      <c r="QE13" s="337"/>
      <c r="QF13" s="337"/>
      <c r="QG13" s="337"/>
      <c r="QH13" s="337"/>
      <c r="QI13" s="337"/>
      <c r="QJ13" s="337"/>
      <c r="QK13" s="337"/>
      <c r="QL13" s="337"/>
      <c r="QM13" s="337"/>
      <c r="QN13" s="337"/>
      <c r="QO13" s="337"/>
      <c r="QP13" s="337"/>
      <c r="QQ13" s="337"/>
      <c r="QR13" s="337"/>
      <c r="QS13" s="337"/>
      <c r="QT13" s="337"/>
      <c r="QU13" s="337"/>
      <c r="QV13" s="337"/>
      <c r="QW13" s="337"/>
      <c r="QX13" s="337"/>
      <c r="QY13" s="337"/>
      <c r="QZ13" s="337"/>
      <c r="RA13" s="337"/>
      <c r="RB13" s="337"/>
      <c r="RC13" s="337"/>
      <c r="RD13" s="337"/>
      <c r="RE13" s="337"/>
      <c r="RF13" s="337"/>
      <c r="RG13" s="337"/>
      <c r="RH13" s="337"/>
      <c r="RI13" s="337"/>
      <c r="RJ13" s="337"/>
      <c r="RK13" s="337"/>
      <c r="RL13" s="337"/>
      <c r="RM13" s="337"/>
      <c r="RN13" s="337"/>
      <c r="RO13" s="337"/>
      <c r="RP13" s="337"/>
      <c r="RQ13" s="337"/>
      <c r="RR13" s="337"/>
      <c r="RS13" s="337"/>
      <c r="RT13" s="337"/>
      <c r="RU13" s="337"/>
      <c r="RV13" s="337"/>
      <c r="RW13" s="337"/>
      <c r="RX13" s="337"/>
      <c r="RY13" s="337"/>
      <c r="RZ13" s="337"/>
      <c r="SA13" s="337"/>
      <c r="SB13" s="337"/>
      <c r="SC13" s="337"/>
      <c r="SD13" s="337"/>
      <c r="SE13" s="337"/>
      <c r="SF13" s="337"/>
      <c r="SG13" s="337"/>
      <c r="SH13" s="337"/>
      <c r="SI13" s="337"/>
      <c r="SJ13" s="337"/>
      <c r="SK13" s="337"/>
      <c r="SL13" s="337"/>
      <c r="SM13" s="337"/>
      <c r="SN13" s="337"/>
      <c r="SO13" s="337"/>
      <c r="SP13" s="337"/>
      <c r="SQ13" s="337"/>
      <c r="SR13" s="337"/>
      <c r="SS13" s="337"/>
      <c r="ST13" s="337"/>
      <c r="SU13" s="337"/>
      <c r="SV13" s="337"/>
      <c r="SW13" s="337"/>
      <c r="SX13" s="337"/>
      <c r="SY13" s="337"/>
      <c r="SZ13" s="337"/>
      <c r="TA13" s="337"/>
      <c r="TB13" s="337"/>
      <c r="TC13" s="337"/>
      <c r="TD13" s="337"/>
      <c r="TE13" s="337"/>
      <c r="TF13" s="337"/>
      <c r="TG13" s="337"/>
      <c r="TH13" s="337"/>
      <c r="TI13" s="337"/>
      <c r="TJ13" s="337"/>
      <c r="TK13" s="337"/>
      <c r="TL13" s="337"/>
      <c r="TM13" s="337"/>
      <c r="TN13" s="337"/>
      <c r="TO13" s="337"/>
      <c r="TP13" s="337"/>
      <c r="TQ13" s="337"/>
      <c r="TR13" s="337"/>
      <c r="TS13" s="337"/>
      <c r="TT13" s="337"/>
      <c r="TU13" s="337"/>
      <c r="TV13" s="337"/>
      <c r="TW13" s="337"/>
      <c r="TX13" s="337"/>
      <c r="TY13" s="337"/>
      <c r="TZ13" s="337"/>
      <c r="UA13" s="337"/>
      <c r="UB13" s="337"/>
      <c r="UC13" s="337"/>
      <c r="UD13" s="337"/>
      <c r="UE13" s="337"/>
      <c r="UF13" s="337"/>
      <c r="UG13" s="337"/>
      <c r="UH13" s="337"/>
      <c r="UI13" s="337"/>
      <c r="UJ13" s="337"/>
      <c r="UK13" s="337"/>
      <c r="UL13" s="337"/>
      <c r="UM13" s="337"/>
      <c r="UN13" s="337"/>
      <c r="UO13" s="337"/>
      <c r="UP13" s="337"/>
      <c r="UQ13" s="337"/>
      <c r="UR13" s="337"/>
      <c r="US13" s="337"/>
      <c r="UT13" s="337"/>
      <c r="UU13" s="337"/>
      <c r="UV13" s="337"/>
      <c r="UW13" s="337"/>
      <c r="UX13" s="337"/>
      <c r="UY13" s="337"/>
      <c r="UZ13" s="337"/>
      <c r="VA13" s="337"/>
      <c r="VB13" s="337"/>
      <c r="VC13" s="337"/>
      <c r="VD13" s="337"/>
      <c r="VE13" s="337"/>
      <c r="VF13" s="337"/>
      <c r="VG13" s="337"/>
      <c r="VH13" s="337"/>
      <c r="VI13" s="337"/>
      <c r="VJ13" s="337"/>
      <c r="VK13" s="337"/>
      <c r="VL13" s="337"/>
      <c r="VM13" s="337"/>
      <c r="VN13" s="337"/>
      <c r="VO13" s="337"/>
      <c r="VP13" s="337"/>
      <c r="VQ13" s="337"/>
      <c r="VR13" s="337"/>
      <c r="VS13" s="337"/>
      <c r="VT13" s="337"/>
      <c r="VU13" s="337"/>
      <c r="VV13" s="337"/>
      <c r="VW13" s="337"/>
      <c r="VX13" s="337"/>
      <c r="VY13" s="337"/>
      <c r="VZ13" s="337"/>
      <c r="WA13" s="337"/>
      <c r="WB13" s="337"/>
      <c r="WC13" s="337"/>
      <c r="WD13" s="337"/>
      <c r="WE13" s="337"/>
      <c r="WF13" s="337"/>
      <c r="WG13" s="337"/>
      <c r="WH13" s="337"/>
      <c r="WI13" s="337"/>
      <c r="WJ13" s="337"/>
      <c r="WK13" s="337"/>
      <c r="WL13" s="337"/>
      <c r="WM13" s="337"/>
      <c r="WN13" s="337"/>
      <c r="WO13" s="337"/>
      <c r="WP13" s="337"/>
      <c r="WQ13" s="337"/>
      <c r="WR13" s="337"/>
      <c r="WS13" s="337"/>
      <c r="WT13" s="337"/>
      <c r="WU13" s="337"/>
      <c r="WV13" s="337"/>
      <c r="WW13" s="337"/>
      <c r="WX13" s="337"/>
      <c r="WY13" s="337"/>
      <c r="WZ13" s="337"/>
      <c r="XA13" s="337"/>
      <c r="XB13" s="337"/>
      <c r="XC13" s="337"/>
      <c r="XD13" s="337"/>
      <c r="XE13" s="337"/>
      <c r="XF13" s="337"/>
      <c r="XG13" s="337"/>
      <c r="XH13" s="337"/>
      <c r="XI13" s="337"/>
      <c r="XJ13" s="337"/>
      <c r="XK13" s="337"/>
      <c r="XL13" s="337"/>
      <c r="XM13" s="337"/>
      <c r="XN13" s="337"/>
      <c r="XO13" s="337"/>
      <c r="XP13" s="337"/>
      <c r="XQ13" s="337"/>
      <c r="XR13" s="337"/>
      <c r="XS13" s="337"/>
      <c r="XT13" s="337"/>
      <c r="XU13" s="337"/>
      <c r="XV13" s="337"/>
      <c r="XW13" s="337"/>
      <c r="XX13" s="337"/>
      <c r="XY13" s="337"/>
      <c r="XZ13" s="337"/>
      <c r="YA13" s="337"/>
      <c r="YB13" s="337"/>
      <c r="YC13" s="337"/>
      <c r="YD13" s="337"/>
      <c r="YE13" s="337"/>
      <c r="YF13" s="337"/>
      <c r="YG13" s="337"/>
      <c r="YH13" s="337"/>
      <c r="YI13" s="337"/>
      <c r="YJ13" s="337"/>
      <c r="YK13" s="337"/>
      <c r="YL13" s="337"/>
      <c r="YM13" s="337"/>
      <c r="YN13" s="337"/>
      <c r="YO13" s="337"/>
      <c r="YP13" s="337"/>
      <c r="YQ13" s="337"/>
      <c r="YR13" s="337"/>
      <c r="YS13" s="337"/>
      <c r="YT13" s="337"/>
      <c r="YU13" s="337"/>
      <c r="YV13" s="337"/>
      <c r="YW13" s="337"/>
      <c r="YX13" s="337"/>
      <c r="YY13" s="337"/>
      <c r="YZ13" s="337"/>
      <c r="ZA13" s="337"/>
      <c r="ZB13" s="337"/>
      <c r="ZC13" s="337"/>
      <c r="ZD13" s="337"/>
      <c r="ZE13" s="337"/>
      <c r="ZF13" s="337"/>
      <c r="ZG13" s="337"/>
      <c r="ZH13" s="337"/>
      <c r="ZI13" s="337"/>
      <c r="ZJ13" s="337"/>
      <c r="ZK13" s="337"/>
      <c r="ZL13" s="337"/>
      <c r="ZM13" s="337"/>
      <c r="ZN13" s="337"/>
      <c r="ZO13" s="337"/>
      <c r="ZP13" s="337"/>
      <c r="ZQ13" s="337"/>
      <c r="ZR13" s="337"/>
      <c r="ZS13" s="337"/>
      <c r="ZT13" s="337"/>
      <c r="ZU13" s="337"/>
      <c r="ZV13" s="337"/>
      <c r="ZW13" s="337"/>
      <c r="ZX13" s="337"/>
      <c r="ZY13" s="337"/>
      <c r="ZZ13" s="337"/>
      <c r="AAA13" s="337"/>
      <c r="AAB13" s="337"/>
      <c r="AAC13" s="337"/>
      <c r="AAD13" s="337"/>
      <c r="AAE13" s="337"/>
      <c r="AAF13" s="337"/>
      <c r="AAG13" s="337"/>
      <c r="AAH13" s="337"/>
      <c r="AAI13" s="337"/>
      <c r="AAJ13" s="337"/>
      <c r="AAK13" s="337"/>
      <c r="AAL13" s="337"/>
      <c r="AAM13" s="337"/>
      <c r="AAN13" s="337"/>
      <c r="AAO13" s="337"/>
      <c r="AAP13" s="337"/>
      <c r="AAQ13" s="337"/>
      <c r="AAR13" s="337"/>
      <c r="AAS13" s="337"/>
      <c r="AAT13" s="337"/>
      <c r="AAU13" s="337"/>
      <c r="AAV13" s="337"/>
      <c r="AAW13" s="337"/>
      <c r="AAX13" s="337"/>
      <c r="AAY13" s="337"/>
      <c r="AAZ13" s="337"/>
      <c r="ABA13" s="337"/>
      <c r="ABB13" s="337"/>
      <c r="ABC13" s="337"/>
      <c r="ABD13" s="337"/>
      <c r="ABE13" s="337"/>
      <c r="ABF13" s="337"/>
      <c r="ABG13" s="337"/>
      <c r="ABH13" s="337"/>
      <c r="ABI13" s="337"/>
      <c r="ABJ13" s="337"/>
      <c r="ABK13" s="337"/>
      <c r="ABL13" s="337"/>
      <c r="ABM13" s="337"/>
      <c r="ABN13" s="337"/>
      <c r="ABO13" s="337"/>
      <c r="ABP13" s="337"/>
      <c r="ABQ13" s="337"/>
      <c r="ABR13" s="337"/>
      <c r="ABS13" s="337"/>
      <c r="ABT13" s="337"/>
      <c r="ABU13" s="337"/>
      <c r="ABV13" s="337"/>
      <c r="ABW13" s="337"/>
      <c r="ABX13" s="337"/>
      <c r="ABY13" s="337"/>
      <c r="ABZ13" s="337"/>
      <c r="ACA13" s="337"/>
      <c r="ACB13" s="337"/>
      <c r="ACC13" s="337"/>
      <c r="ACD13" s="337"/>
      <c r="ACE13" s="337"/>
      <c r="ACF13" s="337"/>
      <c r="ACG13" s="337"/>
      <c r="ACH13" s="337"/>
      <c r="ACI13" s="337"/>
      <c r="ACJ13" s="337"/>
      <c r="ACK13" s="337"/>
      <c r="ACL13" s="337"/>
      <c r="ACM13" s="337"/>
      <c r="ACN13" s="337"/>
      <c r="ACO13" s="337"/>
      <c r="ACP13" s="337"/>
      <c r="ACQ13" s="337"/>
      <c r="ACR13" s="337"/>
      <c r="ACS13" s="337"/>
      <c r="ACT13" s="337"/>
      <c r="ACU13" s="337"/>
      <c r="ACV13" s="337"/>
      <c r="ACW13" s="337"/>
      <c r="ACX13" s="337"/>
      <c r="ACY13" s="337"/>
      <c r="ACZ13" s="337"/>
      <c r="ADA13" s="337"/>
      <c r="ADB13" s="337"/>
      <c r="ADC13" s="337"/>
      <c r="ADD13" s="337"/>
      <c r="ADE13" s="337"/>
      <c r="ADF13" s="337"/>
      <c r="ADG13" s="337"/>
      <c r="ADH13" s="337"/>
      <c r="ADI13" s="337"/>
      <c r="ADJ13" s="337"/>
      <c r="ADK13" s="337"/>
      <c r="ADL13" s="337"/>
      <c r="ADM13" s="337"/>
      <c r="ADN13" s="337"/>
      <c r="ADO13" s="337"/>
      <c r="ADP13" s="337"/>
      <c r="ADQ13" s="337"/>
      <c r="ADR13" s="337"/>
      <c r="ADS13" s="337"/>
      <c r="ADT13" s="337"/>
      <c r="ADU13" s="337"/>
      <c r="ADV13" s="337"/>
      <c r="ADW13" s="337"/>
      <c r="ADX13" s="337"/>
      <c r="ADY13" s="337"/>
      <c r="ADZ13" s="337"/>
      <c r="AEA13" s="337"/>
      <c r="AEB13" s="337"/>
      <c r="AEC13" s="337"/>
      <c r="AED13" s="337"/>
      <c r="AEE13" s="337"/>
      <c r="AEF13" s="337"/>
      <c r="AEG13" s="337"/>
      <c r="AEH13" s="337"/>
      <c r="AEI13" s="337"/>
      <c r="AEJ13" s="337"/>
      <c r="AEK13" s="337"/>
      <c r="AEL13" s="337"/>
      <c r="AEM13" s="337"/>
      <c r="AEN13" s="337"/>
      <c r="AEO13" s="337"/>
      <c r="AEP13" s="337"/>
      <c r="AEQ13" s="337"/>
      <c r="AER13" s="337"/>
      <c r="AES13" s="337"/>
      <c r="AET13" s="337"/>
      <c r="AEU13" s="337"/>
      <c r="AEV13" s="337"/>
      <c r="AEW13" s="337"/>
      <c r="AEX13" s="337"/>
      <c r="AEY13" s="337"/>
      <c r="AEZ13" s="337"/>
      <c r="AFA13" s="337"/>
      <c r="AFB13" s="337"/>
      <c r="AFC13" s="337"/>
      <c r="AFD13" s="337"/>
      <c r="AFE13" s="337"/>
      <c r="AFF13" s="337"/>
      <c r="AFG13" s="337"/>
      <c r="AFH13" s="337"/>
      <c r="AFI13" s="337"/>
      <c r="AFJ13" s="337"/>
      <c r="AFK13" s="337"/>
      <c r="AFL13" s="337"/>
      <c r="AFM13" s="337"/>
      <c r="AFN13" s="337"/>
      <c r="AFO13" s="337"/>
      <c r="AFP13" s="337"/>
      <c r="AFQ13" s="337"/>
      <c r="AFR13" s="337"/>
      <c r="AFS13" s="337"/>
      <c r="AFT13" s="337"/>
      <c r="AFU13" s="337"/>
      <c r="AFV13" s="337"/>
      <c r="AFW13" s="337"/>
      <c r="AFX13" s="337"/>
      <c r="AFY13" s="337"/>
      <c r="AFZ13" s="337"/>
      <c r="AGA13" s="337"/>
      <c r="AGB13" s="337"/>
      <c r="AGC13" s="337"/>
      <c r="AGD13" s="337"/>
      <c r="AGE13" s="337"/>
      <c r="AGF13" s="337"/>
      <c r="AGG13" s="337"/>
      <c r="AGH13" s="337"/>
      <c r="AGI13" s="337"/>
      <c r="AGJ13" s="337"/>
      <c r="AGK13" s="337"/>
      <c r="AGL13" s="337"/>
      <c r="AGM13" s="337"/>
      <c r="AGN13" s="337"/>
      <c r="AGO13" s="337"/>
      <c r="AGP13" s="337"/>
      <c r="AGQ13" s="337"/>
      <c r="AGR13" s="337"/>
      <c r="AGS13" s="337"/>
      <c r="AGT13" s="337"/>
      <c r="AGU13" s="337"/>
      <c r="AGV13" s="337"/>
      <c r="AGW13" s="337"/>
      <c r="AGX13" s="337"/>
      <c r="AGY13" s="337"/>
      <c r="AGZ13" s="337"/>
      <c r="AHA13" s="346"/>
      <c r="AHB13" s="346"/>
      <c r="AHC13" s="346"/>
      <c r="AHD13" s="346"/>
      <c r="AHE13" s="346"/>
    </row>
    <row r="14" s="336" customFormat="1" ht="24" customHeight="1" spans="1:889">
      <c r="A14" s="349">
        <v>10</v>
      </c>
      <c r="B14" s="350"/>
      <c r="C14" s="351" t="s">
        <v>120</v>
      </c>
      <c r="D14" s="352"/>
      <c r="E14" s="348"/>
      <c r="F14" s="81">
        <v>10</v>
      </c>
      <c r="G14" s="355" t="s">
        <v>425</v>
      </c>
      <c r="H14" s="354" t="s">
        <v>426</v>
      </c>
      <c r="I14" s="100" t="s">
        <v>124</v>
      </c>
      <c r="J14" s="100" t="s">
        <v>124</v>
      </c>
      <c r="K14" s="100" t="s">
        <v>124</v>
      </c>
      <c r="L14" s="100" t="s">
        <v>124</v>
      </c>
      <c r="M14" s="100" t="s">
        <v>124</v>
      </c>
      <c r="N14" s="373" t="s">
        <v>427</v>
      </c>
      <c r="O14" s="374" t="s">
        <v>428</v>
      </c>
      <c r="P14" s="375" t="str">
        <f>CONCATENATE(RemovePunctuation(H14),"_CA","_","i4K","_",C14,"_",AE14,"_",PROPER(R14),IF(S14="",PROPER(R14),PROPER(S14)),PROPER(T14),PROPER(U14),PROPER(V14),IF(V14&lt;&gt;"","SUB",""),PROPER(W14),IF(W14&lt;&gt;"","SUB",""),"_","Ed","_","M1",".mpg")</f>
        <v>EncounteringtheMostExquisiteSongLyrics7ThroughCountlessLeaguesNeathSunandMoon_CA_i4K_0825_43_ZhoZhoZhoSUB_Ed_M1.mpg</v>
      </c>
      <c r="Q14" s="375" t="str">
        <f>CONCATENATE(RemovePunctuation(H14),"_CA","_","i5K","_",C14,"_",AD14,"_",PROPER(R14),IF(S14="",PROPER(R14),PROPER(S14)),PROPER(T14),PROPER(U14),PROPER(V14),IF(V14&lt;&gt;"","SUB",""),PROPER(W14),IF(W14&lt;&gt;"","SUB",""),"_","Ed","_","M4",".mpg")</f>
        <v>EncounteringtheMostExquisiteSongLyrics7ThroughCountlessLeaguesNeathSunandMoon_CA_i5K_0825_169_ZhoZhoZhoSUB_Ed_M4.mpg</v>
      </c>
      <c r="R14" s="382" t="s">
        <v>130</v>
      </c>
      <c r="S14" s="383"/>
      <c r="T14" s="383"/>
      <c r="U14" s="383"/>
      <c r="V14" s="382" t="s">
        <v>130</v>
      </c>
      <c r="W14" s="383"/>
      <c r="X14" s="349" t="s">
        <v>129</v>
      </c>
      <c r="Y14" s="349" t="s">
        <v>129</v>
      </c>
      <c r="Z14" s="120">
        <f t="shared" si="0"/>
        <v>24</v>
      </c>
      <c r="AA14" s="304" t="str">
        <f t="shared" si="1"/>
        <v>00:24:00</v>
      </c>
      <c r="AB14" s="120">
        <f t="shared" si="2"/>
        <v>1440</v>
      </c>
      <c r="AC14" s="399">
        <v>0.0165625</v>
      </c>
      <c r="AD14" s="400">
        <v>169</v>
      </c>
      <c r="AE14" s="400">
        <v>43</v>
      </c>
      <c r="AF14" s="349" t="s">
        <v>132</v>
      </c>
      <c r="AG14" s="344"/>
      <c r="AH14" s="345"/>
      <c r="AI14" s="345"/>
      <c r="AJ14" s="337"/>
      <c r="AK14" s="339"/>
      <c r="AL14" s="339"/>
      <c r="AM14" s="339"/>
      <c r="AN14" s="346"/>
      <c r="AO14" s="346"/>
      <c r="AP14" s="337"/>
      <c r="AQ14" s="337"/>
      <c r="AR14" s="337"/>
      <c r="AS14" s="337"/>
      <c r="AT14" s="337"/>
      <c r="AU14" s="337"/>
      <c r="AV14" s="337"/>
      <c r="AW14" s="337"/>
      <c r="AX14" s="337"/>
      <c r="AY14" s="337"/>
      <c r="AZ14" s="337"/>
      <c r="BA14" s="337"/>
      <c r="BB14" s="337"/>
      <c r="BC14" s="337"/>
      <c r="BD14" s="337"/>
      <c r="BE14" s="337"/>
      <c r="BF14" s="337"/>
      <c r="BG14" s="337"/>
      <c r="BH14" s="337"/>
      <c r="BI14" s="337"/>
      <c r="BJ14" s="337"/>
      <c r="BK14" s="337"/>
      <c r="BL14" s="337"/>
      <c r="BM14" s="337"/>
      <c r="BN14" s="337"/>
      <c r="BO14" s="337"/>
      <c r="BP14" s="337"/>
      <c r="BQ14" s="337"/>
      <c r="BR14" s="337"/>
      <c r="BS14" s="337"/>
      <c r="BT14" s="337"/>
      <c r="BU14" s="337"/>
      <c r="BV14" s="337"/>
      <c r="BW14" s="337"/>
      <c r="BX14" s="337"/>
      <c r="BY14" s="337"/>
      <c r="BZ14" s="337"/>
      <c r="CA14" s="337"/>
      <c r="CB14" s="337"/>
      <c r="CC14" s="337"/>
      <c r="CD14" s="337"/>
      <c r="CE14" s="337"/>
      <c r="CF14" s="337"/>
      <c r="CG14" s="337"/>
      <c r="CH14" s="337"/>
      <c r="CI14" s="337"/>
      <c r="CJ14" s="337"/>
      <c r="CK14" s="337"/>
      <c r="CL14" s="337"/>
      <c r="CM14" s="337"/>
      <c r="CN14" s="337"/>
      <c r="CO14" s="337"/>
      <c r="CP14" s="337"/>
      <c r="CQ14" s="337"/>
      <c r="CR14" s="337"/>
      <c r="CS14" s="337"/>
      <c r="CT14" s="337"/>
      <c r="CU14" s="337"/>
      <c r="CV14" s="337"/>
      <c r="CW14" s="337"/>
      <c r="CX14" s="337"/>
      <c r="CY14" s="337"/>
      <c r="CZ14" s="337"/>
      <c r="DA14" s="337"/>
      <c r="DB14" s="337"/>
      <c r="DC14" s="337"/>
      <c r="DD14" s="337"/>
      <c r="DE14" s="337"/>
      <c r="DF14" s="337"/>
      <c r="DG14" s="337"/>
      <c r="DH14" s="337"/>
      <c r="DI14" s="337"/>
      <c r="DJ14" s="337"/>
      <c r="DK14" s="337"/>
      <c r="DL14" s="337"/>
      <c r="DM14" s="337"/>
      <c r="DN14" s="337"/>
      <c r="DO14" s="337"/>
      <c r="DP14" s="337"/>
      <c r="DQ14" s="337"/>
      <c r="DR14" s="337"/>
      <c r="DS14" s="337"/>
      <c r="DT14" s="337"/>
      <c r="DU14" s="337"/>
      <c r="DV14" s="337"/>
      <c r="DW14" s="337"/>
      <c r="DX14" s="337"/>
      <c r="DY14" s="337"/>
      <c r="DZ14" s="337"/>
      <c r="EA14" s="337"/>
      <c r="EB14" s="337"/>
      <c r="EC14" s="337"/>
      <c r="ED14" s="337"/>
      <c r="EE14" s="337"/>
      <c r="EF14" s="337"/>
      <c r="EG14" s="337"/>
      <c r="EH14" s="337"/>
      <c r="EI14" s="337"/>
      <c r="EJ14" s="337"/>
      <c r="EK14" s="337"/>
      <c r="EL14" s="337"/>
      <c r="EM14" s="337"/>
      <c r="EN14" s="337"/>
      <c r="EO14" s="337"/>
      <c r="EP14" s="337"/>
      <c r="EQ14" s="337"/>
      <c r="ER14" s="337"/>
      <c r="ES14" s="337"/>
      <c r="ET14" s="337"/>
      <c r="EU14" s="337"/>
      <c r="EV14" s="337"/>
      <c r="EW14" s="337"/>
      <c r="EX14" s="337"/>
      <c r="EY14" s="337"/>
      <c r="EZ14" s="337"/>
      <c r="FA14" s="337"/>
      <c r="FB14" s="337"/>
      <c r="FC14" s="337"/>
      <c r="FD14" s="337"/>
      <c r="FE14" s="337"/>
      <c r="FF14" s="337"/>
      <c r="FG14" s="337"/>
      <c r="FH14" s="337"/>
      <c r="FI14" s="337"/>
      <c r="FJ14" s="337"/>
      <c r="FK14" s="337"/>
      <c r="FL14" s="337"/>
      <c r="FM14" s="337"/>
      <c r="FN14" s="337"/>
      <c r="FO14" s="337"/>
      <c r="FP14" s="337"/>
      <c r="FQ14" s="337"/>
      <c r="FR14" s="337"/>
      <c r="FS14" s="337"/>
      <c r="FT14" s="337"/>
      <c r="FU14" s="337"/>
      <c r="FV14" s="337"/>
      <c r="FW14" s="337"/>
      <c r="FX14" s="337"/>
      <c r="FY14" s="337"/>
      <c r="FZ14" s="337"/>
      <c r="GA14" s="337"/>
      <c r="GB14" s="337"/>
      <c r="GC14" s="337"/>
      <c r="GD14" s="337"/>
      <c r="GE14" s="337"/>
      <c r="GF14" s="337"/>
      <c r="GG14" s="337"/>
      <c r="GH14" s="337"/>
      <c r="GI14" s="337"/>
      <c r="GJ14" s="337"/>
      <c r="GK14" s="337"/>
      <c r="GL14" s="337"/>
      <c r="GM14" s="337"/>
      <c r="GN14" s="337"/>
      <c r="GO14" s="337"/>
      <c r="GP14" s="337"/>
      <c r="GQ14" s="337"/>
      <c r="GR14" s="337"/>
      <c r="GS14" s="337"/>
      <c r="GT14" s="337"/>
      <c r="GU14" s="337"/>
      <c r="GV14" s="337"/>
      <c r="GW14" s="337"/>
      <c r="GX14" s="337"/>
      <c r="GY14" s="337"/>
      <c r="GZ14" s="337"/>
      <c r="HA14" s="337"/>
      <c r="HB14" s="337"/>
      <c r="HC14" s="337"/>
      <c r="HD14" s="337"/>
      <c r="HE14" s="337"/>
      <c r="HF14" s="337"/>
      <c r="HG14" s="337"/>
      <c r="HH14" s="337"/>
      <c r="HI14" s="337"/>
      <c r="HJ14" s="337"/>
      <c r="HK14" s="337"/>
      <c r="HL14" s="337"/>
      <c r="HM14" s="337"/>
      <c r="HN14" s="337"/>
      <c r="HO14" s="337"/>
      <c r="HP14" s="337"/>
      <c r="HQ14" s="337"/>
      <c r="HR14" s="337"/>
      <c r="HS14" s="337"/>
      <c r="HT14" s="337"/>
      <c r="HU14" s="337"/>
      <c r="HV14" s="337"/>
      <c r="HW14" s="337"/>
      <c r="HX14" s="337"/>
      <c r="HY14" s="337"/>
      <c r="HZ14" s="337"/>
      <c r="IA14" s="337"/>
      <c r="IB14" s="337"/>
      <c r="IC14" s="337"/>
      <c r="ID14" s="337"/>
      <c r="IE14" s="337"/>
      <c r="IF14" s="337"/>
      <c r="IG14" s="337"/>
      <c r="IH14" s="337"/>
      <c r="II14" s="337"/>
      <c r="IJ14" s="337"/>
      <c r="IK14" s="337"/>
      <c r="IL14" s="337"/>
      <c r="IM14" s="337"/>
      <c r="IN14" s="337"/>
      <c r="IO14" s="337"/>
      <c r="IP14" s="337"/>
      <c r="IQ14" s="337"/>
      <c r="IR14" s="337"/>
      <c r="IS14" s="337"/>
      <c r="IT14" s="337"/>
      <c r="IU14" s="337"/>
      <c r="IV14" s="337"/>
      <c r="IW14" s="337"/>
      <c r="IX14" s="337"/>
      <c r="IY14" s="337"/>
      <c r="IZ14" s="337"/>
      <c r="JA14" s="337"/>
      <c r="JB14" s="337"/>
      <c r="JC14" s="337"/>
      <c r="JD14" s="337"/>
      <c r="JE14" s="337"/>
      <c r="JF14" s="337"/>
      <c r="JG14" s="337"/>
      <c r="JH14" s="337"/>
      <c r="JI14" s="337"/>
      <c r="JJ14" s="337"/>
      <c r="JK14" s="337"/>
      <c r="JL14" s="337"/>
      <c r="JM14" s="337"/>
      <c r="JN14" s="337"/>
      <c r="JO14" s="337"/>
      <c r="JP14" s="337"/>
      <c r="JQ14" s="337"/>
      <c r="JR14" s="337"/>
      <c r="JS14" s="337"/>
      <c r="JT14" s="337"/>
      <c r="JU14" s="337"/>
      <c r="JV14" s="337"/>
      <c r="JW14" s="337"/>
      <c r="JX14" s="337"/>
      <c r="JY14" s="337"/>
      <c r="JZ14" s="337"/>
      <c r="KA14" s="337"/>
      <c r="KB14" s="337"/>
      <c r="KC14" s="337"/>
      <c r="KD14" s="337"/>
      <c r="KE14" s="337"/>
      <c r="KF14" s="337"/>
      <c r="KG14" s="337"/>
      <c r="KH14" s="337"/>
      <c r="KI14" s="337"/>
      <c r="KJ14" s="337"/>
      <c r="KK14" s="337"/>
      <c r="KL14" s="337"/>
      <c r="KM14" s="337"/>
      <c r="KN14" s="337"/>
      <c r="KO14" s="337"/>
      <c r="KP14" s="337"/>
      <c r="KQ14" s="337"/>
      <c r="KR14" s="337"/>
      <c r="KS14" s="337"/>
      <c r="KT14" s="337"/>
      <c r="KU14" s="337"/>
      <c r="KV14" s="337"/>
      <c r="KW14" s="337"/>
      <c r="KX14" s="337"/>
      <c r="KY14" s="337"/>
      <c r="KZ14" s="337"/>
      <c r="LA14" s="337"/>
      <c r="LB14" s="337"/>
      <c r="LC14" s="337"/>
      <c r="LD14" s="337"/>
      <c r="LE14" s="337"/>
      <c r="LF14" s="337"/>
      <c r="LG14" s="337"/>
      <c r="LH14" s="337"/>
      <c r="LI14" s="337"/>
      <c r="LJ14" s="337"/>
      <c r="LK14" s="337"/>
      <c r="LL14" s="337"/>
      <c r="LM14" s="337"/>
      <c r="LN14" s="337"/>
      <c r="LO14" s="337"/>
      <c r="LP14" s="337"/>
      <c r="LQ14" s="337"/>
      <c r="LR14" s="337"/>
      <c r="LS14" s="337"/>
      <c r="LT14" s="337"/>
      <c r="LU14" s="337"/>
      <c r="LV14" s="337"/>
      <c r="LW14" s="337"/>
      <c r="LX14" s="337"/>
      <c r="LY14" s="337"/>
      <c r="LZ14" s="337"/>
      <c r="MA14" s="337"/>
      <c r="MB14" s="337"/>
      <c r="MC14" s="337"/>
      <c r="MD14" s="337"/>
      <c r="ME14" s="337"/>
      <c r="MF14" s="337"/>
      <c r="MG14" s="337"/>
      <c r="MH14" s="337"/>
      <c r="MI14" s="337"/>
      <c r="MJ14" s="337"/>
      <c r="MK14" s="337"/>
      <c r="ML14" s="337"/>
      <c r="MM14" s="337"/>
      <c r="MN14" s="337"/>
      <c r="MO14" s="337"/>
      <c r="MP14" s="337"/>
      <c r="MQ14" s="337"/>
      <c r="MR14" s="337"/>
      <c r="MS14" s="337"/>
      <c r="MT14" s="337"/>
      <c r="MU14" s="337"/>
      <c r="MV14" s="337"/>
      <c r="MW14" s="337"/>
      <c r="MX14" s="337"/>
      <c r="MY14" s="337"/>
      <c r="MZ14" s="337"/>
      <c r="NA14" s="337"/>
      <c r="NB14" s="337"/>
      <c r="NC14" s="337"/>
      <c r="ND14" s="337"/>
      <c r="NE14" s="337"/>
      <c r="NF14" s="337"/>
      <c r="NG14" s="337"/>
      <c r="NH14" s="337"/>
      <c r="NI14" s="337"/>
      <c r="NJ14" s="337"/>
      <c r="NK14" s="337"/>
      <c r="NL14" s="337"/>
      <c r="NM14" s="337"/>
      <c r="NN14" s="337"/>
      <c r="NO14" s="337"/>
      <c r="NP14" s="337"/>
      <c r="NQ14" s="337"/>
      <c r="NR14" s="337"/>
      <c r="NS14" s="337"/>
      <c r="NT14" s="337"/>
      <c r="NU14" s="337"/>
      <c r="NV14" s="337"/>
      <c r="NW14" s="337"/>
      <c r="NX14" s="337"/>
      <c r="NY14" s="337"/>
      <c r="NZ14" s="337"/>
      <c r="OA14" s="337"/>
      <c r="OB14" s="337"/>
      <c r="OC14" s="337"/>
      <c r="OD14" s="337"/>
      <c r="OE14" s="337"/>
      <c r="OF14" s="337"/>
      <c r="OG14" s="337"/>
      <c r="OH14" s="337"/>
      <c r="OI14" s="337"/>
      <c r="OJ14" s="337"/>
      <c r="OK14" s="337"/>
      <c r="OL14" s="337"/>
      <c r="OM14" s="337"/>
      <c r="ON14" s="337"/>
      <c r="OO14" s="337"/>
      <c r="OP14" s="337"/>
      <c r="OQ14" s="337"/>
      <c r="OR14" s="337"/>
      <c r="OS14" s="337"/>
      <c r="OT14" s="337"/>
      <c r="OU14" s="337"/>
      <c r="OV14" s="337"/>
      <c r="OW14" s="337"/>
      <c r="OX14" s="337"/>
      <c r="OY14" s="337"/>
      <c r="OZ14" s="337"/>
      <c r="PA14" s="337"/>
      <c r="PB14" s="337"/>
      <c r="PC14" s="337"/>
      <c r="PD14" s="337"/>
      <c r="PE14" s="337"/>
      <c r="PF14" s="337"/>
      <c r="PG14" s="337"/>
      <c r="PH14" s="337"/>
      <c r="PI14" s="337"/>
      <c r="PJ14" s="337"/>
      <c r="PK14" s="337"/>
      <c r="PL14" s="337"/>
      <c r="PM14" s="337"/>
      <c r="PN14" s="337"/>
      <c r="PO14" s="337"/>
      <c r="PP14" s="337"/>
      <c r="PQ14" s="337"/>
      <c r="PR14" s="337"/>
      <c r="PS14" s="337"/>
      <c r="PT14" s="337"/>
      <c r="PU14" s="337"/>
      <c r="PV14" s="337"/>
      <c r="PW14" s="337"/>
      <c r="PX14" s="337"/>
      <c r="PY14" s="337"/>
      <c r="PZ14" s="337"/>
      <c r="QA14" s="337"/>
      <c r="QB14" s="337"/>
      <c r="QC14" s="337"/>
      <c r="QD14" s="337"/>
      <c r="QE14" s="337"/>
      <c r="QF14" s="337"/>
      <c r="QG14" s="337"/>
      <c r="QH14" s="337"/>
      <c r="QI14" s="337"/>
      <c r="QJ14" s="337"/>
      <c r="QK14" s="337"/>
      <c r="QL14" s="337"/>
      <c r="QM14" s="337"/>
      <c r="QN14" s="337"/>
      <c r="QO14" s="337"/>
      <c r="QP14" s="337"/>
      <c r="QQ14" s="337"/>
      <c r="QR14" s="337"/>
      <c r="QS14" s="337"/>
      <c r="QT14" s="337"/>
      <c r="QU14" s="337"/>
      <c r="QV14" s="337"/>
      <c r="QW14" s="337"/>
      <c r="QX14" s="337"/>
      <c r="QY14" s="337"/>
      <c r="QZ14" s="337"/>
      <c r="RA14" s="337"/>
      <c r="RB14" s="337"/>
      <c r="RC14" s="337"/>
      <c r="RD14" s="337"/>
      <c r="RE14" s="337"/>
      <c r="RF14" s="337"/>
      <c r="RG14" s="337"/>
      <c r="RH14" s="337"/>
      <c r="RI14" s="337"/>
      <c r="RJ14" s="337"/>
      <c r="RK14" s="337"/>
      <c r="RL14" s="337"/>
      <c r="RM14" s="337"/>
      <c r="RN14" s="337"/>
      <c r="RO14" s="337"/>
      <c r="RP14" s="337"/>
      <c r="RQ14" s="337"/>
      <c r="RR14" s="337"/>
      <c r="RS14" s="337"/>
      <c r="RT14" s="337"/>
      <c r="RU14" s="337"/>
      <c r="RV14" s="337"/>
      <c r="RW14" s="337"/>
      <c r="RX14" s="337"/>
      <c r="RY14" s="337"/>
      <c r="RZ14" s="337"/>
      <c r="SA14" s="337"/>
      <c r="SB14" s="337"/>
      <c r="SC14" s="337"/>
      <c r="SD14" s="337"/>
      <c r="SE14" s="337"/>
      <c r="SF14" s="337"/>
      <c r="SG14" s="337"/>
      <c r="SH14" s="337"/>
      <c r="SI14" s="337"/>
      <c r="SJ14" s="337"/>
      <c r="SK14" s="337"/>
      <c r="SL14" s="337"/>
      <c r="SM14" s="337"/>
      <c r="SN14" s="337"/>
      <c r="SO14" s="337"/>
      <c r="SP14" s="337"/>
      <c r="SQ14" s="337"/>
      <c r="SR14" s="337"/>
      <c r="SS14" s="337"/>
      <c r="ST14" s="337"/>
      <c r="SU14" s="337"/>
      <c r="SV14" s="337"/>
      <c r="SW14" s="337"/>
      <c r="SX14" s="337"/>
      <c r="SY14" s="337"/>
      <c r="SZ14" s="337"/>
      <c r="TA14" s="337"/>
      <c r="TB14" s="337"/>
      <c r="TC14" s="337"/>
      <c r="TD14" s="337"/>
      <c r="TE14" s="337"/>
      <c r="TF14" s="337"/>
      <c r="TG14" s="337"/>
      <c r="TH14" s="337"/>
      <c r="TI14" s="337"/>
      <c r="TJ14" s="337"/>
      <c r="TK14" s="337"/>
      <c r="TL14" s="337"/>
      <c r="TM14" s="337"/>
      <c r="TN14" s="337"/>
      <c r="TO14" s="337"/>
      <c r="TP14" s="337"/>
      <c r="TQ14" s="337"/>
      <c r="TR14" s="337"/>
      <c r="TS14" s="337"/>
      <c r="TT14" s="337"/>
      <c r="TU14" s="337"/>
      <c r="TV14" s="337"/>
      <c r="TW14" s="337"/>
      <c r="TX14" s="337"/>
      <c r="TY14" s="337"/>
      <c r="TZ14" s="337"/>
      <c r="UA14" s="337"/>
      <c r="UB14" s="337"/>
      <c r="UC14" s="337"/>
      <c r="UD14" s="337"/>
      <c r="UE14" s="337"/>
      <c r="UF14" s="337"/>
      <c r="UG14" s="337"/>
      <c r="UH14" s="337"/>
      <c r="UI14" s="337"/>
      <c r="UJ14" s="337"/>
      <c r="UK14" s="337"/>
      <c r="UL14" s="337"/>
      <c r="UM14" s="337"/>
      <c r="UN14" s="337"/>
      <c r="UO14" s="337"/>
      <c r="UP14" s="337"/>
      <c r="UQ14" s="337"/>
      <c r="UR14" s="337"/>
      <c r="US14" s="337"/>
      <c r="UT14" s="337"/>
      <c r="UU14" s="337"/>
      <c r="UV14" s="337"/>
      <c r="UW14" s="337"/>
      <c r="UX14" s="337"/>
      <c r="UY14" s="337"/>
      <c r="UZ14" s="337"/>
      <c r="VA14" s="337"/>
      <c r="VB14" s="337"/>
      <c r="VC14" s="337"/>
      <c r="VD14" s="337"/>
      <c r="VE14" s="337"/>
      <c r="VF14" s="337"/>
      <c r="VG14" s="337"/>
      <c r="VH14" s="337"/>
      <c r="VI14" s="337"/>
      <c r="VJ14" s="337"/>
      <c r="VK14" s="337"/>
      <c r="VL14" s="337"/>
      <c r="VM14" s="337"/>
      <c r="VN14" s="337"/>
      <c r="VO14" s="337"/>
      <c r="VP14" s="337"/>
      <c r="VQ14" s="337"/>
      <c r="VR14" s="337"/>
      <c r="VS14" s="337"/>
      <c r="VT14" s="337"/>
      <c r="VU14" s="337"/>
      <c r="VV14" s="337"/>
      <c r="VW14" s="337"/>
      <c r="VX14" s="337"/>
      <c r="VY14" s="337"/>
      <c r="VZ14" s="337"/>
      <c r="WA14" s="337"/>
      <c r="WB14" s="337"/>
      <c r="WC14" s="337"/>
      <c r="WD14" s="337"/>
      <c r="WE14" s="337"/>
      <c r="WF14" s="337"/>
      <c r="WG14" s="337"/>
      <c r="WH14" s="337"/>
      <c r="WI14" s="337"/>
      <c r="WJ14" s="337"/>
      <c r="WK14" s="337"/>
      <c r="WL14" s="337"/>
      <c r="WM14" s="337"/>
      <c r="WN14" s="337"/>
      <c r="WO14" s="337"/>
      <c r="WP14" s="337"/>
      <c r="WQ14" s="337"/>
      <c r="WR14" s="337"/>
      <c r="WS14" s="337"/>
      <c r="WT14" s="337"/>
      <c r="WU14" s="337"/>
      <c r="WV14" s="337"/>
      <c r="WW14" s="337"/>
      <c r="WX14" s="337"/>
      <c r="WY14" s="337"/>
      <c r="WZ14" s="337"/>
      <c r="XA14" s="337"/>
      <c r="XB14" s="337"/>
      <c r="XC14" s="337"/>
      <c r="XD14" s="337"/>
      <c r="XE14" s="337"/>
      <c r="XF14" s="337"/>
      <c r="XG14" s="337"/>
      <c r="XH14" s="337"/>
      <c r="XI14" s="337"/>
      <c r="XJ14" s="337"/>
      <c r="XK14" s="337"/>
      <c r="XL14" s="337"/>
      <c r="XM14" s="337"/>
      <c r="XN14" s="337"/>
      <c r="XO14" s="337"/>
      <c r="XP14" s="337"/>
      <c r="XQ14" s="337"/>
      <c r="XR14" s="337"/>
      <c r="XS14" s="337"/>
      <c r="XT14" s="337"/>
      <c r="XU14" s="337"/>
      <c r="XV14" s="337"/>
      <c r="XW14" s="337"/>
      <c r="XX14" s="337"/>
      <c r="XY14" s="337"/>
      <c r="XZ14" s="337"/>
      <c r="YA14" s="337"/>
      <c r="YB14" s="337"/>
      <c r="YC14" s="337"/>
      <c r="YD14" s="337"/>
      <c r="YE14" s="337"/>
      <c r="YF14" s="337"/>
      <c r="YG14" s="337"/>
      <c r="YH14" s="337"/>
      <c r="YI14" s="337"/>
      <c r="YJ14" s="337"/>
      <c r="YK14" s="337"/>
      <c r="YL14" s="337"/>
      <c r="YM14" s="337"/>
      <c r="YN14" s="337"/>
      <c r="YO14" s="337"/>
      <c r="YP14" s="337"/>
      <c r="YQ14" s="337"/>
      <c r="YR14" s="337"/>
      <c r="YS14" s="337"/>
      <c r="YT14" s="337"/>
      <c r="YU14" s="337"/>
      <c r="YV14" s="337"/>
      <c r="YW14" s="337"/>
      <c r="YX14" s="337"/>
      <c r="YY14" s="337"/>
      <c r="YZ14" s="337"/>
      <c r="ZA14" s="337"/>
      <c r="ZB14" s="337"/>
      <c r="ZC14" s="337"/>
      <c r="ZD14" s="337"/>
      <c r="ZE14" s="337"/>
      <c r="ZF14" s="337"/>
      <c r="ZG14" s="337"/>
      <c r="ZH14" s="337"/>
      <c r="ZI14" s="337"/>
      <c r="ZJ14" s="337"/>
      <c r="ZK14" s="337"/>
      <c r="ZL14" s="337"/>
      <c r="ZM14" s="337"/>
      <c r="ZN14" s="337"/>
      <c r="ZO14" s="337"/>
      <c r="ZP14" s="337"/>
      <c r="ZQ14" s="337"/>
      <c r="ZR14" s="337"/>
      <c r="ZS14" s="337"/>
      <c r="ZT14" s="337"/>
      <c r="ZU14" s="337"/>
      <c r="ZV14" s="337"/>
      <c r="ZW14" s="337"/>
      <c r="ZX14" s="337"/>
      <c r="ZY14" s="337"/>
      <c r="ZZ14" s="337"/>
      <c r="AAA14" s="337"/>
      <c r="AAB14" s="337"/>
      <c r="AAC14" s="337"/>
      <c r="AAD14" s="337"/>
      <c r="AAE14" s="337"/>
      <c r="AAF14" s="337"/>
      <c r="AAG14" s="337"/>
      <c r="AAH14" s="337"/>
      <c r="AAI14" s="337"/>
      <c r="AAJ14" s="337"/>
      <c r="AAK14" s="337"/>
      <c r="AAL14" s="337"/>
      <c r="AAM14" s="337"/>
      <c r="AAN14" s="337"/>
      <c r="AAO14" s="337"/>
      <c r="AAP14" s="337"/>
      <c r="AAQ14" s="337"/>
      <c r="AAR14" s="337"/>
      <c r="AAS14" s="337"/>
      <c r="AAT14" s="337"/>
      <c r="AAU14" s="337"/>
      <c r="AAV14" s="337"/>
      <c r="AAW14" s="337"/>
      <c r="AAX14" s="337"/>
      <c r="AAY14" s="337"/>
      <c r="AAZ14" s="337"/>
      <c r="ABA14" s="337"/>
      <c r="ABB14" s="337"/>
      <c r="ABC14" s="337"/>
      <c r="ABD14" s="337"/>
      <c r="ABE14" s="337"/>
      <c r="ABF14" s="337"/>
      <c r="ABG14" s="337"/>
      <c r="ABH14" s="337"/>
      <c r="ABI14" s="337"/>
      <c r="ABJ14" s="337"/>
      <c r="ABK14" s="337"/>
      <c r="ABL14" s="337"/>
      <c r="ABM14" s="337"/>
      <c r="ABN14" s="337"/>
      <c r="ABO14" s="337"/>
      <c r="ABP14" s="337"/>
      <c r="ABQ14" s="337"/>
      <c r="ABR14" s="337"/>
      <c r="ABS14" s="337"/>
      <c r="ABT14" s="337"/>
      <c r="ABU14" s="337"/>
      <c r="ABV14" s="337"/>
      <c r="ABW14" s="337"/>
      <c r="ABX14" s="337"/>
      <c r="ABY14" s="337"/>
      <c r="ABZ14" s="337"/>
      <c r="ACA14" s="337"/>
      <c r="ACB14" s="337"/>
      <c r="ACC14" s="337"/>
      <c r="ACD14" s="337"/>
      <c r="ACE14" s="337"/>
      <c r="ACF14" s="337"/>
      <c r="ACG14" s="337"/>
      <c r="ACH14" s="337"/>
      <c r="ACI14" s="337"/>
      <c r="ACJ14" s="337"/>
      <c r="ACK14" s="337"/>
      <c r="ACL14" s="337"/>
      <c r="ACM14" s="337"/>
      <c r="ACN14" s="337"/>
      <c r="ACO14" s="337"/>
      <c r="ACP14" s="337"/>
      <c r="ACQ14" s="337"/>
      <c r="ACR14" s="337"/>
      <c r="ACS14" s="337"/>
      <c r="ACT14" s="337"/>
      <c r="ACU14" s="337"/>
      <c r="ACV14" s="337"/>
      <c r="ACW14" s="337"/>
      <c r="ACX14" s="337"/>
      <c r="ACY14" s="337"/>
      <c r="ACZ14" s="337"/>
      <c r="ADA14" s="337"/>
      <c r="ADB14" s="337"/>
      <c r="ADC14" s="337"/>
      <c r="ADD14" s="337"/>
      <c r="ADE14" s="337"/>
      <c r="ADF14" s="337"/>
      <c r="ADG14" s="337"/>
      <c r="ADH14" s="337"/>
      <c r="ADI14" s="337"/>
      <c r="ADJ14" s="337"/>
      <c r="ADK14" s="337"/>
      <c r="ADL14" s="337"/>
      <c r="ADM14" s="337"/>
      <c r="ADN14" s="337"/>
      <c r="ADO14" s="337"/>
      <c r="ADP14" s="337"/>
      <c r="ADQ14" s="337"/>
      <c r="ADR14" s="337"/>
      <c r="ADS14" s="337"/>
      <c r="ADT14" s="337"/>
      <c r="ADU14" s="337"/>
      <c r="ADV14" s="337"/>
      <c r="ADW14" s="337"/>
      <c r="ADX14" s="337"/>
      <c r="ADY14" s="337"/>
      <c r="ADZ14" s="337"/>
      <c r="AEA14" s="337"/>
      <c r="AEB14" s="337"/>
      <c r="AEC14" s="337"/>
      <c r="AED14" s="337"/>
      <c r="AEE14" s="337"/>
      <c r="AEF14" s="337"/>
      <c r="AEG14" s="337"/>
      <c r="AEH14" s="337"/>
      <c r="AEI14" s="337"/>
      <c r="AEJ14" s="337"/>
      <c r="AEK14" s="337"/>
      <c r="AEL14" s="337"/>
      <c r="AEM14" s="337"/>
      <c r="AEN14" s="337"/>
      <c r="AEO14" s="337"/>
      <c r="AEP14" s="337"/>
      <c r="AEQ14" s="337"/>
      <c r="AER14" s="337"/>
      <c r="AES14" s="337"/>
      <c r="AET14" s="337"/>
      <c r="AEU14" s="337"/>
      <c r="AEV14" s="337"/>
      <c r="AEW14" s="337"/>
      <c r="AEX14" s="337"/>
      <c r="AEY14" s="337"/>
      <c r="AEZ14" s="337"/>
      <c r="AFA14" s="337"/>
      <c r="AFB14" s="337"/>
      <c r="AFC14" s="337"/>
      <c r="AFD14" s="337"/>
      <c r="AFE14" s="337"/>
      <c r="AFF14" s="337"/>
      <c r="AFG14" s="337"/>
      <c r="AFH14" s="337"/>
      <c r="AFI14" s="337"/>
      <c r="AFJ14" s="337"/>
      <c r="AFK14" s="337"/>
      <c r="AFL14" s="337"/>
      <c r="AFM14" s="337"/>
      <c r="AFN14" s="337"/>
      <c r="AFO14" s="337"/>
      <c r="AFP14" s="337"/>
      <c r="AFQ14" s="337"/>
      <c r="AFR14" s="337"/>
      <c r="AFS14" s="337"/>
      <c r="AFT14" s="337"/>
      <c r="AFU14" s="337"/>
      <c r="AFV14" s="337"/>
      <c r="AFW14" s="337"/>
      <c r="AFX14" s="337"/>
      <c r="AFY14" s="337"/>
      <c r="AFZ14" s="337"/>
      <c r="AGA14" s="337"/>
      <c r="AGB14" s="337"/>
      <c r="AGC14" s="337"/>
      <c r="AGD14" s="337"/>
      <c r="AGE14" s="337"/>
      <c r="AGF14" s="337"/>
      <c r="AGG14" s="337"/>
      <c r="AGH14" s="337"/>
      <c r="AGI14" s="337"/>
      <c r="AGJ14" s="337"/>
      <c r="AGK14" s="337"/>
      <c r="AGL14" s="337"/>
      <c r="AGM14" s="337"/>
      <c r="AGN14" s="337"/>
      <c r="AGO14" s="337"/>
      <c r="AGP14" s="337"/>
      <c r="AGQ14" s="337"/>
      <c r="AGR14" s="337"/>
      <c r="AGS14" s="337"/>
      <c r="AGT14" s="337"/>
      <c r="AGU14" s="337"/>
      <c r="AGV14" s="337"/>
      <c r="AGW14" s="337"/>
      <c r="AGX14" s="337"/>
      <c r="AGY14" s="337"/>
      <c r="AGZ14" s="337"/>
      <c r="AHA14" s="346"/>
      <c r="AHB14" s="346"/>
      <c r="AHC14" s="346"/>
      <c r="AHD14" s="346"/>
      <c r="AHE14" s="346"/>
    </row>
    <row r="15" s="336" customFormat="1" ht="24" customHeight="1" spans="1:889">
      <c r="A15" s="349">
        <v>11</v>
      </c>
      <c r="B15" s="350"/>
      <c r="C15" s="351" t="s">
        <v>120</v>
      </c>
      <c r="D15" s="352"/>
      <c r="E15" s="348"/>
      <c r="F15" s="81">
        <v>11</v>
      </c>
      <c r="G15" s="355" t="s">
        <v>429</v>
      </c>
      <c r="H15" s="354" t="s">
        <v>430</v>
      </c>
      <c r="I15" s="100" t="s">
        <v>124</v>
      </c>
      <c r="J15" s="100"/>
      <c r="K15" s="100"/>
      <c r="L15" s="100"/>
      <c r="M15" s="100"/>
      <c r="N15" s="373" t="s">
        <v>431</v>
      </c>
      <c r="O15" s="374"/>
      <c r="P15" s="375"/>
      <c r="Q15" s="375"/>
      <c r="R15" s="382" t="s">
        <v>130</v>
      </c>
      <c r="S15" s="383"/>
      <c r="T15" s="383"/>
      <c r="U15" s="383"/>
      <c r="V15" s="382" t="s">
        <v>130</v>
      </c>
      <c r="W15" s="383"/>
      <c r="X15" s="349" t="s">
        <v>129</v>
      </c>
      <c r="Y15" s="349" t="s">
        <v>129</v>
      </c>
      <c r="Z15" s="120">
        <f t="shared" si="0"/>
        <v>24</v>
      </c>
      <c r="AA15" s="304" t="str">
        <f t="shared" si="1"/>
        <v>00:24:00</v>
      </c>
      <c r="AB15" s="120">
        <f t="shared" si="2"/>
        <v>1440</v>
      </c>
      <c r="AC15" s="399">
        <v>0.0167476851851852</v>
      </c>
      <c r="AD15" s="400">
        <v>169</v>
      </c>
      <c r="AE15" s="400">
        <v>43</v>
      </c>
      <c r="AF15" s="349" t="s">
        <v>132</v>
      </c>
      <c r="AG15" s="344"/>
      <c r="AH15" s="345"/>
      <c r="AI15" s="345"/>
      <c r="AJ15" s="337"/>
      <c r="AK15" s="339"/>
      <c r="AL15" s="339"/>
      <c r="AM15" s="339"/>
      <c r="AN15" s="346"/>
      <c r="AO15" s="346"/>
      <c r="AP15" s="337"/>
      <c r="AQ15" s="337"/>
      <c r="AR15" s="337"/>
      <c r="AS15" s="337"/>
      <c r="AT15" s="337"/>
      <c r="AU15" s="337"/>
      <c r="AV15" s="337"/>
      <c r="AW15" s="337"/>
      <c r="AX15" s="337"/>
      <c r="AY15" s="337"/>
      <c r="AZ15" s="337"/>
      <c r="BA15" s="337"/>
      <c r="BB15" s="337"/>
      <c r="BC15" s="337"/>
      <c r="BD15" s="337"/>
      <c r="BE15" s="337"/>
      <c r="BF15" s="337"/>
      <c r="BG15" s="337"/>
      <c r="BH15" s="337"/>
      <c r="BI15" s="337"/>
      <c r="BJ15" s="337"/>
      <c r="BK15" s="337"/>
      <c r="BL15" s="337"/>
      <c r="BM15" s="337"/>
      <c r="BN15" s="337"/>
      <c r="BO15" s="337"/>
      <c r="BP15" s="337"/>
      <c r="BQ15" s="337"/>
      <c r="BR15" s="337"/>
      <c r="BS15" s="337"/>
      <c r="BT15" s="337"/>
      <c r="BU15" s="337"/>
      <c r="BV15" s="337"/>
      <c r="BW15" s="337"/>
      <c r="BX15" s="337"/>
      <c r="BY15" s="337"/>
      <c r="BZ15" s="337"/>
      <c r="CA15" s="337"/>
      <c r="CB15" s="337"/>
      <c r="CC15" s="337"/>
      <c r="CD15" s="337"/>
      <c r="CE15" s="337"/>
      <c r="CF15" s="337"/>
      <c r="CG15" s="337"/>
      <c r="CH15" s="337"/>
      <c r="CI15" s="337"/>
      <c r="CJ15" s="337"/>
      <c r="CK15" s="337"/>
      <c r="CL15" s="337"/>
      <c r="CM15" s="337"/>
      <c r="CN15" s="337"/>
      <c r="CO15" s="337"/>
      <c r="CP15" s="337"/>
      <c r="CQ15" s="337"/>
      <c r="CR15" s="337"/>
      <c r="CS15" s="337"/>
      <c r="CT15" s="337"/>
      <c r="CU15" s="337"/>
      <c r="CV15" s="337"/>
      <c r="CW15" s="337"/>
      <c r="CX15" s="337"/>
      <c r="CY15" s="337"/>
      <c r="CZ15" s="337"/>
      <c r="DA15" s="337"/>
      <c r="DB15" s="337"/>
      <c r="DC15" s="337"/>
      <c r="DD15" s="337"/>
      <c r="DE15" s="337"/>
      <c r="DF15" s="337"/>
      <c r="DG15" s="337"/>
      <c r="DH15" s="337"/>
      <c r="DI15" s="337"/>
      <c r="DJ15" s="337"/>
      <c r="DK15" s="337"/>
      <c r="DL15" s="337"/>
      <c r="DM15" s="337"/>
      <c r="DN15" s="337"/>
      <c r="DO15" s="337"/>
      <c r="DP15" s="337"/>
      <c r="DQ15" s="337"/>
      <c r="DR15" s="337"/>
      <c r="DS15" s="337"/>
      <c r="DT15" s="337"/>
      <c r="DU15" s="337"/>
      <c r="DV15" s="337"/>
      <c r="DW15" s="337"/>
      <c r="DX15" s="337"/>
      <c r="DY15" s="337"/>
      <c r="DZ15" s="337"/>
      <c r="EA15" s="337"/>
      <c r="EB15" s="337"/>
      <c r="EC15" s="337"/>
      <c r="ED15" s="337"/>
      <c r="EE15" s="337"/>
      <c r="EF15" s="337"/>
      <c r="EG15" s="337"/>
      <c r="EH15" s="337"/>
      <c r="EI15" s="337"/>
      <c r="EJ15" s="337"/>
      <c r="EK15" s="337"/>
      <c r="EL15" s="337"/>
      <c r="EM15" s="337"/>
      <c r="EN15" s="337"/>
      <c r="EO15" s="337"/>
      <c r="EP15" s="337"/>
      <c r="EQ15" s="337"/>
      <c r="ER15" s="337"/>
      <c r="ES15" s="337"/>
      <c r="ET15" s="337"/>
      <c r="EU15" s="337"/>
      <c r="EV15" s="337"/>
      <c r="EW15" s="337"/>
      <c r="EX15" s="337"/>
      <c r="EY15" s="337"/>
      <c r="EZ15" s="337"/>
      <c r="FA15" s="337"/>
      <c r="FB15" s="337"/>
      <c r="FC15" s="337"/>
      <c r="FD15" s="337"/>
      <c r="FE15" s="337"/>
      <c r="FF15" s="337"/>
      <c r="FG15" s="337"/>
      <c r="FH15" s="337"/>
      <c r="FI15" s="337"/>
      <c r="FJ15" s="337"/>
      <c r="FK15" s="337"/>
      <c r="FL15" s="337"/>
      <c r="FM15" s="337"/>
      <c r="FN15" s="337"/>
      <c r="FO15" s="337"/>
      <c r="FP15" s="337"/>
      <c r="FQ15" s="337"/>
      <c r="FR15" s="337"/>
      <c r="FS15" s="337"/>
      <c r="FT15" s="337"/>
      <c r="FU15" s="337"/>
      <c r="FV15" s="337"/>
      <c r="FW15" s="337"/>
      <c r="FX15" s="337"/>
      <c r="FY15" s="337"/>
      <c r="FZ15" s="337"/>
      <c r="GA15" s="337"/>
      <c r="GB15" s="337"/>
      <c r="GC15" s="337"/>
      <c r="GD15" s="337"/>
      <c r="GE15" s="337"/>
      <c r="GF15" s="337"/>
      <c r="GG15" s="337"/>
      <c r="GH15" s="337"/>
      <c r="GI15" s="337"/>
      <c r="GJ15" s="337"/>
      <c r="GK15" s="337"/>
      <c r="GL15" s="337"/>
      <c r="GM15" s="337"/>
      <c r="GN15" s="337"/>
      <c r="GO15" s="337"/>
      <c r="GP15" s="337"/>
      <c r="GQ15" s="337"/>
      <c r="GR15" s="337"/>
      <c r="GS15" s="337"/>
      <c r="GT15" s="337"/>
      <c r="GU15" s="337"/>
      <c r="GV15" s="337"/>
      <c r="GW15" s="337"/>
      <c r="GX15" s="337"/>
      <c r="GY15" s="337"/>
      <c r="GZ15" s="337"/>
      <c r="HA15" s="337"/>
      <c r="HB15" s="337"/>
      <c r="HC15" s="337"/>
      <c r="HD15" s="337"/>
      <c r="HE15" s="337"/>
      <c r="HF15" s="337"/>
      <c r="HG15" s="337"/>
      <c r="HH15" s="337"/>
      <c r="HI15" s="337"/>
      <c r="HJ15" s="337"/>
      <c r="HK15" s="337"/>
      <c r="HL15" s="337"/>
      <c r="HM15" s="337"/>
      <c r="HN15" s="337"/>
      <c r="HO15" s="337"/>
      <c r="HP15" s="337"/>
      <c r="HQ15" s="337"/>
      <c r="HR15" s="337"/>
      <c r="HS15" s="337"/>
      <c r="HT15" s="337"/>
      <c r="HU15" s="337"/>
      <c r="HV15" s="337"/>
      <c r="HW15" s="337"/>
      <c r="HX15" s="337"/>
      <c r="HY15" s="337"/>
      <c r="HZ15" s="337"/>
      <c r="IA15" s="337"/>
      <c r="IB15" s="337"/>
      <c r="IC15" s="337"/>
      <c r="ID15" s="337"/>
      <c r="IE15" s="337"/>
      <c r="IF15" s="337"/>
      <c r="IG15" s="337"/>
      <c r="IH15" s="337"/>
      <c r="II15" s="337"/>
      <c r="IJ15" s="337"/>
      <c r="IK15" s="337"/>
      <c r="IL15" s="337"/>
      <c r="IM15" s="337"/>
      <c r="IN15" s="337"/>
      <c r="IO15" s="337"/>
      <c r="IP15" s="337"/>
      <c r="IQ15" s="337"/>
      <c r="IR15" s="337"/>
      <c r="IS15" s="337"/>
      <c r="IT15" s="337"/>
      <c r="IU15" s="337"/>
      <c r="IV15" s="337"/>
      <c r="IW15" s="337"/>
      <c r="IX15" s="337"/>
      <c r="IY15" s="337"/>
      <c r="IZ15" s="337"/>
      <c r="JA15" s="337"/>
      <c r="JB15" s="337"/>
      <c r="JC15" s="337"/>
      <c r="JD15" s="337"/>
      <c r="JE15" s="337"/>
      <c r="JF15" s="337"/>
      <c r="JG15" s="337"/>
      <c r="JH15" s="337"/>
      <c r="JI15" s="337"/>
      <c r="JJ15" s="337"/>
      <c r="JK15" s="337"/>
      <c r="JL15" s="337"/>
      <c r="JM15" s="337"/>
      <c r="JN15" s="337"/>
      <c r="JO15" s="337"/>
      <c r="JP15" s="337"/>
      <c r="JQ15" s="337"/>
      <c r="JR15" s="337"/>
      <c r="JS15" s="337"/>
      <c r="JT15" s="337"/>
      <c r="JU15" s="337"/>
      <c r="JV15" s="337"/>
      <c r="JW15" s="337"/>
      <c r="JX15" s="337"/>
      <c r="JY15" s="337"/>
      <c r="JZ15" s="337"/>
      <c r="KA15" s="337"/>
      <c r="KB15" s="337"/>
      <c r="KC15" s="337"/>
      <c r="KD15" s="337"/>
      <c r="KE15" s="337"/>
      <c r="KF15" s="337"/>
      <c r="KG15" s="337"/>
      <c r="KH15" s="337"/>
      <c r="KI15" s="337"/>
      <c r="KJ15" s="337"/>
      <c r="KK15" s="337"/>
      <c r="KL15" s="337"/>
      <c r="KM15" s="337"/>
      <c r="KN15" s="337"/>
      <c r="KO15" s="337"/>
      <c r="KP15" s="337"/>
      <c r="KQ15" s="337"/>
      <c r="KR15" s="337"/>
      <c r="KS15" s="337"/>
      <c r="KT15" s="337"/>
      <c r="KU15" s="337"/>
      <c r="KV15" s="337"/>
      <c r="KW15" s="337"/>
      <c r="KX15" s="337"/>
      <c r="KY15" s="337"/>
      <c r="KZ15" s="337"/>
      <c r="LA15" s="337"/>
      <c r="LB15" s="337"/>
      <c r="LC15" s="337"/>
      <c r="LD15" s="337"/>
      <c r="LE15" s="337"/>
      <c r="LF15" s="337"/>
      <c r="LG15" s="337"/>
      <c r="LH15" s="337"/>
      <c r="LI15" s="337"/>
      <c r="LJ15" s="337"/>
      <c r="LK15" s="337"/>
      <c r="LL15" s="337"/>
      <c r="LM15" s="337"/>
      <c r="LN15" s="337"/>
      <c r="LO15" s="337"/>
      <c r="LP15" s="337"/>
      <c r="LQ15" s="337"/>
      <c r="LR15" s="337"/>
      <c r="LS15" s="337"/>
      <c r="LT15" s="337"/>
      <c r="LU15" s="337"/>
      <c r="LV15" s="337"/>
      <c r="LW15" s="337"/>
      <c r="LX15" s="337"/>
      <c r="LY15" s="337"/>
      <c r="LZ15" s="337"/>
      <c r="MA15" s="337"/>
      <c r="MB15" s="337"/>
      <c r="MC15" s="337"/>
      <c r="MD15" s="337"/>
      <c r="ME15" s="337"/>
      <c r="MF15" s="337"/>
      <c r="MG15" s="337"/>
      <c r="MH15" s="337"/>
      <c r="MI15" s="337"/>
      <c r="MJ15" s="337"/>
      <c r="MK15" s="337"/>
      <c r="ML15" s="337"/>
      <c r="MM15" s="337"/>
      <c r="MN15" s="337"/>
      <c r="MO15" s="337"/>
      <c r="MP15" s="337"/>
      <c r="MQ15" s="337"/>
      <c r="MR15" s="337"/>
      <c r="MS15" s="337"/>
      <c r="MT15" s="337"/>
      <c r="MU15" s="337"/>
      <c r="MV15" s="337"/>
      <c r="MW15" s="337"/>
      <c r="MX15" s="337"/>
      <c r="MY15" s="337"/>
      <c r="MZ15" s="337"/>
      <c r="NA15" s="337"/>
      <c r="NB15" s="337"/>
      <c r="NC15" s="337"/>
      <c r="ND15" s="337"/>
      <c r="NE15" s="337"/>
      <c r="NF15" s="337"/>
      <c r="NG15" s="337"/>
      <c r="NH15" s="337"/>
      <c r="NI15" s="337"/>
      <c r="NJ15" s="337"/>
      <c r="NK15" s="337"/>
      <c r="NL15" s="337"/>
      <c r="NM15" s="337"/>
      <c r="NN15" s="337"/>
      <c r="NO15" s="337"/>
      <c r="NP15" s="337"/>
      <c r="NQ15" s="337"/>
      <c r="NR15" s="337"/>
      <c r="NS15" s="337"/>
      <c r="NT15" s="337"/>
      <c r="NU15" s="337"/>
      <c r="NV15" s="337"/>
      <c r="NW15" s="337"/>
      <c r="NX15" s="337"/>
      <c r="NY15" s="337"/>
      <c r="NZ15" s="337"/>
      <c r="OA15" s="337"/>
      <c r="OB15" s="337"/>
      <c r="OC15" s="337"/>
      <c r="OD15" s="337"/>
      <c r="OE15" s="337"/>
      <c r="OF15" s="337"/>
      <c r="OG15" s="337"/>
      <c r="OH15" s="337"/>
      <c r="OI15" s="337"/>
      <c r="OJ15" s="337"/>
      <c r="OK15" s="337"/>
      <c r="OL15" s="337"/>
      <c r="OM15" s="337"/>
      <c r="ON15" s="337"/>
      <c r="OO15" s="337"/>
      <c r="OP15" s="337"/>
      <c r="OQ15" s="337"/>
      <c r="OR15" s="337"/>
      <c r="OS15" s="337"/>
      <c r="OT15" s="337"/>
      <c r="OU15" s="337"/>
      <c r="OV15" s="337"/>
      <c r="OW15" s="337"/>
      <c r="OX15" s="337"/>
      <c r="OY15" s="337"/>
      <c r="OZ15" s="337"/>
      <c r="PA15" s="337"/>
      <c r="PB15" s="337"/>
      <c r="PC15" s="337"/>
      <c r="PD15" s="337"/>
      <c r="PE15" s="337"/>
      <c r="PF15" s="337"/>
      <c r="PG15" s="337"/>
      <c r="PH15" s="337"/>
      <c r="PI15" s="337"/>
      <c r="PJ15" s="337"/>
      <c r="PK15" s="337"/>
      <c r="PL15" s="337"/>
      <c r="PM15" s="337"/>
      <c r="PN15" s="337"/>
      <c r="PO15" s="337"/>
      <c r="PP15" s="337"/>
      <c r="PQ15" s="337"/>
      <c r="PR15" s="337"/>
      <c r="PS15" s="337"/>
      <c r="PT15" s="337"/>
      <c r="PU15" s="337"/>
      <c r="PV15" s="337"/>
      <c r="PW15" s="337"/>
      <c r="PX15" s="337"/>
      <c r="PY15" s="337"/>
      <c r="PZ15" s="337"/>
      <c r="QA15" s="337"/>
      <c r="QB15" s="337"/>
      <c r="QC15" s="337"/>
      <c r="QD15" s="337"/>
      <c r="QE15" s="337"/>
      <c r="QF15" s="337"/>
      <c r="QG15" s="337"/>
      <c r="QH15" s="337"/>
      <c r="QI15" s="337"/>
      <c r="QJ15" s="337"/>
      <c r="QK15" s="337"/>
      <c r="QL15" s="337"/>
      <c r="QM15" s="337"/>
      <c r="QN15" s="337"/>
      <c r="QO15" s="337"/>
      <c r="QP15" s="337"/>
      <c r="QQ15" s="337"/>
      <c r="QR15" s="337"/>
      <c r="QS15" s="337"/>
      <c r="QT15" s="337"/>
      <c r="QU15" s="337"/>
      <c r="QV15" s="337"/>
      <c r="QW15" s="337"/>
      <c r="QX15" s="337"/>
      <c r="QY15" s="337"/>
      <c r="QZ15" s="337"/>
      <c r="RA15" s="337"/>
      <c r="RB15" s="337"/>
      <c r="RC15" s="337"/>
      <c r="RD15" s="337"/>
      <c r="RE15" s="337"/>
      <c r="RF15" s="337"/>
      <c r="RG15" s="337"/>
      <c r="RH15" s="337"/>
      <c r="RI15" s="337"/>
      <c r="RJ15" s="337"/>
      <c r="RK15" s="337"/>
      <c r="RL15" s="337"/>
      <c r="RM15" s="337"/>
      <c r="RN15" s="337"/>
      <c r="RO15" s="337"/>
      <c r="RP15" s="337"/>
      <c r="RQ15" s="337"/>
      <c r="RR15" s="337"/>
      <c r="RS15" s="337"/>
      <c r="RT15" s="337"/>
      <c r="RU15" s="337"/>
      <c r="RV15" s="337"/>
      <c r="RW15" s="337"/>
      <c r="RX15" s="337"/>
      <c r="RY15" s="337"/>
      <c r="RZ15" s="337"/>
      <c r="SA15" s="337"/>
      <c r="SB15" s="337"/>
      <c r="SC15" s="337"/>
      <c r="SD15" s="337"/>
      <c r="SE15" s="337"/>
      <c r="SF15" s="337"/>
      <c r="SG15" s="337"/>
      <c r="SH15" s="337"/>
      <c r="SI15" s="337"/>
      <c r="SJ15" s="337"/>
      <c r="SK15" s="337"/>
      <c r="SL15" s="337"/>
      <c r="SM15" s="337"/>
      <c r="SN15" s="337"/>
      <c r="SO15" s="337"/>
      <c r="SP15" s="337"/>
      <c r="SQ15" s="337"/>
      <c r="SR15" s="337"/>
      <c r="SS15" s="337"/>
      <c r="ST15" s="337"/>
      <c r="SU15" s="337"/>
      <c r="SV15" s="337"/>
      <c r="SW15" s="337"/>
      <c r="SX15" s="337"/>
      <c r="SY15" s="337"/>
      <c r="SZ15" s="337"/>
      <c r="TA15" s="337"/>
      <c r="TB15" s="337"/>
      <c r="TC15" s="337"/>
      <c r="TD15" s="337"/>
      <c r="TE15" s="337"/>
      <c r="TF15" s="337"/>
      <c r="TG15" s="337"/>
      <c r="TH15" s="337"/>
      <c r="TI15" s="337"/>
      <c r="TJ15" s="337"/>
      <c r="TK15" s="337"/>
      <c r="TL15" s="337"/>
      <c r="TM15" s="337"/>
      <c r="TN15" s="337"/>
      <c r="TO15" s="337"/>
      <c r="TP15" s="337"/>
      <c r="TQ15" s="337"/>
      <c r="TR15" s="337"/>
      <c r="TS15" s="337"/>
      <c r="TT15" s="337"/>
      <c r="TU15" s="337"/>
      <c r="TV15" s="337"/>
      <c r="TW15" s="337"/>
      <c r="TX15" s="337"/>
      <c r="TY15" s="337"/>
      <c r="TZ15" s="337"/>
      <c r="UA15" s="337"/>
      <c r="UB15" s="337"/>
      <c r="UC15" s="337"/>
      <c r="UD15" s="337"/>
      <c r="UE15" s="337"/>
      <c r="UF15" s="337"/>
      <c r="UG15" s="337"/>
      <c r="UH15" s="337"/>
      <c r="UI15" s="337"/>
      <c r="UJ15" s="337"/>
      <c r="UK15" s="337"/>
      <c r="UL15" s="337"/>
      <c r="UM15" s="337"/>
      <c r="UN15" s="337"/>
      <c r="UO15" s="337"/>
      <c r="UP15" s="337"/>
      <c r="UQ15" s="337"/>
      <c r="UR15" s="337"/>
      <c r="US15" s="337"/>
      <c r="UT15" s="337"/>
      <c r="UU15" s="337"/>
      <c r="UV15" s="337"/>
      <c r="UW15" s="337"/>
      <c r="UX15" s="337"/>
      <c r="UY15" s="337"/>
      <c r="UZ15" s="337"/>
      <c r="VA15" s="337"/>
      <c r="VB15" s="337"/>
      <c r="VC15" s="337"/>
      <c r="VD15" s="337"/>
      <c r="VE15" s="337"/>
      <c r="VF15" s="337"/>
      <c r="VG15" s="337"/>
      <c r="VH15" s="337"/>
      <c r="VI15" s="337"/>
      <c r="VJ15" s="337"/>
      <c r="VK15" s="337"/>
      <c r="VL15" s="337"/>
      <c r="VM15" s="337"/>
      <c r="VN15" s="337"/>
      <c r="VO15" s="337"/>
      <c r="VP15" s="337"/>
      <c r="VQ15" s="337"/>
      <c r="VR15" s="337"/>
      <c r="VS15" s="337"/>
      <c r="VT15" s="337"/>
      <c r="VU15" s="337"/>
      <c r="VV15" s="337"/>
      <c r="VW15" s="337"/>
      <c r="VX15" s="337"/>
      <c r="VY15" s="337"/>
      <c r="VZ15" s="337"/>
      <c r="WA15" s="337"/>
      <c r="WB15" s="337"/>
      <c r="WC15" s="337"/>
      <c r="WD15" s="337"/>
      <c r="WE15" s="337"/>
      <c r="WF15" s="337"/>
      <c r="WG15" s="337"/>
      <c r="WH15" s="337"/>
      <c r="WI15" s="337"/>
      <c r="WJ15" s="337"/>
      <c r="WK15" s="337"/>
      <c r="WL15" s="337"/>
      <c r="WM15" s="337"/>
      <c r="WN15" s="337"/>
      <c r="WO15" s="337"/>
      <c r="WP15" s="337"/>
      <c r="WQ15" s="337"/>
      <c r="WR15" s="337"/>
      <c r="WS15" s="337"/>
      <c r="WT15" s="337"/>
      <c r="WU15" s="337"/>
      <c r="WV15" s="337"/>
      <c r="WW15" s="337"/>
      <c r="WX15" s="337"/>
      <c r="WY15" s="337"/>
      <c r="WZ15" s="337"/>
      <c r="XA15" s="337"/>
      <c r="XB15" s="337"/>
      <c r="XC15" s="337"/>
      <c r="XD15" s="337"/>
      <c r="XE15" s="337"/>
      <c r="XF15" s="337"/>
      <c r="XG15" s="337"/>
      <c r="XH15" s="337"/>
      <c r="XI15" s="337"/>
      <c r="XJ15" s="337"/>
      <c r="XK15" s="337"/>
      <c r="XL15" s="337"/>
      <c r="XM15" s="337"/>
      <c r="XN15" s="337"/>
      <c r="XO15" s="337"/>
      <c r="XP15" s="337"/>
      <c r="XQ15" s="337"/>
      <c r="XR15" s="337"/>
      <c r="XS15" s="337"/>
      <c r="XT15" s="337"/>
      <c r="XU15" s="337"/>
      <c r="XV15" s="337"/>
      <c r="XW15" s="337"/>
      <c r="XX15" s="337"/>
      <c r="XY15" s="337"/>
      <c r="XZ15" s="337"/>
      <c r="YA15" s="337"/>
      <c r="YB15" s="337"/>
      <c r="YC15" s="337"/>
      <c r="YD15" s="337"/>
      <c r="YE15" s="337"/>
      <c r="YF15" s="337"/>
      <c r="YG15" s="337"/>
      <c r="YH15" s="337"/>
      <c r="YI15" s="337"/>
      <c r="YJ15" s="337"/>
      <c r="YK15" s="337"/>
      <c r="YL15" s="337"/>
      <c r="YM15" s="337"/>
      <c r="YN15" s="337"/>
      <c r="YO15" s="337"/>
      <c r="YP15" s="337"/>
      <c r="YQ15" s="337"/>
      <c r="YR15" s="337"/>
      <c r="YS15" s="337"/>
      <c r="YT15" s="337"/>
      <c r="YU15" s="337"/>
      <c r="YV15" s="337"/>
      <c r="YW15" s="337"/>
      <c r="YX15" s="337"/>
      <c r="YY15" s="337"/>
      <c r="YZ15" s="337"/>
      <c r="ZA15" s="337"/>
      <c r="ZB15" s="337"/>
      <c r="ZC15" s="337"/>
      <c r="ZD15" s="337"/>
      <c r="ZE15" s="337"/>
      <c r="ZF15" s="337"/>
      <c r="ZG15" s="337"/>
      <c r="ZH15" s="337"/>
      <c r="ZI15" s="337"/>
      <c r="ZJ15" s="337"/>
      <c r="ZK15" s="337"/>
      <c r="ZL15" s="337"/>
      <c r="ZM15" s="337"/>
      <c r="ZN15" s="337"/>
      <c r="ZO15" s="337"/>
      <c r="ZP15" s="337"/>
      <c r="ZQ15" s="337"/>
      <c r="ZR15" s="337"/>
      <c r="ZS15" s="337"/>
      <c r="ZT15" s="337"/>
      <c r="ZU15" s="337"/>
      <c r="ZV15" s="337"/>
      <c r="ZW15" s="337"/>
      <c r="ZX15" s="337"/>
      <c r="ZY15" s="337"/>
      <c r="ZZ15" s="337"/>
      <c r="AAA15" s="337"/>
      <c r="AAB15" s="337"/>
      <c r="AAC15" s="337"/>
      <c r="AAD15" s="337"/>
      <c r="AAE15" s="337"/>
      <c r="AAF15" s="337"/>
      <c r="AAG15" s="337"/>
      <c r="AAH15" s="337"/>
      <c r="AAI15" s="337"/>
      <c r="AAJ15" s="337"/>
      <c r="AAK15" s="337"/>
      <c r="AAL15" s="337"/>
      <c r="AAM15" s="337"/>
      <c r="AAN15" s="337"/>
      <c r="AAO15" s="337"/>
      <c r="AAP15" s="337"/>
      <c r="AAQ15" s="337"/>
      <c r="AAR15" s="337"/>
      <c r="AAS15" s="337"/>
      <c r="AAT15" s="337"/>
      <c r="AAU15" s="337"/>
      <c r="AAV15" s="337"/>
      <c r="AAW15" s="337"/>
      <c r="AAX15" s="337"/>
      <c r="AAY15" s="337"/>
      <c r="AAZ15" s="337"/>
      <c r="ABA15" s="337"/>
      <c r="ABB15" s="337"/>
      <c r="ABC15" s="337"/>
      <c r="ABD15" s="337"/>
      <c r="ABE15" s="337"/>
      <c r="ABF15" s="337"/>
      <c r="ABG15" s="337"/>
      <c r="ABH15" s="337"/>
      <c r="ABI15" s="337"/>
      <c r="ABJ15" s="337"/>
      <c r="ABK15" s="337"/>
      <c r="ABL15" s="337"/>
      <c r="ABM15" s="337"/>
      <c r="ABN15" s="337"/>
      <c r="ABO15" s="337"/>
      <c r="ABP15" s="337"/>
      <c r="ABQ15" s="337"/>
      <c r="ABR15" s="337"/>
      <c r="ABS15" s="337"/>
      <c r="ABT15" s="337"/>
      <c r="ABU15" s="337"/>
      <c r="ABV15" s="337"/>
      <c r="ABW15" s="337"/>
      <c r="ABX15" s="337"/>
      <c r="ABY15" s="337"/>
      <c r="ABZ15" s="337"/>
      <c r="ACA15" s="337"/>
      <c r="ACB15" s="337"/>
      <c r="ACC15" s="337"/>
      <c r="ACD15" s="337"/>
      <c r="ACE15" s="337"/>
      <c r="ACF15" s="337"/>
      <c r="ACG15" s="337"/>
      <c r="ACH15" s="337"/>
      <c r="ACI15" s="337"/>
      <c r="ACJ15" s="337"/>
      <c r="ACK15" s="337"/>
      <c r="ACL15" s="337"/>
      <c r="ACM15" s="337"/>
      <c r="ACN15" s="337"/>
      <c r="ACO15" s="337"/>
      <c r="ACP15" s="337"/>
      <c r="ACQ15" s="337"/>
      <c r="ACR15" s="337"/>
      <c r="ACS15" s="337"/>
      <c r="ACT15" s="337"/>
      <c r="ACU15" s="337"/>
      <c r="ACV15" s="337"/>
      <c r="ACW15" s="337"/>
      <c r="ACX15" s="337"/>
      <c r="ACY15" s="337"/>
      <c r="ACZ15" s="337"/>
      <c r="ADA15" s="337"/>
      <c r="ADB15" s="337"/>
      <c r="ADC15" s="337"/>
      <c r="ADD15" s="337"/>
      <c r="ADE15" s="337"/>
      <c r="ADF15" s="337"/>
      <c r="ADG15" s="337"/>
      <c r="ADH15" s="337"/>
      <c r="ADI15" s="337"/>
      <c r="ADJ15" s="337"/>
      <c r="ADK15" s="337"/>
      <c r="ADL15" s="337"/>
      <c r="ADM15" s="337"/>
      <c r="ADN15" s="337"/>
      <c r="ADO15" s="337"/>
      <c r="ADP15" s="337"/>
      <c r="ADQ15" s="337"/>
      <c r="ADR15" s="337"/>
      <c r="ADS15" s="337"/>
      <c r="ADT15" s="337"/>
      <c r="ADU15" s="337"/>
      <c r="ADV15" s="337"/>
      <c r="ADW15" s="337"/>
      <c r="ADX15" s="337"/>
      <c r="ADY15" s="337"/>
      <c r="ADZ15" s="337"/>
      <c r="AEA15" s="337"/>
      <c r="AEB15" s="337"/>
      <c r="AEC15" s="337"/>
      <c r="AED15" s="337"/>
      <c r="AEE15" s="337"/>
      <c r="AEF15" s="337"/>
      <c r="AEG15" s="337"/>
      <c r="AEH15" s="337"/>
      <c r="AEI15" s="337"/>
      <c r="AEJ15" s="337"/>
      <c r="AEK15" s="337"/>
      <c r="AEL15" s="337"/>
      <c r="AEM15" s="337"/>
      <c r="AEN15" s="337"/>
      <c r="AEO15" s="337"/>
      <c r="AEP15" s="337"/>
      <c r="AEQ15" s="337"/>
      <c r="AER15" s="337"/>
      <c r="AES15" s="337"/>
      <c r="AET15" s="337"/>
      <c r="AEU15" s="337"/>
      <c r="AEV15" s="337"/>
      <c r="AEW15" s="337"/>
      <c r="AEX15" s="337"/>
      <c r="AEY15" s="337"/>
      <c r="AEZ15" s="337"/>
      <c r="AFA15" s="337"/>
      <c r="AFB15" s="337"/>
      <c r="AFC15" s="337"/>
      <c r="AFD15" s="337"/>
      <c r="AFE15" s="337"/>
      <c r="AFF15" s="337"/>
      <c r="AFG15" s="337"/>
      <c r="AFH15" s="337"/>
      <c r="AFI15" s="337"/>
      <c r="AFJ15" s="337"/>
      <c r="AFK15" s="337"/>
      <c r="AFL15" s="337"/>
      <c r="AFM15" s="337"/>
      <c r="AFN15" s="337"/>
      <c r="AFO15" s="337"/>
      <c r="AFP15" s="337"/>
      <c r="AFQ15" s="337"/>
      <c r="AFR15" s="337"/>
      <c r="AFS15" s="337"/>
      <c r="AFT15" s="337"/>
      <c r="AFU15" s="337"/>
      <c r="AFV15" s="337"/>
      <c r="AFW15" s="337"/>
      <c r="AFX15" s="337"/>
      <c r="AFY15" s="337"/>
      <c r="AFZ15" s="337"/>
      <c r="AGA15" s="337"/>
      <c r="AGB15" s="337"/>
      <c r="AGC15" s="337"/>
      <c r="AGD15" s="337"/>
      <c r="AGE15" s="337"/>
      <c r="AGF15" s="337"/>
      <c r="AGG15" s="337"/>
      <c r="AGH15" s="337"/>
      <c r="AGI15" s="337"/>
      <c r="AGJ15" s="337"/>
      <c r="AGK15" s="337"/>
      <c r="AGL15" s="337"/>
      <c r="AGM15" s="337"/>
      <c r="AGN15" s="337"/>
      <c r="AGO15" s="337"/>
      <c r="AGP15" s="337"/>
      <c r="AGQ15" s="337"/>
      <c r="AGR15" s="337"/>
      <c r="AGS15" s="337"/>
      <c r="AGT15" s="337"/>
      <c r="AGU15" s="337"/>
      <c r="AGV15" s="337"/>
      <c r="AGW15" s="337"/>
      <c r="AGX15" s="337"/>
      <c r="AGY15" s="337"/>
      <c r="AGZ15" s="337"/>
      <c r="AHA15" s="346"/>
      <c r="AHB15" s="346"/>
      <c r="AHC15" s="346"/>
      <c r="AHD15" s="346"/>
      <c r="AHE15" s="346"/>
    </row>
    <row r="16" s="336" customFormat="1" ht="24" customHeight="1" spans="1:889">
      <c r="A16" s="349">
        <v>12</v>
      </c>
      <c r="B16" s="350"/>
      <c r="C16" s="351" t="s">
        <v>120</v>
      </c>
      <c r="D16" s="352"/>
      <c r="E16" s="348"/>
      <c r="F16" s="81">
        <v>12</v>
      </c>
      <c r="G16" s="355" t="s">
        <v>432</v>
      </c>
      <c r="H16" s="354" t="s">
        <v>433</v>
      </c>
      <c r="I16" s="100" t="s">
        <v>124</v>
      </c>
      <c r="J16" s="100"/>
      <c r="K16" s="100"/>
      <c r="L16" s="100"/>
      <c r="M16" s="100"/>
      <c r="N16" s="373" t="s">
        <v>434</v>
      </c>
      <c r="O16" s="374"/>
      <c r="P16" s="375"/>
      <c r="Q16" s="375"/>
      <c r="R16" s="382" t="s">
        <v>130</v>
      </c>
      <c r="S16" s="383"/>
      <c r="T16" s="383"/>
      <c r="U16" s="383"/>
      <c r="V16" s="382" t="s">
        <v>130</v>
      </c>
      <c r="W16" s="383"/>
      <c r="X16" s="349" t="s">
        <v>129</v>
      </c>
      <c r="Y16" s="349" t="s">
        <v>129</v>
      </c>
      <c r="Z16" s="120">
        <f t="shared" si="0"/>
        <v>24</v>
      </c>
      <c r="AA16" s="304" t="str">
        <f t="shared" si="1"/>
        <v>00:24:00</v>
      </c>
      <c r="AB16" s="120">
        <f t="shared" si="2"/>
        <v>1440</v>
      </c>
      <c r="AC16" s="399">
        <v>0.0166435185185185</v>
      </c>
      <c r="AD16" s="400">
        <v>169</v>
      </c>
      <c r="AE16" s="400">
        <v>43</v>
      </c>
      <c r="AF16" s="349" t="s">
        <v>132</v>
      </c>
      <c r="AG16" s="344"/>
      <c r="AH16" s="345"/>
      <c r="AI16" s="345"/>
      <c r="AJ16" s="337"/>
      <c r="AK16" s="339"/>
      <c r="AL16" s="339"/>
      <c r="AM16" s="339"/>
      <c r="AN16" s="346"/>
      <c r="AO16" s="346"/>
      <c r="AP16" s="337"/>
      <c r="AQ16" s="337"/>
      <c r="AR16" s="337"/>
      <c r="AS16" s="337"/>
      <c r="AT16" s="337"/>
      <c r="AU16" s="337"/>
      <c r="AV16" s="337"/>
      <c r="AW16" s="337"/>
      <c r="AX16" s="337"/>
      <c r="AY16" s="337"/>
      <c r="AZ16" s="337"/>
      <c r="BA16" s="337"/>
      <c r="BB16" s="337"/>
      <c r="BC16" s="337"/>
      <c r="BD16" s="337"/>
      <c r="BE16" s="337"/>
      <c r="BF16" s="337"/>
      <c r="BG16" s="337"/>
      <c r="BH16" s="337"/>
      <c r="BI16" s="337"/>
      <c r="BJ16" s="337"/>
      <c r="BK16" s="337"/>
      <c r="BL16" s="337"/>
      <c r="BM16" s="337"/>
      <c r="BN16" s="337"/>
      <c r="BO16" s="337"/>
      <c r="BP16" s="337"/>
      <c r="BQ16" s="337"/>
      <c r="BR16" s="337"/>
      <c r="BS16" s="337"/>
      <c r="BT16" s="337"/>
      <c r="BU16" s="337"/>
      <c r="BV16" s="337"/>
      <c r="BW16" s="337"/>
      <c r="BX16" s="337"/>
      <c r="BY16" s="337"/>
      <c r="BZ16" s="337"/>
      <c r="CA16" s="337"/>
      <c r="CB16" s="337"/>
      <c r="CC16" s="337"/>
      <c r="CD16" s="337"/>
      <c r="CE16" s="337"/>
      <c r="CF16" s="337"/>
      <c r="CG16" s="337"/>
      <c r="CH16" s="337"/>
      <c r="CI16" s="337"/>
      <c r="CJ16" s="337"/>
      <c r="CK16" s="337"/>
      <c r="CL16" s="337"/>
      <c r="CM16" s="337"/>
      <c r="CN16" s="337"/>
      <c r="CO16" s="337"/>
      <c r="CP16" s="337"/>
      <c r="CQ16" s="337"/>
      <c r="CR16" s="337"/>
      <c r="CS16" s="337"/>
      <c r="CT16" s="337"/>
      <c r="CU16" s="337"/>
      <c r="CV16" s="337"/>
      <c r="CW16" s="337"/>
      <c r="CX16" s="337"/>
      <c r="CY16" s="337"/>
      <c r="CZ16" s="337"/>
      <c r="DA16" s="337"/>
      <c r="DB16" s="337"/>
      <c r="DC16" s="337"/>
      <c r="DD16" s="337"/>
      <c r="DE16" s="337"/>
      <c r="DF16" s="337"/>
      <c r="DG16" s="337"/>
      <c r="DH16" s="337"/>
      <c r="DI16" s="337"/>
      <c r="DJ16" s="337"/>
      <c r="DK16" s="337"/>
      <c r="DL16" s="337"/>
      <c r="DM16" s="337"/>
      <c r="DN16" s="337"/>
      <c r="DO16" s="337"/>
      <c r="DP16" s="337"/>
      <c r="DQ16" s="337"/>
      <c r="DR16" s="337"/>
      <c r="DS16" s="337"/>
      <c r="DT16" s="337"/>
      <c r="DU16" s="337"/>
      <c r="DV16" s="337"/>
      <c r="DW16" s="337"/>
      <c r="DX16" s="337"/>
      <c r="DY16" s="337"/>
      <c r="DZ16" s="337"/>
      <c r="EA16" s="337"/>
      <c r="EB16" s="337"/>
      <c r="EC16" s="337"/>
      <c r="ED16" s="337"/>
      <c r="EE16" s="337"/>
      <c r="EF16" s="337"/>
      <c r="EG16" s="337"/>
      <c r="EH16" s="337"/>
      <c r="EI16" s="337"/>
      <c r="EJ16" s="337"/>
      <c r="EK16" s="337"/>
      <c r="EL16" s="337"/>
      <c r="EM16" s="337"/>
      <c r="EN16" s="337"/>
      <c r="EO16" s="337"/>
      <c r="EP16" s="337"/>
      <c r="EQ16" s="337"/>
      <c r="ER16" s="337"/>
      <c r="ES16" s="337"/>
      <c r="ET16" s="337"/>
      <c r="EU16" s="337"/>
      <c r="EV16" s="337"/>
      <c r="EW16" s="337"/>
      <c r="EX16" s="337"/>
      <c r="EY16" s="337"/>
      <c r="EZ16" s="337"/>
      <c r="FA16" s="337"/>
      <c r="FB16" s="337"/>
      <c r="FC16" s="337"/>
      <c r="FD16" s="337"/>
      <c r="FE16" s="337"/>
      <c r="FF16" s="337"/>
      <c r="FG16" s="337"/>
      <c r="FH16" s="337"/>
      <c r="FI16" s="337"/>
      <c r="FJ16" s="337"/>
      <c r="FK16" s="337"/>
      <c r="FL16" s="337"/>
      <c r="FM16" s="337"/>
      <c r="FN16" s="337"/>
      <c r="FO16" s="337"/>
      <c r="FP16" s="337"/>
      <c r="FQ16" s="337"/>
      <c r="FR16" s="337"/>
      <c r="FS16" s="337"/>
      <c r="FT16" s="337"/>
      <c r="FU16" s="337"/>
      <c r="FV16" s="337"/>
      <c r="FW16" s="337"/>
      <c r="FX16" s="337"/>
      <c r="FY16" s="337"/>
      <c r="FZ16" s="337"/>
      <c r="GA16" s="337"/>
      <c r="GB16" s="337"/>
      <c r="GC16" s="337"/>
      <c r="GD16" s="337"/>
      <c r="GE16" s="337"/>
      <c r="GF16" s="337"/>
      <c r="GG16" s="337"/>
      <c r="GH16" s="337"/>
      <c r="GI16" s="337"/>
      <c r="GJ16" s="337"/>
      <c r="GK16" s="337"/>
      <c r="GL16" s="337"/>
      <c r="GM16" s="337"/>
      <c r="GN16" s="337"/>
      <c r="GO16" s="337"/>
      <c r="GP16" s="337"/>
      <c r="GQ16" s="337"/>
      <c r="GR16" s="337"/>
      <c r="GS16" s="337"/>
      <c r="GT16" s="337"/>
      <c r="GU16" s="337"/>
      <c r="GV16" s="337"/>
      <c r="GW16" s="337"/>
      <c r="GX16" s="337"/>
      <c r="GY16" s="337"/>
      <c r="GZ16" s="337"/>
      <c r="HA16" s="337"/>
      <c r="HB16" s="337"/>
      <c r="HC16" s="337"/>
      <c r="HD16" s="337"/>
      <c r="HE16" s="337"/>
      <c r="HF16" s="337"/>
      <c r="HG16" s="337"/>
      <c r="HH16" s="337"/>
      <c r="HI16" s="337"/>
      <c r="HJ16" s="337"/>
      <c r="HK16" s="337"/>
      <c r="HL16" s="337"/>
      <c r="HM16" s="337"/>
      <c r="HN16" s="337"/>
      <c r="HO16" s="337"/>
      <c r="HP16" s="337"/>
      <c r="HQ16" s="337"/>
      <c r="HR16" s="337"/>
      <c r="HS16" s="337"/>
      <c r="HT16" s="337"/>
      <c r="HU16" s="337"/>
      <c r="HV16" s="337"/>
      <c r="HW16" s="337"/>
      <c r="HX16" s="337"/>
      <c r="HY16" s="337"/>
      <c r="HZ16" s="337"/>
      <c r="IA16" s="337"/>
      <c r="IB16" s="337"/>
      <c r="IC16" s="337"/>
      <c r="ID16" s="337"/>
      <c r="IE16" s="337"/>
      <c r="IF16" s="337"/>
      <c r="IG16" s="337"/>
      <c r="IH16" s="337"/>
      <c r="II16" s="337"/>
      <c r="IJ16" s="337"/>
      <c r="IK16" s="337"/>
      <c r="IL16" s="337"/>
      <c r="IM16" s="337"/>
      <c r="IN16" s="337"/>
      <c r="IO16" s="337"/>
      <c r="IP16" s="337"/>
      <c r="IQ16" s="337"/>
      <c r="IR16" s="337"/>
      <c r="IS16" s="337"/>
      <c r="IT16" s="337"/>
      <c r="IU16" s="337"/>
      <c r="IV16" s="337"/>
      <c r="IW16" s="337"/>
      <c r="IX16" s="337"/>
      <c r="IY16" s="337"/>
      <c r="IZ16" s="337"/>
      <c r="JA16" s="337"/>
      <c r="JB16" s="337"/>
      <c r="JC16" s="337"/>
      <c r="JD16" s="337"/>
      <c r="JE16" s="337"/>
      <c r="JF16" s="337"/>
      <c r="JG16" s="337"/>
      <c r="JH16" s="337"/>
      <c r="JI16" s="337"/>
      <c r="JJ16" s="337"/>
      <c r="JK16" s="337"/>
      <c r="JL16" s="337"/>
      <c r="JM16" s="337"/>
      <c r="JN16" s="337"/>
      <c r="JO16" s="337"/>
      <c r="JP16" s="337"/>
      <c r="JQ16" s="337"/>
      <c r="JR16" s="337"/>
      <c r="JS16" s="337"/>
      <c r="JT16" s="337"/>
      <c r="JU16" s="337"/>
      <c r="JV16" s="337"/>
      <c r="JW16" s="337"/>
      <c r="JX16" s="337"/>
      <c r="JY16" s="337"/>
      <c r="JZ16" s="337"/>
      <c r="KA16" s="337"/>
      <c r="KB16" s="337"/>
      <c r="KC16" s="337"/>
      <c r="KD16" s="337"/>
      <c r="KE16" s="337"/>
      <c r="KF16" s="337"/>
      <c r="KG16" s="337"/>
      <c r="KH16" s="337"/>
      <c r="KI16" s="337"/>
      <c r="KJ16" s="337"/>
      <c r="KK16" s="337"/>
      <c r="KL16" s="337"/>
      <c r="KM16" s="337"/>
      <c r="KN16" s="337"/>
      <c r="KO16" s="337"/>
      <c r="KP16" s="337"/>
      <c r="KQ16" s="337"/>
      <c r="KR16" s="337"/>
      <c r="KS16" s="337"/>
      <c r="KT16" s="337"/>
      <c r="KU16" s="337"/>
      <c r="KV16" s="337"/>
      <c r="KW16" s="337"/>
      <c r="KX16" s="337"/>
      <c r="KY16" s="337"/>
      <c r="KZ16" s="337"/>
      <c r="LA16" s="337"/>
      <c r="LB16" s="337"/>
      <c r="LC16" s="337"/>
      <c r="LD16" s="337"/>
      <c r="LE16" s="337"/>
      <c r="LF16" s="337"/>
      <c r="LG16" s="337"/>
      <c r="LH16" s="337"/>
      <c r="LI16" s="337"/>
      <c r="LJ16" s="337"/>
      <c r="LK16" s="337"/>
      <c r="LL16" s="337"/>
      <c r="LM16" s="337"/>
      <c r="LN16" s="337"/>
      <c r="LO16" s="337"/>
      <c r="LP16" s="337"/>
      <c r="LQ16" s="337"/>
      <c r="LR16" s="337"/>
      <c r="LS16" s="337"/>
      <c r="LT16" s="337"/>
      <c r="LU16" s="337"/>
      <c r="LV16" s="337"/>
      <c r="LW16" s="337"/>
      <c r="LX16" s="337"/>
      <c r="LY16" s="337"/>
      <c r="LZ16" s="337"/>
      <c r="MA16" s="337"/>
      <c r="MB16" s="337"/>
      <c r="MC16" s="337"/>
      <c r="MD16" s="337"/>
      <c r="ME16" s="337"/>
      <c r="MF16" s="337"/>
      <c r="MG16" s="337"/>
      <c r="MH16" s="337"/>
      <c r="MI16" s="337"/>
      <c r="MJ16" s="337"/>
      <c r="MK16" s="337"/>
      <c r="ML16" s="337"/>
      <c r="MM16" s="337"/>
      <c r="MN16" s="337"/>
      <c r="MO16" s="337"/>
      <c r="MP16" s="337"/>
      <c r="MQ16" s="337"/>
      <c r="MR16" s="337"/>
      <c r="MS16" s="337"/>
      <c r="MT16" s="337"/>
      <c r="MU16" s="337"/>
      <c r="MV16" s="337"/>
      <c r="MW16" s="337"/>
      <c r="MX16" s="337"/>
      <c r="MY16" s="337"/>
      <c r="MZ16" s="337"/>
      <c r="NA16" s="337"/>
      <c r="NB16" s="337"/>
      <c r="NC16" s="337"/>
      <c r="ND16" s="337"/>
      <c r="NE16" s="337"/>
      <c r="NF16" s="337"/>
      <c r="NG16" s="337"/>
      <c r="NH16" s="337"/>
      <c r="NI16" s="337"/>
      <c r="NJ16" s="337"/>
      <c r="NK16" s="337"/>
      <c r="NL16" s="337"/>
      <c r="NM16" s="337"/>
      <c r="NN16" s="337"/>
      <c r="NO16" s="337"/>
      <c r="NP16" s="337"/>
      <c r="NQ16" s="337"/>
      <c r="NR16" s="337"/>
      <c r="NS16" s="337"/>
      <c r="NT16" s="337"/>
      <c r="NU16" s="337"/>
      <c r="NV16" s="337"/>
      <c r="NW16" s="337"/>
      <c r="NX16" s="337"/>
      <c r="NY16" s="337"/>
      <c r="NZ16" s="337"/>
      <c r="OA16" s="337"/>
      <c r="OB16" s="337"/>
      <c r="OC16" s="337"/>
      <c r="OD16" s="337"/>
      <c r="OE16" s="337"/>
      <c r="OF16" s="337"/>
      <c r="OG16" s="337"/>
      <c r="OH16" s="337"/>
      <c r="OI16" s="337"/>
      <c r="OJ16" s="337"/>
      <c r="OK16" s="337"/>
      <c r="OL16" s="337"/>
      <c r="OM16" s="337"/>
      <c r="ON16" s="337"/>
      <c r="OO16" s="337"/>
      <c r="OP16" s="337"/>
      <c r="OQ16" s="337"/>
      <c r="OR16" s="337"/>
      <c r="OS16" s="337"/>
      <c r="OT16" s="337"/>
      <c r="OU16" s="337"/>
      <c r="OV16" s="337"/>
      <c r="OW16" s="337"/>
      <c r="OX16" s="337"/>
      <c r="OY16" s="337"/>
      <c r="OZ16" s="337"/>
      <c r="PA16" s="337"/>
      <c r="PB16" s="337"/>
      <c r="PC16" s="337"/>
      <c r="PD16" s="337"/>
      <c r="PE16" s="337"/>
      <c r="PF16" s="337"/>
      <c r="PG16" s="337"/>
      <c r="PH16" s="337"/>
      <c r="PI16" s="337"/>
      <c r="PJ16" s="337"/>
      <c r="PK16" s="337"/>
      <c r="PL16" s="337"/>
      <c r="PM16" s="337"/>
      <c r="PN16" s="337"/>
      <c r="PO16" s="337"/>
      <c r="PP16" s="337"/>
      <c r="PQ16" s="337"/>
      <c r="PR16" s="337"/>
      <c r="PS16" s="337"/>
      <c r="PT16" s="337"/>
      <c r="PU16" s="337"/>
      <c r="PV16" s="337"/>
      <c r="PW16" s="337"/>
      <c r="PX16" s="337"/>
      <c r="PY16" s="337"/>
      <c r="PZ16" s="337"/>
      <c r="QA16" s="337"/>
      <c r="QB16" s="337"/>
      <c r="QC16" s="337"/>
      <c r="QD16" s="337"/>
      <c r="QE16" s="337"/>
      <c r="QF16" s="337"/>
      <c r="QG16" s="337"/>
      <c r="QH16" s="337"/>
      <c r="QI16" s="337"/>
      <c r="QJ16" s="337"/>
      <c r="QK16" s="337"/>
      <c r="QL16" s="337"/>
      <c r="QM16" s="337"/>
      <c r="QN16" s="337"/>
      <c r="QO16" s="337"/>
      <c r="QP16" s="337"/>
      <c r="QQ16" s="337"/>
      <c r="QR16" s="337"/>
      <c r="QS16" s="337"/>
      <c r="QT16" s="337"/>
      <c r="QU16" s="337"/>
      <c r="QV16" s="337"/>
      <c r="QW16" s="337"/>
      <c r="QX16" s="337"/>
      <c r="QY16" s="337"/>
      <c r="QZ16" s="337"/>
      <c r="RA16" s="337"/>
      <c r="RB16" s="337"/>
      <c r="RC16" s="337"/>
      <c r="RD16" s="337"/>
      <c r="RE16" s="337"/>
      <c r="RF16" s="337"/>
      <c r="RG16" s="337"/>
      <c r="RH16" s="337"/>
      <c r="RI16" s="337"/>
      <c r="RJ16" s="337"/>
      <c r="RK16" s="337"/>
      <c r="RL16" s="337"/>
      <c r="RM16" s="337"/>
      <c r="RN16" s="337"/>
      <c r="RO16" s="337"/>
      <c r="RP16" s="337"/>
      <c r="RQ16" s="337"/>
      <c r="RR16" s="337"/>
      <c r="RS16" s="337"/>
      <c r="RT16" s="337"/>
      <c r="RU16" s="337"/>
      <c r="RV16" s="337"/>
      <c r="RW16" s="337"/>
      <c r="RX16" s="337"/>
      <c r="RY16" s="337"/>
      <c r="RZ16" s="337"/>
      <c r="SA16" s="337"/>
      <c r="SB16" s="337"/>
      <c r="SC16" s="337"/>
      <c r="SD16" s="337"/>
      <c r="SE16" s="337"/>
      <c r="SF16" s="337"/>
      <c r="SG16" s="337"/>
      <c r="SH16" s="337"/>
      <c r="SI16" s="337"/>
      <c r="SJ16" s="337"/>
      <c r="SK16" s="337"/>
      <c r="SL16" s="337"/>
      <c r="SM16" s="337"/>
      <c r="SN16" s="337"/>
      <c r="SO16" s="337"/>
      <c r="SP16" s="337"/>
      <c r="SQ16" s="337"/>
      <c r="SR16" s="337"/>
      <c r="SS16" s="337"/>
      <c r="ST16" s="337"/>
      <c r="SU16" s="337"/>
      <c r="SV16" s="337"/>
      <c r="SW16" s="337"/>
      <c r="SX16" s="337"/>
      <c r="SY16" s="337"/>
      <c r="SZ16" s="337"/>
      <c r="TA16" s="337"/>
      <c r="TB16" s="337"/>
      <c r="TC16" s="337"/>
      <c r="TD16" s="337"/>
      <c r="TE16" s="337"/>
      <c r="TF16" s="337"/>
      <c r="TG16" s="337"/>
      <c r="TH16" s="337"/>
      <c r="TI16" s="337"/>
      <c r="TJ16" s="337"/>
      <c r="TK16" s="337"/>
      <c r="TL16" s="337"/>
      <c r="TM16" s="337"/>
      <c r="TN16" s="337"/>
      <c r="TO16" s="337"/>
      <c r="TP16" s="337"/>
      <c r="TQ16" s="337"/>
      <c r="TR16" s="337"/>
      <c r="TS16" s="337"/>
      <c r="TT16" s="337"/>
      <c r="TU16" s="337"/>
      <c r="TV16" s="337"/>
      <c r="TW16" s="337"/>
      <c r="TX16" s="337"/>
      <c r="TY16" s="337"/>
      <c r="TZ16" s="337"/>
      <c r="UA16" s="337"/>
      <c r="UB16" s="337"/>
      <c r="UC16" s="337"/>
      <c r="UD16" s="337"/>
      <c r="UE16" s="337"/>
      <c r="UF16" s="337"/>
      <c r="UG16" s="337"/>
      <c r="UH16" s="337"/>
      <c r="UI16" s="337"/>
      <c r="UJ16" s="337"/>
      <c r="UK16" s="337"/>
      <c r="UL16" s="337"/>
      <c r="UM16" s="337"/>
      <c r="UN16" s="337"/>
      <c r="UO16" s="337"/>
      <c r="UP16" s="337"/>
      <c r="UQ16" s="337"/>
      <c r="UR16" s="337"/>
      <c r="US16" s="337"/>
      <c r="UT16" s="337"/>
      <c r="UU16" s="337"/>
      <c r="UV16" s="337"/>
      <c r="UW16" s="337"/>
      <c r="UX16" s="337"/>
      <c r="UY16" s="337"/>
      <c r="UZ16" s="337"/>
      <c r="VA16" s="337"/>
      <c r="VB16" s="337"/>
      <c r="VC16" s="337"/>
      <c r="VD16" s="337"/>
      <c r="VE16" s="337"/>
      <c r="VF16" s="337"/>
      <c r="VG16" s="337"/>
      <c r="VH16" s="337"/>
      <c r="VI16" s="337"/>
      <c r="VJ16" s="337"/>
      <c r="VK16" s="337"/>
      <c r="VL16" s="337"/>
      <c r="VM16" s="337"/>
      <c r="VN16" s="337"/>
      <c r="VO16" s="337"/>
      <c r="VP16" s="337"/>
      <c r="VQ16" s="337"/>
      <c r="VR16" s="337"/>
      <c r="VS16" s="337"/>
      <c r="VT16" s="337"/>
      <c r="VU16" s="337"/>
      <c r="VV16" s="337"/>
      <c r="VW16" s="337"/>
      <c r="VX16" s="337"/>
      <c r="VY16" s="337"/>
      <c r="VZ16" s="337"/>
      <c r="WA16" s="337"/>
      <c r="WB16" s="337"/>
      <c r="WC16" s="337"/>
      <c r="WD16" s="337"/>
      <c r="WE16" s="337"/>
      <c r="WF16" s="337"/>
      <c r="WG16" s="337"/>
      <c r="WH16" s="337"/>
      <c r="WI16" s="337"/>
      <c r="WJ16" s="337"/>
      <c r="WK16" s="337"/>
      <c r="WL16" s="337"/>
      <c r="WM16" s="337"/>
      <c r="WN16" s="337"/>
      <c r="WO16" s="337"/>
      <c r="WP16" s="337"/>
      <c r="WQ16" s="337"/>
      <c r="WR16" s="337"/>
      <c r="WS16" s="337"/>
      <c r="WT16" s="337"/>
      <c r="WU16" s="337"/>
      <c r="WV16" s="337"/>
      <c r="WW16" s="337"/>
      <c r="WX16" s="337"/>
      <c r="WY16" s="337"/>
      <c r="WZ16" s="337"/>
      <c r="XA16" s="337"/>
      <c r="XB16" s="337"/>
      <c r="XC16" s="337"/>
      <c r="XD16" s="337"/>
      <c r="XE16" s="337"/>
      <c r="XF16" s="337"/>
      <c r="XG16" s="337"/>
      <c r="XH16" s="337"/>
      <c r="XI16" s="337"/>
      <c r="XJ16" s="337"/>
      <c r="XK16" s="337"/>
      <c r="XL16" s="337"/>
      <c r="XM16" s="337"/>
      <c r="XN16" s="337"/>
      <c r="XO16" s="337"/>
      <c r="XP16" s="337"/>
      <c r="XQ16" s="337"/>
      <c r="XR16" s="337"/>
      <c r="XS16" s="337"/>
      <c r="XT16" s="337"/>
      <c r="XU16" s="337"/>
      <c r="XV16" s="337"/>
      <c r="XW16" s="337"/>
      <c r="XX16" s="337"/>
      <c r="XY16" s="337"/>
      <c r="XZ16" s="337"/>
      <c r="YA16" s="337"/>
      <c r="YB16" s="337"/>
      <c r="YC16" s="337"/>
      <c r="YD16" s="337"/>
      <c r="YE16" s="337"/>
      <c r="YF16" s="337"/>
      <c r="YG16" s="337"/>
      <c r="YH16" s="337"/>
      <c r="YI16" s="337"/>
      <c r="YJ16" s="337"/>
      <c r="YK16" s="337"/>
      <c r="YL16" s="337"/>
      <c r="YM16" s="337"/>
      <c r="YN16" s="337"/>
      <c r="YO16" s="337"/>
      <c r="YP16" s="337"/>
      <c r="YQ16" s="337"/>
      <c r="YR16" s="337"/>
      <c r="YS16" s="337"/>
      <c r="YT16" s="337"/>
      <c r="YU16" s="337"/>
      <c r="YV16" s="337"/>
      <c r="YW16" s="337"/>
      <c r="YX16" s="337"/>
      <c r="YY16" s="337"/>
      <c r="YZ16" s="337"/>
      <c r="ZA16" s="337"/>
      <c r="ZB16" s="337"/>
      <c r="ZC16" s="337"/>
      <c r="ZD16" s="337"/>
      <c r="ZE16" s="337"/>
      <c r="ZF16" s="337"/>
      <c r="ZG16" s="337"/>
      <c r="ZH16" s="337"/>
      <c r="ZI16" s="337"/>
      <c r="ZJ16" s="337"/>
      <c r="ZK16" s="337"/>
      <c r="ZL16" s="337"/>
      <c r="ZM16" s="337"/>
      <c r="ZN16" s="337"/>
      <c r="ZO16" s="337"/>
      <c r="ZP16" s="337"/>
      <c r="ZQ16" s="337"/>
      <c r="ZR16" s="337"/>
      <c r="ZS16" s="337"/>
      <c r="ZT16" s="337"/>
      <c r="ZU16" s="337"/>
      <c r="ZV16" s="337"/>
      <c r="ZW16" s="337"/>
      <c r="ZX16" s="337"/>
      <c r="ZY16" s="337"/>
      <c r="ZZ16" s="337"/>
      <c r="AAA16" s="337"/>
      <c r="AAB16" s="337"/>
      <c r="AAC16" s="337"/>
      <c r="AAD16" s="337"/>
      <c r="AAE16" s="337"/>
      <c r="AAF16" s="337"/>
      <c r="AAG16" s="337"/>
      <c r="AAH16" s="337"/>
      <c r="AAI16" s="337"/>
      <c r="AAJ16" s="337"/>
      <c r="AAK16" s="337"/>
      <c r="AAL16" s="337"/>
      <c r="AAM16" s="337"/>
      <c r="AAN16" s="337"/>
      <c r="AAO16" s="337"/>
      <c r="AAP16" s="337"/>
      <c r="AAQ16" s="337"/>
      <c r="AAR16" s="337"/>
      <c r="AAS16" s="337"/>
      <c r="AAT16" s="337"/>
      <c r="AAU16" s="337"/>
      <c r="AAV16" s="337"/>
      <c r="AAW16" s="337"/>
      <c r="AAX16" s="337"/>
      <c r="AAY16" s="337"/>
      <c r="AAZ16" s="337"/>
      <c r="ABA16" s="337"/>
      <c r="ABB16" s="337"/>
      <c r="ABC16" s="337"/>
      <c r="ABD16" s="337"/>
      <c r="ABE16" s="337"/>
      <c r="ABF16" s="337"/>
      <c r="ABG16" s="337"/>
      <c r="ABH16" s="337"/>
      <c r="ABI16" s="337"/>
      <c r="ABJ16" s="337"/>
      <c r="ABK16" s="337"/>
      <c r="ABL16" s="337"/>
      <c r="ABM16" s="337"/>
      <c r="ABN16" s="337"/>
      <c r="ABO16" s="337"/>
      <c r="ABP16" s="337"/>
      <c r="ABQ16" s="337"/>
      <c r="ABR16" s="337"/>
      <c r="ABS16" s="337"/>
      <c r="ABT16" s="337"/>
      <c r="ABU16" s="337"/>
      <c r="ABV16" s="337"/>
      <c r="ABW16" s="337"/>
      <c r="ABX16" s="337"/>
      <c r="ABY16" s="337"/>
      <c r="ABZ16" s="337"/>
      <c r="ACA16" s="337"/>
      <c r="ACB16" s="337"/>
      <c r="ACC16" s="337"/>
      <c r="ACD16" s="337"/>
      <c r="ACE16" s="337"/>
      <c r="ACF16" s="337"/>
      <c r="ACG16" s="337"/>
      <c r="ACH16" s="337"/>
      <c r="ACI16" s="337"/>
      <c r="ACJ16" s="337"/>
      <c r="ACK16" s="337"/>
      <c r="ACL16" s="337"/>
      <c r="ACM16" s="337"/>
      <c r="ACN16" s="337"/>
      <c r="ACO16" s="337"/>
      <c r="ACP16" s="337"/>
      <c r="ACQ16" s="337"/>
      <c r="ACR16" s="337"/>
      <c r="ACS16" s="337"/>
      <c r="ACT16" s="337"/>
      <c r="ACU16" s="337"/>
      <c r="ACV16" s="337"/>
      <c r="ACW16" s="337"/>
      <c r="ACX16" s="337"/>
      <c r="ACY16" s="337"/>
      <c r="ACZ16" s="337"/>
      <c r="ADA16" s="337"/>
      <c r="ADB16" s="337"/>
      <c r="ADC16" s="337"/>
      <c r="ADD16" s="337"/>
      <c r="ADE16" s="337"/>
      <c r="ADF16" s="337"/>
      <c r="ADG16" s="337"/>
      <c r="ADH16" s="337"/>
      <c r="ADI16" s="337"/>
      <c r="ADJ16" s="337"/>
      <c r="ADK16" s="337"/>
      <c r="ADL16" s="337"/>
      <c r="ADM16" s="337"/>
      <c r="ADN16" s="337"/>
      <c r="ADO16" s="337"/>
      <c r="ADP16" s="337"/>
      <c r="ADQ16" s="337"/>
      <c r="ADR16" s="337"/>
      <c r="ADS16" s="337"/>
      <c r="ADT16" s="337"/>
      <c r="ADU16" s="337"/>
      <c r="ADV16" s="337"/>
      <c r="ADW16" s="337"/>
      <c r="ADX16" s="337"/>
      <c r="ADY16" s="337"/>
      <c r="ADZ16" s="337"/>
      <c r="AEA16" s="337"/>
      <c r="AEB16" s="337"/>
      <c r="AEC16" s="337"/>
      <c r="AED16" s="337"/>
      <c r="AEE16" s="337"/>
      <c r="AEF16" s="337"/>
      <c r="AEG16" s="337"/>
      <c r="AEH16" s="337"/>
      <c r="AEI16" s="337"/>
      <c r="AEJ16" s="337"/>
      <c r="AEK16" s="337"/>
      <c r="AEL16" s="337"/>
      <c r="AEM16" s="337"/>
      <c r="AEN16" s="337"/>
      <c r="AEO16" s="337"/>
      <c r="AEP16" s="337"/>
      <c r="AEQ16" s="337"/>
      <c r="AER16" s="337"/>
      <c r="AES16" s="337"/>
      <c r="AET16" s="337"/>
      <c r="AEU16" s="337"/>
      <c r="AEV16" s="337"/>
      <c r="AEW16" s="337"/>
      <c r="AEX16" s="337"/>
      <c r="AEY16" s="337"/>
      <c r="AEZ16" s="337"/>
      <c r="AFA16" s="337"/>
      <c r="AFB16" s="337"/>
      <c r="AFC16" s="337"/>
      <c r="AFD16" s="337"/>
      <c r="AFE16" s="337"/>
      <c r="AFF16" s="337"/>
      <c r="AFG16" s="337"/>
      <c r="AFH16" s="337"/>
      <c r="AFI16" s="337"/>
      <c r="AFJ16" s="337"/>
      <c r="AFK16" s="337"/>
      <c r="AFL16" s="337"/>
      <c r="AFM16" s="337"/>
      <c r="AFN16" s="337"/>
      <c r="AFO16" s="337"/>
      <c r="AFP16" s="337"/>
      <c r="AFQ16" s="337"/>
      <c r="AFR16" s="337"/>
      <c r="AFS16" s="337"/>
      <c r="AFT16" s="337"/>
      <c r="AFU16" s="337"/>
      <c r="AFV16" s="337"/>
      <c r="AFW16" s="337"/>
      <c r="AFX16" s="337"/>
      <c r="AFY16" s="337"/>
      <c r="AFZ16" s="337"/>
      <c r="AGA16" s="337"/>
      <c r="AGB16" s="337"/>
      <c r="AGC16" s="337"/>
      <c r="AGD16" s="337"/>
      <c r="AGE16" s="337"/>
      <c r="AGF16" s="337"/>
      <c r="AGG16" s="337"/>
      <c r="AGH16" s="337"/>
      <c r="AGI16" s="337"/>
      <c r="AGJ16" s="337"/>
      <c r="AGK16" s="337"/>
      <c r="AGL16" s="337"/>
      <c r="AGM16" s="337"/>
      <c r="AGN16" s="337"/>
      <c r="AGO16" s="337"/>
      <c r="AGP16" s="337"/>
      <c r="AGQ16" s="337"/>
      <c r="AGR16" s="337"/>
      <c r="AGS16" s="337"/>
      <c r="AGT16" s="337"/>
      <c r="AGU16" s="337"/>
      <c r="AGV16" s="337"/>
      <c r="AGW16" s="337"/>
      <c r="AGX16" s="337"/>
      <c r="AGY16" s="337"/>
      <c r="AGZ16" s="337"/>
      <c r="AHA16" s="346"/>
      <c r="AHB16" s="346"/>
      <c r="AHC16" s="346"/>
      <c r="AHD16" s="346"/>
      <c r="AHE16" s="346"/>
    </row>
    <row r="17" s="336" customFormat="1" ht="24" customHeight="1" spans="1:889">
      <c r="A17" s="349">
        <v>13</v>
      </c>
      <c r="B17" s="350"/>
      <c r="C17" s="351" t="s">
        <v>120</v>
      </c>
      <c r="D17" s="352"/>
      <c r="E17" s="348"/>
      <c r="F17" s="81">
        <v>13</v>
      </c>
      <c r="G17" s="356" t="s">
        <v>435</v>
      </c>
      <c r="H17" s="354" t="s">
        <v>436</v>
      </c>
      <c r="I17" s="100" t="s">
        <v>124</v>
      </c>
      <c r="J17" s="100" t="s">
        <v>124</v>
      </c>
      <c r="K17" s="100" t="s">
        <v>124</v>
      </c>
      <c r="L17" s="100" t="s">
        <v>124</v>
      </c>
      <c r="M17" s="100" t="s">
        <v>124</v>
      </c>
      <c r="N17" s="373" t="s">
        <v>437</v>
      </c>
      <c r="O17" s="374" t="s">
        <v>438</v>
      </c>
      <c r="P17" s="375" t="str">
        <f>CONCATENATE(RemovePunctuation(H17),"_CA","_","i4K","_",C17,"_",AE17,"_",PROPER(R17),IF(S17="",PROPER(R17),PROPER(S17)),PROPER(T17),PROPER(U17),PROPER(V17),IF(V17&lt;&gt;"","SUB",""),PROPER(W17),IF(W17&lt;&gt;"","SUB",""),"_","Ed","_","M1",".mpg")</f>
        <v>BradleyWalshEgyptsCosmicCodesEP01WrittenintheStars_CA_i4K_0825_43_EngEngEngSUBZhoSUB_Ed_M1.mpg</v>
      </c>
      <c r="Q17" s="375" t="str">
        <f>CONCATENATE(RemovePunctuation(H17),"_CA","_","i5K","_",C17,"_",AD17,"_",PROPER(R17),IF(S17="",PROPER(R17),PROPER(S17)),PROPER(T17),PROPER(U17),PROPER(V17),IF(V17&lt;&gt;"","SUB",""),PROPER(W17),IF(W17&lt;&gt;"","SUB",""),"_","Ed","_","M4",".mpg")</f>
        <v>BradleyWalshEgyptsCosmicCodesEP01WrittenintheStars_CA_i5K_0825_169_EngEngEngSUBZhoSUB_Ed_M4.mpg</v>
      </c>
      <c r="R17" s="382" t="s">
        <v>131</v>
      </c>
      <c r="S17" s="383"/>
      <c r="T17" s="383"/>
      <c r="U17" s="383"/>
      <c r="V17" s="382" t="s">
        <v>131</v>
      </c>
      <c r="W17" s="382" t="s">
        <v>130</v>
      </c>
      <c r="X17" s="349" t="s">
        <v>129</v>
      </c>
      <c r="Y17" s="349" t="s">
        <v>129</v>
      </c>
      <c r="Z17" s="120">
        <f t="shared" si="0"/>
        <v>45</v>
      </c>
      <c r="AA17" s="304" t="str">
        <f t="shared" si="1"/>
        <v>00:45:00</v>
      </c>
      <c r="AB17" s="120">
        <f t="shared" si="2"/>
        <v>2700</v>
      </c>
      <c r="AC17" s="399">
        <v>0.0312615740740741</v>
      </c>
      <c r="AD17" s="400">
        <v>169</v>
      </c>
      <c r="AE17" s="400">
        <v>43</v>
      </c>
      <c r="AF17" s="349" t="s">
        <v>132</v>
      </c>
      <c r="AG17" s="344"/>
      <c r="AH17" s="345"/>
      <c r="AI17" s="345"/>
      <c r="AJ17" s="337"/>
      <c r="AK17" s="339"/>
      <c r="AL17" s="339"/>
      <c r="AM17" s="339"/>
      <c r="AN17" s="346"/>
      <c r="AO17" s="346"/>
      <c r="AP17" s="337"/>
      <c r="AQ17" s="337"/>
      <c r="AR17" s="337"/>
      <c r="AS17" s="337"/>
      <c r="AT17" s="337"/>
      <c r="AU17" s="337"/>
      <c r="AV17" s="337"/>
      <c r="AW17" s="337"/>
      <c r="AX17" s="337"/>
      <c r="AY17" s="337"/>
      <c r="AZ17" s="337"/>
      <c r="BA17" s="337"/>
      <c r="BB17" s="337"/>
      <c r="BC17" s="337"/>
      <c r="BD17" s="337"/>
      <c r="BE17" s="337"/>
      <c r="BF17" s="337"/>
      <c r="BG17" s="337"/>
      <c r="BH17" s="337"/>
      <c r="BI17" s="337"/>
      <c r="BJ17" s="337"/>
      <c r="BK17" s="337"/>
      <c r="BL17" s="337"/>
      <c r="BM17" s="337"/>
      <c r="BN17" s="337"/>
      <c r="BO17" s="337"/>
      <c r="BP17" s="337"/>
      <c r="BQ17" s="337"/>
      <c r="BR17" s="337"/>
      <c r="BS17" s="337"/>
      <c r="BT17" s="337"/>
      <c r="BU17" s="337"/>
      <c r="BV17" s="337"/>
      <c r="BW17" s="337"/>
      <c r="BX17" s="337"/>
      <c r="BY17" s="337"/>
      <c r="BZ17" s="337"/>
      <c r="CA17" s="337"/>
      <c r="CB17" s="337"/>
      <c r="CC17" s="337"/>
      <c r="CD17" s="337"/>
      <c r="CE17" s="337"/>
      <c r="CF17" s="337"/>
      <c r="CG17" s="337"/>
      <c r="CH17" s="337"/>
      <c r="CI17" s="337"/>
      <c r="CJ17" s="337"/>
      <c r="CK17" s="337"/>
      <c r="CL17" s="337"/>
      <c r="CM17" s="337"/>
      <c r="CN17" s="337"/>
      <c r="CO17" s="337"/>
      <c r="CP17" s="337"/>
      <c r="CQ17" s="337"/>
      <c r="CR17" s="337"/>
      <c r="CS17" s="337"/>
      <c r="CT17" s="337"/>
      <c r="CU17" s="337"/>
      <c r="CV17" s="337"/>
      <c r="CW17" s="337"/>
      <c r="CX17" s="337"/>
      <c r="CY17" s="337"/>
      <c r="CZ17" s="337"/>
      <c r="DA17" s="337"/>
      <c r="DB17" s="337"/>
      <c r="DC17" s="337"/>
      <c r="DD17" s="337"/>
      <c r="DE17" s="337"/>
      <c r="DF17" s="337"/>
      <c r="DG17" s="337"/>
      <c r="DH17" s="337"/>
      <c r="DI17" s="337"/>
      <c r="DJ17" s="337"/>
      <c r="DK17" s="337"/>
      <c r="DL17" s="337"/>
      <c r="DM17" s="337"/>
      <c r="DN17" s="337"/>
      <c r="DO17" s="337"/>
      <c r="DP17" s="337"/>
      <c r="DQ17" s="337"/>
      <c r="DR17" s="337"/>
      <c r="DS17" s="337"/>
      <c r="DT17" s="337"/>
      <c r="DU17" s="337"/>
      <c r="DV17" s="337"/>
      <c r="DW17" s="337"/>
      <c r="DX17" s="337"/>
      <c r="DY17" s="337"/>
      <c r="DZ17" s="337"/>
      <c r="EA17" s="337"/>
      <c r="EB17" s="337"/>
      <c r="EC17" s="337"/>
      <c r="ED17" s="337"/>
      <c r="EE17" s="337"/>
      <c r="EF17" s="337"/>
      <c r="EG17" s="337"/>
      <c r="EH17" s="337"/>
      <c r="EI17" s="337"/>
      <c r="EJ17" s="337"/>
      <c r="EK17" s="337"/>
      <c r="EL17" s="337"/>
      <c r="EM17" s="337"/>
      <c r="EN17" s="337"/>
      <c r="EO17" s="337"/>
      <c r="EP17" s="337"/>
      <c r="EQ17" s="337"/>
      <c r="ER17" s="337"/>
      <c r="ES17" s="337"/>
      <c r="ET17" s="337"/>
      <c r="EU17" s="337"/>
      <c r="EV17" s="337"/>
      <c r="EW17" s="337"/>
      <c r="EX17" s="337"/>
      <c r="EY17" s="337"/>
      <c r="EZ17" s="337"/>
      <c r="FA17" s="337"/>
      <c r="FB17" s="337"/>
      <c r="FC17" s="337"/>
      <c r="FD17" s="337"/>
      <c r="FE17" s="337"/>
      <c r="FF17" s="337"/>
      <c r="FG17" s="337"/>
      <c r="FH17" s="337"/>
      <c r="FI17" s="337"/>
      <c r="FJ17" s="337"/>
      <c r="FK17" s="337"/>
      <c r="FL17" s="337"/>
      <c r="FM17" s="337"/>
      <c r="FN17" s="337"/>
      <c r="FO17" s="337"/>
      <c r="FP17" s="337"/>
      <c r="FQ17" s="337"/>
      <c r="FR17" s="337"/>
      <c r="FS17" s="337"/>
      <c r="FT17" s="337"/>
      <c r="FU17" s="337"/>
      <c r="FV17" s="337"/>
      <c r="FW17" s="337"/>
      <c r="FX17" s="337"/>
      <c r="FY17" s="337"/>
      <c r="FZ17" s="337"/>
      <c r="GA17" s="337"/>
      <c r="GB17" s="337"/>
      <c r="GC17" s="337"/>
      <c r="GD17" s="337"/>
      <c r="GE17" s="337"/>
      <c r="GF17" s="337"/>
      <c r="GG17" s="337"/>
      <c r="GH17" s="337"/>
      <c r="GI17" s="337"/>
      <c r="GJ17" s="337"/>
      <c r="GK17" s="337"/>
      <c r="GL17" s="337"/>
      <c r="GM17" s="337"/>
      <c r="GN17" s="337"/>
      <c r="GO17" s="337"/>
      <c r="GP17" s="337"/>
      <c r="GQ17" s="337"/>
      <c r="GR17" s="337"/>
      <c r="GS17" s="337"/>
      <c r="GT17" s="337"/>
      <c r="GU17" s="337"/>
      <c r="GV17" s="337"/>
      <c r="GW17" s="337"/>
      <c r="GX17" s="337"/>
      <c r="GY17" s="337"/>
      <c r="GZ17" s="337"/>
      <c r="HA17" s="337"/>
      <c r="HB17" s="337"/>
      <c r="HC17" s="337"/>
      <c r="HD17" s="337"/>
      <c r="HE17" s="337"/>
      <c r="HF17" s="337"/>
      <c r="HG17" s="337"/>
      <c r="HH17" s="337"/>
      <c r="HI17" s="337"/>
      <c r="HJ17" s="337"/>
      <c r="HK17" s="337"/>
      <c r="HL17" s="337"/>
      <c r="HM17" s="337"/>
      <c r="HN17" s="337"/>
      <c r="HO17" s="337"/>
      <c r="HP17" s="337"/>
      <c r="HQ17" s="337"/>
      <c r="HR17" s="337"/>
      <c r="HS17" s="337"/>
      <c r="HT17" s="337"/>
      <c r="HU17" s="337"/>
      <c r="HV17" s="337"/>
      <c r="HW17" s="337"/>
      <c r="HX17" s="337"/>
      <c r="HY17" s="337"/>
      <c r="HZ17" s="337"/>
      <c r="IA17" s="337"/>
      <c r="IB17" s="337"/>
      <c r="IC17" s="337"/>
      <c r="ID17" s="337"/>
      <c r="IE17" s="337"/>
      <c r="IF17" s="337"/>
      <c r="IG17" s="337"/>
      <c r="IH17" s="337"/>
      <c r="II17" s="337"/>
      <c r="IJ17" s="337"/>
      <c r="IK17" s="337"/>
      <c r="IL17" s="337"/>
      <c r="IM17" s="337"/>
      <c r="IN17" s="337"/>
      <c r="IO17" s="337"/>
      <c r="IP17" s="337"/>
      <c r="IQ17" s="337"/>
      <c r="IR17" s="337"/>
      <c r="IS17" s="337"/>
      <c r="IT17" s="337"/>
      <c r="IU17" s="337"/>
      <c r="IV17" s="337"/>
      <c r="IW17" s="337"/>
      <c r="IX17" s="337"/>
      <c r="IY17" s="337"/>
      <c r="IZ17" s="337"/>
      <c r="JA17" s="337"/>
      <c r="JB17" s="337"/>
      <c r="JC17" s="337"/>
      <c r="JD17" s="337"/>
      <c r="JE17" s="337"/>
      <c r="JF17" s="337"/>
      <c r="JG17" s="337"/>
      <c r="JH17" s="337"/>
      <c r="JI17" s="337"/>
      <c r="JJ17" s="337"/>
      <c r="JK17" s="337"/>
      <c r="JL17" s="337"/>
      <c r="JM17" s="337"/>
      <c r="JN17" s="337"/>
      <c r="JO17" s="337"/>
      <c r="JP17" s="337"/>
      <c r="JQ17" s="337"/>
      <c r="JR17" s="337"/>
      <c r="JS17" s="337"/>
      <c r="JT17" s="337"/>
      <c r="JU17" s="337"/>
      <c r="JV17" s="337"/>
      <c r="JW17" s="337"/>
      <c r="JX17" s="337"/>
      <c r="JY17" s="337"/>
      <c r="JZ17" s="337"/>
      <c r="KA17" s="337"/>
      <c r="KB17" s="337"/>
      <c r="KC17" s="337"/>
      <c r="KD17" s="337"/>
      <c r="KE17" s="337"/>
      <c r="KF17" s="337"/>
      <c r="KG17" s="337"/>
      <c r="KH17" s="337"/>
      <c r="KI17" s="337"/>
      <c r="KJ17" s="337"/>
      <c r="KK17" s="337"/>
      <c r="KL17" s="337"/>
      <c r="KM17" s="337"/>
      <c r="KN17" s="337"/>
      <c r="KO17" s="337"/>
      <c r="KP17" s="337"/>
      <c r="KQ17" s="337"/>
      <c r="KR17" s="337"/>
      <c r="KS17" s="337"/>
      <c r="KT17" s="337"/>
      <c r="KU17" s="337"/>
      <c r="KV17" s="337"/>
      <c r="KW17" s="337"/>
      <c r="KX17" s="337"/>
      <c r="KY17" s="337"/>
      <c r="KZ17" s="337"/>
      <c r="LA17" s="337"/>
      <c r="LB17" s="337"/>
      <c r="LC17" s="337"/>
      <c r="LD17" s="337"/>
      <c r="LE17" s="337"/>
      <c r="LF17" s="337"/>
      <c r="LG17" s="337"/>
      <c r="LH17" s="337"/>
      <c r="LI17" s="337"/>
      <c r="LJ17" s="337"/>
      <c r="LK17" s="337"/>
      <c r="LL17" s="337"/>
      <c r="LM17" s="337"/>
      <c r="LN17" s="337"/>
      <c r="LO17" s="337"/>
      <c r="LP17" s="337"/>
      <c r="LQ17" s="337"/>
      <c r="LR17" s="337"/>
      <c r="LS17" s="337"/>
      <c r="LT17" s="337"/>
      <c r="LU17" s="337"/>
      <c r="LV17" s="337"/>
      <c r="LW17" s="337"/>
      <c r="LX17" s="337"/>
      <c r="LY17" s="337"/>
      <c r="LZ17" s="337"/>
      <c r="MA17" s="337"/>
      <c r="MB17" s="337"/>
      <c r="MC17" s="337"/>
      <c r="MD17" s="337"/>
      <c r="ME17" s="337"/>
      <c r="MF17" s="337"/>
      <c r="MG17" s="337"/>
      <c r="MH17" s="337"/>
      <c r="MI17" s="337"/>
      <c r="MJ17" s="337"/>
      <c r="MK17" s="337"/>
      <c r="ML17" s="337"/>
      <c r="MM17" s="337"/>
      <c r="MN17" s="337"/>
      <c r="MO17" s="337"/>
      <c r="MP17" s="337"/>
      <c r="MQ17" s="337"/>
      <c r="MR17" s="337"/>
      <c r="MS17" s="337"/>
      <c r="MT17" s="337"/>
      <c r="MU17" s="337"/>
      <c r="MV17" s="337"/>
      <c r="MW17" s="337"/>
      <c r="MX17" s="337"/>
      <c r="MY17" s="337"/>
      <c r="MZ17" s="337"/>
      <c r="NA17" s="337"/>
      <c r="NB17" s="337"/>
      <c r="NC17" s="337"/>
      <c r="ND17" s="337"/>
      <c r="NE17" s="337"/>
      <c r="NF17" s="337"/>
      <c r="NG17" s="337"/>
      <c r="NH17" s="337"/>
      <c r="NI17" s="337"/>
      <c r="NJ17" s="337"/>
      <c r="NK17" s="337"/>
      <c r="NL17" s="337"/>
      <c r="NM17" s="337"/>
      <c r="NN17" s="337"/>
      <c r="NO17" s="337"/>
      <c r="NP17" s="337"/>
      <c r="NQ17" s="337"/>
      <c r="NR17" s="337"/>
      <c r="NS17" s="337"/>
      <c r="NT17" s="337"/>
      <c r="NU17" s="337"/>
      <c r="NV17" s="337"/>
      <c r="NW17" s="337"/>
      <c r="NX17" s="337"/>
      <c r="NY17" s="337"/>
      <c r="NZ17" s="337"/>
      <c r="OA17" s="337"/>
      <c r="OB17" s="337"/>
      <c r="OC17" s="337"/>
      <c r="OD17" s="337"/>
      <c r="OE17" s="337"/>
      <c r="OF17" s="337"/>
      <c r="OG17" s="337"/>
      <c r="OH17" s="337"/>
      <c r="OI17" s="337"/>
      <c r="OJ17" s="337"/>
      <c r="OK17" s="337"/>
      <c r="OL17" s="337"/>
      <c r="OM17" s="337"/>
      <c r="ON17" s="337"/>
      <c r="OO17" s="337"/>
      <c r="OP17" s="337"/>
      <c r="OQ17" s="337"/>
      <c r="OR17" s="337"/>
      <c r="OS17" s="337"/>
      <c r="OT17" s="337"/>
      <c r="OU17" s="337"/>
      <c r="OV17" s="337"/>
      <c r="OW17" s="337"/>
      <c r="OX17" s="337"/>
      <c r="OY17" s="337"/>
      <c r="OZ17" s="337"/>
      <c r="PA17" s="337"/>
      <c r="PB17" s="337"/>
      <c r="PC17" s="337"/>
      <c r="PD17" s="337"/>
      <c r="PE17" s="337"/>
      <c r="PF17" s="337"/>
      <c r="PG17" s="337"/>
      <c r="PH17" s="337"/>
      <c r="PI17" s="337"/>
      <c r="PJ17" s="337"/>
      <c r="PK17" s="337"/>
      <c r="PL17" s="337"/>
      <c r="PM17" s="337"/>
      <c r="PN17" s="337"/>
      <c r="PO17" s="337"/>
      <c r="PP17" s="337"/>
      <c r="PQ17" s="337"/>
      <c r="PR17" s="337"/>
      <c r="PS17" s="337"/>
      <c r="PT17" s="337"/>
      <c r="PU17" s="337"/>
      <c r="PV17" s="337"/>
      <c r="PW17" s="337"/>
      <c r="PX17" s="337"/>
      <c r="PY17" s="337"/>
      <c r="PZ17" s="337"/>
      <c r="QA17" s="337"/>
      <c r="QB17" s="337"/>
      <c r="QC17" s="337"/>
      <c r="QD17" s="337"/>
      <c r="QE17" s="337"/>
      <c r="QF17" s="337"/>
      <c r="QG17" s="337"/>
      <c r="QH17" s="337"/>
      <c r="QI17" s="337"/>
      <c r="QJ17" s="337"/>
      <c r="QK17" s="337"/>
      <c r="QL17" s="337"/>
      <c r="QM17" s="337"/>
      <c r="QN17" s="337"/>
      <c r="QO17" s="337"/>
      <c r="QP17" s="337"/>
      <c r="QQ17" s="337"/>
      <c r="QR17" s="337"/>
      <c r="QS17" s="337"/>
      <c r="QT17" s="337"/>
      <c r="QU17" s="337"/>
      <c r="QV17" s="337"/>
      <c r="QW17" s="337"/>
      <c r="QX17" s="337"/>
      <c r="QY17" s="337"/>
      <c r="QZ17" s="337"/>
      <c r="RA17" s="337"/>
      <c r="RB17" s="337"/>
      <c r="RC17" s="337"/>
      <c r="RD17" s="337"/>
      <c r="RE17" s="337"/>
      <c r="RF17" s="337"/>
      <c r="RG17" s="337"/>
      <c r="RH17" s="337"/>
      <c r="RI17" s="337"/>
      <c r="RJ17" s="337"/>
      <c r="RK17" s="337"/>
      <c r="RL17" s="337"/>
      <c r="RM17" s="337"/>
      <c r="RN17" s="337"/>
      <c r="RO17" s="337"/>
      <c r="RP17" s="337"/>
      <c r="RQ17" s="337"/>
      <c r="RR17" s="337"/>
      <c r="RS17" s="337"/>
      <c r="RT17" s="337"/>
      <c r="RU17" s="337"/>
      <c r="RV17" s="337"/>
      <c r="RW17" s="337"/>
      <c r="RX17" s="337"/>
      <c r="RY17" s="337"/>
      <c r="RZ17" s="337"/>
      <c r="SA17" s="337"/>
      <c r="SB17" s="337"/>
      <c r="SC17" s="337"/>
      <c r="SD17" s="337"/>
      <c r="SE17" s="337"/>
      <c r="SF17" s="337"/>
      <c r="SG17" s="337"/>
      <c r="SH17" s="337"/>
      <c r="SI17" s="337"/>
      <c r="SJ17" s="337"/>
      <c r="SK17" s="337"/>
      <c r="SL17" s="337"/>
      <c r="SM17" s="337"/>
      <c r="SN17" s="337"/>
      <c r="SO17" s="337"/>
      <c r="SP17" s="337"/>
      <c r="SQ17" s="337"/>
      <c r="SR17" s="337"/>
      <c r="SS17" s="337"/>
      <c r="ST17" s="337"/>
      <c r="SU17" s="337"/>
      <c r="SV17" s="337"/>
      <c r="SW17" s="337"/>
      <c r="SX17" s="337"/>
      <c r="SY17" s="337"/>
      <c r="SZ17" s="337"/>
      <c r="TA17" s="337"/>
      <c r="TB17" s="337"/>
      <c r="TC17" s="337"/>
      <c r="TD17" s="337"/>
      <c r="TE17" s="337"/>
      <c r="TF17" s="337"/>
      <c r="TG17" s="337"/>
      <c r="TH17" s="337"/>
      <c r="TI17" s="337"/>
      <c r="TJ17" s="337"/>
      <c r="TK17" s="337"/>
      <c r="TL17" s="337"/>
      <c r="TM17" s="337"/>
      <c r="TN17" s="337"/>
      <c r="TO17" s="337"/>
      <c r="TP17" s="337"/>
      <c r="TQ17" s="337"/>
      <c r="TR17" s="337"/>
      <c r="TS17" s="337"/>
      <c r="TT17" s="337"/>
      <c r="TU17" s="337"/>
      <c r="TV17" s="337"/>
      <c r="TW17" s="337"/>
      <c r="TX17" s="337"/>
      <c r="TY17" s="337"/>
      <c r="TZ17" s="337"/>
      <c r="UA17" s="337"/>
      <c r="UB17" s="337"/>
      <c r="UC17" s="337"/>
      <c r="UD17" s="337"/>
      <c r="UE17" s="337"/>
      <c r="UF17" s="337"/>
      <c r="UG17" s="337"/>
      <c r="UH17" s="337"/>
      <c r="UI17" s="337"/>
      <c r="UJ17" s="337"/>
      <c r="UK17" s="337"/>
      <c r="UL17" s="337"/>
      <c r="UM17" s="337"/>
      <c r="UN17" s="337"/>
      <c r="UO17" s="337"/>
      <c r="UP17" s="337"/>
      <c r="UQ17" s="337"/>
      <c r="UR17" s="337"/>
      <c r="US17" s="337"/>
      <c r="UT17" s="337"/>
      <c r="UU17" s="337"/>
      <c r="UV17" s="337"/>
      <c r="UW17" s="337"/>
      <c r="UX17" s="337"/>
      <c r="UY17" s="337"/>
      <c r="UZ17" s="337"/>
      <c r="VA17" s="337"/>
      <c r="VB17" s="337"/>
      <c r="VC17" s="337"/>
      <c r="VD17" s="337"/>
      <c r="VE17" s="337"/>
      <c r="VF17" s="337"/>
      <c r="VG17" s="337"/>
      <c r="VH17" s="337"/>
      <c r="VI17" s="337"/>
      <c r="VJ17" s="337"/>
      <c r="VK17" s="337"/>
      <c r="VL17" s="337"/>
      <c r="VM17" s="337"/>
      <c r="VN17" s="337"/>
      <c r="VO17" s="337"/>
      <c r="VP17" s="337"/>
      <c r="VQ17" s="337"/>
      <c r="VR17" s="337"/>
      <c r="VS17" s="337"/>
      <c r="VT17" s="337"/>
      <c r="VU17" s="337"/>
      <c r="VV17" s="337"/>
      <c r="VW17" s="337"/>
      <c r="VX17" s="337"/>
      <c r="VY17" s="337"/>
      <c r="VZ17" s="337"/>
      <c r="WA17" s="337"/>
      <c r="WB17" s="337"/>
      <c r="WC17" s="337"/>
      <c r="WD17" s="337"/>
      <c r="WE17" s="337"/>
      <c r="WF17" s="337"/>
      <c r="WG17" s="337"/>
      <c r="WH17" s="337"/>
      <c r="WI17" s="337"/>
      <c r="WJ17" s="337"/>
      <c r="WK17" s="337"/>
      <c r="WL17" s="337"/>
      <c r="WM17" s="337"/>
      <c r="WN17" s="337"/>
      <c r="WO17" s="337"/>
      <c r="WP17" s="337"/>
      <c r="WQ17" s="337"/>
      <c r="WR17" s="337"/>
      <c r="WS17" s="337"/>
      <c r="WT17" s="337"/>
      <c r="WU17" s="337"/>
      <c r="WV17" s="337"/>
      <c r="WW17" s="337"/>
      <c r="WX17" s="337"/>
      <c r="WY17" s="337"/>
      <c r="WZ17" s="337"/>
      <c r="XA17" s="337"/>
      <c r="XB17" s="337"/>
      <c r="XC17" s="337"/>
      <c r="XD17" s="337"/>
      <c r="XE17" s="337"/>
      <c r="XF17" s="337"/>
      <c r="XG17" s="337"/>
      <c r="XH17" s="337"/>
      <c r="XI17" s="337"/>
      <c r="XJ17" s="337"/>
      <c r="XK17" s="337"/>
      <c r="XL17" s="337"/>
      <c r="XM17" s="337"/>
      <c r="XN17" s="337"/>
      <c r="XO17" s="337"/>
      <c r="XP17" s="337"/>
      <c r="XQ17" s="337"/>
      <c r="XR17" s="337"/>
      <c r="XS17" s="337"/>
      <c r="XT17" s="337"/>
      <c r="XU17" s="337"/>
      <c r="XV17" s="337"/>
      <c r="XW17" s="337"/>
      <c r="XX17" s="337"/>
      <c r="XY17" s="337"/>
      <c r="XZ17" s="337"/>
      <c r="YA17" s="337"/>
      <c r="YB17" s="337"/>
      <c r="YC17" s="337"/>
      <c r="YD17" s="337"/>
      <c r="YE17" s="337"/>
      <c r="YF17" s="337"/>
      <c r="YG17" s="337"/>
      <c r="YH17" s="337"/>
      <c r="YI17" s="337"/>
      <c r="YJ17" s="337"/>
      <c r="YK17" s="337"/>
      <c r="YL17" s="337"/>
      <c r="YM17" s="337"/>
      <c r="YN17" s="337"/>
      <c r="YO17" s="337"/>
      <c r="YP17" s="337"/>
      <c r="YQ17" s="337"/>
      <c r="YR17" s="337"/>
      <c r="YS17" s="337"/>
      <c r="YT17" s="337"/>
      <c r="YU17" s="337"/>
      <c r="YV17" s="337"/>
      <c r="YW17" s="337"/>
      <c r="YX17" s="337"/>
      <c r="YY17" s="337"/>
      <c r="YZ17" s="337"/>
      <c r="ZA17" s="337"/>
      <c r="ZB17" s="337"/>
      <c r="ZC17" s="337"/>
      <c r="ZD17" s="337"/>
      <c r="ZE17" s="337"/>
      <c r="ZF17" s="337"/>
      <c r="ZG17" s="337"/>
      <c r="ZH17" s="337"/>
      <c r="ZI17" s="337"/>
      <c r="ZJ17" s="337"/>
      <c r="ZK17" s="337"/>
      <c r="ZL17" s="337"/>
      <c r="ZM17" s="337"/>
      <c r="ZN17" s="337"/>
      <c r="ZO17" s="337"/>
      <c r="ZP17" s="337"/>
      <c r="ZQ17" s="337"/>
      <c r="ZR17" s="337"/>
      <c r="ZS17" s="337"/>
      <c r="ZT17" s="337"/>
      <c r="ZU17" s="337"/>
      <c r="ZV17" s="337"/>
      <c r="ZW17" s="337"/>
      <c r="ZX17" s="337"/>
      <c r="ZY17" s="337"/>
      <c r="ZZ17" s="337"/>
      <c r="AAA17" s="337"/>
      <c r="AAB17" s="337"/>
      <c r="AAC17" s="337"/>
      <c r="AAD17" s="337"/>
      <c r="AAE17" s="337"/>
      <c r="AAF17" s="337"/>
      <c r="AAG17" s="337"/>
      <c r="AAH17" s="337"/>
      <c r="AAI17" s="337"/>
      <c r="AAJ17" s="337"/>
      <c r="AAK17" s="337"/>
      <c r="AAL17" s="337"/>
      <c r="AAM17" s="337"/>
      <c r="AAN17" s="337"/>
      <c r="AAO17" s="337"/>
      <c r="AAP17" s="337"/>
      <c r="AAQ17" s="337"/>
      <c r="AAR17" s="337"/>
      <c r="AAS17" s="337"/>
      <c r="AAT17" s="337"/>
      <c r="AAU17" s="337"/>
      <c r="AAV17" s="337"/>
      <c r="AAW17" s="337"/>
      <c r="AAX17" s="337"/>
      <c r="AAY17" s="337"/>
      <c r="AAZ17" s="337"/>
      <c r="ABA17" s="337"/>
      <c r="ABB17" s="337"/>
      <c r="ABC17" s="337"/>
      <c r="ABD17" s="337"/>
      <c r="ABE17" s="337"/>
      <c r="ABF17" s="337"/>
      <c r="ABG17" s="337"/>
      <c r="ABH17" s="337"/>
      <c r="ABI17" s="337"/>
      <c r="ABJ17" s="337"/>
      <c r="ABK17" s="337"/>
      <c r="ABL17" s="337"/>
      <c r="ABM17" s="337"/>
      <c r="ABN17" s="337"/>
      <c r="ABO17" s="337"/>
      <c r="ABP17" s="337"/>
      <c r="ABQ17" s="337"/>
      <c r="ABR17" s="337"/>
      <c r="ABS17" s="337"/>
      <c r="ABT17" s="337"/>
      <c r="ABU17" s="337"/>
      <c r="ABV17" s="337"/>
      <c r="ABW17" s="337"/>
      <c r="ABX17" s="337"/>
      <c r="ABY17" s="337"/>
      <c r="ABZ17" s="337"/>
      <c r="ACA17" s="337"/>
      <c r="ACB17" s="337"/>
      <c r="ACC17" s="337"/>
      <c r="ACD17" s="337"/>
      <c r="ACE17" s="337"/>
      <c r="ACF17" s="337"/>
      <c r="ACG17" s="337"/>
      <c r="ACH17" s="337"/>
      <c r="ACI17" s="337"/>
      <c r="ACJ17" s="337"/>
      <c r="ACK17" s="337"/>
      <c r="ACL17" s="337"/>
      <c r="ACM17" s="337"/>
      <c r="ACN17" s="337"/>
      <c r="ACO17" s="337"/>
      <c r="ACP17" s="337"/>
      <c r="ACQ17" s="337"/>
      <c r="ACR17" s="337"/>
      <c r="ACS17" s="337"/>
      <c r="ACT17" s="337"/>
      <c r="ACU17" s="337"/>
      <c r="ACV17" s="337"/>
      <c r="ACW17" s="337"/>
      <c r="ACX17" s="337"/>
      <c r="ACY17" s="337"/>
      <c r="ACZ17" s="337"/>
      <c r="ADA17" s="337"/>
      <c r="ADB17" s="337"/>
      <c r="ADC17" s="337"/>
      <c r="ADD17" s="337"/>
      <c r="ADE17" s="337"/>
      <c r="ADF17" s="337"/>
      <c r="ADG17" s="337"/>
      <c r="ADH17" s="337"/>
      <c r="ADI17" s="337"/>
      <c r="ADJ17" s="337"/>
      <c r="ADK17" s="337"/>
      <c r="ADL17" s="337"/>
      <c r="ADM17" s="337"/>
      <c r="ADN17" s="337"/>
      <c r="ADO17" s="337"/>
      <c r="ADP17" s="337"/>
      <c r="ADQ17" s="337"/>
      <c r="ADR17" s="337"/>
      <c r="ADS17" s="337"/>
      <c r="ADT17" s="337"/>
      <c r="ADU17" s="337"/>
      <c r="ADV17" s="337"/>
      <c r="ADW17" s="337"/>
      <c r="ADX17" s="337"/>
      <c r="ADY17" s="337"/>
      <c r="ADZ17" s="337"/>
      <c r="AEA17" s="337"/>
      <c r="AEB17" s="337"/>
      <c r="AEC17" s="337"/>
      <c r="AED17" s="337"/>
      <c r="AEE17" s="337"/>
      <c r="AEF17" s="337"/>
      <c r="AEG17" s="337"/>
      <c r="AEH17" s="337"/>
      <c r="AEI17" s="337"/>
      <c r="AEJ17" s="337"/>
      <c r="AEK17" s="337"/>
      <c r="AEL17" s="337"/>
      <c r="AEM17" s="337"/>
      <c r="AEN17" s="337"/>
      <c r="AEO17" s="337"/>
      <c r="AEP17" s="337"/>
      <c r="AEQ17" s="337"/>
      <c r="AER17" s="337"/>
      <c r="AES17" s="337"/>
      <c r="AET17" s="337"/>
      <c r="AEU17" s="337"/>
      <c r="AEV17" s="337"/>
      <c r="AEW17" s="337"/>
      <c r="AEX17" s="337"/>
      <c r="AEY17" s="337"/>
      <c r="AEZ17" s="337"/>
      <c r="AFA17" s="337"/>
      <c r="AFB17" s="337"/>
      <c r="AFC17" s="337"/>
      <c r="AFD17" s="337"/>
      <c r="AFE17" s="337"/>
      <c r="AFF17" s="337"/>
      <c r="AFG17" s="337"/>
      <c r="AFH17" s="337"/>
      <c r="AFI17" s="337"/>
      <c r="AFJ17" s="337"/>
      <c r="AFK17" s="337"/>
      <c r="AFL17" s="337"/>
      <c r="AFM17" s="337"/>
      <c r="AFN17" s="337"/>
      <c r="AFO17" s="337"/>
      <c r="AFP17" s="337"/>
      <c r="AFQ17" s="337"/>
      <c r="AFR17" s="337"/>
      <c r="AFS17" s="337"/>
      <c r="AFT17" s="337"/>
      <c r="AFU17" s="337"/>
      <c r="AFV17" s="337"/>
      <c r="AFW17" s="337"/>
      <c r="AFX17" s="337"/>
      <c r="AFY17" s="337"/>
      <c r="AFZ17" s="337"/>
      <c r="AGA17" s="337"/>
      <c r="AGB17" s="337"/>
      <c r="AGC17" s="337"/>
      <c r="AGD17" s="337"/>
      <c r="AGE17" s="337"/>
      <c r="AGF17" s="337"/>
      <c r="AGG17" s="337"/>
      <c r="AGH17" s="337"/>
      <c r="AGI17" s="337"/>
      <c r="AGJ17" s="337"/>
      <c r="AGK17" s="337"/>
      <c r="AGL17" s="337"/>
      <c r="AGM17" s="337"/>
      <c r="AGN17" s="337"/>
      <c r="AGO17" s="337"/>
      <c r="AGP17" s="337"/>
      <c r="AGQ17" s="337"/>
      <c r="AGR17" s="337"/>
      <c r="AGS17" s="337"/>
      <c r="AGT17" s="337"/>
      <c r="AGU17" s="337"/>
      <c r="AGV17" s="337"/>
      <c r="AGW17" s="337"/>
      <c r="AGX17" s="337"/>
      <c r="AGY17" s="337"/>
      <c r="AGZ17" s="337"/>
      <c r="AHA17" s="346"/>
      <c r="AHB17" s="346"/>
      <c r="AHC17" s="346"/>
      <c r="AHD17" s="346"/>
      <c r="AHE17" s="346"/>
    </row>
    <row r="18" ht="24" customHeight="1" spans="1:884">
      <c r="A18" s="349">
        <v>14</v>
      </c>
      <c r="B18" s="350"/>
      <c r="C18" s="351" t="s">
        <v>120</v>
      </c>
      <c r="D18" s="352"/>
      <c r="E18" s="348"/>
      <c r="F18" s="81">
        <v>14</v>
      </c>
      <c r="G18" s="355" t="s">
        <v>439</v>
      </c>
      <c r="H18" s="354" t="s">
        <v>440</v>
      </c>
      <c r="I18" s="100" t="s">
        <v>124</v>
      </c>
      <c r="J18" s="100" t="s">
        <v>124</v>
      </c>
      <c r="K18" s="100"/>
      <c r="L18" s="100" t="s">
        <v>124</v>
      </c>
      <c r="M18" s="100" t="s">
        <v>124</v>
      </c>
      <c r="N18" s="373" t="s">
        <v>441</v>
      </c>
      <c r="O18" s="374"/>
      <c r="P18" s="375" t="str">
        <f>CONCATENATE(RemovePunctuation(H18),"_CA","_","i4K","_",C18,"_",AE18,"_",PROPER(R18),IF(S18="",PROPER(R18),PROPER(S18)),PROPER(T18),PROPER(U18),PROPER(V18),IF(V18&lt;&gt;"","SUB",""),PROPER(W18),IF(W18&lt;&gt;"","SUB",""),"_","Ed","_","M1",".mpg")</f>
        <v>FoodMarketsEp20_CA_i4K_0825_43_EngEngEngSUBZhoSUB_Ed_M1.mpg</v>
      </c>
      <c r="Q18" s="375" t="str">
        <f>CONCATENATE(RemovePunctuation(H18),"_CA","_","i5K","_",C18,"_",AD18,"_",PROPER(R18),IF(S18="",PROPER(R18),PROPER(S18)),PROPER(T18),PROPER(U18),PROPER(V18),IF(V18&lt;&gt;"","SUB",""),PROPER(W18),IF(W18&lt;&gt;"","SUB",""),"_","Ed","_","M4",".mpg")</f>
        <v>FoodMarketsEp20_CA_i5K_0825_169_EngEngEngSUBZhoSUB_Ed_M4.mpg</v>
      </c>
      <c r="R18" s="382" t="s">
        <v>131</v>
      </c>
      <c r="S18" s="383"/>
      <c r="T18" s="383"/>
      <c r="U18" s="383"/>
      <c r="V18" s="382" t="s">
        <v>131</v>
      </c>
      <c r="W18" s="382" t="s">
        <v>130</v>
      </c>
      <c r="X18" s="349" t="s">
        <v>129</v>
      </c>
      <c r="Y18" s="349" t="s">
        <v>129</v>
      </c>
      <c r="Z18" s="120">
        <f t="shared" si="0"/>
        <v>52</v>
      </c>
      <c r="AA18" s="304" t="str">
        <f t="shared" si="1"/>
        <v>00:52:00</v>
      </c>
      <c r="AB18" s="120">
        <f t="shared" si="2"/>
        <v>3120</v>
      </c>
      <c r="AC18" s="399">
        <v>0.0360300925925926</v>
      </c>
      <c r="AD18" s="400">
        <v>169</v>
      </c>
      <c r="AE18" s="400">
        <v>43</v>
      </c>
      <c r="AF18" s="349" t="s">
        <v>132</v>
      </c>
      <c r="AP18" s="337"/>
      <c r="AQ18" s="337"/>
      <c r="AR18" s="337"/>
      <c r="AS18" s="337"/>
      <c r="AT18" s="337"/>
      <c r="AU18" s="337"/>
      <c r="AV18" s="337"/>
      <c r="AW18" s="337"/>
      <c r="AX18" s="337"/>
      <c r="AY18" s="337"/>
      <c r="AZ18" s="337"/>
      <c r="BA18" s="337"/>
      <c r="BB18" s="337"/>
      <c r="BC18" s="337"/>
      <c r="BD18" s="337"/>
      <c r="BE18" s="337"/>
      <c r="BF18" s="337"/>
      <c r="BG18" s="337"/>
      <c r="BH18" s="337"/>
      <c r="BI18" s="337"/>
      <c r="BJ18" s="337"/>
      <c r="BK18" s="337"/>
      <c r="BL18" s="337"/>
      <c r="BM18" s="337"/>
      <c r="BN18" s="337"/>
      <c r="BO18" s="337"/>
      <c r="BP18" s="337"/>
      <c r="BQ18" s="337"/>
      <c r="BR18" s="337"/>
      <c r="BS18" s="337"/>
      <c r="BT18" s="337"/>
      <c r="BU18" s="337"/>
      <c r="BV18" s="337"/>
      <c r="BW18" s="337"/>
      <c r="BX18" s="337"/>
      <c r="BY18" s="337"/>
      <c r="BZ18" s="337"/>
      <c r="CA18" s="337"/>
      <c r="CB18" s="337"/>
      <c r="CC18" s="337"/>
      <c r="CD18" s="337"/>
      <c r="CE18" s="337"/>
      <c r="CF18" s="337"/>
      <c r="CG18" s="337"/>
      <c r="CH18" s="337"/>
      <c r="CI18" s="337"/>
      <c r="CJ18" s="337"/>
      <c r="CK18" s="337"/>
      <c r="CL18" s="337"/>
      <c r="CM18" s="337"/>
      <c r="CN18" s="337"/>
      <c r="CO18" s="337"/>
      <c r="CP18" s="337"/>
      <c r="CQ18" s="337"/>
      <c r="CR18" s="337"/>
      <c r="CS18" s="337"/>
      <c r="CT18" s="337"/>
      <c r="CU18" s="337"/>
      <c r="CV18" s="337"/>
      <c r="CW18" s="337"/>
      <c r="CX18" s="337"/>
      <c r="CY18" s="337"/>
      <c r="CZ18" s="337"/>
      <c r="DA18" s="337"/>
      <c r="DB18" s="337"/>
      <c r="DC18" s="337"/>
      <c r="DD18" s="337"/>
      <c r="DE18" s="337"/>
      <c r="DF18" s="337"/>
      <c r="DG18" s="337"/>
      <c r="DH18" s="337"/>
      <c r="DI18" s="337"/>
      <c r="DJ18" s="337"/>
      <c r="DK18" s="337"/>
      <c r="DL18" s="337"/>
      <c r="DM18" s="337"/>
      <c r="DN18" s="337"/>
      <c r="DO18" s="337"/>
      <c r="DP18" s="337"/>
      <c r="DQ18" s="337"/>
      <c r="DR18" s="337"/>
      <c r="DS18" s="337"/>
      <c r="DT18" s="337"/>
      <c r="DU18" s="337"/>
      <c r="DV18" s="337"/>
      <c r="DW18" s="337"/>
      <c r="DX18" s="337"/>
      <c r="DY18" s="337"/>
      <c r="DZ18" s="337"/>
      <c r="EA18" s="337"/>
      <c r="EB18" s="337"/>
      <c r="EC18" s="337"/>
      <c r="ED18" s="337"/>
      <c r="EE18" s="337"/>
      <c r="EF18" s="337"/>
      <c r="EG18" s="337"/>
      <c r="EH18" s="337"/>
      <c r="EI18" s="337"/>
      <c r="EJ18" s="337"/>
      <c r="EK18" s="337"/>
      <c r="EL18" s="337"/>
      <c r="EM18" s="337"/>
      <c r="EN18" s="337"/>
      <c r="EO18" s="337"/>
      <c r="EP18" s="337"/>
      <c r="EQ18" s="337"/>
      <c r="ER18" s="337"/>
      <c r="ES18" s="337"/>
      <c r="ET18" s="337"/>
      <c r="EU18" s="337"/>
      <c r="EV18" s="337"/>
      <c r="EW18" s="337"/>
      <c r="EX18" s="337"/>
      <c r="EY18" s="337"/>
      <c r="EZ18" s="337"/>
      <c r="FA18" s="337"/>
      <c r="FB18" s="337"/>
      <c r="FC18" s="337"/>
      <c r="FD18" s="337"/>
      <c r="FE18" s="337"/>
      <c r="FF18" s="337"/>
      <c r="FG18" s="337"/>
      <c r="FH18" s="337"/>
      <c r="FI18" s="337"/>
      <c r="FJ18" s="337"/>
      <c r="FK18" s="337"/>
      <c r="FL18" s="337"/>
      <c r="FM18" s="337"/>
      <c r="FN18" s="337"/>
      <c r="FO18" s="337"/>
      <c r="FP18" s="337"/>
      <c r="FQ18" s="337"/>
      <c r="FR18" s="337"/>
      <c r="FS18" s="337"/>
      <c r="FT18" s="337"/>
      <c r="FU18" s="337"/>
      <c r="FV18" s="337"/>
      <c r="FW18" s="337"/>
      <c r="FX18" s="337"/>
      <c r="FY18" s="337"/>
      <c r="FZ18" s="337"/>
      <c r="GA18" s="337"/>
      <c r="GB18" s="337"/>
      <c r="GC18" s="337"/>
      <c r="GD18" s="337"/>
      <c r="GE18" s="337"/>
      <c r="GF18" s="337"/>
      <c r="GG18" s="337"/>
      <c r="GH18" s="337"/>
      <c r="GI18" s="337"/>
      <c r="GJ18" s="337"/>
      <c r="GK18" s="337"/>
      <c r="GL18" s="337"/>
      <c r="GM18" s="337"/>
      <c r="GN18" s="337"/>
      <c r="GO18" s="337"/>
      <c r="GP18" s="337"/>
      <c r="GQ18" s="337"/>
      <c r="GR18" s="337"/>
      <c r="GS18" s="337"/>
      <c r="GT18" s="337"/>
      <c r="GU18" s="337"/>
      <c r="GV18" s="337"/>
      <c r="GW18" s="337"/>
      <c r="GX18" s="337"/>
      <c r="GY18" s="337"/>
      <c r="GZ18" s="337"/>
      <c r="HA18" s="337"/>
      <c r="HB18" s="337"/>
      <c r="HC18" s="337"/>
      <c r="HD18" s="337"/>
      <c r="HE18" s="337"/>
      <c r="HF18" s="337"/>
      <c r="HG18" s="337"/>
      <c r="HH18" s="337"/>
      <c r="HI18" s="337"/>
      <c r="HJ18" s="337"/>
      <c r="HK18" s="337"/>
      <c r="HL18" s="337"/>
      <c r="HM18" s="337"/>
      <c r="HN18" s="337"/>
      <c r="HO18" s="337"/>
      <c r="HP18" s="337"/>
      <c r="HQ18" s="337"/>
      <c r="HR18" s="337"/>
      <c r="HS18" s="337"/>
      <c r="HT18" s="337"/>
      <c r="HU18" s="337"/>
      <c r="HV18" s="337"/>
      <c r="HW18" s="337"/>
      <c r="HX18" s="337"/>
      <c r="HY18" s="337"/>
      <c r="HZ18" s="337"/>
      <c r="IA18" s="337"/>
      <c r="IB18" s="337"/>
      <c r="IC18" s="337"/>
      <c r="ID18" s="337"/>
      <c r="IE18" s="337"/>
      <c r="IF18" s="337"/>
      <c r="IG18" s="337"/>
      <c r="IH18" s="337"/>
      <c r="II18" s="337"/>
      <c r="IJ18" s="337"/>
      <c r="IK18" s="337"/>
      <c r="IL18" s="337"/>
      <c r="IM18" s="337"/>
      <c r="IN18" s="337"/>
      <c r="IO18" s="337"/>
      <c r="IP18" s="337"/>
      <c r="IQ18" s="337"/>
      <c r="IR18" s="337"/>
      <c r="IS18" s="337"/>
      <c r="IT18" s="337"/>
      <c r="IU18" s="337"/>
      <c r="IV18" s="337"/>
      <c r="IW18" s="337"/>
      <c r="IX18" s="337"/>
      <c r="IY18" s="337"/>
      <c r="IZ18" s="337"/>
      <c r="JA18" s="337"/>
      <c r="JB18" s="337"/>
      <c r="JC18" s="337"/>
      <c r="JD18" s="337"/>
      <c r="JE18" s="337"/>
      <c r="JF18" s="337"/>
      <c r="JG18" s="337"/>
      <c r="JH18" s="337"/>
      <c r="JI18" s="337"/>
      <c r="JJ18" s="337"/>
      <c r="JK18" s="337"/>
      <c r="JL18" s="337"/>
      <c r="JM18" s="337"/>
      <c r="JN18" s="337"/>
      <c r="JO18" s="337"/>
      <c r="JP18" s="337"/>
      <c r="JQ18" s="337"/>
      <c r="JR18" s="337"/>
      <c r="JS18" s="337"/>
      <c r="JT18" s="337"/>
      <c r="JU18" s="337"/>
      <c r="JV18" s="337"/>
      <c r="JW18" s="337"/>
      <c r="JX18" s="337"/>
      <c r="JY18" s="337"/>
      <c r="JZ18" s="337"/>
      <c r="KA18" s="337"/>
      <c r="KB18" s="337"/>
      <c r="KC18" s="337"/>
      <c r="KD18" s="337"/>
      <c r="KE18" s="337"/>
      <c r="KF18" s="337"/>
      <c r="KG18" s="337"/>
      <c r="KH18" s="337"/>
      <c r="KI18" s="337"/>
      <c r="KJ18" s="337"/>
      <c r="KK18" s="337"/>
      <c r="KL18" s="337"/>
      <c r="KM18" s="337"/>
      <c r="KN18" s="337"/>
      <c r="KO18" s="337"/>
      <c r="KP18" s="337"/>
      <c r="KQ18" s="337"/>
      <c r="KR18" s="337"/>
      <c r="KS18" s="337"/>
      <c r="KT18" s="337"/>
      <c r="KU18" s="337"/>
      <c r="KV18" s="337"/>
      <c r="KW18" s="337"/>
      <c r="KX18" s="337"/>
      <c r="KY18" s="337"/>
      <c r="KZ18" s="337"/>
      <c r="LA18" s="337"/>
      <c r="LB18" s="337"/>
      <c r="LC18" s="337"/>
      <c r="LD18" s="337"/>
      <c r="LE18" s="337"/>
      <c r="LF18" s="337"/>
      <c r="LG18" s="337"/>
      <c r="LH18" s="337"/>
      <c r="LI18" s="337"/>
      <c r="LJ18" s="337"/>
      <c r="LK18" s="337"/>
      <c r="LL18" s="337"/>
      <c r="LM18" s="337"/>
      <c r="LN18" s="337"/>
      <c r="LO18" s="337"/>
      <c r="LP18" s="337"/>
      <c r="LQ18" s="337"/>
      <c r="LR18" s="337"/>
      <c r="LS18" s="337"/>
      <c r="LT18" s="337"/>
      <c r="LU18" s="337"/>
      <c r="LV18" s="337"/>
      <c r="LW18" s="337"/>
      <c r="LX18" s="337"/>
      <c r="LY18" s="337"/>
      <c r="LZ18" s="337"/>
      <c r="MA18" s="337"/>
      <c r="MB18" s="337"/>
      <c r="MC18" s="337"/>
      <c r="MD18" s="337"/>
      <c r="ME18" s="337"/>
      <c r="MF18" s="337"/>
      <c r="MG18" s="337"/>
      <c r="MH18" s="337"/>
      <c r="MI18" s="337"/>
      <c r="MJ18" s="337"/>
      <c r="MK18" s="337"/>
      <c r="ML18" s="337"/>
      <c r="MM18" s="337"/>
      <c r="MN18" s="337"/>
      <c r="MO18" s="337"/>
      <c r="MP18" s="337"/>
      <c r="MQ18" s="337"/>
      <c r="MR18" s="337"/>
      <c r="MS18" s="337"/>
      <c r="MT18" s="337"/>
      <c r="MU18" s="337"/>
      <c r="MV18" s="337"/>
      <c r="MW18" s="337"/>
      <c r="MX18" s="337"/>
      <c r="MY18" s="337"/>
      <c r="MZ18" s="337"/>
      <c r="NA18" s="337"/>
      <c r="NB18" s="337"/>
      <c r="NC18" s="337"/>
      <c r="ND18" s="337"/>
      <c r="NE18" s="337"/>
      <c r="NF18" s="337"/>
      <c r="NG18" s="337"/>
      <c r="NH18" s="337"/>
      <c r="NI18" s="337"/>
      <c r="NJ18" s="337"/>
      <c r="NK18" s="337"/>
      <c r="NL18" s="337"/>
      <c r="NM18" s="337"/>
      <c r="NN18" s="337"/>
      <c r="NO18" s="337"/>
      <c r="NP18" s="337"/>
      <c r="NQ18" s="337"/>
      <c r="NR18" s="337"/>
      <c r="NS18" s="337"/>
      <c r="NT18" s="337"/>
      <c r="NU18" s="337"/>
      <c r="NV18" s="337"/>
      <c r="NW18" s="337"/>
      <c r="NX18" s="337"/>
      <c r="NY18" s="337"/>
      <c r="NZ18" s="337"/>
      <c r="OA18" s="337"/>
      <c r="OB18" s="337"/>
      <c r="OC18" s="337"/>
      <c r="OD18" s="337"/>
      <c r="OE18" s="337"/>
      <c r="OF18" s="337"/>
      <c r="OG18" s="337"/>
      <c r="OH18" s="337"/>
      <c r="OI18" s="337"/>
      <c r="OJ18" s="337"/>
      <c r="OK18" s="337"/>
      <c r="OL18" s="337"/>
      <c r="OM18" s="337"/>
      <c r="ON18" s="337"/>
      <c r="OO18" s="337"/>
      <c r="OP18" s="337"/>
      <c r="OQ18" s="337"/>
      <c r="OR18" s="337"/>
      <c r="OS18" s="337"/>
      <c r="OT18" s="337"/>
      <c r="OU18" s="337"/>
      <c r="OV18" s="337"/>
      <c r="OW18" s="337"/>
      <c r="OX18" s="337"/>
      <c r="OY18" s="337"/>
      <c r="OZ18" s="337"/>
      <c r="PA18" s="337"/>
      <c r="PB18" s="337"/>
      <c r="PC18" s="337"/>
      <c r="PD18" s="337"/>
      <c r="PE18" s="337"/>
      <c r="PF18" s="337"/>
      <c r="PG18" s="337"/>
      <c r="PH18" s="337"/>
      <c r="PI18" s="337"/>
      <c r="PJ18" s="337"/>
      <c r="PK18" s="337"/>
      <c r="PL18" s="337"/>
      <c r="PM18" s="337"/>
      <c r="PN18" s="337"/>
      <c r="PO18" s="337"/>
      <c r="PP18" s="337"/>
      <c r="PQ18" s="337"/>
      <c r="PR18" s="337"/>
      <c r="PS18" s="337"/>
      <c r="PT18" s="337"/>
      <c r="PU18" s="337"/>
      <c r="PV18" s="337"/>
      <c r="PW18" s="337"/>
      <c r="PX18" s="337"/>
      <c r="PY18" s="337"/>
      <c r="PZ18" s="337"/>
      <c r="QA18" s="337"/>
      <c r="QB18" s="337"/>
      <c r="QC18" s="337"/>
      <c r="QD18" s="337"/>
      <c r="QE18" s="337"/>
      <c r="QF18" s="337"/>
      <c r="QG18" s="337"/>
      <c r="QH18" s="337"/>
      <c r="QI18" s="337"/>
      <c r="QJ18" s="337"/>
      <c r="QK18" s="337"/>
      <c r="QL18" s="337"/>
      <c r="QM18" s="337"/>
      <c r="QN18" s="337"/>
      <c r="QO18" s="337"/>
      <c r="QP18" s="337"/>
      <c r="QQ18" s="337"/>
      <c r="QR18" s="337"/>
      <c r="QS18" s="337"/>
      <c r="QT18" s="337"/>
      <c r="QU18" s="337"/>
      <c r="QV18" s="337"/>
      <c r="QW18" s="337"/>
      <c r="QX18" s="337"/>
      <c r="QY18" s="337"/>
      <c r="QZ18" s="337"/>
      <c r="RA18" s="337"/>
      <c r="RB18" s="337"/>
      <c r="RC18" s="337"/>
      <c r="RD18" s="337"/>
      <c r="RE18" s="337"/>
      <c r="RF18" s="337"/>
      <c r="RG18" s="337"/>
      <c r="RH18" s="337"/>
      <c r="RI18" s="337"/>
      <c r="RJ18" s="337"/>
      <c r="RK18" s="337"/>
      <c r="RL18" s="337"/>
      <c r="RM18" s="337"/>
      <c r="RN18" s="337"/>
      <c r="RO18" s="337"/>
      <c r="RP18" s="337"/>
      <c r="RQ18" s="337"/>
      <c r="RR18" s="337"/>
      <c r="RS18" s="337"/>
      <c r="RT18" s="337"/>
      <c r="RU18" s="337"/>
      <c r="RV18" s="337"/>
      <c r="RW18" s="337"/>
      <c r="RX18" s="337"/>
      <c r="RY18" s="337"/>
      <c r="RZ18" s="337"/>
      <c r="SA18" s="337"/>
      <c r="SB18" s="337"/>
      <c r="SC18" s="337"/>
      <c r="SD18" s="337"/>
      <c r="SE18" s="337"/>
      <c r="SF18" s="337"/>
      <c r="SG18" s="337"/>
      <c r="SH18" s="337"/>
      <c r="SI18" s="337"/>
      <c r="SJ18" s="337"/>
      <c r="SK18" s="337"/>
      <c r="SL18" s="337"/>
      <c r="SM18" s="337"/>
      <c r="SN18" s="337"/>
      <c r="SO18" s="337"/>
      <c r="SP18" s="337"/>
      <c r="SQ18" s="337"/>
      <c r="SR18" s="337"/>
      <c r="SS18" s="337"/>
      <c r="ST18" s="337"/>
      <c r="SU18" s="337"/>
      <c r="SV18" s="337"/>
      <c r="SW18" s="337"/>
      <c r="SX18" s="337"/>
      <c r="SY18" s="337"/>
      <c r="SZ18" s="337"/>
      <c r="TA18" s="337"/>
      <c r="TB18" s="337"/>
      <c r="TC18" s="337"/>
      <c r="TD18" s="337"/>
      <c r="TE18" s="337"/>
      <c r="TF18" s="337"/>
      <c r="TG18" s="337"/>
      <c r="TH18" s="337"/>
      <c r="TI18" s="337"/>
      <c r="TJ18" s="337"/>
      <c r="TK18" s="337"/>
      <c r="TL18" s="337"/>
      <c r="TM18" s="337"/>
      <c r="TN18" s="337"/>
      <c r="TO18" s="337"/>
      <c r="TP18" s="337"/>
      <c r="TQ18" s="337"/>
      <c r="TR18" s="337"/>
      <c r="TS18" s="337"/>
      <c r="TT18" s="337"/>
      <c r="TU18" s="337"/>
      <c r="TV18" s="337"/>
      <c r="TW18" s="337"/>
      <c r="TX18" s="337"/>
      <c r="TY18" s="337"/>
      <c r="TZ18" s="337"/>
      <c r="UA18" s="337"/>
      <c r="UB18" s="337"/>
      <c r="UC18" s="337"/>
      <c r="UD18" s="337"/>
      <c r="UE18" s="337"/>
      <c r="UF18" s="337"/>
      <c r="UG18" s="337"/>
      <c r="UH18" s="337"/>
      <c r="UI18" s="337"/>
      <c r="UJ18" s="337"/>
      <c r="UK18" s="337"/>
      <c r="UL18" s="337"/>
      <c r="UM18" s="337"/>
      <c r="UN18" s="337"/>
      <c r="UO18" s="337"/>
      <c r="UP18" s="337"/>
      <c r="UQ18" s="337"/>
      <c r="UR18" s="337"/>
      <c r="US18" s="337"/>
      <c r="UT18" s="337"/>
      <c r="UU18" s="337"/>
      <c r="UV18" s="337"/>
      <c r="UW18" s="337"/>
      <c r="UX18" s="337"/>
      <c r="UY18" s="337"/>
      <c r="UZ18" s="337"/>
      <c r="VA18" s="337"/>
      <c r="VB18" s="337"/>
      <c r="VC18" s="337"/>
      <c r="VD18" s="337"/>
      <c r="VE18" s="337"/>
      <c r="VF18" s="337"/>
      <c r="VG18" s="337"/>
      <c r="VH18" s="337"/>
      <c r="VI18" s="337"/>
      <c r="VJ18" s="337"/>
      <c r="VK18" s="337"/>
      <c r="VL18" s="337"/>
      <c r="VM18" s="337"/>
      <c r="VN18" s="337"/>
      <c r="VO18" s="337"/>
      <c r="VP18" s="337"/>
      <c r="VQ18" s="337"/>
      <c r="VR18" s="337"/>
      <c r="VS18" s="337"/>
      <c r="VT18" s="337"/>
      <c r="VU18" s="337"/>
      <c r="VV18" s="337"/>
      <c r="VW18" s="337"/>
      <c r="VX18" s="337"/>
      <c r="VY18" s="337"/>
      <c r="VZ18" s="337"/>
      <c r="WA18" s="337"/>
      <c r="WB18" s="337"/>
      <c r="WC18" s="337"/>
      <c r="WD18" s="337"/>
      <c r="WE18" s="337"/>
      <c r="WF18" s="337"/>
      <c r="WG18" s="337"/>
      <c r="WH18" s="337"/>
      <c r="WI18" s="337"/>
      <c r="WJ18" s="337"/>
      <c r="WK18" s="337"/>
      <c r="WL18" s="337"/>
      <c r="WM18" s="337"/>
      <c r="WN18" s="337"/>
      <c r="WO18" s="337"/>
      <c r="WP18" s="337"/>
      <c r="WQ18" s="337"/>
      <c r="WR18" s="337"/>
      <c r="WS18" s="337"/>
      <c r="WT18" s="337"/>
      <c r="WU18" s="337"/>
      <c r="WV18" s="337"/>
      <c r="WW18" s="337"/>
      <c r="WX18" s="337"/>
      <c r="WY18" s="337"/>
      <c r="WZ18" s="337"/>
      <c r="XA18" s="337"/>
      <c r="XB18" s="337"/>
      <c r="XC18" s="337"/>
      <c r="XD18" s="337"/>
      <c r="XE18" s="337"/>
      <c r="XF18" s="337"/>
      <c r="XG18" s="337"/>
      <c r="XH18" s="337"/>
      <c r="XI18" s="337"/>
      <c r="XJ18" s="337"/>
      <c r="XK18" s="337"/>
      <c r="XL18" s="337"/>
      <c r="XM18" s="337"/>
      <c r="XN18" s="337"/>
      <c r="XO18" s="337"/>
      <c r="XP18" s="337"/>
      <c r="XQ18" s="337"/>
      <c r="XR18" s="337"/>
      <c r="XS18" s="337"/>
      <c r="XT18" s="337"/>
      <c r="XU18" s="337"/>
      <c r="XV18" s="337"/>
      <c r="XW18" s="337"/>
      <c r="XX18" s="337"/>
      <c r="XY18" s="337"/>
      <c r="XZ18" s="337"/>
      <c r="YA18" s="337"/>
      <c r="YB18" s="337"/>
      <c r="YC18" s="337"/>
      <c r="YD18" s="337"/>
      <c r="YE18" s="337"/>
      <c r="YF18" s="337"/>
      <c r="YG18" s="337"/>
      <c r="YH18" s="337"/>
      <c r="YI18" s="337"/>
      <c r="YJ18" s="337"/>
      <c r="YK18" s="337"/>
      <c r="YL18" s="337"/>
      <c r="YM18" s="337"/>
      <c r="YN18" s="337"/>
      <c r="YO18" s="337"/>
      <c r="YP18" s="337"/>
      <c r="YQ18" s="337"/>
      <c r="YR18" s="337"/>
      <c r="YS18" s="337"/>
      <c r="YT18" s="337"/>
      <c r="YU18" s="337"/>
      <c r="YV18" s="337"/>
      <c r="YW18" s="337"/>
      <c r="YX18" s="337"/>
      <c r="YY18" s="337"/>
      <c r="YZ18" s="337"/>
      <c r="ZA18" s="337"/>
      <c r="ZB18" s="337"/>
      <c r="ZC18" s="337"/>
      <c r="ZD18" s="337"/>
      <c r="ZE18" s="337"/>
      <c r="ZF18" s="337"/>
      <c r="ZG18" s="337"/>
      <c r="ZH18" s="337"/>
      <c r="ZI18" s="337"/>
      <c r="ZJ18" s="337"/>
      <c r="ZK18" s="337"/>
      <c r="ZL18" s="337"/>
      <c r="ZM18" s="337"/>
      <c r="ZN18" s="337"/>
      <c r="ZO18" s="337"/>
      <c r="ZP18" s="337"/>
      <c r="ZQ18" s="337"/>
      <c r="ZR18" s="337"/>
      <c r="ZS18" s="337"/>
      <c r="ZT18" s="337"/>
      <c r="ZU18" s="337"/>
      <c r="ZV18" s="337"/>
      <c r="ZW18" s="337"/>
      <c r="ZX18" s="337"/>
      <c r="ZY18" s="337"/>
      <c r="ZZ18" s="337"/>
      <c r="AAA18" s="337"/>
      <c r="AAB18" s="337"/>
      <c r="AAC18" s="337"/>
      <c r="AAD18" s="337"/>
      <c r="AAE18" s="337"/>
      <c r="AAF18" s="337"/>
      <c r="AAG18" s="337"/>
      <c r="AAH18" s="337"/>
      <c r="AAI18" s="337"/>
      <c r="AAJ18" s="337"/>
      <c r="AAK18" s="337"/>
      <c r="AAL18" s="337"/>
      <c r="AAM18" s="337"/>
      <c r="AAN18" s="337"/>
      <c r="AAO18" s="337"/>
      <c r="AAP18" s="337"/>
      <c r="AAQ18" s="337"/>
      <c r="AAR18" s="337"/>
      <c r="AAS18" s="337"/>
      <c r="AAT18" s="337"/>
      <c r="AAU18" s="337"/>
      <c r="AAV18" s="337"/>
      <c r="AAW18" s="337"/>
      <c r="AAX18" s="337"/>
      <c r="AAY18" s="337"/>
      <c r="AAZ18" s="337"/>
      <c r="ABA18" s="337"/>
      <c r="ABB18" s="337"/>
      <c r="ABC18" s="337"/>
      <c r="ABD18" s="337"/>
      <c r="ABE18" s="337"/>
      <c r="ABF18" s="337"/>
      <c r="ABG18" s="337"/>
      <c r="ABH18" s="337"/>
      <c r="ABI18" s="337"/>
      <c r="ABJ18" s="337"/>
      <c r="ABK18" s="337"/>
      <c r="ABL18" s="337"/>
      <c r="ABM18" s="337"/>
      <c r="ABN18" s="337"/>
      <c r="ABO18" s="337"/>
      <c r="ABP18" s="337"/>
      <c r="ABQ18" s="337"/>
      <c r="ABR18" s="337"/>
      <c r="ABS18" s="337"/>
      <c r="ABT18" s="337"/>
      <c r="ABU18" s="337"/>
      <c r="ABV18" s="337"/>
      <c r="ABW18" s="337"/>
      <c r="ABX18" s="337"/>
      <c r="ABY18" s="337"/>
      <c r="ABZ18" s="337"/>
      <c r="ACA18" s="337"/>
      <c r="ACB18" s="337"/>
      <c r="ACC18" s="337"/>
      <c r="ACD18" s="337"/>
      <c r="ACE18" s="337"/>
      <c r="ACF18" s="337"/>
      <c r="ACG18" s="337"/>
      <c r="ACH18" s="337"/>
      <c r="ACI18" s="337"/>
      <c r="ACJ18" s="337"/>
      <c r="ACK18" s="337"/>
      <c r="ACL18" s="337"/>
      <c r="ACM18" s="337"/>
      <c r="ACN18" s="337"/>
      <c r="ACO18" s="337"/>
      <c r="ACP18" s="337"/>
      <c r="ACQ18" s="337"/>
      <c r="ACR18" s="337"/>
      <c r="ACS18" s="337"/>
      <c r="ACT18" s="337"/>
      <c r="ACU18" s="337"/>
      <c r="ACV18" s="337"/>
      <c r="ACW18" s="337"/>
      <c r="ACX18" s="337"/>
      <c r="ACY18" s="337"/>
      <c r="ACZ18" s="337"/>
      <c r="ADA18" s="337"/>
      <c r="ADB18" s="337"/>
      <c r="ADC18" s="337"/>
      <c r="ADD18" s="337"/>
      <c r="ADE18" s="337"/>
      <c r="ADF18" s="337"/>
      <c r="ADG18" s="337"/>
      <c r="ADH18" s="337"/>
      <c r="ADI18" s="337"/>
      <c r="ADJ18" s="337"/>
      <c r="ADK18" s="337"/>
      <c r="ADL18" s="337"/>
      <c r="ADM18" s="337"/>
      <c r="ADN18" s="337"/>
      <c r="ADO18" s="337"/>
      <c r="ADP18" s="337"/>
      <c r="ADQ18" s="337"/>
      <c r="ADR18" s="337"/>
      <c r="ADS18" s="337"/>
      <c r="ADT18" s="337"/>
      <c r="ADU18" s="337"/>
      <c r="ADV18" s="337"/>
      <c r="ADW18" s="337"/>
      <c r="ADX18" s="337"/>
      <c r="ADY18" s="337"/>
      <c r="ADZ18" s="337"/>
      <c r="AEA18" s="337"/>
      <c r="AEB18" s="337"/>
      <c r="AEC18" s="337"/>
      <c r="AED18" s="337"/>
      <c r="AEE18" s="337"/>
      <c r="AEF18" s="337"/>
      <c r="AEG18" s="337"/>
      <c r="AEH18" s="337"/>
      <c r="AEI18" s="337"/>
      <c r="AEJ18" s="337"/>
      <c r="AEK18" s="337"/>
      <c r="AEL18" s="337"/>
      <c r="AEM18" s="337"/>
      <c r="AEN18" s="337"/>
      <c r="AEO18" s="337"/>
      <c r="AEP18" s="337"/>
      <c r="AEQ18" s="337"/>
      <c r="AER18" s="337"/>
      <c r="AES18" s="337"/>
      <c r="AET18" s="337"/>
      <c r="AEU18" s="337"/>
      <c r="AEV18" s="337"/>
      <c r="AEW18" s="337"/>
      <c r="AEX18" s="337"/>
      <c r="AEY18" s="337"/>
      <c r="AEZ18" s="337"/>
      <c r="AFA18" s="337"/>
      <c r="AFB18" s="337"/>
      <c r="AFC18" s="337"/>
      <c r="AFD18" s="337"/>
      <c r="AFE18" s="337"/>
      <c r="AFF18" s="337"/>
      <c r="AFG18" s="337"/>
      <c r="AFH18" s="337"/>
      <c r="AFI18" s="337"/>
      <c r="AFJ18" s="337"/>
      <c r="AFK18" s="337"/>
      <c r="AFL18" s="337"/>
      <c r="AFM18" s="337"/>
      <c r="AFN18" s="337"/>
      <c r="AFO18" s="337"/>
      <c r="AFP18" s="337"/>
      <c r="AFQ18" s="337"/>
      <c r="AFR18" s="337"/>
      <c r="AFS18" s="337"/>
      <c r="AFT18" s="337"/>
      <c r="AFU18" s="337"/>
      <c r="AFV18" s="337"/>
      <c r="AFW18" s="337"/>
      <c r="AFX18" s="337"/>
      <c r="AFY18" s="337"/>
      <c r="AFZ18" s="337"/>
      <c r="AGA18" s="337"/>
      <c r="AGB18" s="337"/>
      <c r="AGC18" s="337"/>
      <c r="AGD18" s="337"/>
      <c r="AGE18" s="337"/>
      <c r="AGF18" s="337"/>
      <c r="AGG18" s="337"/>
      <c r="AGH18" s="337"/>
      <c r="AGI18" s="337"/>
      <c r="AGJ18" s="337"/>
      <c r="AGK18" s="337"/>
      <c r="AGL18" s="337"/>
      <c r="AGM18" s="337"/>
      <c r="AGN18" s="337"/>
      <c r="AGO18" s="337"/>
      <c r="AGP18" s="337"/>
      <c r="AGQ18" s="337"/>
      <c r="AGR18" s="337"/>
      <c r="AGS18" s="337"/>
      <c r="AGT18" s="337"/>
      <c r="AGU18" s="337"/>
      <c r="AGV18" s="337"/>
      <c r="AGW18" s="337"/>
      <c r="AGX18" s="337"/>
      <c r="AGY18" s="337"/>
      <c r="AGZ18" s="337"/>
    </row>
    <row r="19" ht="24" customHeight="1" spans="1:884">
      <c r="A19" s="349">
        <v>15</v>
      </c>
      <c r="B19" s="350"/>
      <c r="C19" s="351" t="s">
        <v>120</v>
      </c>
      <c r="D19" s="352"/>
      <c r="E19" s="348"/>
      <c r="F19" s="81">
        <v>15</v>
      </c>
      <c r="G19" s="355" t="s">
        <v>442</v>
      </c>
      <c r="H19" s="354" t="s">
        <v>443</v>
      </c>
      <c r="I19" s="100" t="s">
        <v>124</v>
      </c>
      <c r="J19" s="100" t="s">
        <v>124</v>
      </c>
      <c r="K19" s="100"/>
      <c r="L19" s="100" t="s">
        <v>124</v>
      </c>
      <c r="M19" s="100" t="s">
        <v>124</v>
      </c>
      <c r="N19" s="373" t="s">
        <v>444</v>
      </c>
      <c r="O19" s="374"/>
      <c r="P19" s="375" t="str">
        <f>CONCATENATE(RemovePunctuation(H19),"_CA","_","i4K","_",C19,"_",AE19,"_",PROPER(R19),IF(S19="",PROPER(R19),PROPER(S19)),PROPER(T19),PROPER(U19),PROPER(V19),IF(V19&lt;&gt;"","SUB",""),PROPER(W19),IF(W19&lt;&gt;"","SUB",""),"_","Ed","_","M1",".mpg")</f>
        <v>FoodMarketsEp19_CA_i4K_0825_43_EngEngEngSUBZhoSUB_Ed_M1.mpg</v>
      </c>
      <c r="Q19" s="375" t="str">
        <f>CONCATENATE(RemovePunctuation(H19),"_CA","_","i5K","_",C19,"_",AD19,"_",PROPER(R19),IF(S19="",PROPER(R19),PROPER(S19)),PROPER(T19),PROPER(U19),PROPER(V19),IF(V19&lt;&gt;"","SUB",""),PROPER(W19),IF(W19&lt;&gt;"","SUB",""),"_","Ed","_","M4",".mpg")</f>
        <v>FoodMarketsEp19_CA_i5K_0825_169_EngEngEngSUBZhoSUB_Ed_M4.mpg</v>
      </c>
      <c r="R19" s="382" t="s">
        <v>131</v>
      </c>
      <c r="S19" s="383"/>
      <c r="T19" s="384"/>
      <c r="U19" s="384"/>
      <c r="V19" s="382" t="s">
        <v>131</v>
      </c>
      <c r="W19" s="382" t="s">
        <v>130</v>
      </c>
      <c r="X19" s="349" t="s">
        <v>129</v>
      </c>
      <c r="Y19" s="349" t="s">
        <v>129</v>
      </c>
      <c r="Z19" s="120">
        <f t="shared" si="0"/>
        <v>49</v>
      </c>
      <c r="AA19" s="304" t="str">
        <f t="shared" si="1"/>
        <v>00:49:00</v>
      </c>
      <c r="AB19" s="120">
        <f t="shared" si="2"/>
        <v>2940</v>
      </c>
      <c r="AC19" s="399">
        <v>0.0340277777777778</v>
      </c>
      <c r="AD19" s="400">
        <v>169</v>
      </c>
      <c r="AE19" s="400">
        <v>43</v>
      </c>
      <c r="AF19" s="349" t="s">
        <v>132</v>
      </c>
      <c r="AP19" s="337"/>
      <c r="AQ19" s="337"/>
      <c r="AR19" s="337"/>
      <c r="AS19" s="337"/>
      <c r="AT19" s="337"/>
      <c r="AU19" s="337"/>
      <c r="AV19" s="337"/>
      <c r="AW19" s="337"/>
      <c r="AX19" s="337"/>
      <c r="AY19" s="337"/>
      <c r="AZ19" s="337"/>
      <c r="BA19" s="337"/>
      <c r="BB19" s="337"/>
      <c r="BC19" s="337"/>
      <c r="BD19" s="337"/>
      <c r="BE19" s="337"/>
      <c r="BF19" s="337"/>
      <c r="BG19" s="337"/>
      <c r="BH19" s="337"/>
      <c r="BI19" s="337"/>
      <c r="BJ19" s="337"/>
      <c r="BK19" s="337"/>
      <c r="BL19" s="337"/>
      <c r="BM19" s="337"/>
      <c r="BN19" s="337"/>
      <c r="BO19" s="337"/>
      <c r="BP19" s="337"/>
      <c r="BQ19" s="337"/>
      <c r="BR19" s="337"/>
      <c r="BS19" s="337"/>
      <c r="BT19" s="337"/>
      <c r="BU19" s="337"/>
      <c r="BV19" s="337"/>
      <c r="BW19" s="337"/>
      <c r="BX19" s="337"/>
      <c r="BY19" s="337"/>
      <c r="BZ19" s="337"/>
      <c r="CA19" s="337"/>
      <c r="CB19" s="337"/>
      <c r="CC19" s="337"/>
      <c r="CD19" s="337"/>
      <c r="CE19" s="337"/>
      <c r="CF19" s="337"/>
      <c r="CG19" s="337"/>
      <c r="CH19" s="337"/>
      <c r="CI19" s="337"/>
      <c r="CJ19" s="337"/>
      <c r="CK19" s="337"/>
      <c r="CL19" s="337"/>
      <c r="CM19" s="337"/>
      <c r="CN19" s="337"/>
      <c r="CO19" s="337"/>
      <c r="CP19" s="337"/>
      <c r="CQ19" s="337"/>
      <c r="CR19" s="337"/>
      <c r="CS19" s="337"/>
      <c r="CT19" s="337"/>
      <c r="CU19" s="337"/>
      <c r="CV19" s="337"/>
      <c r="CW19" s="337"/>
      <c r="CX19" s="337"/>
      <c r="CY19" s="337"/>
      <c r="CZ19" s="337"/>
      <c r="DA19" s="337"/>
      <c r="DB19" s="337"/>
      <c r="DC19" s="337"/>
      <c r="DD19" s="337"/>
      <c r="DE19" s="337"/>
      <c r="DF19" s="337"/>
      <c r="DG19" s="337"/>
      <c r="DH19" s="337"/>
      <c r="DI19" s="337"/>
      <c r="DJ19" s="337"/>
      <c r="DK19" s="337"/>
      <c r="DL19" s="337"/>
      <c r="DM19" s="337"/>
      <c r="DN19" s="337"/>
      <c r="DO19" s="337"/>
      <c r="DP19" s="337"/>
      <c r="DQ19" s="337"/>
      <c r="DR19" s="337"/>
      <c r="DS19" s="337"/>
      <c r="DT19" s="337"/>
      <c r="DU19" s="337"/>
      <c r="DV19" s="337"/>
      <c r="DW19" s="337"/>
      <c r="DX19" s="337"/>
      <c r="DY19" s="337"/>
      <c r="DZ19" s="337"/>
      <c r="EA19" s="337"/>
      <c r="EB19" s="337"/>
      <c r="EC19" s="337"/>
      <c r="ED19" s="337"/>
      <c r="EE19" s="337"/>
      <c r="EF19" s="337"/>
      <c r="EG19" s="337"/>
      <c r="EH19" s="337"/>
      <c r="EI19" s="337"/>
      <c r="EJ19" s="337"/>
      <c r="EK19" s="337"/>
      <c r="EL19" s="337"/>
      <c r="EM19" s="337"/>
      <c r="EN19" s="337"/>
      <c r="EO19" s="337"/>
      <c r="EP19" s="337"/>
      <c r="EQ19" s="337"/>
      <c r="ER19" s="337"/>
      <c r="ES19" s="337"/>
      <c r="ET19" s="337"/>
      <c r="EU19" s="337"/>
      <c r="EV19" s="337"/>
      <c r="EW19" s="337"/>
      <c r="EX19" s="337"/>
      <c r="EY19" s="337"/>
      <c r="EZ19" s="337"/>
      <c r="FA19" s="337"/>
      <c r="FB19" s="337"/>
      <c r="FC19" s="337"/>
      <c r="FD19" s="337"/>
      <c r="FE19" s="337"/>
      <c r="FF19" s="337"/>
      <c r="FG19" s="337"/>
      <c r="FH19" s="337"/>
      <c r="FI19" s="337"/>
      <c r="FJ19" s="337"/>
      <c r="FK19" s="337"/>
      <c r="FL19" s="337"/>
      <c r="FM19" s="337"/>
      <c r="FN19" s="337"/>
      <c r="FO19" s="337"/>
      <c r="FP19" s="337"/>
      <c r="FQ19" s="337"/>
      <c r="FR19" s="337"/>
      <c r="FS19" s="337"/>
      <c r="FT19" s="337"/>
      <c r="FU19" s="337"/>
      <c r="FV19" s="337"/>
      <c r="FW19" s="337"/>
      <c r="FX19" s="337"/>
      <c r="FY19" s="337"/>
      <c r="FZ19" s="337"/>
      <c r="GA19" s="337"/>
      <c r="GB19" s="337"/>
      <c r="GC19" s="337"/>
      <c r="GD19" s="337"/>
      <c r="GE19" s="337"/>
      <c r="GF19" s="337"/>
      <c r="GG19" s="337"/>
      <c r="GH19" s="337"/>
      <c r="GI19" s="337"/>
      <c r="GJ19" s="337"/>
      <c r="GK19" s="337"/>
      <c r="GL19" s="337"/>
      <c r="GM19" s="337"/>
      <c r="GN19" s="337"/>
      <c r="GO19" s="337"/>
      <c r="GP19" s="337"/>
      <c r="GQ19" s="337"/>
      <c r="GR19" s="337"/>
      <c r="GS19" s="337"/>
      <c r="GT19" s="337"/>
      <c r="GU19" s="337"/>
      <c r="GV19" s="337"/>
      <c r="GW19" s="337"/>
      <c r="GX19" s="337"/>
      <c r="GY19" s="337"/>
      <c r="GZ19" s="337"/>
      <c r="HA19" s="337"/>
      <c r="HB19" s="337"/>
      <c r="HC19" s="337"/>
      <c r="HD19" s="337"/>
      <c r="HE19" s="337"/>
      <c r="HF19" s="337"/>
      <c r="HG19" s="337"/>
      <c r="HH19" s="337"/>
      <c r="HI19" s="337"/>
      <c r="HJ19" s="337"/>
      <c r="HK19" s="337"/>
      <c r="HL19" s="337"/>
      <c r="HM19" s="337"/>
      <c r="HN19" s="337"/>
      <c r="HO19" s="337"/>
      <c r="HP19" s="337"/>
      <c r="HQ19" s="337"/>
      <c r="HR19" s="337"/>
      <c r="HS19" s="337"/>
      <c r="HT19" s="337"/>
      <c r="HU19" s="337"/>
      <c r="HV19" s="337"/>
      <c r="HW19" s="337"/>
      <c r="HX19" s="337"/>
      <c r="HY19" s="337"/>
      <c r="HZ19" s="337"/>
      <c r="IA19" s="337"/>
      <c r="IB19" s="337"/>
      <c r="IC19" s="337"/>
      <c r="ID19" s="337"/>
      <c r="IE19" s="337"/>
      <c r="IF19" s="337"/>
      <c r="IG19" s="337"/>
      <c r="IH19" s="337"/>
      <c r="II19" s="337"/>
      <c r="IJ19" s="337"/>
      <c r="IK19" s="337"/>
      <c r="IL19" s="337"/>
      <c r="IM19" s="337"/>
      <c r="IN19" s="337"/>
      <c r="IO19" s="337"/>
      <c r="IP19" s="337"/>
      <c r="IQ19" s="337"/>
      <c r="IR19" s="337"/>
      <c r="IS19" s="337"/>
      <c r="IT19" s="337"/>
      <c r="IU19" s="337"/>
      <c r="IV19" s="337"/>
      <c r="IW19" s="337"/>
      <c r="IX19" s="337"/>
      <c r="IY19" s="337"/>
      <c r="IZ19" s="337"/>
      <c r="JA19" s="337"/>
      <c r="JB19" s="337"/>
      <c r="JC19" s="337"/>
      <c r="JD19" s="337"/>
      <c r="JE19" s="337"/>
      <c r="JF19" s="337"/>
      <c r="JG19" s="337"/>
      <c r="JH19" s="337"/>
      <c r="JI19" s="337"/>
      <c r="JJ19" s="337"/>
      <c r="JK19" s="337"/>
      <c r="JL19" s="337"/>
      <c r="JM19" s="337"/>
      <c r="JN19" s="337"/>
      <c r="JO19" s="337"/>
      <c r="JP19" s="337"/>
      <c r="JQ19" s="337"/>
      <c r="JR19" s="337"/>
      <c r="JS19" s="337"/>
      <c r="JT19" s="337"/>
      <c r="JU19" s="337"/>
      <c r="JV19" s="337"/>
      <c r="JW19" s="337"/>
      <c r="JX19" s="337"/>
      <c r="JY19" s="337"/>
      <c r="JZ19" s="337"/>
      <c r="KA19" s="337"/>
      <c r="KB19" s="337"/>
      <c r="KC19" s="337"/>
      <c r="KD19" s="337"/>
      <c r="KE19" s="337"/>
      <c r="KF19" s="337"/>
      <c r="KG19" s="337"/>
      <c r="KH19" s="337"/>
      <c r="KI19" s="337"/>
      <c r="KJ19" s="337"/>
      <c r="KK19" s="337"/>
      <c r="KL19" s="337"/>
      <c r="KM19" s="337"/>
      <c r="KN19" s="337"/>
      <c r="KO19" s="337"/>
      <c r="KP19" s="337"/>
      <c r="KQ19" s="337"/>
      <c r="KR19" s="337"/>
      <c r="KS19" s="337"/>
      <c r="KT19" s="337"/>
      <c r="KU19" s="337"/>
      <c r="KV19" s="337"/>
      <c r="KW19" s="337"/>
      <c r="KX19" s="337"/>
      <c r="KY19" s="337"/>
      <c r="KZ19" s="337"/>
      <c r="LA19" s="337"/>
      <c r="LB19" s="337"/>
      <c r="LC19" s="337"/>
      <c r="LD19" s="337"/>
      <c r="LE19" s="337"/>
      <c r="LF19" s="337"/>
      <c r="LG19" s="337"/>
      <c r="LH19" s="337"/>
      <c r="LI19" s="337"/>
      <c r="LJ19" s="337"/>
      <c r="LK19" s="337"/>
      <c r="LL19" s="337"/>
      <c r="LM19" s="337"/>
      <c r="LN19" s="337"/>
      <c r="LO19" s="337"/>
      <c r="LP19" s="337"/>
      <c r="LQ19" s="337"/>
      <c r="LR19" s="337"/>
      <c r="LS19" s="337"/>
      <c r="LT19" s="337"/>
      <c r="LU19" s="337"/>
      <c r="LV19" s="337"/>
      <c r="LW19" s="337"/>
      <c r="LX19" s="337"/>
      <c r="LY19" s="337"/>
      <c r="LZ19" s="337"/>
      <c r="MA19" s="337"/>
      <c r="MB19" s="337"/>
      <c r="MC19" s="337"/>
      <c r="MD19" s="337"/>
      <c r="ME19" s="337"/>
      <c r="MF19" s="337"/>
      <c r="MG19" s="337"/>
      <c r="MH19" s="337"/>
      <c r="MI19" s="337"/>
      <c r="MJ19" s="337"/>
      <c r="MK19" s="337"/>
      <c r="ML19" s="337"/>
      <c r="MM19" s="337"/>
      <c r="MN19" s="337"/>
      <c r="MO19" s="337"/>
      <c r="MP19" s="337"/>
      <c r="MQ19" s="337"/>
      <c r="MR19" s="337"/>
      <c r="MS19" s="337"/>
      <c r="MT19" s="337"/>
      <c r="MU19" s="337"/>
      <c r="MV19" s="337"/>
      <c r="MW19" s="337"/>
      <c r="MX19" s="337"/>
      <c r="MY19" s="337"/>
      <c r="MZ19" s="337"/>
      <c r="NA19" s="337"/>
      <c r="NB19" s="337"/>
      <c r="NC19" s="337"/>
      <c r="ND19" s="337"/>
      <c r="NE19" s="337"/>
      <c r="NF19" s="337"/>
      <c r="NG19" s="337"/>
      <c r="NH19" s="337"/>
      <c r="NI19" s="337"/>
      <c r="NJ19" s="337"/>
      <c r="NK19" s="337"/>
      <c r="NL19" s="337"/>
      <c r="NM19" s="337"/>
      <c r="NN19" s="337"/>
      <c r="NO19" s="337"/>
      <c r="NP19" s="337"/>
      <c r="NQ19" s="337"/>
      <c r="NR19" s="337"/>
      <c r="NS19" s="337"/>
      <c r="NT19" s="337"/>
      <c r="NU19" s="337"/>
      <c r="NV19" s="337"/>
      <c r="NW19" s="337"/>
      <c r="NX19" s="337"/>
      <c r="NY19" s="337"/>
      <c r="NZ19" s="337"/>
      <c r="OA19" s="337"/>
      <c r="OB19" s="337"/>
      <c r="OC19" s="337"/>
      <c r="OD19" s="337"/>
      <c r="OE19" s="337"/>
      <c r="OF19" s="337"/>
      <c r="OG19" s="337"/>
      <c r="OH19" s="337"/>
      <c r="OI19" s="337"/>
      <c r="OJ19" s="337"/>
      <c r="OK19" s="337"/>
      <c r="OL19" s="337"/>
      <c r="OM19" s="337"/>
      <c r="ON19" s="337"/>
      <c r="OO19" s="337"/>
      <c r="OP19" s="337"/>
      <c r="OQ19" s="337"/>
      <c r="OR19" s="337"/>
      <c r="OS19" s="337"/>
      <c r="OT19" s="337"/>
      <c r="OU19" s="337"/>
      <c r="OV19" s="337"/>
      <c r="OW19" s="337"/>
      <c r="OX19" s="337"/>
      <c r="OY19" s="337"/>
      <c r="OZ19" s="337"/>
      <c r="PA19" s="337"/>
      <c r="PB19" s="337"/>
      <c r="PC19" s="337"/>
      <c r="PD19" s="337"/>
      <c r="PE19" s="337"/>
      <c r="PF19" s="337"/>
      <c r="PG19" s="337"/>
      <c r="PH19" s="337"/>
      <c r="PI19" s="337"/>
      <c r="PJ19" s="337"/>
      <c r="PK19" s="337"/>
      <c r="PL19" s="337"/>
      <c r="PM19" s="337"/>
      <c r="PN19" s="337"/>
      <c r="PO19" s="337"/>
      <c r="PP19" s="337"/>
      <c r="PQ19" s="337"/>
      <c r="PR19" s="337"/>
      <c r="PS19" s="337"/>
      <c r="PT19" s="337"/>
      <c r="PU19" s="337"/>
      <c r="PV19" s="337"/>
      <c r="PW19" s="337"/>
      <c r="PX19" s="337"/>
      <c r="PY19" s="337"/>
      <c r="PZ19" s="337"/>
      <c r="QA19" s="337"/>
      <c r="QB19" s="337"/>
      <c r="QC19" s="337"/>
      <c r="QD19" s="337"/>
      <c r="QE19" s="337"/>
      <c r="QF19" s="337"/>
      <c r="QG19" s="337"/>
      <c r="QH19" s="337"/>
      <c r="QI19" s="337"/>
      <c r="QJ19" s="337"/>
      <c r="QK19" s="337"/>
      <c r="QL19" s="337"/>
      <c r="QM19" s="337"/>
      <c r="QN19" s="337"/>
      <c r="QO19" s="337"/>
      <c r="QP19" s="337"/>
      <c r="QQ19" s="337"/>
      <c r="QR19" s="337"/>
      <c r="QS19" s="337"/>
      <c r="QT19" s="337"/>
      <c r="QU19" s="337"/>
      <c r="QV19" s="337"/>
      <c r="QW19" s="337"/>
      <c r="QX19" s="337"/>
      <c r="QY19" s="337"/>
      <c r="QZ19" s="337"/>
      <c r="RA19" s="337"/>
      <c r="RB19" s="337"/>
      <c r="RC19" s="337"/>
      <c r="RD19" s="337"/>
      <c r="RE19" s="337"/>
      <c r="RF19" s="337"/>
      <c r="RG19" s="337"/>
      <c r="RH19" s="337"/>
      <c r="RI19" s="337"/>
      <c r="RJ19" s="337"/>
      <c r="RK19" s="337"/>
      <c r="RL19" s="337"/>
      <c r="RM19" s="337"/>
      <c r="RN19" s="337"/>
      <c r="RO19" s="337"/>
      <c r="RP19" s="337"/>
      <c r="RQ19" s="337"/>
      <c r="RR19" s="337"/>
      <c r="RS19" s="337"/>
      <c r="RT19" s="337"/>
      <c r="RU19" s="337"/>
      <c r="RV19" s="337"/>
      <c r="RW19" s="337"/>
      <c r="RX19" s="337"/>
      <c r="RY19" s="337"/>
      <c r="RZ19" s="337"/>
      <c r="SA19" s="337"/>
      <c r="SB19" s="337"/>
      <c r="SC19" s="337"/>
      <c r="SD19" s="337"/>
      <c r="SE19" s="337"/>
      <c r="SF19" s="337"/>
      <c r="SG19" s="337"/>
      <c r="SH19" s="337"/>
      <c r="SI19" s="337"/>
      <c r="SJ19" s="337"/>
      <c r="SK19" s="337"/>
      <c r="SL19" s="337"/>
      <c r="SM19" s="337"/>
      <c r="SN19" s="337"/>
      <c r="SO19" s="337"/>
      <c r="SP19" s="337"/>
      <c r="SQ19" s="337"/>
      <c r="SR19" s="337"/>
      <c r="SS19" s="337"/>
      <c r="ST19" s="337"/>
      <c r="SU19" s="337"/>
      <c r="SV19" s="337"/>
      <c r="SW19" s="337"/>
      <c r="SX19" s="337"/>
      <c r="SY19" s="337"/>
      <c r="SZ19" s="337"/>
      <c r="TA19" s="337"/>
      <c r="TB19" s="337"/>
      <c r="TC19" s="337"/>
      <c r="TD19" s="337"/>
      <c r="TE19" s="337"/>
      <c r="TF19" s="337"/>
      <c r="TG19" s="337"/>
      <c r="TH19" s="337"/>
      <c r="TI19" s="337"/>
      <c r="TJ19" s="337"/>
      <c r="TK19" s="337"/>
      <c r="TL19" s="337"/>
      <c r="TM19" s="337"/>
      <c r="TN19" s="337"/>
      <c r="TO19" s="337"/>
      <c r="TP19" s="337"/>
      <c r="TQ19" s="337"/>
      <c r="TR19" s="337"/>
      <c r="TS19" s="337"/>
      <c r="TT19" s="337"/>
      <c r="TU19" s="337"/>
      <c r="TV19" s="337"/>
      <c r="TW19" s="337"/>
      <c r="TX19" s="337"/>
      <c r="TY19" s="337"/>
      <c r="TZ19" s="337"/>
      <c r="UA19" s="337"/>
      <c r="UB19" s="337"/>
      <c r="UC19" s="337"/>
      <c r="UD19" s="337"/>
      <c r="UE19" s="337"/>
      <c r="UF19" s="337"/>
      <c r="UG19" s="337"/>
      <c r="UH19" s="337"/>
      <c r="UI19" s="337"/>
      <c r="UJ19" s="337"/>
      <c r="UK19" s="337"/>
      <c r="UL19" s="337"/>
      <c r="UM19" s="337"/>
      <c r="UN19" s="337"/>
      <c r="UO19" s="337"/>
      <c r="UP19" s="337"/>
      <c r="UQ19" s="337"/>
      <c r="UR19" s="337"/>
      <c r="US19" s="337"/>
      <c r="UT19" s="337"/>
      <c r="UU19" s="337"/>
      <c r="UV19" s="337"/>
      <c r="UW19" s="337"/>
      <c r="UX19" s="337"/>
      <c r="UY19" s="337"/>
      <c r="UZ19" s="337"/>
      <c r="VA19" s="337"/>
      <c r="VB19" s="337"/>
      <c r="VC19" s="337"/>
      <c r="VD19" s="337"/>
      <c r="VE19" s="337"/>
      <c r="VF19" s="337"/>
      <c r="VG19" s="337"/>
      <c r="VH19" s="337"/>
      <c r="VI19" s="337"/>
      <c r="VJ19" s="337"/>
      <c r="VK19" s="337"/>
      <c r="VL19" s="337"/>
      <c r="VM19" s="337"/>
      <c r="VN19" s="337"/>
      <c r="VO19" s="337"/>
      <c r="VP19" s="337"/>
      <c r="VQ19" s="337"/>
      <c r="VR19" s="337"/>
      <c r="VS19" s="337"/>
      <c r="VT19" s="337"/>
      <c r="VU19" s="337"/>
      <c r="VV19" s="337"/>
      <c r="VW19" s="337"/>
      <c r="VX19" s="337"/>
      <c r="VY19" s="337"/>
      <c r="VZ19" s="337"/>
      <c r="WA19" s="337"/>
      <c r="WB19" s="337"/>
      <c r="WC19" s="337"/>
      <c r="WD19" s="337"/>
      <c r="WE19" s="337"/>
      <c r="WF19" s="337"/>
      <c r="WG19" s="337"/>
      <c r="WH19" s="337"/>
      <c r="WI19" s="337"/>
      <c r="WJ19" s="337"/>
      <c r="WK19" s="337"/>
      <c r="WL19" s="337"/>
      <c r="WM19" s="337"/>
      <c r="WN19" s="337"/>
      <c r="WO19" s="337"/>
      <c r="WP19" s="337"/>
      <c r="WQ19" s="337"/>
      <c r="WR19" s="337"/>
      <c r="WS19" s="337"/>
      <c r="WT19" s="337"/>
      <c r="WU19" s="337"/>
      <c r="WV19" s="337"/>
      <c r="WW19" s="337"/>
      <c r="WX19" s="337"/>
      <c r="WY19" s="337"/>
      <c r="WZ19" s="337"/>
      <c r="XA19" s="337"/>
      <c r="XB19" s="337"/>
      <c r="XC19" s="337"/>
      <c r="XD19" s="337"/>
      <c r="XE19" s="337"/>
      <c r="XF19" s="337"/>
      <c r="XG19" s="337"/>
      <c r="XH19" s="337"/>
      <c r="XI19" s="337"/>
      <c r="XJ19" s="337"/>
      <c r="XK19" s="337"/>
      <c r="XL19" s="337"/>
      <c r="XM19" s="337"/>
      <c r="XN19" s="337"/>
      <c r="XO19" s="337"/>
      <c r="XP19" s="337"/>
      <c r="XQ19" s="337"/>
      <c r="XR19" s="337"/>
      <c r="XS19" s="337"/>
      <c r="XT19" s="337"/>
      <c r="XU19" s="337"/>
      <c r="XV19" s="337"/>
      <c r="XW19" s="337"/>
      <c r="XX19" s="337"/>
      <c r="XY19" s="337"/>
      <c r="XZ19" s="337"/>
      <c r="YA19" s="337"/>
      <c r="YB19" s="337"/>
      <c r="YC19" s="337"/>
      <c r="YD19" s="337"/>
      <c r="YE19" s="337"/>
      <c r="YF19" s="337"/>
      <c r="YG19" s="337"/>
      <c r="YH19" s="337"/>
      <c r="YI19" s="337"/>
      <c r="YJ19" s="337"/>
      <c r="YK19" s="337"/>
      <c r="YL19" s="337"/>
      <c r="YM19" s="337"/>
      <c r="YN19" s="337"/>
      <c r="YO19" s="337"/>
      <c r="YP19" s="337"/>
      <c r="YQ19" s="337"/>
      <c r="YR19" s="337"/>
      <c r="YS19" s="337"/>
      <c r="YT19" s="337"/>
      <c r="YU19" s="337"/>
      <c r="YV19" s="337"/>
      <c r="YW19" s="337"/>
      <c r="YX19" s="337"/>
      <c r="YY19" s="337"/>
      <c r="YZ19" s="337"/>
      <c r="ZA19" s="337"/>
      <c r="ZB19" s="337"/>
      <c r="ZC19" s="337"/>
      <c r="ZD19" s="337"/>
      <c r="ZE19" s="337"/>
      <c r="ZF19" s="337"/>
      <c r="ZG19" s="337"/>
      <c r="ZH19" s="337"/>
      <c r="ZI19" s="337"/>
      <c r="ZJ19" s="337"/>
      <c r="ZK19" s="337"/>
      <c r="ZL19" s="337"/>
      <c r="ZM19" s="337"/>
      <c r="ZN19" s="337"/>
      <c r="ZO19" s="337"/>
      <c r="ZP19" s="337"/>
      <c r="ZQ19" s="337"/>
      <c r="ZR19" s="337"/>
      <c r="ZS19" s="337"/>
      <c r="ZT19" s="337"/>
      <c r="ZU19" s="337"/>
      <c r="ZV19" s="337"/>
      <c r="ZW19" s="337"/>
      <c r="ZX19" s="337"/>
      <c r="ZY19" s="337"/>
      <c r="ZZ19" s="337"/>
      <c r="AAA19" s="337"/>
      <c r="AAB19" s="337"/>
      <c r="AAC19" s="337"/>
      <c r="AAD19" s="337"/>
      <c r="AAE19" s="337"/>
      <c r="AAF19" s="337"/>
      <c r="AAG19" s="337"/>
      <c r="AAH19" s="337"/>
      <c r="AAI19" s="337"/>
      <c r="AAJ19" s="337"/>
      <c r="AAK19" s="337"/>
      <c r="AAL19" s="337"/>
      <c r="AAM19" s="337"/>
      <c r="AAN19" s="337"/>
      <c r="AAO19" s="337"/>
      <c r="AAP19" s="337"/>
      <c r="AAQ19" s="337"/>
      <c r="AAR19" s="337"/>
      <c r="AAS19" s="337"/>
      <c r="AAT19" s="337"/>
      <c r="AAU19" s="337"/>
      <c r="AAV19" s="337"/>
      <c r="AAW19" s="337"/>
      <c r="AAX19" s="337"/>
      <c r="AAY19" s="337"/>
      <c r="AAZ19" s="337"/>
      <c r="ABA19" s="337"/>
      <c r="ABB19" s="337"/>
      <c r="ABC19" s="337"/>
      <c r="ABD19" s="337"/>
      <c r="ABE19" s="337"/>
      <c r="ABF19" s="337"/>
      <c r="ABG19" s="337"/>
      <c r="ABH19" s="337"/>
      <c r="ABI19" s="337"/>
      <c r="ABJ19" s="337"/>
      <c r="ABK19" s="337"/>
      <c r="ABL19" s="337"/>
      <c r="ABM19" s="337"/>
      <c r="ABN19" s="337"/>
      <c r="ABO19" s="337"/>
      <c r="ABP19" s="337"/>
      <c r="ABQ19" s="337"/>
      <c r="ABR19" s="337"/>
      <c r="ABS19" s="337"/>
      <c r="ABT19" s="337"/>
      <c r="ABU19" s="337"/>
      <c r="ABV19" s="337"/>
      <c r="ABW19" s="337"/>
      <c r="ABX19" s="337"/>
      <c r="ABY19" s="337"/>
      <c r="ABZ19" s="337"/>
      <c r="ACA19" s="337"/>
      <c r="ACB19" s="337"/>
      <c r="ACC19" s="337"/>
      <c r="ACD19" s="337"/>
      <c r="ACE19" s="337"/>
      <c r="ACF19" s="337"/>
      <c r="ACG19" s="337"/>
      <c r="ACH19" s="337"/>
      <c r="ACI19" s="337"/>
      <c r="ACJ19" s="337"/>
      <c r="ACK19" s="337"/>
      <c r="ACL19" s="337"/>
      <c r="ACM19" s="337"/>
      <c r="ACN19" s="337"/>
      <c r="ACO19" s="337"/>
      <c r="ACP19" s="337"/>
      <c r="ACQ19" s="337"/>
      <c r="ACR19" s="337"/>
      <c r="ACS19" s="337"/>
      <c r="ACT19" s="337"/>
      <c r="ACU19" s="337"/>
      <c r="ACV19" s="337"/>
      <c r="ACW19" s="337"/>
      <c r="ACX19" s="337"/>
      <c r="ACY19" s="337"/>
      <c r="ACZ19" s="337"/>
      <c r="ADA19" s="337"/>
      <c r="ADB19" s="337"/>
      <c r="ADC19" s="337"/>
      <c r="ADD19" s="337"/>
      <c r="ADE19" s="337"/>
      <c r="ADF19" s="337"/>
      <c r="ADG19" s="337"/>
      <c r="ADH19" s="337"/>
      <c r="ADI19" s="337"/>
      <c r="ADJ19" s="337"/>
      <c r="ADK19" s="337"/>
      <c r="ADL19" s="337"/>
      <c r="ADM19" s="337"/>
      <c r="ADN19" s="337"/>
      <c r="ADO19" s="337"/>
      <c r="ADP19" s="337"/>
      <c r="ADQ19" s="337"/>
      <c r="ADR19" s="337"/>
      <c r="ADS19" s="337"/>
      <c r="ADT19" s="337"/>
      <c r="ADU19" s="337"/>
      <c r="ADV19" s="337"/>
      <c r="ADW19" s="337"/>
      <c r="ADX19" s="337"/>
      <c r="ADY19" s="337"/>
      <c r="ADZ19" s="337"/>
      <c r="AEA19" s="337"/>
      <c r="AEB19" s="337"/>
      <c r="AEC19" s="337"/>
      <c r="AED19" s="337"/>
      <c r="AEE19" s="337"/>
      <c r="AEF19" s="337"/>
      <c r="AEG19" s="337"/>
      <c r="AEH19" s="337"/>
      <c r="AEI19" s="337"/>
      <c r="AEJ19" s="337"/>
      <c r="AEK19" s="337"/>
      <c r="AEL19" s="337"/>
      <c r="AEM19" s="337"/>
      <c r="AEN19" s="337"/>
      <c r="AEO19" s="337"/>
      <c r="AEP19" s="337"/>
      <c r="AEQ19" s="337"/>
      <c r="AER19" s="337"/>
      <c r="AES19" s="337"/>
      <c r="AET19" s="337"/>
      <c r="AEU19" s="337"/>
      <c r="AEV19" s="337"/>
      <c r="AEW19" s="337"/>
      <c r="AEX19" s="337"/>
      <c r="AEY19" s="337"/>
      <c r="AEZ19" s="337"/>
      <c r="AFA19" s="337"/>
      <c r="AFB19" s="337"/>
      <c r="AFC19" s="337"/>
      <c r="AFD19" s="337"/>
      <c r="AFE19" s="337"/>
      <c r="AFF19" s="337"/>
      <c r="AFG19" s="337"/>
      <c r="AFH19" s="337"/>
      <c r="AFI19" s="337"/>
      <c r="AFJ19" s="337"/>
      <c r="AFK19" s="337"/>
      <c r="AFL19" s="337"/>
      <c r="AFM19" s="337"/>
      <c r="AFN19" s="337"/>
      <c r="AFO19" s="337"/>
      <c r="AFP19" s="337"/>
      <c r="AFQ19" s="337"/>
      <c r="AFR19" s="337"/>
      <c r="AFS19" s="337"/>
      <c r="AFT19" s="337"/>
      <c r="AFU19" s="337"/>
      <c r="AFV19" s="337"/>
      <c r="AFW19" s="337"/>
      <c r="AFX19" s="337"/>
      <c r="AFY19" s="337"/>
      <c r="AFZ19" s="337"/>
      <c r="AGA19" s="337"/>
      <c r="AGB19" s="337"/>
      <c r="AGC19" s="337"/>
      <c r="AGD19" s="337"/>
      <c r="AGE19" s="337"/>
      <c r="AGF19" s="337"/>
      <c r="AGG19" s="337"/>
      <c r="AGH19" s="337"/>
      <c r="AGI19" s="337"/>
      <c r="AGJ19" s="337"/>
      <c r="AGK19" s="337"/>
      <c r="AGL19" s="337"/>
      <c r="AGM19" s="337"/>
      <c r="AGN19" s="337"/>
      <c r="AGO19" s="337"/>
      <c r="AGP19" s="337"/>
      <c r="AGQ19" s="337"/>
      <c r="AGR19" s="337"/>
      <c r="AGS19" s="337"/>
      <c r="AGT19" s="337"/>
      <c r="AGU19" s="337"/>
      <c r="AGV19" s="337"/>
      <c r="AGW19" s="337"/>
      <c r="AGX19" s="337"/>
      <c r="AGY19" s="337"/>
      <c r="AGZ19" s="337"/>
    </row>
    <row r="20" ht="24" customHeight="1" spans="1:884">
      <c r="A20" s="349">
        <v>16</v>
      </c>
      <c r="B20" s="350"/>
      <c r="C20" s="351" t="s">
        <v>120</v>
      </c>
      <c r="D20" s="352" t="s">
        <v>445</v>
      </c>
      <c r="E20" s="352"/>
      <c r="F20" s="81">
        <v>1</v>
      </c>
      <c r="G20" s="356" t="s">
        <v>446</v>
      </c>
      <c r="H20" s="354" t="s">
        <v>447</v>
      </c>
      <c r="I20" s="100" t="s">
        <v>124</v>
      </c>
      <c r="J20" s="100" t="s">
        <v>124</v>
      </c>
      <c r="K20" s="100" t="s">
        <v>124</v>
      </c>
      <c r="L20" s="100" t="s">
        <v>124</v>
      </c>
      <c r="M20" s="100" t="s">
        <v>124</v>
      </c>
      <c r="N20" s="373" t="s">
        <v>448</v>
      </c>
      <c r="O20" s="374" t="s">
        <v>449</v>
      </c>
      <c r="P20" s="375" t="str">
        <f>CONCATENATE(RemovePunctuation(H20),"_CA","_","i4K","_",C20,"_",AE20,"_",PROPER(R20),IF(S20="",PROPER(R20),PROPER(S20)),PROPER(T20),PROPER(U20),PROPER(V20),IF(V20&lt;&gt;"","SUB",""),PROPER(W20),IF(W20&lt;&gt;"","SUB",""),"_","Ed","_","M1",".mpg")</f>
        <v>OntheWildernessS03E05OasisintheDesert_CA_i4K_0825_43_ZhoZhoZhoSUB_Ed_M1.mpg</v>
      </c>
      <c r="Q20" s="375" t="str">
        <f>CONCATENATE(RemovePunctuation(H20),"_CA","_","i5K","_",C20,"_",AD20,"_",PROPER(R20),IF(S20="",PROPER(R20),PROPER(S20)),PROPER(T20),PROPER(U20),PROPER(V20),IF(V20&lt;&gt;"","SUB",""),PROPER(W20),IF(W20&lt;&gt;"","SUB",""),"_","Ed","_","M4",".mpg")</f>
        <v>OntheWildernessS03E05OasisintheDesert_CA_i5K_0825_169_ZhoZhoZhoSUB_Ed_M4.mpg</v>
      </c>
      <c r="R20" s="382" t="s">
        <v>130</v>
      </c>
      <c r="S20" s="385"/>
      <c r="T20" s="384"/>
      <c r="U20" s="384"/>
      <c r="V20" s="382" t="s">
        <v>130</v>
      </c>
      <c r="W20" s="386"/>
      <c r="X20" s="349" t="s">
        <v>129</v>
      </c>
      <c r="Y20" s="349" t="s">
        <v>129</v>
      </c>
      <c r="Z20" s="120">
        <f t="shared" si="0"/>
        <v>24</v>
      </c>
      <c r="AA20" s="304" t="str">
        <f t="shared" si="1"/>
        <v>00:24:00</v>
      </c>
      <c r="AB20" s="120">
        <f t="shared" si="2"/>
        <v>1440</v>
      </c>
      <c r="AC20" s="399">
        <v>0.0164236111111111</v>
      </c>
      <c r="AD20" s="400">
        <v>169</v>
      </c>
      <c r="AE20" s="400">
        <v>43</v>
      </c>
      <c r="AF20" s="349" t="s">
        <v>132</v>
      </c>
      <c r="AP20" s="337"/>
      <c r="AQ20" s="337"/>
      <c r="AR20" s="337"/>
      <c r="AS20" s="337"/>
      <c r="AT20" s="337"/>
      <c r="AU20" s="337"/>
      <c r="AV20" s="337"/>
      <c r="AW20" s="337"/>
      <c r="AX20" s="337"/>
      <c r="AY20" s="337"/>
      <c r="AZ20" s="337"/>
      <c r="BA20" s="337"/>
      <c r="BB20" s="337"/>
      <c r="BC20" s="337"/>
      <c r="BD20" s="337"/>
      <c r="BE20" s="337"/>
      <c r="BF20" s="337"/>
      <c r="BG20" s="337"/>
      <c r="BH20" s="337"/>
      <c r="BI20" s="337"/>
      <c r="BJ20" s="337"/>
      <c r="BK20" s="337"/>
      <c r="BL20" s="337"/>
      <c r="BM20" s="337"/>
      <c r="BN20" s="337"/>
      <c r="BO20" s="337"/>
      <c r="BP20" s="337"/>
      <c r="BQ20" s="337"/>
      <c r="BR20" s="337"/>
      <c r="BS20" s="337"/>
      <c r="BT20" s="337"/>
      <c r="BU20" s="337"/>
      <c r="BV20" s="337"/>
      <c r="BW20" s="337"/>
      <c r="BX20" s="337"/>
      <c r="BY20" s="337"/>
      <c r="BZ20" s="337"/>
      <c r="CA20" s="337"/>
      <c r="CB20" s="337"/>
      <c r="CC20" s="337"/>
      <c r="CD20" s="337"/>
      <c r="CE20" s="337"/>
      <c r="CF20" s="337"/>
      <c r="CG20" s="337"/>
      <c r="CH20" s="337"/>
      <c r="CI20" s="337"/>
      <c r="CJ20" s="337"/>
      <c r="CK20" s="337"/>
      <c r="CL20" s="337"/>
      <c r="CM20" s="337"/>
      <c r="CN20" s="337"/>
      <c r="CO20" s="337"/>
      <c r="CP20" s="337"/>
      <c r="CQ20" s="337"/>
      <c r="CR20" s="337"/>
      <c r="CS20" s="337"/>
      <c r="CT20" s="337"/>
      <c r="CU20" s="337"/>
      <c r="CV20" s="337"/>
      <c r="CW20" s="337"/>
      <c r="CX20" s="337"/>
      <c r="CY20" s="337"/>
      <c r="CZ20" s="337"/>
      <c r="DA20" s="337"/>
      <c r="DB20" s="337"/>
      <c r="DC20" s="337"/>
      <c r="DD20" s="337"/>
      <c r="DE20" s="337"/>
      <c r="DF20" s="337"/>
      <c r="DG20" s="337"/>
      <c r="DH20" s="337"/>
      <c r="DI20" s="337"/>
      <c r="DJ20" s="337"/>
      <c r="DK20" s="337"/>
      <c r="DL20" s="337"/>
      <c r="DM20" s="337"/>
      <c r="DN20" s="337"/>
      <c r="DO20" s="337"/>
      <c r="DP20" s="337"/>
      <c r="DQ20" s="337"/>
      <c r="DR20" s="337"/>
      <c r="DS20" s="337"/>
      <c r="DT20" s="337"/>
      <c r="DU20" s="337"/>
      <c r="DV20" s="337"/>
      <c r="DW20" s="337"/>
      <c r="DX20" s="337"/>
      <c r="DY20" s="337"/>
      <c r="DZ20" s="337"/>
      <c r="EA20" s="337"/>
      <c r="EB20" s="337"/>
      <c r="EC20" s="337"/>
      <c r="ED20" s="337"/>
      <c r="EE20" s="337"/>
      <c r="EF20" s="337"/>
      <c r="EG20" s="337"/>
      <c r="EH20" s="337"/>
      <c r="EI20" s="337"/>
      <c r="EJ20" s="337"/>
      <c r="EK20" s="337"/>
      <c r="EL20" s="337"/>
      <c r="EM20" s="337"/>
      <c r="EN20" s="337"/>
      <c r="EO20" s="337"/>
      <c r="EP20" s="337"/>
      <c r="EQ20" s="337"/>
      <c r="ER20" s="337"/>
      <c r="ES20" s="337"/>
      <c r="ET20" s="337"/>
      <c r="EU20" s="337"/>
      <c r="EV20" s="337"/>
      <c r="EW20" s="337"/>
      <c r="EX20" s="337"/>
      <c r="EY20" s="337"/>
      <c r="EZ20" s="337"/>
      <c r="FA20" s="337"/>
      <c r="FB20" s="337"/>
      <c r="FC20" s="337"/>
      <c r="FD20" s="337"/>
      <c r="FE20" s="337"/>
      <c r="FF20" s="337"/>
      <c r="FG20" s="337"/>
      <c r="FH20" s="337"/>
      <c r="FI20" s="337"/>
      <c r="FJ20" s="337"/>
      <c r="FK20" s="337"/>
      <c r="FL20" s="337"/>
      <c r="FM20" s="337"/>
      <c r="FN20" s="337"/>
      <c r="FO20" s="337"/>
      <c r="FP20" s="337"/>
      <c r="FQ20" s="337"/>
      <c r="FR20" s="337"/>
      <c r="FS20" s="337"/>
      <c r="FT20" s="337"/>
      <c r="FU20" s="337"/>
      <c r="FV20" s="337"/>
      <c r="FW20" s="337"/>
      <c r="FX20" s="337"/>
      <c r="FY20" s="337"/>
      <c r="FZ20" s="337"/>
      <c r="GA20" s="337"/>
      <c r="GB20" s="337"/>
      <c r="GC20" s="337"/>
      <c r="GD20" s="337"/>
      <c r="GE20" s="337"/>
      <c r="GF20" s="337"/>
      <c r="GG20" s="337"/>
      <c r="GH20" s="337"/>
      <c r="GI20" s="337"/>
      <c r="GJ20" s="337"/>
      <c r="GK20" s="337"/>
      <c r="GL20" s="337"/>
      <c r="GM20" s="337"/>
      <c r="GN20" s="337"/>
      <c r="GO20" s="337"/>
      <c r="GP20" s="337"/>
      <c r="GQ20" s="337"/>
      <c r="GR20" s="337"/>
      <c r="GS20" s="337"/>
      <c r="GT20" s="337"/>
      <c r="GU20" s="337"/>
      <c r="GV20" s="337"/>
      <c r="GW20" s="337"/>
      <c r="GX20" s="337"/>
      <c r="GY20" s="337"/>
      <c r="GZ20" s="337"/>
      <c r="HA20" s="337"/>
      <c r="HB20" s="337"/>
      <c r="HC20" s="337"/>
      <c r="HD20" s="337"/>
      <c r="HE20" s="337"/>
      <c r="HF20" s="337"/>
      <c r="HG20" s="337"/>
      <c r="HH20" s="337"/>
      <c r="HI20" s="337"/>
      <c r="HJ20" s="337"/>
      <c r="HK20" s="337"/>
      <c r="HL20" s="337"/>
      <c r="HM20" s="337"/>
      <c r="HN20" s="337"/>
      <c r="HO20" s="337"/>
      <c r="HP20" s="337"/>
      <c r="HQ20" s="337"/>
      <c r="HR20" s="337"/>
      <c r="HS20" s="337"/>
      <c r="HT20" s="337"/>
      <c r="HU20" s="337"/>
      <c r="HV20" s="337"/>
      <c r="HW20" s="337"/>
      <c r="HX20" s="337"/>
      <c r="HY20" s="337"/>
      <c r="HZ20" s="337"/>
      <c r="IA20" s="337"/>
      <c r="IB20" s="337"/>
      <c r="IC20" s="337"/>
      <c r="ID20" s="337"/>
      <c r="IE20" s="337"/>
      <c r="IF20" s="337"/>
      <c r="IG20" s="337"/>
      <c r="IH20" s="337"/>
      <c r="II20" s="337"/>
      <c r="IJ20" s="337"/>
      <c r="IK20" s="337"/>
      <c r="IL20" s="337"/>
      <c r="IM20" s="337"/>
      <c r="IN20" s="337"/>
      <c r="IO20" s="337"/>
      <c r="IP20" s="337"/>
      <c r="IQ20" s="337"/>
      <c r="IR20" s="337"/>
      <c r="IS20" s="337"/>
      <c r="IT20" s="337"/>
      <c r="IU20" s="337"/>
      <c r="IV20" s="337"/>
      <c r="IW20" s="337"/>
      <c r="IX20" s="337"/>
      <c r="IY20" s="337"/>
      <c r="IZ20" s="337"/>
      <c r="JA20" s="337"/>
      <c r="JB20" s="337"/>
      <c r="JC20" s="337"/>
      <c r="JD20" s="337"/>
      <c r="JE20" s="337"/>
      <c r="JF20" s="337"/>
      <c r="JG20" s="337"/>
      <c r="JH20" s="337"/>
      <c r="JI20" s="337"/>
      <c r="JJ20" s="337"/>
      <c r="JK20" s="337"/>
      <c r="JL20" s="337"/>
      <c r="JM20" s="337"/>
      <c r="JN20" s="337"/>
      <c r="JO20" s="337"/>
      <c r="JP20" s="337"/>
      <c r="JQ20" s="337"/>
      <c r="JR20" s="337"/>
      <c r="JS20" s="337"/>
      <c r="JT20" s="337"/>
      <c r="JU20" s="337"/>
      <c r="JV20" s="337"/>
      <c r="JW20" s="337"/>
      <c r="JX20" s="337"/>
      <c r="JY20" s="337"/>
      <c r="JZ20" s="337"/>
      <c r="KA20" s="337"/>
      <c r="KB20" s="337"/>
      <c r="KC20" s="337"/>
      <c r="KD20" s="337"/>
      <c r="KE20" s="337"/>
      <c r="KF20" s="337"/>
      <c r="KG20" s="337"/>
      <c r="KH20" s="337"/>
      <c r="KI20" s="337"/>
      <c r="KJ20" s="337"/>
      <c r="KK20" s="337"/>
      <c r="KL20" s="337"/>
      <c r="KM20" s="337"/>
      <c r="KN20" s="337"/>
      <c r="KO20" s="337"/>
      <c r="KP20" s="337"/>
      <c r="KQ20" s="337"/>
      <c r="KR20" s="337"/>
      <c r="KS20" s="337"/>
      <c r="KT20" s="337"/>
      <c r="KU20" s="337"/>
      <c r="KV20" s="337"/>
      <c r="KW20" s="337"/>
      <c r="KX20" s="337"/>
      <c r="KY20" s="337"/>
      <c r="KZ20" s="337"/>
      <c r="LA20" s="337"/>
      <c r="LB20" s="337"/>
      <c r="LC20" s="337"/>
      <c r="LD20" s="337"/>
      <c r="LE20" s="337"/>
      <c r="LF20" s="337"/>
      <c r="LG20" s="337"/>
      <c r="LH20" s="337"/>
      <c r="LI20" s="337"/>
      <c r="LJ20" s="337"/>
      <c r="LK20" s="337"/>
      <c r="LL20" s="337"/>
      <c r="LM20" s="337"/>
      <c r="LN20" s="337"/>
      <c r="LO20" s="337"/>
      <c r="LP20" s="337"/>
      <c r="LQ20" s="337"/>
      <c r="LR20" s="337"/>
      <c r="LS20" s="337"/>
      <c r="LT20" s="337"/>
      <c r="LU20" s="337"/>
      <c r="LV20" s="337"/>
      <c r="LW20" s="337"/>
      <c r="LX20" s="337"/>
      <c r="LY20" s="337"/>
      <c r="LZ20" s="337"/>
      <c r="MA20" s="337"/>
      <c r="MB20" s="337"/>
      <c r="MC20" s="337"/>
      <c r="MD20" s="337"/>
      <c r="ME20" s="337"/>
      <c r="MF20" s="337"/>
      <c r="MG20" s="337"/>
      <c r="MH20" s="337"/>
      <c r="MI20" s="337"/>
      <c r="MJ20" s="337"/>
      <c r="MK20" s="337"/>
      <c r="ML20" s="337"/>
      <c r="MM20" s="337"/>
      <c r="MN20" s="337"/>
      <c r="MO20" s="337"/>
      <c r="MP20" s="337"/>
      <c r="MQ20" s="337"/>
      <c r="MR20" s="337"/>
      <c r="MS20" s="337"/>
      <c r="MT20" s="337"/>
      <c r="MU20" s="337"/>
      <c r="MV20" s="337"/>
      <c r="MW20" s="337"/>
      <c r="MX20" s="337"/>
      <c r="MY20" s="337"/>
      <c r="MZ20" s="337"/>
      <c r="NA20" s="337"/>
      <c r="NB20" s="337"/>
      <c r="NC20" s="337"/>
      <c r="ND20" s="337"/>
      <c r="NE20" s="337"/>
      <c r="NF20" s="337"/>
      <c r="NG20" s="337"/>
      <c r="NH20" s="337"/>
      <c r="NI20" s="337"/>
      <c r="NJ20" s="337"/>
      <c r="NK20" s="337"/>
      <c r="NL20" s="337"/>
      <c r="NM20" s="337"/>
      <c r="NN20" s="337"/>
      <c r="NO20" s="337"/>
      <c r="NP20" s="337"/>
      <c r="NQ20" s="337"/>
      <c r="NR20" s="337"/>
      <c r="NS20" s="337"/>
      <c r="NT20" s="337"/>
      <c r="NU20" s="337"/>
      <c r="NV20" s="337"/>
      <c r="NW20" s="337"/>
      <c r="NX20" s="337"/>
      <c r="NY20" s="337"/>
      <c r="NZ20" s="337"/>
      <c r="OA20" s="337"/>
      <c r="OB20" s="337"/>
      <c r="OC20" s="337"/>
      <c r="OD20" s="337"/>
      <c r="OE20" s="337"/>
      <c r="OF20" s="337"/>
      <c r="OG20" s="337"/>
      <c r="OH20" s="337"/>
      <c r="OI20" s="337"/>
      <c r="OJ20" s="337"/>
      <c r="OK20" s="337"/>
      <c r="OL20" s="337"/>
      <c r="OM20" s="337"/>
      <c r="ON20" s="337"/>
      <c r="OO20" s="337"/>
      <c r="OP20" s="337"/>
      <c r="OQ20" s="337"/>
      <c r="OR20" s="337"/>
      <c r="OS20" s="337"/>
      <c r="OT20" s="337"/>
      <c r="OU20" s="337"/>
      <c r="OV20" s="337"/>
      <c r="OW20" s="337"/>
      <c r="OX20" s="337"/>
      <c r="OY20" s="337"/>
      <c r="OZ20" s="337"/>
      <c r="PA20" s="337"/>
      <c r="PB20" s="337"/>
      <c r="PC20" s="337"/>
      <c r="PD20" s="337"/>
      <c r="PE20" s="337"/>
      <c r="PF20" s="337"/>
      <c r="PG20" s="337"/>
      <c r="PH20" s="337"/>
      <c r="PI20" s="337"/>
      <c r="PJ20" s="337"/>
      <c r="PK20" s="337"/>
      <c r="PL20" s="337"/>
      <c r="PM20" s="337"/>
      <c r="PN20" s="337"/>
      <c r="PO20" s="337"/>
      <c r="PP20" s="337"/>
      <c r="PQ20" s="337"/>
      <c r="PR20" s="337"/>
      <c r="PS20" s="337"/>
      <c r="PT20" s="337"/>
      <c r="PU20" s="337"/>
      <c r="PV20" s="337"/>
      <c r="PW20" s="337"/>
      <c r="PX20" s="337"/>
      <c r="PY20" s="337"/>
      <c r="PZ20" s="337"/>
      <c r="QA20" s="337"/>
      <c r="QB20" s="337"/>
      <c r="QC20" s="337"/>
      <c r="QD20" s="337"/>
      <c r="QE20" s="337"/>
      <c r="QF20" s="337"/>
      <c r="QG20" s="337"/>
      <c r="QH20" s="337"/>
      <c r="QI20" s="337"/>
      <c r="QJ20" s="337"/>
      <c r="QK20" s="337"/>
      <c r="QL20" s="337"/>
      <c r="QM20" s="337"/>
      <c r="QN20" s="337"/>
      <c r="QO20" s="337"/>
      <c r="QP20" s="337"/>
      <c r="QQ20" s="337"/>
      <c r="QR20" s="337"/>
      <c r="QS20" s="337"/>
      <c r="QT20" s="337"/>
      <c r="QU20" s="337"/>
      <c r="QV20" s="337"/>
      <c r="QW20" s="337"/>
      <c r="QX20" s="337"/>
      <c r="QY20" s="337"/>
      <c r="QZ20" s="337"/>
      <c r="RA20" s="337"/>
      <c r="RB20" s="337"/>
      <c r="RC20" s="337"/>
      <c r="RD20" s="337"/>
      <c r="RE20" s="337"/>
      <c r="RF20" s="337"/>
      <c r="RG20" s="337"/>
      <c r="RH20" s="337"/>
      <c r="RI20" s="337"/>
      <c r="RJ20" s="337"/>
      <c r="RK20" s="337"/>
      <c r="RL20" s="337"/>
      <c r="RM20" s="337"/>
      <c r="RN20" s="337"/>
      <c r="RO20" s="337"/>
      <c r="RP20" s="337"/>
      <c r="RQ20" s="337"/>
      <c r="RR20" s="337"/>
      <c r="RS20" s="337"/>
      <c r="RT20" s="337"/>
      <c r="RU20" s="337"/>
      <c r="RV20" s="337"/>
      <c r="RW20" s="337"/>
      <c r="RX20" s="337"/>
      <c r="RY20" s="337"/>
      <c r="RZ20" s="337"/>
      <c r="SA20" s="337"/>
      <c r="SB20" s="337"/>
      <c r="SC20" s="337"/>
      <c r="SD20" s="337"/>
      <c r="SE20" s="337"/>
      <c r="SF20" s="337"/>
      <c r="SG20" s="337"/>
      <c r="SH20" s="337"/>
      <c r="SI20" s="337"/>
      <c r="SJ20" s="337"/>
      <c r="SK20" s="337"/>
      <c r="SL20" s="337"/>
      <c r="SM20" s="337"/>
      <c r="SN20" s="337"/>
      <c r="SO20" s="337"/>
      <c r="SP20" s="337"/>
      <c r="SQ20" s="337"/>
      <c r="SR20" s="337"/>
      <c r="SS20" s="337"/>
      <c r="ST20" s="337"/>
      <c r="SU20" s="337"/>
      <c r="SV20" s="337"/>
      <c r="SW20" s="337"/>
      <c r="SX20" s="337"/>
      <c r="SY20" s="337"/>
      <c r="SZ20" s="337"/>
      <c r="TA20" s="337"/>
      <c r="TB20" s="337"/>
      <c r="TC20" s="337"/>
      <c r="TD20" s="337"/>
      <c r="TE20" s="337"/>
      <c r="TF20" s="337"/>
      <c r="TG20" s="337"/>
      <c r="TH20" s="337"/>
      <c r="TI20" s="337"/>
      <c r="TJ20" s="337"/>
      <c r="TK20" s="337"/>
      <c r="TL20" s="337"/>
      <c r="TM20" s="337"/>
      <c r="TN20" s="337"/>
      <c r="TO20" s="337"/>
      <c r="TP20" s="337"/>
      <c r="TQ20" s="337"/>
      <c r="TR20" s="337"/>
      <c r="TS20" s="337"/>
      <c r="TT20" s="337"/>
      <c r="TU20" s="337"/>
      <c r="TV20" s="337"/>
      <c r="TW20" s="337"/>
      <c r="TX20" s="337"/>
      <c r="TY20" s="337"/>
      <c r="TZ20" s="337"/>
      <c r="UA20" s="337"/>
      <c r="UB20" s="337"/>
      <c r="UC20" s="337"/>
      <c r="UD20" s="337"/>
      <c r="UE20" s="337"/>
      <c r="UF20" s="337"/>
      <c r="UG20" s="337"/>
      <c r="UH20" s="337"/>
      <c r="UI20" s="337"/>
      <c r="UJ20" s="337"/>
      <c r="UK20" s="337"/>
      <c r="UL20" s="337"/>
      <c r="UM20" s="337"/>
      <c r="UN20" s="337"/>
      <c r="UO20" s="337"/>
      <c r="UP20" s="337"/>
      <c r="UQ20" s="337"/>
      <c r="UR20" s="337"/>
      <c r="US20" s="337"/>
      <c r="UT20" s="337"/>
      <c r="UU20" s="337"/>
      <c r="UV20" s="337"/>
      <c r="UW20" s="337"/>
      <c r="UX20" s="337"/>
      <c r="UY20" s="337"/>
      <c r="UZ20" s="337"/>
      <c r="VA20" s="337"/>
      <c r="VB20" s="337"/>
      <c r="VC20" s="337"/>
      <c r="VD20" s="337"/>
      <c r="VE20" s="337"/>
      <c r="VF20" s="337"/>
      <c r="VG20" s="337"/>
      <c r="VH20" s="337"/>
      <c r="VI20" s="337"/>
      <c r="VJ20" s="337"/>
      <c r="VK20" s="337"/>
      <c r="VL20" s="337"/>
      <c r="VM20" s="337"/>
      <c r="VN20" s="337"/>
      <c r="VO20" s="337"/>
      <c r="VP20" s="337"/>
      <c r="VQ20" s="337"/>
      <c r="VR20" s="337"/>
      <c r="VS20" s="337"/>
      <c r="VT20" s="337"/>
      <c r="VU20" s="337"/>
      <c r="VV20" s="337"/>
      <c r="VW20" s="337"/>
      <c r="VX20" s="337"/>
      <c r="VY20" s="337"/>
      <c r="VZ20" s="337"/>
      <c r="WA20" s="337"/>
      <c r="WB20" s="337"/>
      <c r="WC20" s="337"/>
      <c r="WD20" s="337"/>
      <c r="WE20" s="337"/>
      <c r="WF20" s="337"/>
      <c r="WG20" s="337"/>
      <c r="WH20" s="337"/>
      <c r="WI20" s="337"/>
      <c r="WJ20" s="337"/>
      <c r="WK20" s="337"/>
      <c r="WL20" s="337"/>
      <c r="WM20" s="337"/>
      <c r="WN20" s="337"/>
      <c r="WO20" s="337"/>
      <c r="WP20" s="337"/>
      <c r="WQ20" s="337"/>
      <c r="WR20" s="337"/>
      <c r="WS20" s="337"/>
      <c r="WT20" s="337"/>
      <c r="WU20" s="337"/>
      <c r="WV20" s="337"/>
      <c r="WW20" s="337"/>
      <c r="WX20" s="337"/>
      <c r="WY20" s="337"/>
      <c r="WZ20" s="337"/>
      <c r="XA20" s="337"/>
      <c r="XB20" s="337"/>
      <c r="XC20" s="337"/>
      <c r="XD20" s="337"/>
      <c r="XE20" s="337"/>
      <c r="XF20" s="337"/>
      <c r="XG20" s="337"/>
      <c r="XH20" s="337"/>
      <c r="XI20" s="337"/>
      <c r="XJ20" s="337"/>
      <c r="XK20" s="337"/>
      <c r="XL20" s="337"/>
      <c r="XM20" s="337"/>
      <c r="XN20" s="337"/>
      <c r="XO20" s="337"/>
      <c r="XP20" s="337"/>
      <c r="XQ20" s="337"/>
      <c r="XR20" s="337"/>
      <c r="XS20" s="337"/>
      <c r="XT20" s="337"/>
      <c r="XU20" s="337"/>
      <c r="XV20" s="337"/>
      <c r="XW20" s="337"/>
      <c r="XX20" s="337"/>
      <c r="XY20" s="337"/>
      <c r="XZ20" s="337"/>
      <c r="YA20" s="337"/>
      <c r="YB20" s="337"/>
      <c r="YC20" s="337"/>
      <c r="YD20" s="337"/>
      <c r="YE20" s="337"/>
      <c r="YF20" s="337"/>
      <c r="YG20" s="337"/>
      <c r="YH20" s="337"/>
      <c r="YI20" s="337"/>
      <c r="YJ20" s="337"/>
      <c r="YK20" s="337"/>
      <c r="YL20" s="337"/>
      <c r="YM20" s="337"/>
      <c r="YN20" s="337"/>
      <c r="YO20" s="337"/>
      <c r="YP20" s="337"/>
      <c r="YQ20" s="337"/>
      <c r="YR20" s="337"/>
      <c r="YS20" s="337"/>
      <c r="YT20" s="337"/>
      <c r="YU20" s="337"/>
      <c r="YV20" s="337"/>
      <c r="YW20" s="337"/>
      <c r="YX20" s="337"/>
      <c r="YY20" s="337"/>
      <c r="YZ20" s="337"/>
      <c r="ZA20" s="337"/>
      <c r="ZB20" s="337"/>
      <c r="ZC20" s="337"/>
      <c r="ZD20" s="337"/>
      <c r="ZE20" s="337"/>
      <c r="ZF20" s="337"/>
      <c r="ZG20" s="337"/>
      <c r="ZH20" s="337"/>
      <c r="ZI20" s="337"/>
      <c r="ZJ20" s="337"/>
      <c r="ZK20" s="337"/>
      <c r="ZL20" s="337"/>
      <c r="ZM20" s="337"/>
      <c r="ZN20" s="337"/>
      <c r="ZO20" s="337"/>
      <c r="ZP20" s="337"/>
      <c r="ZQ20" s="337"/>
      <c r="ZR20" s="337"/>
      <c r="ZS20" s="337"/>
      <c r="ZT20" s="337"/>
      <c r="ZU20" s="337"/>
      <c r="ZV20" s="337"/>
      <c r="ZW20" s="337"/>
      <c r="ZX20" s="337"/>
      <c r="ZY20" s="337"/>
      <c r="ZZ20" s="337"/>
      <c r="AAA20" s="337"/>
      <c r="AAB20" s="337"/>
      <c r="AAC20" s="337"/>
      <c r="AAD20" s="337"/>
      <c r="AAE20" s="337"/>
      <c r="AAF20" s="337"/>
      <c r="AAG20" s="337"/>
      <c r="AAH20" s="337"/>
      <c r="AAI20" s="337"/>
      <c r="AAJ20" s="337"/>
      <c r="AAK20" s="337"/>
      <c r="AAL20" s="337"/>
      <c r="AAM20" s="337"/>
      <c r="AAN20" s="337"/>
      <c r="AAO20" s="337"/>
      <c r="AAP20" s="337"/>
      <c r="AAQ20" s="337"/>
      <c r="AAR20" s="337"/>
      <c r="AAS20" s="337"/>
      <c r="AAT20" s="337"/>
      <c r="AAU20" s="337"/>
      <c r="AAV20" s="337"/>
      <c r="AAW20" s="337"/>
      <c r="AAX20" s="337"/>
      <c r="AAY20" s="337"/>
      <c r="AAZ20" s="337"/>
      <c r="ABA20" s="337"/>
      <c r="ABB20" s="337"/>
      <c r="ABC20" s="337"/>
      <c r="ABD20" s="337"/>
      <c r="ABE20" s="337"/>
      <c r="ABF20" s="337"/>
      <c r="ABG20" s="337"/>
      <c r="ABH20" s="337"/>
      <c r="ABI20" s="337"/>
      <c r="ABJ20" s="337"/>
      <c r="ABK20" s="337"/>
      <c r="ABL20" s="337"/>
      <c r="ABM20" s="337"/>
      <c r="ABN20" s="337"/>
      <c r="ABO20" s="337"/>
      <c r="ABP20" s="337"/>
      <c r="ABQ20" s="337"/>
      <c r="ABR20" s="337"/>
      <c r="ABS20" s="337"/>
      <c r="ABT20" s="337"/>
      <c r="ABU20" s="337"/>
      <c r="ABV20" s="337"/>
      <c r="ABW20" s="337"/>
      <c r="ABX20" s="337"/>
      <c r="ABY20" s="337"/>
      <c r="ABZ20" s="337"/>
      <c r="ACA20" s="337"/>
      <c r="ACB20" s="337"/>
      <c r="ACC20" s="337"/>
      <c r="ACD20" s="337"/>
      <c r="ACE20" s="337"/>
      <c r="ACF20" s="337"/>
      <c r="ACG20" s="337"/>
      <c r="ACH20" s="337"/>
      <c r="ACI20" s="337"/>
      <c r="ACJ20" s="337"/>
      <c r="ACK20" s="337"/>
      <c r="ACL20" s="337"/>
      <c r="ACM20" s="337"/>
      <c r="ACN20" s="337"/>
      <c r="ACO20" s="337"/>
      <c r="ACP20" s="337"/>
      <c r="ACQ20" s="337"/>
      <c r="ACR20" s="337"/>
      <c r="ACS20" s="337"/>
      <c r="ACT20" s="337"/>
      <c r="ACU20" s="337"/>
      <c r="ACV20" s="337"/>
      <c r="ACW20" s="337"/>
      <c r="ACX20" s="337"/>
      <c r="ACY20" s="337"/>
      <c r="ACZ20" s="337"/>
      <c r="ADA20" s="337"/>
      <c r="ADB20" s="337"/>
      <c r="ADC20" s="337"/>
      <c r="ADD20" s="337"/>
      <c r="ADE20" s="337"/>
      <c r="ADF20" s="337"/>
      <c r="ADG20" s="337"/>
      <c r="ADH20" s="337"/>
      <c r="ADI20" s="337"/>
      <c r="ADJ20" s="337"/>
      <c r="ADK20" s="337"/>
      <c r="ADL20" s="337"/>
      <c r="ADM20" s="337"/>
      <c r="ADN20" s="337"/>
      <c r="ADO20" s="337"/>
      <c r="ADP20" s="337"/>
      <c r="ADQ20" s="337"/>
      <c r="ADR20" s="337"/>
      <c r="ADS20" s="337"/>
      <c r="ADT20" s="337"/>
      <c r="ADU20" s="337"/>
      <c r="ADV20" s="337"/>
      <c r="ADW20" s="337"/>
      <c r="ADX20" s="337"/>
      <c r="ADY20" s="337"/>
      <c r="ADZ20" s="337"/>
      <c r="AEA20" s="337"/>
      <c r="AEB20" s="337"/>
      <c r="AEC20" s="337"/>
      <c r="AED20" s="337"/>
      <c r="AEE20" s="337"/>
      <c r="AEF20" s="337"/>
      <c r="AEG20" s="337"/>
      <c r="AEH20" s="337"/>
      <c r="AEI20" s="337"/>
      <c r="AEJ20" s="337"/>
      <c r="AEK20" s="337"/>
      <c r="AEL20" s="337"/>
      <c r="AEM20" s="337"/>
      <c r="AEN20" s="337"/>
      <c r="AEO20" s="337"/>
      <c r="AEP20" s="337"/>
      <c r="AEQ20" s="337"/>
      <c r="AER20" s="337"/>
      <c r="AES20" s="337"/>
      <c r="AET20" s="337"/>
      <c r="AEU20" s="337"/>
      <c r="AEV20" s="337"/>
      <c r="AEW20" s="337"/>
      <c r="AEX20" s="337"/>
      <c r="AEY20" s="337"/>
      <c r="AEZ20" s="337"/>
      <c r="AFA20" s="337"/>
      <c r="AFB20" s="337"/>
      <c r="AFC20" s="337"/>
      <c r="AFD20" s="337"/>
      <c r="AFE20" s="337"/>
      <c r="AFF20" s="337"/>
      <c r="AFG20" s="337"/>
      <c r="AFH20" s="337"/>
      <c r="AFI20" s="337"/>
      <c r="AFJ20" s="337"/>
      <c r="AFK20" s="337"/>
      <c r="AFL20" s="337"/>
      <c r="AFM20" s="337"/>
      <c r="AFN20" s="337"/>
      <c r="AFO20" s="337"/>
      <c r="AFP20" s="337"/>
      <c r="AFQ20" s="337"/>
      <c r="AFR20" s="337"/>
      <c r="AFS20" s="337"/>
      <c r="AFT20" s="337"/>
      <c r="AFU20" s="337"/>
      <c r="AFV20" s="337"/>
      <c r="AFW20" s="337"/>
      <c r="AFX20" s="337"/>
      <c r="AFY20" s="337"/>
      <c r="AFZ20" s="337"/>
      <c r="AGA20" s="337"/>
      <c r="AGB20" s="337"/>
      <c r="AGC20" s="337"/>
      <c r="AGD20" s="337"/>
      <c r="AGE20" s="337"/>
      <c r="AGF20" s="337"/>
      <c r="AGG20" s="337"/>
      <c r="AGH20" s="337"/>
      <c r="AGI20" s="337"/>
      <c r="AGJ20" s="337"/>
      <c r="AGK20" s="337"/>
      <c r="AGL20" s="337"/>
      <c r="AGM20" s="337"/>
      <c r="AGN20" s="337"/>
      <c r="AGO20" s="337"/>
      <c r="AGP20" s="337"/>
      <c r="AGQ20" s="337"/>
      <c r="AGR20" s="337"/>
      <c r="AGS20" s="337"/>
      <c r="AGT20" s="337"/>
      <c r="AGU20" s="337"/>
      <c r="AGV20" s="337"/>
      <c r="AGW20" s="337"/>
      <c r="AGX20" s="337"/>
      <c r="AGY20" s="337"/>
      <c r="AGZ20" s="337"/>
    </row>
    <row r="21" ht="24" customHeight="1" spans="1:884">
      <c r="A21" s="349">
        <v>17</v>
      </c>
      <c r="B21" s="350"/>
      <c r="C21" s="351" t="s">
        <v>120</v>
      </c>
      <c r="D21" s="352"/>
      <c r="E21" s="352"/>
      <c r="F21" s="81">
        <v>2</v>
      </c>
      <c r="G21" s="356" t="s">
        <v>450</v>
      </c>
      <c r="H21" s="354" t="s">
        <v>451</v>
      </c>
      <c r="I21" s="100" t="s">
        <v>124</v>
      </c>
      <c r="J21" s="100"/>
      <c r="K21" s="100" t="s">
        <v>124</v>
      </c>
      <c r="L21" s="100"/>
      <c r="M21" s="100"/>
      <c r="N21" s="373" t="s">
        <v>452</v>
      </c>
      <c r="O21" s="374" t="s">
        <v>453</v>
      </c>
      <c r="P21" s="375"/>
      <c r="Q21" s="375"/>
      <c r="R21" s="382" t="s">
        <v>130</v>
      </c>
      <c r="S21" s="385"/>
      <c r="T21" s="384"/>
      <c r="U21" s="384"/>
      <c r="V21" s="382" t="s">
        <v>130</v>
      </c>
      <c r="W21" s="384"/>
      <c r="X21" s="349" t="s">
        <v>129</v>
      </c>
      <c r="Y21" s="349" t="s">
        <v>129</v>
      </c>
      <c r="Z21" s="120">
        <f t="shared" si="0"/>
        <v>28</v>
      </c>
      <c r="AA21" s="304" t="str">
        <f t="shared" si="1"/>
        <v>00:28:00</v>
      </c>
      <c r="AB21" s="120">
        <f t="shared" si="2"/>
        <v>1680</v>
      </c>
      <c r="AC21" s="399">
        <v>0.019525462962963</v>
      </c>
      <c r="AD21" s="400">
        <v>169</v>
      </c>
      <c r="AE21" s="400">
        <v>43</v>
      </c>
      <c r="AF21" s="349" t="s">
        <v>132</v>
      </c>
      <c r="AP21" s="337"/>
      <c r="AQ21" s="337"/>
      <c r="AR21" s="337"/>
      <c r="AS21" s="337"/>
      <c r="AT21" s="337"/>
      <c r="AU21" s="337"/>
      <c r="AV21" s="337"/>
      <c r="AW21" s="337"/>
      <c r="AX21" s="337"/>
      <c r="AY21" s="337"/>
      <c r="AZ21" s="337"/>
      <c r="BA21" s="337"/>
      <c r="BB21" s="337"/>
      <c r="BC21" s="337"/>
      <c r="BD21" s="337"/>
      <c r="BE21" s="337"/>
      <c r="BF21" s="337"/>
      <c r="BG21" s="337"/>
      <c r="BH21" s="337"/>
      <c r="BI21" s="337"/>
      <c r="BJ21" s="337"/>
      <c r="BK21" s="337"/>
      <c r="BL21" s="337"/>
      <c r="BM21" s="337"/>
      <c r="BN21" s="337"/>
      <c r="BO21" s="337"/>
      <c r="BP21" s="337"/>
      <c r="BQ21" s="337"/>
      <c r="BR21" s="337"/>
      <c r="BS21" s="337"/>
      <c r="BT21" s="337"/>
      <c r="BU21" s="337"/>
      <c r="BV21" s="337"/>
      <c r="BW21" s="337"/>
      <c r="BX21" s="337"/>
      <c r="BY21" s="337"/>
      <c r="BZ21" s="337"/>
      <c r="CA21" s="337"/>
      <c r="CB21" s="337"/>
      <c r="CC21" s="337"/>
      <c r="CD21" s="337"/>
      <c r="CE21" s="337"/>
      <c r="CF21" s="337"/>
      <c r="CG21" s="337"/>
      <c r="CH21" s="337"/>
      <c r="CI21" s="337"/>
      <c r="CJ21" s="337"/>
      <c r="CK21" s="337"/>
      <c r="CL21" s="337"/>
      <c r="CM21" s="337"/>
      <c r="CN21" s="337"/>
      <c r="CO21" s="337"/>
      <c r="CP21" s="337"/>
      <c r="CQ21" s="337"/>
      <c r="CR21" s="337"/>
      <c r="CS21" s="337"/>
      <c r="CT21" s="337"/>
      <c r="CU21" s="337"/>
      <c r="CV21" s="337"/>
      <c r="CW21" s="337"/>
      <c r="CX21" s="337"/>
      <c r="CY21" s="337"/>
      <c r="CZ21" s="337"/>
      <c r="DA21" s="337"/>
      <c r="DB21" s="337"/>
      <c r="DC21" s="337"/>
      <c r="DD21" s="337"/>
      <c r="DE21" s="337"/>
      <c r="DF21" s="337"/>
      <c r="DG21" s="337"/>
      <c r="DH21" s="337"/>
      <c r="DI21" s="337"/>
      <c r="DJ21" s="337"/>
      <c r="DK21" s="337"/>
      <c r="DL21" s="337"/>
      <c r="DM21" s="337"/>
      <c r="DN21" s="337"/>
      <c r="DO21" s="337"/>
      <c r="DP21" s="337"/>
      <c r="DQ21" s="337"/>
      <c r="DR21" s="337"/>
      <c r="DS21" s="337"/>
      <c r="DT21" s="337"/>
      <c r="DU21" s="337"/>
      <c r="DV21" s="337"/>
      <c r="DW21" s="337"/>
      <c r="DX21" s="337"/>
      <c r="DY21" s="337"/>
      <c r="DZ21" s="337"/>
      <c r="EA21" s="337"/>
      <c r="EB21" s="337"/>
      <c r="EC21" s="337"/>
      <c r="ED21" s="337"/>
      <c r="EE21" s="337"/>
      <c r="EF21" s="337"/>
      <c r="EG21" s="337"/>
      <c r="EH21" s="337"/>
      <c r="EI21" s="337"/>
      <c r="EJ21" s="337"/>
      <c r="EK21" s="337"/>
      <c r="EL21" s="337"/>
      <c r="EM21" s="337"/>
      <c r="EN21" s="337"/>
      <c r="EO21" s="337"/>
      <c r="EP21" s="337"/>
      <c r="EQ21" s="337"/>
      <c r="ER21" s="337"/>
      <c r="ES21" s="337"/>
      <c r="ET21" s="337"/>
      <c r="EU21" s="337"/>
      <c r="EV21" s="337"/>
      <c r="EW21" s="337"/>
      <c r="EX21" s="337"/>
      <c r="EY21" s="337"/>
      <c r="EZ21" s="337"/>
      <c r="FA21" s="337"/>
      <c r="FB21" s="337"/>
      <c r="FC21" s="337"/>
      <c r="FD21" s="337"/>
      <c r="FE21" s="337"/>
      <c r="FF21" s="337"/>
      <c r="FG21" s="337"/>
      <c r="FH21" s="337"/>
      <c r="FI21" s="337"/>
      <c r="FJ21" s="337"/>
      <c r="FK21" s="337"/>
      <c r="FL21" s="337"/>
      <c r="FM21" s="337"/>
      <c r="FN21" s="337"/>
      <c r="FO21" s="337"/>
      <c r="FP21" s="337"/>
      <c r="FQ21" s="337"/>
      <c r="FR21" s="337"/>
      <c r="FS21" s="337"/>
      <c r="FT21" s="337"/>
      <c r="FU21" s="337"/>
      <c r="FV21" s="337"/>
      <c r="FW21" s="337"/>
      <c r="FX21" s="337"/>
      <c r="FY21" s="337"/>
      <c r="FZ21" s="337"/>
      <c r="GA21" s="337"/>
      <c r="GB21" s="337"/>
      <c r="GC21" s="337"/>
      <c r="GD21" s="337"/>
      <c r="GE21" s="337"/>
      <c r="GF21" s="337"/>
      <c r="GG21" s="337"/>
      <c r="GH21" s="337"/>
      <c r="GI21" s="337"/>
      <c r="GJ21" s="337"/>
      <c r="GK21" s="337"/>
      <c r="GL21" s="337"/>
      <c r="GM21" s="337"/>
      <c r="GN21" s="337"/>
      <c r="GO21" s="337"/>
      <c r="GP21" s="337"/>
      <c r="GQ21" s="337"/>
      <c r="GR21" s="337"/>
      <c r="GS21" s="337"/>
      <c r="GT21" s="337"/>
      <c r="GU21" s="337"/>
      <c r="GV21" s="337"/>
      <c r="GW21" s="337"/>
      <c r="GX21" s="337"/>
      <c r="GY21" s="337"/>
      <c r="GZ21" s="337"/>
      <c r="HA21" s="337"/>
      <c r="HB21" s="337"/>
      <c r="HC21" s="337"/>
      <c r="HD21" s="337"/>
      <c r="HE21" s="337"/>
      <c r="HF21" s="337"/>
      <c r="HG21" s="337"/>
      <c r="HH21" s="337"/>
      <c r="HI21" s="337"/>
      <c r="HJ21" s="337"/>
      <c r="HK21" s="337"/>
      <c r="HL21" s="337"/>
      <c r="HM21" s="337"/>
      <c r="HN21" s="337"/>
      <c r="HO21" s="337"/>
      <c r="HP21" s="337"/>
      <c r="HQ21" s="337"/>
      <c r="HR21" s="337"/>
      <c r="HS21" s="337"/>
      <c r="HT21" s="337"/>
      <c r="HU21" s="337"/>
      <c r="HV21" s="337"/>
      <c r="HW21" s="337"/>
      <c r="HX21" s="337"/>
      <c r="HY21" s="337"/>
      <c r="HZ21" s="337"/>
      <c r="IA21" s="337"/>
      <c r="IB21" s="337"/>
      <c r="IC21" s="337"/>
      <c r="ID21" s="337"/>
      <c r="IE21" s="337"/>
      <c r="IF21" s="337"/>
      <c r="IG21" s="337"/>
      <c r="IH21" s="337"/>
      <c r="II21" s="337"/>
      <c r="IJ21" s="337"/>
      <c r="IK21" s="337"/>
      <c r="IL21" s="337"/>
      <c r="IM21" s="337"/>
      <c r="IN21" s="337"/>
      <c r="IO21" s="337"/>
      <c r="IP21" s="337"/>
      <c r="IQ21" s="337"/>
      <c r="IR21" s="337"/>
      <c r="IS21" s="337"/>
      <c r="IT21" s="337"/>
      <c r="IU21" s="337"/>
      <c r="IV21" s="337"/>
      <c r="IW21" s="337"/>
      <c r="IX21" s="337"/>
      <c r="IY21" s="337"/>
      <c r="IZ21" s="337"/>
      <c r="JA21" s="337"/>
      <c r="JB21" s="337"/>
      <c r="JC21" s="337"/>
      <c r="JD21" s="337"/>
      <c r="JE21" s="337"/>
      <c r="JF21" s="337"/>
      <c r="JG21" s="337"/>
      <c r="JH21" s="337"/>
      <c r="JI21" s="337"/>
      <c r="JJ21" s="337"/>
      <c r="JK21" s="337"/>
      <c r="JL21" s="337"/>
      <c r="JM21" s="337"/>
      <c r="JN21" s="337"/>
      <c r="JO21" s="337"/>
      <c r="JP21" s="337"/>
      <c r="JQ21" s="337"/>
      <c r="JR21" s="337"/>
      <c r="JS21" s="337"/>
      <c r="JT21" s="337"/>
      <c r="JU21" s="337"/>
      <c r="JV21" s="337"/>
      <c r="JW21" s="337"/>
      <c r="JX21" s="337"/>
      <c r="JY21" s="337"/>
      <c r="JZ21" s="337"/>
      <c r="KA21" s="337"/>
      <c r="KB21" s="337"/>
      <c r="KC21" s="337"/>
      <c r="KD21" s="337"/>
      <c r="KE21" s="337"/>
      <c r="KF21" s="337"/>
      <c r="KG21" s="337"/>
      <c r="KH21" s="337"/>
      <c r="KI21" s="337"/>
      <c r="KJ21" s="337"/>
      <c r="KK21" s="337"/>
      <c r="KL21" s="337"/>
      <c r="KM21" s="337"/>
      <c r="KN21" s="337"/>
      <c r="KO21" s="337"/>
      <c r="KP21" s="337"/>
      <c r="KQ21" s="337"/>
      <c r="KR21" s="337"/>
      <c r="KS21" s="337"/>
      <c r="KT21" s="337"/>
      <c r="KU21" s="337"/>
      <c r="KV21" s="337"/>
      <c r="KW21" s="337"/>
      <c r="KX21" s="337"/>
      <c r="KY21" s="337"/>
      <c r="KZ21" s="337"/>
      <c r="LA21" s="337"/>
      <c r="LB21" s="337"/>
      <c r="LC21" s="337"/>
      <c r="LD21" s="337"/>
      <c r="LE21" s="337"/>
      <c r="LF21" s="337"/>
      <c r="LG21" s="337"/>
      <c r="LH21" s="337"/>
      <c r="LI21" s="337"/>
      <c r="LJ21" s="337"/>
      <c r="LK21" s="337"/>
      <c r="LL21" s="337"/>
      <c r="LM21" s="337"/>
      <c r="LN21" s="337"/>
      <c r="LO21" s="337"/>
      <c r="LP21" s="337"/>
      <c r="LQ21" s="337"/>
      <c r="LR21" s="337"/>
      <c r="LS21" s="337"/>
      <c r="LT21" s="337"/>
      <c r="LU21" s="337"/>
      <c r="LV21" s="337"/>
      <c r="LW21" s="337"/>
      <c r="LX21" s="337"/>
      <c r="LY21" s="337"/>
      <c r="LZ21" s="337"/>
      <c r="MA21" s="337"/>
      <c r="MB21" s="337"/>
      <c r="MC21" s="337"/>
      <c r="MD21" s="337"/>
      <c r="ME21" s="337"/>
      <c r="MF21" s="337"/>
      <c r="MG21" s="337"/>
      <c r="MH21" s="337"/>
      <c r="MI21" s="337"/>
      <c r="MJ21" s="337"/>
      <c r="MK21" s="337"/>
      <c r="ML21" s="337"/>
      <c r="MM21" s="337"/>
      <c r="MN21" s="337"/>
      <c r="MO21" s="337"/>
      <c r="MP21" s="337"/>
      <c r="MQ21" s="337"/>
      <c r="MR21" s="337"/>
      <c r="MS21" s="337"/>
      <c r="MT21" s="337"/>
      <c r="MU21" s="337"/>
      <c r="MV21" s="337"/>
      <c r="MW21" s="337"/>
      <c r="MX21" s="337"/>
      <c r="MY21" s="337"/>
      <c r="MZ21" s="337"/>
      <c r="NA21" s="337"/>
      <c r="NB21" s="337"/>
      <c r="NC21" s="337"/>
      <c r="ND21" s="337"/>
      <c r="NE21" s="337"/>
      <c r="NF21" s="337"/>
      <c r="NG21" s="337"/>
      <c r="NH21" s="337"/>
      <c r="NI21" s="337"/>
      <c r="NJ21" s="337"/>
      <c r="NK21" s="337"/>
      <c r="NL21" s="337"/>
      <c r="NM21" s="337"/>
      <c r="NN21" s="337"/>
      <c r="NO21" s="337"/>
      <c r="NP21" s="337"/>
      <c r="NQ21" s="337"/>
      <c r="NR21" s="337"/>
      <c r="NS21" s="337"/>
      <c r="NT21" s="337"/>
      <c r="NU21" s="337"/>
      <c r="NV21" s="337"/>
      <c r="NW21" s="337"/>
      <c r="NX21" s="337"/>
      <c r="NY21" s="337"/>
      <c r="NZ21" s="337"/>
      <c r="OA21" s="337"/>
      <c r="OB21" s="337"/>
      <c r="OC21" s="337"/>
      <c r="OD21" s="337"/>
      <c r="OE21" s="337"/>
      <c r="OF21" s="337"/>
      <c r="OG21" s="337"/>
      <c r="OH21" s="337"/>
      <c r="OI21" s="337"/>
      <c r="OJ21" s="337"/>
      <c r="OK21" s="337"/>
      <c r="OL21" s="337"/>
      <c r="OM21" s="337"/>
      <c r="ON21" s="337"/>
      <c r="OO21" s="337"/>
      <c r="OP21" s="337"/>
      <c r="OQ21" s="337"/>
      <c r="OR21" s="337"/>
      <c r="OS21" s="337"/>
      <c r="OT21" s="337"/>
      <c r="OU21" s="337"/>
      <c r="OV21" s="337"/>
      <c r="OW21" s="337"/>
      <c r="OX21" s="337"/>
      <c r="OY21" s="337"/>
      <c r="OZ21" s="337"/>
      <c r="PA21" s="337"/>
      <c r="PB21" s="337"/>
      <c r="PC21" s="337"/>
      <c r="PD21" s="337"/>
      <c r="PE21" s="337"/>
      <c r="PF21" s="337"/>
      <c r="PG21" s="337"/>
      <c r="PH21" s="337"/>
      <c r="PI21" s="337"/>
      <c r="PJ21" s="337"/>
      <c r="PK21" s="337"/>
      <c r="PL21" s="337"/>
      <c r="PM21" s="337"/>
      <c r="PN21" s="337"/>
      <c r="PO21" s="337"/>
      <c r="PP21" s="337"/>
      <c r="PQ21" s="337"/>
      <c r="PR21" s="337"/>
      <c r="PS21" s="337"/>
      <c r="PT21" s="337"/>
      <c r="PU21" s="337"/>
      <c r="PV21" s="337"/>
      <c r="PW21" s="337"/>
      <c r="PX21" s="337"/>
      <c r="PY21" s="337"/>
      <c r="PZ21" s="337"/>
      <c r="QA21" s="337"/>
      <c r="QB21" s="337"/>
      <c r="QC21" s="337"/>
      <c r="QD21" s="337"/>
      <c r="QE21" s="337"/>
      <c r="QF21" s="337"/>
      <c r="QG21" s="337"/>
      <c r="QH21" s="337"/>
      <c r="QI21" s="337"/>
      <c r="QJ21" s="337"/>
      <c r="QK21" s="337"/>
      <c r="QL21" s="337"/>
      <c r="QM21" s="337"/>
      <c r="QN21" s="337"/>
      <c r="QO21" s="337"/>
      <c r="QP21" s="337"/>
      <c r="QQ21" s="337"/>
      <c r="QR21" s="337"/>
      <c r="QS21" s="337"/>
      <c r="QT21" s="337"/>
      <c r="QU21" s="337"/>
      <c r="QV21" s="337"/>
      <c r="QW21" s="337"/>
      <c r="QX21" s="337"/>
      <c r="QY21" s="337"/>
      <c r="QZ21" s="337"/>
      <c r="RA21" s="337"/>
      <c r="RB21" s="337"/>
      <c r="RC21" s="337"/>
      <c r="RD21" s="337"/>
      <c r="RE21" s="337"/>
      <c r="RF21" s="337"/>
      <c r="RG21" s="337"/>
      <c r="RH21" s="337"/>
      <c r="RI21" s="337"/>
      <c r="RJ21" s="337"/>
      <c r="RK21" s="337"/>
      <c r="RL21" s="337"/>
      <c r="RM21" s="337"/>
      <c r="RN21" s="337"/>
      <c r="RO21" s="337"/>
      <c r="RP21" s="337"/>
      <c r="RQ21" s="337"/>
      <c r="RR21" s="337"/>
      <c r="RS21" s="337"/>
      <c r="RT21" s="337"/>
      <c r="RU21" s="337"/>
      <c r="RV21" s="337"/>
      <c r="RW21" s="337"/>
      <c r="RX21" s="337"/>
      <c r="RY21" s="337"/>
      <c r="RZ21" s="337"/>
      <c r="SA21" s="337"/>
      <c r="SB21" s="337"/>
      <c r="SC21" s="337"/>
      <c r="SD21" s="337"/>
      <c r="SE21" s="337"/>
      <c r="SF21" s="337"/>
      <c r="SG21" s="337"/>
      <c r="SH21" s="337"/>
      <c r="SI21" s="337"/>
      <c r="SJ21" s="337"/>
      <c r="SK21" s="337"/>
      <c r="SL21" s="337"/>
      <c r="SM21" s="337"/>
      <c r="SN21" s="337"/>
      <c r="SO21" s="337"/>
      <c r="SP21" s="337"/>
      <c r="SQ21" s="337"/>
      <c r="SR21" s="337"/>
      <c r="SS21" s="337"/>
      <c r="ST21" s="337"/>
      <c r="SU21" s="337"/>
      <c r="SV21" s="337"/>
      <c r="SW21" s="337"/>
      <c r="SX21" s="337"/>
      <c r="SY21" s="337"/>
      <c r="SZ21" s="337"/>
      <c r="TA21" s="337"/>
      <c r="TB21" s="337"/>
      <c r="TC21" s="337"/>
      <c r="TD21" s="337"/>
      <c r="TE21" s="337"/>
      <c r="TF21" s="337"/>
      <c r="TG21" s="337"/>
      <c r="TH21" s="337"/>
      <c r="TI21" s="337"/>
      <c r="TJ21" s="337"/>
      <c r="TK21" s="337"/>
      <c r="TL21" s="337"/>
      <c r="TM21" s="337"/>
      <c r="TN21" s="337"/>
      <c r="TO21" s="337"/>
      <c r="TP21" s="337"/>
      <c r="TQ21" s="337"/>
      <c r="TR21" s="337"/>
      <c r="TS21" s="337"/>
      <c r="TT21" s="337"/>
      <c r="TU21" s="337"/>
      <c r="TV21" s="337"/>
      <c r="TW21" s="337"/>
      <c r="TX21" s="337"/>
      <c r="TY21" s="337"/>
      <c r="TZ21" s="337"/>
      <c r="UA21" s="337"/>
      <c r="UB21" s="337"/>
      <c r="UC21" s="337"/>
      <c r="UD21" s="337"/>
      <c r="UE21" s="337"/>
      <c r="UF21" s="337"/>
      <c r="UG21" s="337"/>
      <c r="UH21" s="337"/>
      <c r="UI21" s="337"/>
      <c r="UJ21" s="337"/>
      <c r="UK21" s="337"/>
      <c r="UL21" s="337"/>
      <c r="UM21" s="337"/>
      <c r="UN21" s="337"/>
      <c r="UO21" s="337"/>
      <c r="UP21" s="337"/>
      <c r="UQ21" s="337"/>
      <c r="UR21" s="337"/>
      <c r="US21" s="337"/>
      <c r="UT21" s="337"/>
      <c r="UU21" s="337"/>
      <c r="UV21" s="337"/>
      <c r="UW21" s="337"/>
      <c r="UX21" s="337"/>
      <c r="UY21" s="337"/>
      <c r="UZ21" s="337"/>
      <c r="VA21" s="337"/>
      <c r="VB21" s="337"/>
      <c r="VC21" s="337"/>
      <c r="VD21" s="337"/>
      <c r="VE21" s="337"/>
      <c r="VF21" s="337"/>
      <c r="VG21" s="337"/>
      <c r="VH21" s="337"/>
      <c r="VI21" s="337"/>
      <c r="VJ21" s="337"/>
      <c r="VK21" s="337"/>
      <c r="VL21" s="337"/>
      <c r="VM21" s="337"/>
      <c r="VN21" s="337"/>
      <c r="VO21" s="337"/>
      <c r="VP21" s="337"/>
      <c r="VQ21" s="337"/>
      <c r="VR21" s="337"/>
      <c r="VS21" s="337"/>
      <c r="VT21" s="337"/>
      <c r="VU21" s="337"/>
      <c r="VV21" s="337"/>
      <c r="VW21" s="337"/>
      <c r="VX21" s="337"/>
      <c r="VY21" s="337"/>
      <c r="VZ21" s="337"/>
      <c r="WA21" s="337"/>
      <c r="WB21" s="337"/>
      <c r="WC21" s="337"/>
      <c r="WD21" s="337"/>
      <c r="WE21" s="337"/>
      <c r="WF21" s="337"/>
      <c r="WG21" s="337"/>
      <c r="WH21" s="337"/>
      <c r="WI21" s="337"/>
      <c r="WJ21" s="337"/>
      <c r="WK21" s="337"/>
      <c r="WL21" s="337"/>
      <c r="WM21" s="337"/>
      <c r="WN21" s="337"/>
      <c r="WO21" s="337"/>
      <c r="WP21" s="337"/>
      <c r="WQ21" s="337"/>
      <c r="WR21" s="337"/>
      <c r="WS21" s="337"/>
      <c r="WT21" s="337"/>
      <c r="WU21" s="337"/>
      <c r="WV21" s="337"/>
      <c r="WW21" s="337"/>
      <c r="WX21" s="337"/>
      <c r="WY21" s="337"/>
      <c r="WZ21" s="337"/>
      <c r="XA21" s="337"/>
      <c r="XB21" s="337"/>
      <c r="XC21" s="337"/>
      <c r="XD21" s="337"/>
      <c r="XE21" s="337"/>
      <c r="XF21" s="337"/>
      <c r="XG21" s="337"/>
      <c r="XH21" s="337"/>
      <c r="XI21" s="337"/>
      <c r="XJ21" s="337"/>
      <c r="XK21" s="337"/>
      <c r="XL21" s="337"/>
      <c r="XM21" s="337"/>
      <c r="XN21" s="337"/>
      <c r="XO21" s="337"/>
      <c r="XP21" s="337"/>
      <c r="XQ21" s="337"/>
      <c r="XR21" s="337"/>
      <c r="XS21" s="337"/>
      <c r="XT21" s="337"/>
      <c r="XU21" s="337"/>
      <c r="XV21" s="337"/>
      <c r="XW21" s="337"/>
      <c r="XX21" s="337"/>
      <c r="XY21" s="337"/>
      <c r="XZ21" s="337"/>
      <c r="YA21" s="337"/>
      <c r="YB21" s="337"/>
      <c r="YC21" s="337"/>
      <c r="YD21" s="337"/>
      <c r="YE21" s="337"/>
      <c r="YF21" s="337"/>
      <c r="YG21" s="337"/>
      <c r="YH21" s="337"/>
      <c r="YI21" s="337"/>
      <c r="YJ21" s="337"/>
      <c r="YK21" s="337"/>
      <c r="YL21" s="337"/>
      <c r="YM21" s="337"/>
      <c r="YN21" s="337"/>
      <c r="YO21" s="337"/>
      <c r="YP21" s="337"/>
      <c r="YQ21" s="337"/>
      <c r="YR21" s="337"/>
      <c r="YS21" s="337"/>
      <c r="YT21" s="337"/>
      <c r="YU21" s="337"/>
      <c r="YV21" s="337"/>
      <c r="YW21" s="337"/>
      <c r="YX21" s="337"/>
      <c r="YY21" s="337"/>
      <c r="YZ21" s="337"/>
      <c r="ZA21" s="337"/>
      <c r="ZB21" s="337"/>
      <c r="ZC21" s="337"/>
      <c r="ZD21" s="337"/>
      <c r="ZE21" s="337"/>
      <c r="ZF21" s="337"/>
      <c r="ZG21" s="337"/>
      <c r="ZH21" s="337"/>
      <c r="ZI21" s="337"/>
      <c r="ZJ21" s="337"/>
      <c r="ZK21" s="337"/>
      <c r="ZL21" s="337"/>
      <c r="ZM21" s="337"/>
      <c r="ZN21" s="337"/>
      <c r="ZO21" s="337"/>
      <c r="ZP21" s="337"/>
      <c r="ZQ21" s="337"/>
      <c r="ZR21" s="337"/>
      <c r="ZS21" s="337"/>
      <c r="ZT21" s="337"/>
      <c r="ZU21" s="337"/>
      <c r="ZV21" s="337"/>
      <c r="ZW21" s="337"/>
      <c r="ZX21" s="337"/>
      <c r="ZY21" s="337"/>
      <c r="ZZ21" s="337"/>
      <c r="AAA21" s="337"/>
      <c r="AAB21" s="337"/>
      <c r="AAC21" s="337"/>
      <c r="AAD21" s="337"/>
      <c r="AAE21" s="337"/>
      <c r="AAF21" s="337"/>
      <c r="AAG21" s="337"/>
      <c r="AAH21" s="337"/>
      <c r="AAI21" s="337"/>
      <c r="AAJ21" s="337"/>
      <c r="AAK21" s="337"/>
      <c r="AAL21" s="337"/>
      <c r="AAM21" s="337"/>
      <c r="AAN21" s="337"/>
      <c r="AAO21" s="337"/>
      <c r="AAP21" s="337"/>
      <c r="AAQ21" s="337"/>
      <c r="AAR21" s="337"/>
      <c r="AAS21" s="337"/>
      <c r="AAT21" s="337"/>
      <c r="AAU21" s="337"/>
      <c r="AAV21" s="337"/>
      <c r="AAW21" s="337"/>
      <c r="AAX21" s="337"/>
      <c r="AAY21" s="337"/>
      <c r="AAZ21" s="337"/>
      <c r="ABA21" s="337"/>
      <c r="ABB21" s="337"/>
      <c r="ABC21" s="337"/>
      <c r="ABD21" s="337"/>
      <c r="ABE21" s="337"/>
      <c r="ABF21" s="337"/>
      <c r="ABG21" s="337"/>
      <c r="ABH21" s="337"/>
      <c r="ABI21" s="337"/>
      <c r="ABJ21" s="337"/>
      <c r="ABK21" s="337"/>
      <c r="ABL21" s="337"/>
      <c r="ABM21" s="337"/>
      <c r="ABN21" s="337"/>
      <c r="ABO21" s="337"/>
      <c r="ABP21" s="337"/>
      <c r="ABQ21" s="337"/>
      <c r="ABR21" s="337"/>
      <c r="ABS21" s="337"/>
      <c r="ABT21" s="337"/>
      <c r="ABU21" s="337"/>
      <c r="ABV21" s="337"/>
      <c r="ABW21" s="337"/>
      <c r="ABX21" s="337"/>
      <c r="ABY21" s="337"/>
      <c r="ABZ21" s="337"/>
      <c r="ACA21" s="337"/>
      <c r="ACB21" s="337"/>
      <c r="ACC21" s="337"/>
      <c r="ACD21" s="337"/>
      <c r="ACE21" s="337"/>
      <c r="ACF21" s="337"/>
      <c r="ACG21" s="337"/>
      <c r="ACH21" s="337"/>
      <c r="ACI21" s="337"/>
      <c r="ACJ21" s="337"/>
      <c r="ACK21" s="337"/>
      <c r="ACL21" s="337"/>
      <c r="ACM21" s="337"/>
      <c r="ACN21" s="337"/>
      <c r="ACO21" s="337"/>
      <c r="ACP21" s="337"/>
      <c r="ACQ21" s="337"/>
      <c r="ACR21" s="337"/>
      <c r="ACS21" s="337"/>
      <c r="ACT21" s="337"/>
      <c r="ACU21" s="337"/>
      <c r="ACV21" s="337"/>
      <c r="ACW21" s="337"/>
      <c r="ACX21" s="337"/>
      <c r="ACY21" s="337"/>
      <c r="ACZ21" s="337"/>
      <c r="ADA21" s="337"/>
      <c r="ADB21" s="337"/>
      <c r="ADC21" s="337"/>
      <c r="ADD21" s="337"/>
      <c r="ADE21" s="337"/>
      <c r="ADF21" s="337"/>
      <c r="ADG21" s="337"/>
      <c r="ADH21" s="337"/>
      <c r="ADI21" s="337"/>
      <c r="ADJ21" s="337"/>
      <c r="ADK21" s="337"/>
      <c r="ADL21" s="337"/>
      <c r="ADM21" s="337"/>
      <c r="ADN21" s="337"/>
      <c r="ADO21" s="337"/>
      <c r="ADP21" s="337"/>
      <c r="ADQ21" s="337"/>
      <c r="ADR21" s="337"/>
      <c r="ADS21" s="337"/>
      <c r="ADT21" s="337"/>
      <c r="ADU21" s="337"/>
      <c r="ADV21" s="337"/>
      <c r="ADW21" s="337"/>
      <c r="ADX21" s="337"/>
      <c r="ADY21" s="337"/>
      <c r="ADZ21" s="337"/>
      <c r="AEA21" s="337"/>
      <c r="AEB21" s="337"/>
      <c r="AEC21" s="337"/>
      <c r="AED21" s="337"/>
      <c r="AEE21" s="337"/>
      <c r="AEF21" s="337"/>
      <c r="AEG21" s="337"/>
      <c r="AEH21" s="337"/>
      <c r="AEI21" s="337"/>
      <c r="AEJ21" s="337"/>
      <c r="AEK21" s="337"/>
      <c r="AEL21" s="337"/>
      <c r="AEM21" s="337"/>
      <c r="AEN21" s="337"/>
      <c r="AEO21" s="337"/>
      <c r="AEP21" s="337"/>
      <c r="AEQ21" s="337"/>
      <c r="AER21" s="337"/>
      <c r="AES21" s="337"/>
      <c r="AET21" s="337"/>
      <c r="AEU21" s="337"/>
      <c r="AEV21" s="337"/>
      <c r="AEW21" s="337"/>
      <c r="AEX21" s="337"/>
      <c r="AEY21" s="337"/>
      <c r="AEZ21" s="337"/>
      <c r="AFA21" s="337"/>
      <c r="AFB21" s="337"/>
      <c r="AFC21" s="337"/>
      <c r="AFD21" s="337"/>
      <c r="AFE21" s="337"/>
      <c r="AFF21" s="337"/>
      <c r="AFG21" s="337"/>
      <c r="AFH21" s="337"/>
      <c r="AFI21" s="337"/>
      <c r="AFJ21" s="337"/>
      <c r="AFK21" s="337"/>
      <c r="AFL21" s="337"/>
      <c r="AFM21" s="337"/>
      <c r="AFN21" s="337"/>
      <c r="AFO21" s="337"/>
      <c r="AFP21" s="337"/>
      <c r="AFQ21" s="337"/>
      <c r="AFR21" s="337"/>
      <c r="AFS21" s="337"/>
      <c r="AFT21" s="337"/>
      <c r="AFU21" s="337"/>
      <c r="AFV21" s="337"/>
      <c r="AFW21" s="337"/>
      <c r="AFX21" s="337"/>
      <c r="AFY21" s="337"/>
      <c r="AFZ21" s="337"/>
      <c r="AGA21" s="337"/>
      <c r="AGB21" s="337"/>
      <c r="AGC21" s="337"/>
      <c r="AGD21" s="337"/>
      <c r="AGE21" s="337"/>
      <c r="AGF21" s="337"/>
      <c r="AGG21" s="337"/>
      <c r="AGH21" s="337"/>
      <c r="AGI21" s="337"/>
      <c r="AGJ21" s="337"/>
      <c r="AGK21" s="337"/>
      <c r="AGL21" s="337"/>
      <c r="AGM21" s="337"/>
      <c r="AGN21" s="337"/>
      <c r="AGO21" s="337"/>
      <c r="AGP21" s="337"/>
      <c r="AGQ21" s="337"/>
      <c r="AGR21" s="337"/>
      <c r="AGS21" s="337"/>
      <c r="AGT21" s="337"/>
      <c r="AGU21" s="337"/>
      <c r="AGV21" s="337"/>
      <c r="AGW21" s="337"/>
      <c r="AGX21" s="337"/>
      <c r="AGY21" s="337"/>
      <c r="AGZ21" s="337"/>
    </row>
    <row r="22" ht="24" customHeight="1" spans="1:884">
      <c r="A22" s="349">
        <v>18</v>
      </c>
      <c r="B22" s="350"/>
      <c r="C22" s="351" t="s">
        <v>120</v>
      </c>
      <c r="D22" s="352"/>
      <c r="E22" s="352"/>
      <c r="F22" s="81">
        <v>3</v>
      </c>
      <c r="G22" s="356" t="s">
        <v>454</v>
      </c>
      <c r="H22" s="354" t="s">
        <v>455</v>
      </c>
      <c r="I22" s="100" t="s">
        <v>124</v>
      </c>
      <c r="J22" s="100"/>
      <c r="K22" s="100"/>
      <c r="L22" s="100"/>
      <c r="M22" s="100"/>
      <c r="N22" s="373" t="s">
        <v>456</v>
      </c>
      <c r="O22" s="374"/>
      <c r="P22" s="375"/>
      <c r="Q22" s="375"/>
      <c r="R22" s="382" t="s">
        <v>130</v>
      </c>
      <c r="S22" s="385"/>
      <c r="T22" s="384"/>
      <c r="U22" s="384"/>
      <c r="V22" s="382" t="s">
        <v>130</v>
      </c>
      <c r="W22" s="382"/>
      <c r="X22" s="349" t="s">
        <v>129</v>
      </c>
      <c r="Y22" s="349" t="s">
        <v>129</v>
      </c>
      <c r="Z22" s="120">
        <f t="shared" si="0"/>
        <v>32</v>
      </c>
      <c r="AA22" s="304" t="str">
        <f t="shared" si="1"/>
        <v>00:32:00</v>
      </c>
      <c r="AB22" s="120">
        <f t="shared" si="2"/>
        <v>1920</v>
      </c>
      <c r="AC22" s="399">
        <v>0.0222800925925926</v>
      </c>
      <c r="AD22" s="400">
        <v>169</v>
      </c>
      <c r="AE22" s="400">
        <v>43</v>
      </c>
      <c r="AF22" s="349" t="s">
        <v>132</v>
      </c>
      <c r="AP22" s="337"/>
      <c r="AQ22" s="337"/>
      <c r="AR22" s="337"/>
      <c r="AS22" s="337"/>
      <c r="AT22" s="337"/>
      <c r="AU22" s="337"/>
      <c r="AV22" s="337"/>
      <c r="AW22" s="337"/>
      <c r="AX22" s="337"/>
      <c r="AY22" s="337"/>
      <c r="AZ22" s="337"/>
      <c r="BA22" s="337"/>
      <c r="BB22" s="337"/>
      <c r="BC22" s="337"/>
      <c r="BD22" s="337"/>
      <c r="BE22" s="337"/>
      <c r="BF22" s="337"/>
      <c r="BG22" s="337"/>
      <c r="BH22" s="337"/>
      <c r="BI22" s="337"/>
      <c r="BJ22" s="337"/>
      <c r="BK22" s="337"/>
      <c r="BL22" s="337"/>
      <c r="BM22" s="337"/>
      <c r="BN22" s="337"/>
      <c r="BO22" s="337"/>
      <c r="BP22" s="337"/>
      <c r="BQ22" s="337"/>
      <c r="BR22" s="337"/>
      <c r="BS22" s="337"/>
      <c r="BT22" s="337"/>
      <c r="BU22" s="337"/>
      <c r="BV22" s="337"/>
      <c r="BW22" s="337"/>
      <c r="BX22" s="337"/>
      <c r="BY22" s="337"/>
      <c r="BZ22" s="337"/>
      <c r="CA22" s="337"/>
      <c r="CB22" s="337"/>
      <c r="CC22" s="337"/>
      <c r="CD22" s="337"/>
      <c r="CE22" s="337"/>
      <c r="CF22" s="337"/>
      <c r="CG22" s="337"/>
      <c r="CH22" s="337"/>
      <c r="CI22" s="337"/>
      <c r="CJ22" s="337"/>
      <c r="CK22" s="337"/>
      <c r="CL22" s="337"/>
      <c r="CM22" s="337"/>
      <c r="CN22" s="337"/>
      <c r="CO22" s="337"/>
      <c r="CP22" s="337"/>
      <c r="CQ22" s="337"/>
      <c r="CR22" s="337"/>
      <c r="CS22" s="337"/>
      <c r="CT22" s="337"/>
      <c r="CU22" s="337"/>
      <c r="CV22" s="337"/>
      <c r="CW22" s="337"/>
      <c r="CX22" s="337"/>
      <c r="CY22" s="337"/>
      <c r="CZ22" s="337"/>
      <c r="DA22" s="337"/>
      <c r="DB22" s="337"/>
      <c r="DC22" s="337"/>
      <c r="DD22" s="337"/>
      <c r="DE22" s="337"/>
      <c r="DF22" s="337"/>
      <c r="DG22" s="337"/>
      <c r="DH22" s="337"/>
      <c r="DI22" s="337"/>
      <c r="DJ22" s="337"/>
      <c r="DK22" s="337"/>
      <c r="DL22" s="337"/>
      <c r="DM22" s="337"/>
      <c r="DN22" s="337"/>
      <c r="DO22" s="337"/>
      <c r="DP22" s="337"/>
      <c r="DQ22" s="337"/>
      <c r="DR22" s="337"/>
      <c r="DS22" s="337"/>
      <c r="DT22" s="337"/>
      <c r="DU22" s="337"/>
      <c r="DV22" s="337"/>
      <c r="DW22" s="337"/>
      <c r="DX22" s="337"/>
      <c r="DY22" s="337"/>
      <c r="DZ22" s="337"/>
      <c r="EA22" s="337"/>
      <c r="EB22" s="337"/>
      <c r="EC22" s="337"/>
      <c r="ED22" s="337"/>
      <c r="EE22" s="337"/>
      <c r="EF22" s="337"/>
      <c r="EG22" s="337"/>
      <c r="EH22" s="337"/>
      <c r="EI22" s="337"/>
      <c r="EJ22" s="337"/>
      <c r="EK22" s="337"/>
      <c r="EL22" s="337"/>
      <c r="EM22" s="337"/>
      <c r="EN22" s="337"/>
      <c r="EO22" s="337"/>
      <c r="EP22" s="337"/>
      <c r="EQ22" s="337"/>
      <c r="ER22" s="337"/>
      <c r="ES22" s="337"/>
      <c r="ET22" s="337"/>
      <c r="EU22" s="337"/>
      <c r="EV22" s="337"/>
      <c r="EW22" s="337"/>
      <c r="EX22" s="337"/>
      <c r="EY22" s="337"/>
      <c r="EZ22" s="337"/>
      <c r="FA22" s="337"/>
      <c r="FB22" s="337"/>
      <c r="FC22" s="337"/>
      <c r="FD22" s="337"/>
      <c r="FE22" s="337"/>
      <c r="FF22" s="337"/>
      <c r="FG22" s="337"/>
      <c r="FH22" s="337"/>
      <c r="FI22" s="337"/>
      <c r="FJ22" s="337"/>
      <c r="FK22" s="337"/>
      <c r="FL22" s="337"/>
      <c r="FM22" s="337"/>
      <c r="FN22" s="337"/>
      <c r="FO22" s="337"/>
      <c r="FP22" s="337"/>
      <c r="FQ22" s="337"/>
      <c r="FR22" s="337"/>
      <c r="FS22" s="337"/>
      <c r="FT22" s="337"/>
      <c r="FU22" s="337"/>
      <c r="FV22" s="337"/>
      <c r="FW22" s="337"/>
      <c r="FX22" s="337"/>
      <c r="FY22" s="337"/>
      <c r="FZ22" s="337"/>
      <c r="GA22" s="337"/>
      <c r="GB22" s="337"/>
      <c r="GC22" s="337"/>
      <c r="GD22" s="337"/>
      <c r="GE22" s="337"/>
      <c r="GF22" s="337"/>
      <c r="GG22" s="337"/>
      <c r="GH22" s="337"/>
      <c r="GI22" s="337"/>
      <c r="GJ22" s="337"/>
      <c r="GK22" s="337"/>
      <c r="GL22" s="337"/>
      <c r="GM22" s="337"/>
      <c r="GN22" s="337"/>
      <c r="GO22" s="337"/>
      <c r="GP22" s="337"/>
      <c r="GQ22" s="337"/>
      <c r="GR22" s="337"/>
      <c r="GS22" s="337"/>
      <c r="GT22" s="337"/>
      <c r="GU22" s="337"/>
      <c r="GV22" s="337"/>
      <c r="GW22" s="337"/>
      <c r="GX22" s="337"/>
      <c r="GY22" s="337"/>
      <c r="GZ22" s="337"/>
      <c r="HA22" s="337"/>
      <c r="HB22" s="337"/>
      <c r="HC22" s="337"/>
      <c r="HD22" s="337"/>
      <c r="HE22" s="337"/>
      <c r="HF22" s="337"/>
      <c r="HG22" s="337"/>
      <c r="HH22" s="337"/>
      <c r="HI22" s="337"/>
      <c r="HJ22" s="337"/>
      <c r="HK22" s="337"/>
      <c r="HL22" s="337"/>
      <c r="HM22" s="337"/>
      <c r="HN22" s="337"/>
      <c r="HO22" s="337"/>
      <c r="HP22" s="337"/>
      <c r="HQ22" s="337"/>
      <c r="HR22" s="337"/>
      <c r="HS22" s="337"/>
      <c r="HT22" s="337"/>
      <c r="HU22" s="337"/>
      <c r="HV22" s="337"/>
      <c r="HW22" s="337"/>
      <c r="HX22" s="337"/>
      <c r="HY22" s="337"/>
      <c r="HZ22" s="337"/>
      <c r="IA22" s="337"/>
      <c r="IB22" s="337"/>
      <c r="IC22" s="337"/>
      <c r="ID22" s="337"/>
      <c r="IE22" s="337"/>
      <c r="IF22" s="337"/>
      <c r="IG22" s="337"/>
      <c r="IH22" s="337"/>
      <c r="II22" s="337"/>
      <c r="IJ22" s="337"/>
      <c r="IK22" s="337"/>
      <c r="IL22" s="337"/>
      <c r="IM22" s="337"/>
      <c r="IN22" s="337"/>
      <c r="IO22" s="337"/>
      <c r="IP22" s="337"/>
      <c r="IQ22" s="337"/>
      <c r="IR22" s="337"/>
      <c r="IS22" s="337"/>
      <c r="IT22" s="337"/>
      <c r="IU22" s="337"/>
      <c r="IV22" s="337"/>
      <c r="IW22" s="337"/>
      <c r="IX22" s="337"/>
      <c r="IY22" s="337"/>
      <c r="IZ22" s="337"/>
      <c r="JA22" s="337"/>
      <c r="JB22" s="337"/>
      <c r="JC22" s="337"/>
      <c r="JD22" s="337"/>
      <c r="JE22" s="337"/>
      <c r="JF22" s="337"/>
      <c r="JG22" s="337"/>
      <c r="JH22" s="337"/>
      <c r="JI22" s="337"/>
      <c r="JJ22" s="337"/>
      <c r="JK22" s="337"/>
      <c r="JL22" s="337"/>
      <c r="JM22" s="337"/>
      <c r="JN22" s="337"/>
      <c r="JO22" s="337"/>
      <c r="JP22" s="337"/>
      <c r="JQ22" s="337"/>
      <c r="JR22" s="337"/>
      <c r="JS22" s="337"/>
      <c r="JT22" s="337"/>
      <c r="JU22" s="337"/>
      <c r="JV22" s="337"/>
      <c r="JW22" s="337"/>
      <c r="JX22" s="337"/>
      <c r="JY22" s="337"/>
      <c r="JZ22" s="337"/>
      <c r="KA22" s="337"/>
      <c r="KB22" s="337"/>
      <c r="KC22" s="337"/>
      <c r="KD22" s="337"/>
      <c r="KE22" s="337"/>
      <c r="KF22" s="337"/>
      <c r="KG22" s="337"/>
      <c r="KH22" s="337"/>
      <c r="KI22" s="337"/>
      <c r="KJ22" s="337"/>
      <c r="KK22" s="337"/>
      <c r="KL22" s="337"/>
      <c r="KM22" s="337"/>
      <c r="KN22" s="337"/>
      <c r="KO22" s="337"/>
      <c r="KP22" s="337"/>
      <c r="KQ22" s="337"/>
      <c r="KR22" s="337"/>
      <c r="KS22" s="337"/>
      <c r="KT22" s="337"/>
      <c r="KU22" s="337"/>
      <c r="KV22" s="337"/>
      <c r="KW22" s="337"/>
      <c r="KX22" s="337"/>
      <c r="KY22" s="337"/>
      <c r="KZ22" s="337"/>
      <c r="LA22" s="337"/>
      <c r="LB22" s="337"/>
      <c r="LC22" s="337"/>
      <c r="LD22" s="337"/>
      <c r="LE22" s="337"/>
      <c r="LF22" s="337"/>
      <c r="LG22" s="337"/>
      <c r="LH22" s="337"/>
      <c r="LI22" s="337"/>
      <c r="LJ22" s="337"/>
      <c r="LK22" s="337"/>
      <c r="LL22" s="337"/>
      <c r="LM22" s="337"/>
      <c r="LN22" s="337"/>
      <c r="LO22" s="337"/>
      <c r="LP22" s="337"/>
      <c r="LQ22" s="337"/>
      <c r="LR22" s="337"/>
      <c r="LS22" s="337"/>
      <c r="LT22" s="337"/>
      <c r="LU22" s="337"/>
      <c r="LV22" s="337"/>
      <c r="LW22" s="337"/>
      <c r="LX22" s="337"/>
      <c r="LY22" s="337"/>
      <c r="LZ22" s="337"/>
      <c r="MA22" s="337"/>
      <c r="MB22" s="337"/>
      <c r="MC22" s="337"/>
      <c r="MD22" s="337"/>
      <c r="ME22" s="337"/>
      <c r="MF22" s="337"/>
      <c r="MG22" s="337"/>
      <c r="MH22" s="337"/>
      <c r="MI22" s="337"/>
      <c r="MJ22" s="337"/>
      <c r="MK22" s="337"/>
      <c r="ML22" s="337"/>
      <c r="MM22" s="337"/>
      <c r="MN22" s="337"/>
      <c r="MO22" s="337"/>
      <c r="MP22" s="337"/>
      <c r="MQ22" s="337"/>
      <c r="MR22" s="337"/>
      <c r="MS22" s="337"/>
      <c r="MT22" s="337"/>
      <c r="MU22" s="337"/>
      <c r="MV22" s="337"/>
      <c r="MW22" s="337"/>
      <c r="MX22" s="337"/>
      <c r="MY22" s="337"/>
      <c r="MZ22" s="337"/>
      <c r="NA22" s="337"/>
      <c r="NB22" s="337"/>
      <c r="NC22" s="337"/>
      <c r="ND22" s="337"/>
      <c r="NE22" s="337"/>
      <c r="NF22" s="337"/>
      <c r="NG22" s="337"/>
      <c r="NH22" s="337"/>
      <c r="NI22" s="337"/>
      <c r="NJ22" s="337"/>
      <c r="NK22" s="337"/>
      <c r="NL22" s="337"/>
      <c r="NM22" s="337"/>
      <c r="NN22" s="337"/>
      <c r="NO22" s="337"/>
      <c r="NP22" s="337"/>
      <c r="NQ22" s="337"/>
      <c r="NR22" s="337"/>
      <c r="NS22" s="337"/>
      <c r="NT22" s="337"/>
      <c r="NU22" s="337"/>
      <c r="NV22" s="337"/>
      <c r="NW22" s="337"/>
      <c r="NX22" s="337"/>
      <c r="NY22" s="337"/>
      <c r="NZ22" s="337"/>
      <c r="OA22" s="337"/>
      <c r="OB22" s="337"/>
      <c r="OC22" s="337"/>
      <c r="OD22" s="337"/>
      <c r="OE22" s="337"/>
      <c r="OF22" s="337"/>
      <c r="OG22" s="337"/>
      <c r="OH22" s="337"/>
      <c r="OI22" s="337"/>
      <c r="OJ22" s="337"/>
      <c r="OK22" s="337"/>
      <c r="OL22" s="337"/>
      <c r="OM22" s="337"/>
      <c r="ON22" s="337"/>
      <c r="OO22" s="337"/>
      <c r="OP22" s="337"/>
      <c r="OQ22" s="337"/>
      <c r="OR22" s="337"/>
      <c r="OS22" s="337"/>
      <c r="OT22" s="337"/>
      <c r="OU22" s="337"/>
      <c r="OV22" s="337"/>
      <c r="OW22" s="337"/>
      <c r="OX22" s="337"/>
      <c r="OY22" s="337"/>
      <c r="OZ22" s="337"/>
      <c r="PA22" s="337"/>
      <c r="PB22" s="337"/>
      <c r="PC22" s="337"/>
      <c r="PD22" s="337"/>
      <c r="PE22" s="337"/>
      <c r="PF22" s="337"/>
      <c r="PG22" s="337"/>
      <c r="PH22" s="337"/>
      <c r="PI22" s="337"/>
      <c r="PJ22" s="337"/>
      <c r="PK22" s="337"/>
      <c r="PL22" s="337"/>
      <c r="PM22" s="337"/>
      <c r="PN22" s="337"/>
      <c r="PO22" s="337"/>
      <c r="PP22" s="337"/>
      <c r="PQ22" s="337"/>
      <c r="PR22" s="337"/>
      <c r="PS22" s="337"/>
      <c r="PT22" s="337"/>
      <c r="PU22" s="337"/>
      <c r="PV22" s="337"/>
      <c r="PW22" s="337"/>
      <c r="PX22" s="337"/>
      <c r="PY22" s="337"/>
      <c r="PZ22" s="337"/>
      <c r="QA22" s="337"/>
      <c r="QB22" s="337"/>
      <c r="QC22" s="337"/>
      <c r="QD22" s="337"/>
      <c r="QE22" s="337"/>
      <c r="QF22" s="337"/>
      <c r="QG22" s="337"/>
      <c r="QH22" s="337"/>
      <c r="QI22" s="337"/>
      <c r="QJ22" s="337"/>
      <c r="QK22" s="337"/>
      <c r="QL22" s="337"/>
      <c r="QM22" s="337"/>
      <c r="QN22" s="337"/>
      <c r="QO22" s="337"/>
      <c r="QP22" s="337"/>
      <c r="QQ22" s="337"/>
      <c r="QR22" s="337"/>
      <c r="QS22" s="337"/>
      <c r="QT22" s="337"/>
      <c r="QU22" s="337"/>
      <c r="QV22" s="337"/>
      <c r="QW22" s="337"/>
      <c r="QX22" s="337"/>
      <c r="QY22" s="337"/>
      <c r="QZ22" s="337"/>
      <c r="RA22" s="337"/>
      <c r="RB22" s="337"/>
      <c r="RC22" s="337"/>
      <c r="RD22" s="337"/>
      <c r="RE22" s="337"/>
      <c r="RF22" s="337"/>
      <c r="RG22" s="337"/>
      <c r="RH22" s="337"/>
      <c r="RI22" s="337"/>
      <c r="RJ22" s="337"/>
      <c r="RK22" s="337"/>
      <c r="RL22" s="337"/>
      <c r="RM22" s="337"/>
      <c r="RN22" s="337"/>
      <c r="RO22" s="337"/>
      <c r="RP22" s="337"/>
      <c r="RQ22" s="337"/>
      <c r="RR22" s="337"/>
      <c r="RS22" s="337"/>
      <c r="RT22" s="337"/>
      <c r="RU22" s="337"/>
      <c r="RV22" s="337"/>
      <c r="RW22" s="337"/>
      <c r="RX22" s="337"/>
      <c r="RY22" s="337"/>
      <c r="RZ22" s="337"/>
      <c r="SA22" s="337"/>
      <c r="SB22" s="337"/>
      <c r="SC22" s="337"/>
      <c r="SD22" s="337"/>
      <c r="SE22" s="337"/>
      <c r="SF22" s="337"/>
      <c r="SG22" s="337"/>
      <c r="SH22" s="337"/>
      <c r="SI22" s="337"/>
      <c r="SJ22" s="337"/>
      <c r="SK22" s="337"/>
      <c r="SL22" s="337"/>
      <c r="SM22" s="337"/>
      <c r="SN22" s="337"/>
      <c r="SO22" s="337"/>
      <c r="SP22" s="337"/>
      <c r="SQ22" s="337"/>
      <c r="SR22" s="337"/>
      <c r="SS22" s="337"/>
      <c r="ST22" s="337"/>
      <c r="SU22" s="337"/>
      <c r="SV22" s="337"/>
      <c r="SW22" s="337"/>
      <c r="SX22" s="337"/>
      <c r="SY22" s="337"/>
      <c r="SZ22" s="337"/>
      <c r="TA22" s="337"/>
      <c r="TB22" s="337"/>
      <c r="TC22" s="337"/>
      <c r="TD22" s="337"/>
      <c r="TE22" s="337"/>
      <c r="TF22" s="337"/>
      <c r="TG22" s="337"/>
      <c r="TH22" s="337"/>
      <c r="TI22" s="337"/>
      <c r="TJ22" s="337"/>
      <c r="TK22" s="337"/>
      <c r="TL22" s="337"/>
      <c r="TM22" s="337"/>
      <c r="TN22" s="337"/>
      <c r="TO22" s="337"/>
      <c r="TP22" s="337"/>
      <c r="TQ22" s="337"/>
      <c r="TR22" s="337"/>
      <c r="TS22" s="337"/>
      <c r="TT22" s="337"/>
      <c r="TU22" s="337"/>
      <c r="TV22" s="337"/>
      <c r="TW22" s="337"/>
      <c r="TX22" s="337"/>
      <c r="TY22" s="337"/>
      <c r="TZ22" s="337"/>
      <c r="UA22" s="337"/>
      <c r="UB22" s="337"/>
      <c r="UC22" s="337"/>
      <c r="UD22" s="337"/>
      <c r="UE22" s="337"/>
      <c r="UF22" s="337"/>
      <c r="UG22" s="337"/>
      <c r="UH22" s="337"/>
      <c r="UI22" s="337"/>
      <c r="UJ22" s="337"/>
      <c r="UK22" s="337"/>
      <c r="UL22" s="337"/>
      <c r="UM22" s="337"/>
      <c r="UN22" s="337"/>
      <c r="UO22" s="337"/>
      <c r="UP22" s="337"/>
      <c r="UQ22" s="337"/>
      <c r="UR22" s="337"/>
      <c r="US22" s="337"/>
      <c r="UT22" s="337"/>
      <c r="UU22" s="337"/>
      <c r="UV22" s="337"/>
      <c r="UW22" s="337"/>
      <c r="UX22" s="337"/>
      <c r="UY22" s="337"/>
      <c r="UZ22" s="337"/>
      <c r="VA22" s="337"/>
      <c r="VB22" s="337"/>
      <c r="VC22" s="337"/>
      <c r="VD22" s="337"/>
      <c r="VE22" s="337"/>
      <c r="VF22" s="337"/>
      <c r="VG22" s="337"/>
      <c r="VH22" s="337"/>
      <c r="VI22" s="337"/>
      <c r="VJ22" s="337"/>
      <c r="VK22" s="337"/>
      <c r="VL22" s="337"/>
      <c r="VM22" s="337"/>
      <c r="VN22" s="337"/>
      <c r="VO22" s="337"/>
      <c r="VP22" s="337"/>
      <c r="VQ22" s="337"/>
      <c r="VR22" s="337"/>
      <c r="VS22" s="337"/>
      <c r="VT22" s="337"/>
      <c r="VU22" s="337"/>
      <c r="VV22" s="337"/>
      <c r="VW22" s="337"/>
      <c r="VX22" s="337"/>
      <c r="VY22" s="337"/>
      <c r="VZ22" s="337"/>
      <c r="WA22" s="337"/>
      <c r="WB22" s="337"/>
      <c r="WC22" s="337"/>
      <c r="WD22" s="337"/>
      <c r="WE22" s="337"/>
      <c r="WF22" s="337"/>
      <c r="WG22" s="337"/>
      <c r="WH22" s="337"/>
      <c r="WI22" s="337"/>
      <c r="WJ22" s="337"/>
      <c r="WK22" s="337"/>
      <c r="WL22" s="337"/>
      <c r="WM22" s="337"/>
      <c r="WN22" s="337"/>
      <c r="WO22" s="337"/>
      <c r="WP22" s="337"/>
      <c r="WQ22" s="337"/>
      <c r="WR22" s="337"/>
      <c r="WS22" s="337"/>
      <c r="WT22" s="337"/>
      <c r="WU22" s="337"/>
      <c r="WV22" s="337"/>
      <c r="WW22" s="337"/>
      <c r="WX22" s="337"/>
      <c r="WY22" s="337"/>
      <c r="WZ22" s="337"/>
      <c r="XA22" s="337"/>
      <c r="XB22" s="337"/>
      <c r="XC22" s="337"/>
      <c r="XD22" s="337"/>
      <c r="XE22" s="337"/>
      <c r="XF22" s="337"/>
      <c r="XG22" s="337"/>
      <c r="XH22" s="337"/>
      <c r="XI22" s="337"/>
      <c r="XJ22" s="337"/>
      <c r="XK22" s="337"/>
      <c r="XL22" s="337"/>
      <c r="XM22" s="337"/>
      <c r="XN22" s="337"/>
      <c r="XO22" s="337"/>
      <c r="XP22" s="337"/>
      <c r="XQ22" s="337"/>
      <c r="XR22" s="337"/>
      <c r="XS22" s="337"/>
      <c r="XT22" s="337"/>
      <c r="XU22" s="337"/>
      <c r="XV22" s="337"/>
      <c r="XW22" s="337"/>
      <c r="XX22" s="337"/>
      <c r="XY22" s="337"/>
      <c r="XZ22" s="337"/>
      <c r="YA22" s="337"/>
      <c r="YB22" s="337"/>
      <c r="YC22" s="337"/>
      <c r="YD22" s="337"/>
      <c r="YE22" s="337"/>
      <c r="YF22" s="337"/>
      <c r="YG22" s="337"/>
      <c r="YH22" s="337"/>
      <c r="YI22" s="337"/>
      <c r="YJ22" s="337"/>
      <c r="YK22" s="337"/>
      <c r="YL22" s="337"/>
      <c r="YM22" s="337"/>
      <c r="YN22" s="337"/>
      <c r="YO22" s="337"/>
      <c r="YP22" s="337"/>
      <c r="YQ22" s="337"/>
      <c r="YR22" s="337"/>
      <c r="YS22" s="337"/>
      <c r="YT22" s="337"/>
      <c r="YU22" s="337"/>
      <c r="YV22" s="337"/>
      <c r="YW22" s="337"/>
      <c r="YX22" s="337"/>
      <c r="YY22" s="337"/>
      <c r="YZ22" s="337"/>
      <c r="ZA22" s="337"/>
      <c r="ZB22" s="337"/>
      <c r="ZC22" s="337"/>
      <c r="ZD22" s="337"/>
      <c r="ZE22" s="337"/>
      <c r="ZF22" s="337"/>
      <c r="ZG22" s="337"/>
      <c r="ZH22" s="337"/>
      <c r="ZI22" s="337"/>
      <c r="ZJ22" s="337"/>
      <c r="ZK22" s="337"/>
      <c r="ZL22" s="337"/>
      <c r="ZM22" s="337"/>
      <c r="ZN22" s="337"/>
      <c r="ZO22" s="337"/>
      <c r="ZP22" s="337"/>
      <c r="ZQ22" s="337"/>
      <c r="ZR22" s="337"/>
      <c r="ZS22" s="337"/>
      <c r="ZT22" s="337"/>
      <c r="ZU22" s="337"/>
      <c r="ZV22" s="337"/>
      <c r="ZW22" s="337"/>
      <c r="ZX22" s="337"/>
      <c r="ZY22" s="337"/>
      <c r="ZZ22" s="337"/>
      <c r="AAA22" s="337"/>
      <c r="AAB22" s="337"/>
      <c r="AAC22" s="337"/>
      <c r="AAD22" s="337"/>
      <c r="AAE22" s="337"/>
      <c r="AAF22" s="337"/>
      <c r="AAG22" s="337"/>
      <c r="AAH22" s="337"/>
      <c r="AAI22" s="337"/>
      <c r="AAJ22" s="337"/>
      <c r="AAK22" s="337"/>
      <c r="AAL22" s="337"/>
      <c r="AAM22" s="337"/>
      <c r="AAN22" s="337"/>
      <c r="AAO22" s="337"/>
      <c r="AAP22" s="337"/>
      <c r="AAQ22" s="337"/>
      <c r="AAR22" s="337"/>
      <c r="AAS22" s="337"/>
      <c r="AAT22" s="337"/>
      <c r="AAU22" s="337"/>
      <c r="AAV22" s="337"/>
      <c r="AAW22" s="337"/>
      <c r="AAX22" s="337"/>
      <c r="AAY22" s="337"/>
      <c r="AAZ22" s="337"/>
      <c r="ABA22" s="337"/>
      <c r="ABB22" s="337"/>
      <c r="ABC22" s="337"/>
      <c r="ABD22" s="337"/>
      <c r="ABE22" s="337"/>
      <c r="ABF22" s="337"/>
      <c r="ABG22" s="337"/>
      <c r="ABH22" s="337"/>
      <c r="ABI22" s="337"/>
      <c r="ABJ22" s="337"/>
      <c r="ABK22" s="337"/>
      <c r="ABL22" s="337"/>
      <c r="ABM22" s="337"/>
      <c r="ABN22" s="337"/>
      <c r="ABO22" s="337"/>
      <c r="ABP22" s="337"/>
      <c r="ABQ22" s="337"/>
      <c r="ABR22" s="337"/>
      <c r="ABS22" s="337"/>
      <c r="ABT22" s="337"/>
      <c r="ABU22" s="337"/>
      <c r="ABV22" s="337"/>
      <c r="ABW22" s="337"/>
      <c r="ABX22" s="337"/>
      <c r="ABY22" s="337"/>
      <c r="ABZ22" s="337"/>
      <c r="ACA22" s="337"/>
      <c r="ACB22" s="337"/>
      <c r="ACC22" s="337"/>
      <c r="ACD22" s="337"/>
      <c r="ACE22" s="337"/>
      <c r="ACF22" s="337"/>
      <c r="ACG22" s="337"/>
      <c r="ACH22" s="337"/>
      <c r="ACI22" s="337"/>
      <c r="ACJ22" s="337"/>
      <c r="ACK22" s="337"/>
      <c r="ACL22" s="337"/>
      <c r="ACM22" s="337"/>
      <c r="ACN22" s="337"/>
      <c r="ACO22" s="337"/>
      <c r="ACP22" s="337"/>
      <c r="ACQ22" s="337"/>
      <c r="ACR22" s="337"/>
      <c r="ACS22" s="337"/>
      <c r="ACT22" s="337"/>
      <c r="ACU22" s="337"/>
      <c r="ACV22" s="337"/>
      <c r="ACW22" s="337"/>
      <c r="ACX22" s="337"/>
      <c r="ACY22" s="337"/>
      <c r="ACZ22" s="337"/>
      <c r="ADA22" s="337"/>
      <c r="ADB22" s="337"/>
      <c r="ADC22" s="337"/>
      <c r="ADD22" s="337"/>
      <c r="ADE22" s="337"/>
      <c r="ADF22" s="337"/>
      <c r="ADG22" s="337"/>
      <c r="ADH22" s="337"/>
      <c r="ADI22" s="337"/>
      <c r="ADJ22" s="337"/>
      <c r="ADK22" s="337"/>
      <c r="ADL22" s="337"/>
      <c r="ADM22" s="337"/>
      <c r="ADN22" s="337"/>
      <c r="ADO22" s="337"/>
      <c r="ADP22" s="337"/>
      <c r="ADQ22" s="337"/>
      <c r="ADR22" s="337"/>
      <c r="ADS22" s="337"/>
      <c r="ADT22" s="337"/>
      <c r="ADU22" s="337"/>
      <c r="ADV22" s="337"/>
      <c r="ADW22" s="337"/>
      <c r="ADX22" s="337"/>
      <c r="ADY22" s="337"/>
      <c r="ADZ22" s="337"/>
      <c r="AEA22" s="337"/>
      <c r="AEB22" s="337"/>
      <c r="AEC22" s="337"/>
      <c r="AED22" s="337"/>
      <c r="AEE22" s="337"/>
      <c r="AEF22" s="337"/>
      <c r="AEG22" s="337"/>
      <c r="AEH22" s="337"/>
      <c r="AEI22" s="337"/>
      <c r="AEJ22" s="337"/>
      <c r="AEK22" s="337"/>
      <c r="AEL22" s="337"/>
      <c r="AEM22" s="337"/>
      <c r="AEN22" s="337"/>
      <c r="AEO22" s="337"/>
      <c r="AEP22" s="337"/>
      <c r="AEQ22" s="337"/>
      <c r="AER22" s="337"/>
      <c r="AES22" s="337"/>
      <c r="AET22" s="337"/>
      <c r="AEU22" s="337"/>
      <c r="AEV22" s="337"/>
      <c r="AEW22" s="337"/>
      <c r="AEX22" s="337"/>
      <c r="AEY22" s="337"/>
      <c r="AEZ22" s="337"/>
      <c r="AFA22" s="337"/>
      <c r="AFB22" s="337"/>
      <c r="AFC22" s="337"/>
      <c r="AFD22" s="337"/>
      <c r="AFE22" s="337"/>
      <c r="AFF22" s="337"/>
      <c r="AFG22" s="337"/>
      <c r="AFH22" s="337"/>
      <c r="AFI22" s="337"/>
      <c r="AFJ22" s="337"/>
      <c r="AFK22" s="337"/>
      <c r="AFL22" s="337"/>
      <c r="AFM22" s="337"/>
      <c r="AFN22" s="337"/>
      <c r="AFO22" s="337"/>
      <c r="AFP22" s="337"/>
      <c r="AFQ22" s="337"/>
      <c r="AFR22" s="337"/>
      <c r="AFS22" s="337"/>
      <c r="AFT22" s="337"/>
      <c r="AFU22" s="337"/>
      <c r="AFV22" s="337"/>
      <c r="AFW22" s="337"/>
      <c r="AFX22" s="337"/>
      <c r="AFY22" s="337"/>
      <c r="AFZ22" s="337"/>
      <c r="AGA22" s="337"/>
      <c r="AGB22" s="337"/>
      <c r="AGC22" s="337"/>
      <c r="AGD22" s="337"/>
      <c r="AGE22" s="337"/>
      <c r="AGF22" s="337"/>
      <c r="AGG22" s="337"/>
      <c r="AGH22" s="337"/>
      <c r="AGI22" s="337"/>
      <c r="AGJ22" s="337"/>
      <c r="AGK22" s="337"/>
      <c r="AGL22" s="337"/>
      <c r="AGM22" s="337"/>
      <c r="AGN22" s="337"/>
      <c r="AGO22" s="337"/>
      <c r="AGP22" s="337"/>
      <c r="AGQ22" s="337"/>
      <c r="AGR22" s="337"/>
      <c r="AGS22" s="337"/>
      <c r="AGT22" s="337"/>
      <c r="AGU22" s="337"/>
      <c r="AGV22" s="337"/>
      <c r="AGW22" s="337"/>
      <c r="AGX22" s="337"/>
      <c r="AGY22" s="337"/>
      <c r="AGZ22" s="337"/>
    </row>
    <row r="23" ht="24" customHeight="1" spans="1:884">
      <c r="A23" s="349">
        <v>19</v>
      </c>
      <c r="B23" s="350"/>
      <c r="C23" s="351" t="s">
        <v>120</v>
      </c>
      <c r="D23" s="352"/>
      <c r="E23" s="352"/>
      <c r="F23" s="81">
        <v>4</v>
      </c>
      <c r="G23" s="356" t="s">
        <v>457</v>
      </c>
      <c r="H23" s="354" t="s">
        <v>458</v>
      </c>
      <c r="I23" s="100" t="s">
        <v>124</v>
      </c>
      <c r="J23" s="100" t="s">
        <v>124</v>
      </c>
      <c r="K23" s="100" t="s">
        <v>124</v>
      </c>
      <c r="L23" s="100" t="s">
        <v>124</v>
      </c>
      <c r="M23" s="100" t="s">
        <v>124</v>
      </c>
      <c r="N23" s="373" t="s">
        <v>459</v>
      </c>
      <c r="O23" s="374" t="s">
        <v>460</v>
      </c>
      <c r="P23" s="375" t="str">
        <f>CONCATENATE(RemovePunctuation(H23),"_CA","_","i4K","_",C23,"_",AE23,"_",PROPER(R23),IF(S23="",PROPER(R23),PROPER(S23)),PROPER(T23),PROPER(U23),PROPER(V23),IF(V23&lt;&gt;"","SUB",""),PROPER(W23),IF(W23&lt;&gt;"","SUB",""),"_","Ed","_","M1",".mpg")</f>
        <v>NaturalLegendNaturesGreatestGenius1_CA_i4K_0825_43_ZhoZhoZhoSUB_Ed_M1.mpg</v>
      </c>
      <c r="Q23" s="375" t="str">
        <f>CONCATENATE(RemovePunctuation(H23),"_CA","_","i5K","_",C23,"_",AD23,"_",PROPER(R23),IF(S23="",PROPER(R23),PROPER(S23)),PROPER(T23),PROPER(U23),PROPER(V23),IF(V23&lt;&gt;"","SUB",""),PROPER(W23),IF(W23&lt;&gt;"","SUB",""),"_","Ed","_","M4",".mpg")</f>
        <v>NaturalLegendNaturesGreatestGenius1_CA_i5K_0825_169_ZhoZhoZhoSUB_Ed_M4.mpg</v>
      </c>
      <c r="R23" s="382" t="s">
        <v>130</v>
      </c>
      <c r="S23" s="385"/>
      <c r="T23" s="384"/>
      <c r="U23" s="384"/>
      <c r="V23" s="382" t="s">
        <v>130</v>
      </c>
      <c r="W23" s="386"/>
      <c r="X23" s="349" t="s">
        <v>129</v>
      </c>
      <c r="Y23" s="349" t="s">
        <v>129</v>
      </c>
      <c r="Z23" s="120">
        <f t="shared" si="0"/>
        <v>30</v>
      </c>
      <c r="AA23" s="304" t="str">
        <f t="shared" si="1"/>
        <v>00:30:00</v>
      </c>
      <c r="AB23" s="120">
        <f t="shared" si="2"/>
        <v>1800</v>
      </c>
      <c r="AC23" s="399">
        <v>0.0207986111111111</v>
      </c>
      <c r="AD23" s="400">
        <v>169</v>
      </c>
      <c r="AE23" s="400">
        <v>43</v>
      </c>
      <c r="AF23" s="349" t="s">
        <v>132</v>
      </c>
      <c r="AP23" s="337"/>
      <c r="AQ23" s="337"/>
      <c r="AR23" s="337"/>
      <c r="AS23" s="337"/>
      <c r="AT23" s="337"/>
      <c r="AU23" s="337"/>
      <c r="AV23" s="337"/>
      <c r="AW23" s="337"/>
      <c r="AX23" s="337"/>
      <c r="AY23" s="337"/>
      <c r="AZ23" s="337"/>
      <c r="BA23" s="337"/>
      <c r="BB23" s="337"/>
      <c r="BC23" s="337"/>
      <c r="BD23" s="337"/>
      <c r="BE23" s="337"/>
      <c r="BF23" s="337"/>
      <c r="BG23" s="337"/>
      <c r="BH23" s="337"/>
      <c r="BI23" s="337"/>
      <c r="BJ23" s="337"/>
      <c r="BK23" s="337"/>
      <c r="BL23" s="337"/>
      <c r="BM23" s="337"/>
      <c r="BN23" s="337"/>
      <c r="BO23" s="337"/>
      <c r="BP23" s="337"/>
      <c r="BQ23" s="337"/>
      <c r="BR23" s="337"/>
      <c r="BS23" s="337"/>
      <c r="BT23" s="337"/>
      <c r="BU23" s="337"/>
      <c r="BV23" s="337"/>
      <c r="BW23" s="337"/>
      <c r="BX23" s="337"/>
      <c r="BY23" s="337"/>
      <c r="BZ23" s="337"/>
      <c r="CA23" s="337"/>
      <c r="CB23" s="337"/>
      <c r="CC23" s="337"/>
      <c r="CD23" s="337"/>
      <c r="CE23" s="337"/>
      <c r="CF23" s="337"/>
      <c r="CG23" s="337"/>
      <c r="CH23" s="337"/>
      <c r="CI23" s="337"/>
      <c r="CJ23" s="337"/>
      <c r="CK23" s="337"/>
      <c r="CL23" s="337"/>
      <c r="CM23" s="337"/>
      <c r="CN23" s="337"/>
      <c r="CO23" s="337"/>
      <c r="CP23" s="337"/>
      <c r="CQ23" s="337"/>
      <c r="CR23" s="337"/>
      <c r="CS23" s="337"/>
      <c r="CT23" s="337"/>
      <c r="CU23" s="337"/>
      <c r="CV23" s="337"/>
      <c r="CW23" s="337"/>
      <c r="CX23" s="337"/>
      <c r="CY23" s="337"/>
      <c r="CZ23" s="337"/>
      <c r="DA23" s="337"/>
      <c r="DB23" s="337"/>
      <c r="DC23" s="337"/>
      <c r="DD23" s="337"/>
      <c r="DE23" s="337"/>
      <c r="DF23" s="337"/>
      <c r="DG23" s="337"/>
      <c r="DH23" s="337"/>
      <c r="DI23" s="337"/>
      <c r="DJ23" s="337"/>
      <c r="DK23" s="337"/>
      <c r="DL23" s="337"/>
      <c r="DM23" s="337"/>
      <c r="DN23" s="337"/>
      <c r="DO23" s="337"/>
      <c r="DP23" s="337"/>
      <c r="DQ23" s="337"/>
      <c r="DR23" s="337"/>
      <c r="DS23" s="337"/>
      <c r="DT23" s="337"/>
      <c r="DU23" s="337"/>
      <c r="DV23" s="337"/>
      <c r="DW23" s="337"/>
      <c r="DX23" s="337"/>
      <c r="DY23" s="337"/>
      <c r="DZ23" s="337"/>
      <c r="EA23" s="337"/>
      <c r="EB23" s="337"/>
      <c r="EC23" s="337"/>
      <c r="ED23" s="337"/>
      <c r="EE23" s="337"/>
      <c r="EF23" s="337"/>
      <c r="EG23" s="337"/>
      <c r="EH23" s="337"/>
      <c r="EI23" s="337"/>
      <c r="EJ23" s="337"/>
      <c r="EK23" s="337"/>
      <c r="EL23" s="337"/>
      <c r="EM23" s="337"/>
      <c r="EN23" s="337"/>
      <c r="EO23" s="337"/>
      <c r="EP23" s="337"/>
      <c r="EQ23" s="337"/>
      <c r="ER23" s="337"/>
      <c r="ES23" s="337"/>
      <c r="ET23" s="337"/>
      <c r="EU23" s="337"/>
      <c r="EV23" s="337"/>
      <c r="EW23" s="337"/>
      <c r="EX23" s="337"/>
      <c r="EY23" s="337"/>
      <c r="EZ23" s="337"/>
      <c r="FA23" s="337"/>
      <c r="FB23" s="337"/>
      <c r="FC23" s="337"/>
      <c r="FD23" s="337"/>
      <c r="FE23" s="337"/>
      <c r="FF23" s="337"/>
      <c r="FG23" s="337"/>
      <c r="FH23" s="337"/>
      <c r="FI23" s="337"/>
      <c r="FJ23" s="337"/>
      <c r="FK23" s="337"/>
      <c r="FL23" s="337"/>
      <c r="FM23" s="337"/>
      <c r="FN23" s="337"/>
      <c r="FO23" s="337"/>
      <c r="FP23" s="337"/>
      <c r="FQ23" s="337"/>
      <c r="FR23" s="337"/>
      <c r="FS23" s="337"/>
      <c r="FT23" s="337"/>
      <c r="FU23" s="337"/>
      <c r="FV23" s="337"/>
      <c r="FW23" s="337"/>
      <c r="FX23" s="337"/>
      <c r="FY23" s="337"/>
      <c r="FZ23" s="337"/>
      <c r="GA23" s="337"/>
      <c r="GB23" s="337"/>
      <c r="GC23" s="337"/>
      <c r="GD23" s="337"/>
      <c r="GE23" s="337"/>
      <c r="GF23" s="337"/>
      <c r="GG23" s="337"/>
      <c r="GH23" s="337"/>
      <c r="GI23" s="337"/>
      <c r="GJ23" s="337"/>
      <c r="GK23" s="337"/>
      <c r="GL23" s="337"/>
      <c r="GM23" s="337"/>
      <c r="GN23" s="337"/>
      <c r="GO23" s="337"/>
      <c r="GP23" s="337"/>
      <c r="GQ23" s="337"/>
      <c r="GR23" s="337"/>
      <c r="GS23" s="337"/>
      <c r="GT23" s="337"/>
      <c r="GU23" s="337"/>
      <c r="GV23" s="337"/>
      <c r="GW23" s="337"/>
      <c r="GX23" s="337"/>
      <c r="GY23" s="337"/>
      <c r="GZ23" s="337"/>
      <c r="HA23" s="337"/>
      <c r="HB23" s="337"/>
      <c r="HC23" s="337"/>
      <c r="HD23" s="337"/>
      <c r="HE23" s="337"/>
      <c r="HF23" s="337"/>
      <c r="HG23" s="337"/>
      <c r="HH23" s="337"/>
      <c r="HI23" s="337"/>
      <c r="HJ23" s="337"/>
      <c r="HK23" s="337"/>
      <c r="HL23" s="337"/>
      <c r="HM23" s="337"/>
      <c r="HN23" s="337"/>
      <c r="HO23" s="337"/>
      <c r="HP23" s="337"/>
      <c r="HQ23" s="337"/>
      <c r="HR23" s="337"/>
      <c r="HS23" s="337"/>
      <c r="HT23" s="337"/>
      <c r="HU23" s="337"/>
      <c r="HV23" s="337"/>
      <c r="HW23" s="337"/>
      <c r="HX23" s="337"/>
      <c r="HY23" s="337"/>
      <c r="HZ23" s="337"/>
      <c r="IA23" s="337"/>
      <c r="IB23" s="337"/>
      <c r="IC23" s="337"/>
      <c r="ID23" s="337"/>
      <c r="IE23" s="337"/>
      <c r="IF23" s="337"/>
      <c r="IG23" s="337"/>
      <c r="IH23" s="337"/>
      <c r="II23" s="337"/>
      <c r="IJ23" s="337"/>
      <c r="IK23" s="337"/>
      <c r="IL23" s="337"/>
      <c r="IM23" s="337"/>
      <c r="IN23" s="337"/>
      <c r="IO23" s="337"/>
      <c r="IP23" s="337"/>
      <c r="IQ23" s="337"/>
      <c r="IR23" s="337"/>
      <c r="IS23" s="337"/>
      <c r="IT23" s="337"/>
      <c r="IU23" s="337"/>
      <c r="IV23" s="337"/>
      <c r="IW23" s="337"/>
      <c r="IX23" s="337"/>
      <c r="IY23" s="337"/>
      <c r="IZ23" s="337"/>
      <c r="JA23" s="337"/>
      <c r="JB23" s="337"/>
      <c r="JC23" s="337"/>
      <c r="JD23" s="337"/>
      <c r="JE23" s="337"/>
      <c r="JF23" s="337"/>
      <c r="JG23" s="337"/>
      <c r="JH23" s="337"/>
      <c r="JI23" s="337"/>
      <c r="JJ23" s="337"/>
      <c r="JK23" s="337"/>
      <c r="JL23" s="337"/>
      <c r="JM23" s="337"/>
      <c r="JN23" s="337"/>
      <c r="JO23" s="337"/>
      <c r="JP23" s="337"/>
      <c r="JQ23" s="337"/>
      <c r="JR23" s="337"/>
      <c r="JS23" s="337"/>
      <c r="JT23" s="337"/>
      <c r="JU23" s="337"/>
      <c r="JV23" s="337"/>
      <c r="JW23" s="337"/>
      <c r="JX23" s="337"/>
      <c r="JY23" s="337"/>
      <c r="JZ23" s="337"/>
      <c r="KA23" s="337"/>
      <c r="KB23" s="337"/>
      <c r="KC23" s="337"/>
      <c r="KD23" s="337"/>
      <c r="KE23" s="337"/>
      <c r="KF23" s="337"/>
      <c r="KG23" s="337"/>
      <c r="KH23" s="337"/>
      <c r="KI23" s="337"/>
      <c r="KJ23" s="337"/>
      <c r="KK23" s="337"/>
      <c r="KL23" s="337"/>
      <c r="KM23" s="337"/>
      <c r="KN23" s="337"/>
      <c r="KO23" s="337"/>
      <c r="KP23" s="337"/>
      <c r="KQ23" s="337"/>
      <c r="KR23" s="337"/>
      <c r="KS23" s="337"/>
      <c r="KT23" s="337"/>
      <c r="KU23" s="337"/>
      <c r="KV23" s="337"/>
      <c r="KW23" s="337"/>
      <c r="KX23" s="337"/>
      <c r="KY23" s="337"/>
      <c r="KZ23" s="337"/>
      <c r="LA23" s="337"/>
      <c r="LB23" s="337"/>
      <c r="LC23" s="337"/>
      <c r="LD23" s="337"/>
      <c r="LE23" s="337"/>
      <c r="LF23" s="337"/>
      <c r="LG23" s="337"/>
      <c r="LH23" s="337"/>
      <c r="LI23" s="337"/>
      <c r="LJ23" s="337"/>
      <c r="LK23" s="337"/>
      <c r="LL23" s="337"/>
      <c r="LM23" s="337"/>
      <c r="LN23" s="337"/>
      <c r="LO23" s="337"/>
      <c r="LP23" s="337"/>
      <c r="LQ23" s="337"/>
      <c r="LR23" s="337"/>
      <c r="LS23" s="337"/>
      <c r="LT23" s="337"/>
      <c r="LU23" s="337"/>
      <c r="LV23" s="337"/>
      <c r="LW23" s="337"/>
      <c r="LX23" s="337"/>
      <c r="LY23" s="337"/>
      <c r="LZ23" s="337"/>
      <c r="MA23" s="337"/>
      <c r="MB23" s="337"/>
      <c r="MC23" s="337"/>
      <c r="MD23" s="337"/>
      <c r="ME23" s="337"/>
      <c r="MF23" s="337"/>
      <c r="MG23" s="337"/>
      <c r="MH23" s="337"/>
      <c r="MI23" s="337"/>
      <c r="MJ23" s="337"/>
      <c r="MK23" s="337"/>
      <c r="ML23" s="337"/>
      <c r="MM23" s="337"/>
      <c r="MN23" s="337"/>
      <c r="MO23" s="337"/>
      <c r="MP23" s="337"/>
      <c r="MQ23" s="337"/>
      <c r="MR23" s="337"/>
      <c r="MS23" s="337"/>
      <c r="MT23" s="337"/>
      <c r="MU23" s="337"/>
      <c r="MV23" s="337"/>
      <c r="MW23" s="337"/>
      <c r="MX23" s="337"/>
      <c r="MY23" s="337"/>
      <c r="MZ23" s="337"/>
      <c r="NA23" s="337"/>
      <c r="NB23" s="337"/>
      <c r="NC23" s="337"/>
      <c r="ND23" s="337"/>
      <c r="NE23" s="337"/>
      <c r="NF23" s="337"/>
      <c r="NG23" s="337"/>
      <c r="NH23" s="337"/>
      <c r="NI23" s="337"/>
      <c r="NJ23" s="337"/>
      <c r="NK23" s="337"/>
      <c r="NL23" s="337"/>
      <c r="NM23" s="337"/>
      <c r="NN23" s="337"/>
      <c r="NO23" s="337"/>
      <c r="NP23" s="337"/>
      <c r="NQ23" s="337"/>
      <c r="NR23" s="337"/>
      <c r="NS23" s="337"/>
      <c r="NT23" s="337"/>
      <c r="NU23" s="337"/>
      <c r="NV23" s="337"/>
      <c r="NW23" s="337"/>
      <c r="NX23" s="337"/>
      <c r="NY23" s="337"/>
      <c r="NZ23" s="337"/>
      <c r="OA23" s="337"/>
      <c r="OB23" s="337"/>
      <c r="OC23" s="337"/>
      <c r="OD23" s="337"/>
      <c r="OE23" s="337"/>
      <c r="OF23" s="337"/>
      <c r="OG23" s="337"/>
      <c r="OH23" s="337"/>
      <c r="OI23" s="337"/>
      <c r="OJ23" s="337"/>
      <c r="OK23" s="337"/>
      <c r="OL23" s="337"/>
      <c r="OM23" s="337"/>
      <c r="ON23" s="337"/>
      <c r="OO23" s="337"/>
      <c r="OP23" s="337"/>
      <c r="OQ23" s="337"/>
      <c r="OR23" s="337"/>
      <c r="OS23" s="337"/>
      <c r="OT23" s="337"/>
      <c r="OU23" s="337"/>
      <c r="OV23" s="337"/>
      <c r="OW23" s="337"/>
      <c r="OX23" s="337"/>
      <c r="OY23" s="337"/>
      <c r="OZ23" s="337"/>
      <c r="PA23" s="337"/>
      <c r="PB23" s="337"/>
      <c r="PC23" s="337"/>
      <c r="PD23" s="337"/>
      <c r="PE23" s="337"/>
      <c r="PF23" s="337"/>
      <c r="PG23" s="337"/>
      <c r="PH23" s="337"/>
      <c r="PI23" s="337"/>
      <c r="PJ23" s="337"/>
      <c r="PK23" s="337"/>
      <c r="PL23" s="337"/>
      <c r="PM23" s="337"/>
      <c r="PN23" s="337"/>
      <c r="PO23" s="337"/>
      <c r="PP23" s="337"/>
      <c r="PQ23" s="337"/>
      <c r="PR23" s="337"/>
      <c r="PS23" s="337"/>
      <c r="PT23" s="337"/>
      <c r="PU23" s="337"/>
      <c r="PV23" s="337"/>
      <c r="PW23" s="337"/>
      <c r="PX23" s="337"/>
      <c r="PY23" s="337"/>
      <c r="PZ23" s="337"/>
      <c r="QA23" s="337"/>
      <c r="QB23" s="337"/>
      <c r="QC23" s="337"/>
      <c r="QD23" s="337"/>
      <c r="QE23" s="337"/>
      <c r="QF23" s="337"/>
      <c r="QG23" s="337"/>
      <c r="QH23" s="337"/>
      <c r="QI23" s="337"/>
      <c r="QJ23" s="337"/>
      <c r="QK23" s="337"/>
      <c r="QL23" s="337"/>
      <c r="QM23" s="337"/>
      <c r="QN23" s="337"/>
      <c r="QO23" s="337"/>
      <c r="QP23" s="337"/>
      <c r="QQ23" s="337"/>
      <c r="QR23" s="337"/>
      <c r="QS23" s="337"/>
      <c r="QT23" s="337"/>
      <c r="QU23" s="337"/>
      <c r="QV23" s="337"/>
      <c r="QW23" s="337"/>
      <c r="QX23" s="337"/>
      <c r="QY23" s="337"/>
      <c r="QZ23" s="337"/>
      <c r="RA23" s="337"/>
      <c r="RB23" s="337"/>
      <c r="RC23" s="337"/>
      <c r="RD23" s="337"/>
      <c r="RE23" s="337"/>
      <c r="RF23" s="337"/>
      <c r="RG23" s="337"/>
      <c r="RH23" s="337"/>
      <c r="RI23" s="337"/>
      <c r="RJ23" s="337"/>
      <c r="RK23" s="337"/>
      <c r="RL23" s="337"/>
      <c r="RM23" s="337"/>
      <c r="RN23" s="337"/>
      <c r="RO23" s="337"/>
      <c r="RP23" s="337"/>
      <c r="RQ23" s="337"/>
      <c r="RR23" s="337"/>
      <c r="RS23" s="337"/>
      <c r="RT23" s="337"/>
      <c r="RU23" s="337"/>
      <c r="RV23" s="337"/>
      <c r="RW23" s="337"/>
      <c r="RX23" s="337"/>
      <c r="RY23" s="337"/>
      <c r="RZ23" s="337"/>
      <c r="SA23" s="337"/>
      <c r="SB23" s="337"/>
      <c r="SC23" s="337"/>
      <c r="SD23" s="337"/>
      <c r="SE23" s="337"/>
      <c r="SF23" s="337"/>
      <c r="SG23" s="337"/>
      <c r="SH23" s="337"/>
      <c r="SI23" s="337"/>
      <c r="SJ23" s="337"/>
      <c r="SK23" s="337"/>
      <c r="SL23" s="337"/>
      <c r="SM23" s="337"/>
      <c r="SN23" s="337"/>
      <c r="SO23" s="337"/>
      <c r="SP23" s="337"/>
      <c r="SQ23" s="337"/>
      <c r="SR23" s="337"/>
      <c r="SS23" s="337"/>
      <c r="ST23" s="337"/>
      <c r="SU23" s="337"/>
      <c r="SV23" s="337"/>
      <c r="SW23" s="337"/>
      <c r="SX23" s="337"/>
      <c r="SY23" s="337"/>
      <c r="SZ23" s="337"/>
      <c r="TA23" s="337"/>
      <c r="TB23" s="337"/>
      <c r="TC23" s="337"/>
      <c r="TD23" s="337"/>
      <c r="TE23" s="337"/>
      <c r="TF23" s="337"/>
      <c r="TG23" s="337"/>
      <c r="TH23" s="337"/>
      <c r="TI23" s="337"/>
      <c r="TJ23" s="337"/>
      <c r="TK23" s="337"/>
      <c r="TL23" s="337"/>
      <c r="TM23" s="337"/>
      <c r="TN23" s="337"/>
      <c r="TO23" s="337"/>
      <c r="TP23" s="337"/>
      <c r="TQ23" s="337"/>
      <c r="TR23" s="337"/>
      <c r="TS23" s="337"/>
      <c r="TT23" s="337"/>
      <c r="TU23" s="337"/>
      <c r="TV23" s="337"/>
      <c r="TW23" s="337"/>
      <c r="TX23" s="337"/>
      <c r="TY23" s="337"/>
      <c r="TZ23" s="337"/>
      <c r="UA23" s="337"/>
      <c r="UB23" s="337"/>
      <c r="UC23" s="337"/>
      <c r="UD23" s="337"/>
      <c r="UE23" s="337"/>
      <c r="UF23" s="337"/>
      <c r="UG23" s="337"/>
      <c r="UH23" s="337"/>
      <c r="UI23" s="337"/>
      <c r="UJ23" s="337"/>
      <c r="UK23" s="337"/>
      <c r="UL23" s="337"/>
      <c r="UM23" s="337"/>
      <c r="UN23" s="337"/>
      <c r="UO23" s="337"/>
      <c r="UP23" s="337"/>
      <c r="UQ23" s="337"/>
      <c r="UR23" s="337"/>
      <c r="US23" s="337"/>
      <c r="UT23" s="337"/>
      <c r="UU23" s="337"/>
      <c r="UV23" s="337"/>
      <c r="UW23" s="337"/>
      <c r="UX23" s="337"/>
      <c r="UY23" s="337"/>
      <c r="UZ23" s="337"/>
      <c r="VA23" s="337"/>
      <c r="VB23" s="337"/>
      <c r="VC23" s="337"/>
      <c r="VD23" s="337"/>
      <c r="VE23" s="337"/>
      <c r="VF23" s="337"/>
      <c r="VG23" s="337"/>
      <c r="VH23" s="337"/>
      <c r="VI23" s="337"/>
      <c r="VJ23" s="337"/>
      <c r="VK23" s="337"/>
      <c r="VL23" s="337"/>
      <c r="VM23" s="337"/>
      <c r="VN23" s="337"/>
      <c r="VO23" s="337"/>
      <c r="VP23" s="337"/>
      <c r="VQ23" s="337"/>
      <c r="VR23" s="337"/>
      <c r="VS23" s="337"/>
      <c r="VT23" s="337"/>
      <c r="VU23" s="337"/>
      <c r="VV23" s="337"/>
      <c r="VW23" s="337"/>
      <c r="VX23" s="337"/>
      <c r="VY23" s="337"/>
      <c r="VZ23" s="337"/>
      <c r="WA23" s="337"/>
      <c r="WB23" s="337"/>
      <c r="WC23" s="337"/>
      <c r="WD23" s="337"/>
      <c r="WE23" s="337"/>
      <c r="WF23" s="337"/>
      <c r="WG23" s="337"/>
      <c r="WH23" s="337"/>
      <c r="WI23" s="337"/>
      <c r="WJ23" s="337"/>
      <c r="WK23" s="337"/>
      <c r="WL23" s="337"/>
      <c r="WM23" s="337"/>
      <c r="WN23" s="337"/>
      <c r="WO23" s="337"/>
      <c r="WP23" s="337"/>
      <c r="WQ23" s="337"/>
      <c r="WR23" s="337"/>
      <c r="WS23" s="337"/>
      <c r="WT23" s="337"/>
      <c r="WU23" s="337"/>
      <c r="WV23" s="337"/>
      <c r="WW23" s="337"/>
      <c r="WX23" s="337"/>
      <c r="WY23" s="337"/>
      <c r="WZ23" s="337"/>
      <c r="XA23" s="337"/>
      <c r="XB23" s="337"/>
      <c r="XC23" s="337"/>
      <c r="XD23" s="337"/>
      <c r="XE23" s="337"/>
      <c r="XF23" s="337"/>
      <c r="XG23" s="337"/>
      <c r="XH23" s="337"/>
      <c r="XI23" s="337"/>
      <c r="XJ23" s="337"/>
      <c r="XK23" s="337"/>
      <c r="XL23" s="337"/>
      <c r="XM23" s="337"/>
      <c r="XN23" s="337"/>
      <c r="XO23" s="337"/>
      <c r="XP23" s="337"/>
      <c r="XQ23" s="337"/>
      <c r="XR23" s="337"/>
      <c r="XS23" s="337"/>
      <c r="XT23" s="337"/>
      <c r="XU23" s="337"/>
      <c r="XV23" s="337"/>
      <c r="XW23" s="337"/>
      <c r="XX23" s="337"/>
      <c r="XY23" s="337"/>
      <c r="XZ23" s="337"/>
      <c r="YA23" s="337"/>
      <c r="YB23" s="337"/>
      <c r="YC23" s="337"/>
      <c r="YD23" s="337"/>
      <c r="YE23" s="337"/>
      <c r="YF23" s="337"/>
      <c r="YG23" s="337"/>
      <c r="YH23" s="337"/>
      <c r="YI23" s="337"/>
      <c r="YJ23" s="337"/>
      <c r="YK23" s="337"/>
      <c r="YL23" s="337"/>
      <c r="YM23" s="337"/>
      <c r="YN23" s="337"/>
      <c r="YO23" s="337"/>
      <c r="YP23" s="337"/>
      <c r="YQ23" s="337"/>
      <c r="YR23" s="337"/>
      <c r="YS23" s="337"/>
      <c r="YT23" s="337"/>
      <c r="YU23" s="337"/>
      <c r="YV23" s="337"/>
      <c r="YW23" s="337"/>
      <c r="YX23" s="337"/>
      <c r="YY23" s="337"/>
      <c r="YZ23" s="337"/>
      <c r="ZA23" s="337"/>
      <c r="ZB23" s="337"/>
      <c r="ZC23" s="337"/>
      <c r="ZD23" s="337"/>
      <c r="ZE23" s="337"/>
      <c r="ZF23" s="337"/>
      <c r="ZG23" s="337"/>
      <c r="ZH23" s="337"/>
      <c r="ZI23" s="337"/>
      <c r="ZJ23" s="337"/>
      <c r="ZK23" s="337"/>
      <c r="ZL23" s="337"/>
      <c r="ZM23" s="337"/>
      <c r="ZN23" s="337"/>
      <c r="ZO23" s="337"/>
      <c r="ZP23" s="337"/>
      <c r="ZQ23" s="337"/>
      <c r="ZR23" s="337"/>
      <c r="ZS23" s="337"/>
      <c r="ZT23" s="337"/>
      <c r="ZU23" s="337"/>
      <c r="ZV23" s="337"/>
      <c r="ZW23" s="337"/>
      <c r="ZX23" s="337"/>
      <c r="ZY23" s="337"/>
      <c r="ZZ23" s="337"/>
      <c r="AAA23" s="337"/>
      <c r="AAB23" s="337"/>
      <c r="AAC23" s="337"/>
      <c r="AAD23" s="337"/>
      <c r="AAE23" s="337"/>
      <c r="AAF23" s="337"/>
      <c r="AAG23" s="337"/>
      <c r="AAH23" s="337"/>
      <c r="AAI23" s="337"/>
      <c r="AAJ23" s="337"/>
      <c r="AAK23" s="337"/>
      <c r="AAL23" s="337"/>
      <c r="AAM23" s="337"/>
      <c r="AAN23" s="337"/>
      <c r="AAO23" s="337"/>
      <c r="AAP23" s="337"/>
      <c r="AAQ23" s="337"/>
      <c r="AAR23" s="337"/>
      <c r="AAS23" s="337"/>
      <c r="AAT23" s="337"/>
      <c r="AAU23" s="337"/>
      <c r="AAV23" s="337"/>
      <c r="AAW23" s="337"/>
      <c r="AAX23" s="337"/>
      <c r="AAY23" s="337"/>
      <c r="AAZ23" s="337"/>
      <c r="ABA23" s="337"/>
      <c r="ABB23" s="337"/>
      <c r="ABC23" s="337"/>
      <c r="ABD23" s="337"/>
      <c r="ABE23" s="337"/>
      <c r="ABF23" s="337"/>
      <c r="ABG23" s="337"/>
      <c r="ABH23" s="337"/>
      <c r="ABI23" s="337"/>
      <c r="ABJ23" s="337"/>
      <c r="ABK23" s="337"/>
      <c r="ABL23" s="337"/>
      <c r="ABM23" s="337"/>
      <c r="ABN23" s="337"/>
      <c r="ABO23" s="337"/>
      <c r="ABP23" s="337"/>
      <c r="ABQ23" s="337"/>
      <c r="ABR23" s="337"/>
      <c r="ABS23" s="337"/>
      <c r="ABT23" s="337"/>
      <c r="ABU23" s="337"/>
      <c r="ABV23" s="337"/>
      <c r="ABW23" s="337"/>
      <c r="ABX23" s="337"/>
      <c r="ABY23" s="337"/>
      <c r="ABZ23" s="337"/>
      <c r="ACA23" s="337"/>
      <c r="ACB23" s="337"/>
      <c r="ACC23" s="337"/>
      <c r="ACD23" s="337"/>
      <c r="ACE23" s="337"/>
      <c r="ACF23" s="337"/>
      <c r="ACG23" s="337"/>
      <c r="ACH23" s="337"/>
      <c r="ACI23" s="337"/>
      <c r="ACJ23" s="337"/>
      <c r="ACK23" s="337"/>
      <c r="ACL23" s="337"/>
      <c r="ACM23" s="337"/>
      <c r="ACN23" s="337"/>
      <c r="ACO23" s="337"/>
      <c r="ACP23" s="337"/>
      <c r="ACQ23" s="337"/>
      <c r="ACR23" s="337"/>
      <c r="ACS23" s="337"/>
      <c r="ACT23" s="337"/>
      <c r="ACU23" s="337"/>
      <c r="ACV23" s="337"/>
      <c r="ACW23" s="337"/>
      <c r="ACX23" s="337"/>
      <c r="ACY23" s="337"/>
      <c r="ACZ23" s="337"/>
      <c r="ADA23" s="337"/>
      <c r="ADB23" s="337"/>
      <c r="ADC23" s="337"/>
      <c r="ADD23" s="337"/>
      <c r="ADE23" s="337"/>
      <c r="ADF23" s="337"/>
      <c r="ADG23" s="337"/>
      <c r="ADH23" s="337"/>
      <c r="ADI23" s="337"/>
      <c r="ADJ23" s="337"/>
      <c r="ADK23" s="337"/>
      <c r="ADL23" s="337"/>
      <c r="ADM23" s="337"/>
      <c r="ADN23" s="337"/>
      <c r="ADO23" s="337"/>
      <c r="ADP23" s="337"/>
      <c r="ADQ23" s="337"/>
      <c r="ADR23" s="337"/>
      <c r="ADS23" s="337"/>
      <c r="ADT23" s="337"/>
      <c r="ADU23" s="337"/>
      <c r="ADV23" s="337"/>
      <c r="ADW23" s="337"/>
      <c r="ADX23" s="337"/>
      <c r="ADY23" s="337"/>
      <c r="ADZ23" s="337"/>
      <c r="AEA23" s="337"/>
      <c r="AEB23" s="337"/>
      <c r="AEC23" s="337"/>
      <c r="AED23" s="337"/>
      <c r="AEE23" s="337"/>
      <c r="AEF23" s="337"/>
      <c r="AEG23" s="337"/>
      <c r="AEH23" s="337"/>
      <c r="AEI23" s="337"/>
      <c r="AEJ23" s="337"/>
      <c r="AEK23" s="337"/>
      <c r="AEL23" s="337"/>
      <c r="AEM23" s="337"/>
      <c r="AEN23" s="337"/>
      <c r="AEO23" s="337"/>
      <c r="AEP23" s="337"/>
      <c r="AEQ23" s="337"/>
      <c r="AER23" s="337"/>
      <c r="AES23" s="337"/>
      <c r="AET23" s="337"/>
      <c r="AEU23" s="337"/>
      <c r="AEV23" s="337"/>
      <c r="AEW23" s="337"/>
      <c r="AEX23" s="337"/>
      <c r="AEY23" s="337"/>
      <c r="AEZ23" s="337"/>
      <c r="AFA23" s="337"/>
      <c r="AFB23" s="337"/>
      <c r="AFC23" s="337"/>
      <c r="AFD23" s="337"/>
      <c r="AFE23" s="337"/>
      <c r="AFF23" s="337"/>
      <c r="AFG23" s="337"/>
      <c r="AFH23" s="337"/>
      <c r="AFI23" s="337"/>
      <c r="AFJ23" s="337"/>
      <c r="AFK23" s="337"/>
      <c r="AFL23" s="337"/>
      <c r="AFM23" s="337"/>
      <c r="AFN23" s="337"/>
      <c r="AFO23" s="337"/>
      <c r="AFP23" s="337"/>
      <c r="AFQ23" s="337"/>
      <c r="AFR23" s="337"/>
      <c r="AFS23" s="337"/>
      <c r="AFT23" s="337"/>
      <c r="AFU23" s="337"/>
      <c r="AFV23" s="337"/>
      <c r="AFW23" s="337"/>
      <c r="AFX23" s="337"/>
      <c r="AFY23" s="337"/>
      <c r="AFZ23" s="337"/>
      <c r="AGA23" s="337"/>
      <c r="AGB23" s="337"/>
      <c r="AGC23" s="337"/>
      <c r="AGD23" s="337"/>
      <c r="AGE23" s="337"/>
      <c r="AGF23" s="337"/>
      <c r="AGG23" s="337"/>
      <c r="AGH23" s="337"/>
      <c r="AGI23" s="337"/>
      <c r="AGJ23" s="337"/>
      <c r="AGK23" s="337"/>
      <c r="AGL23" s="337"/>
      <c r="AGM23" s="337"/>
      <c r="AGN23" s="337"/>
      <c r="AGO23" s="337"/>
      <c r="AGP23" s="337"/>
      <c r="AGQ23" s="337"/>
      <c r="AGR23" s="337"/>
      <c r="AGS23" s="337"/>
      <c r="AGT23" s="337"/>
      <c r="AGU23" s="337"/>
      <c r="AGV23" s="337"/>
      <c r="AGW23" s="337"/>
      <c r="AGX23" s="337"/>
      <c r="AGY23" s="337"/>
      <c r="AGZ23" s="337"/>
    </row>
    <row r="24" ht="24" customHeight="1" spans="1:884">
      <c r="A24" s="349">
        <v>20</v>
      </c>
      <c r="B24" s="350"/>
      <c r="C24" s="351" t="s">
        <v>120</v>
      </c>
      <c r="D24" s="352"/>
      <c r="E24" s="352"/>
      <c r="F24" s="81">
        <v>5</v>
      </c>
      <c r="G24" s="356" t="s">
        <v>461</v>
      </c>
      <c r="H24" s="354" t="s">
        <v>462</v>
      </c>
      <c r="I24" s="100" t="s">
        <v>124</v>
      </c>
      <c r="J24" s="100" t="s">
        <v>124</v>
      </c>
      <c r="K24" s="100" t="s">
        <v>124</v>
      </c>
      <c r="L24" s="100" t="s">
        <v>124</v>
      </c>
      <c r="M24" s="100" t="s">
        <v>124</v>
      </c>
      <c r="N24" s="373" t="s">
        <v>463</v>
      </c>
      <c r="O24" s="374" t="s">
        <v>464</v>
      </c>
      <c r="P24" s="375" t="str">
        <f>CONCATENATE(RemovePunctuation(H24),"_CA","_","i4K","_",C24,"_",AE24,"_",PROPER(R24),IF(S24="",PROPER(R24),PROPER(S24)),PROPER(T24),PROPER(U24),PROPER(V24),IF(V24&lt;&gt;"","SUB",""),PROPER(W24),IF(W24&lt;&gt;"","SUB",""),"_","Ed","_","M1",".mpg")</f>
        <v>LastoftheGiantsS03E08_CA_i4K_0825_43_EngEngEngSUBZhoSUB_Ed_M1.mpg</v>
      </c>
      <c r="Q24" s="375" t="str">
        <f>CONCATENATE(RemovePunctuation(H24),"_CA","_","i5K","_",C24,"_",AD24,"_",PROPER(R24),IF(S24="",PROPER(R24),PROPER(S24)),PROPER(T24),PROPER(U24),PROPER(V24),IF(V24&lt;&gt;"","SUB",""),PROPER(W24),IF(W24&lt;&gt;"","SUB",""),"_","Ed","_","M4",".mpg")</f>
        <v>LastoftheGiantsS03E08_CA_i5K_0825_169_EngEngEngSUBZhoSUB_Ed_M4.mpg</v>
      </c>
      <c r="R24" s="382" t="s">
        <v>131</v>
      </c>
      <c r="S24" s="385"/>
      <c r="T24" s="384"/>
      <c r="U24" s="384"/>
      <c r="V24" s="382" t="s">
        <v>131</v>
      </c>
      <c r="W24" s="382" t="s">
        <v>130</v>
      </c>
      <c r="X24" s="349" t="s">
        <v>129</v>
      </c>
      <c r="Y24" s="349" t="s">
        <v>129</v>
      </c>
      <c r="Z24" s="120">
        <f t="shared" si="0"/>
        <v>42</v>
      </c>
      <c r="AA24" s="304" t="str">
        <f t="shared" si="1"/>
        <v>00:42:00</v>
      </c>
      <c r="AB24" s="120">
        <f t="shared" si="2"/>
        <v>2520</v>
      </c>
      <c r="AC24" s="399">
        <v>0.0293402777777778</v>
      </c>
      <c r="AD24" s="400">
        <v>169</v>
      </c>
      <c r="AE24" s="400">
        <v>43</v>
      </c>
      <c r="AF24" s="349" t="s">
        <v>132</v>
      </c>
      <c r="AP24" s="337"/>
      <c r="AQ24" s="337"/>
      <c r="AR24" s="337"/>
      <c r="AS24" s="337"/>
      <c r="AT24" s="337"/>
      <c r="AU24" s="337"/>
      <c r="AV24" s="337"/>
      <c r="AW24" s="337"/>
      <c r="AX24" s="337"/>
      <c r="AY24" s="337"/>
      <c r="AZ24" s="337"/>
      <c r="BA24" s="337"/>
      <c r="BB24" s="337"/>
      <c r="BC24" s="337"/>
      <c r="BD24" s="337"/>
      <c r="BE24" s="337"/>
      <c r="BF24" s="337"/>
      <c r="BG24" s="337"/>
      <c r="BH24" s="337"/>
      <c r="BI24" s="337"/>
      <c r="BJ24" s="337"/>
      <c r="BK24" s="337"/>
      <c r="BL24" s="337"/>
      <c r="BM24" s="337"/>
      <c r="BN24" s="337"/>
      <c r="BO24" s="337"/>
      <c r="BP24" s="337"/>
      <c r="BQ24" s="337"/>
      <c r="BR24" s="337"/>
      <c r="BS24" s="337"/>
      <c r="BT24" s="337"/>
      <c r="BU24" s="337"/>
      <c r="BV24" s="337"/>
      <c r="BW24" s="337"/>
      <c r="BX24" s="337"/>
      <c r="BY24" s="337"/>
      <c r="BZ24" s="337"/>
      <c r="CA24" s="337"/>
      <c r="CB24" s="337"/>
      <c r="CC24" s="337"/>
      <c r="CD24" s="337"/>
      <c r="CE24" s="337"/>
      <c r="CF24" s="337"/>
      <c r="CG24" s="337"/>
      <c r="CH24" s="337"/>
      <c r="CI24" s="337"/>
      <c r="CJ24" s="337"/>
      <c r="CK24" s="337"/>
      <c r="CL24" s="337"/>
      <c r="CM24" s="337"/>
      <c r="CN24" s="337"/>
      <c r="CO24" s="337"/>
      <c r="CP24" s="337"/>
      <c r="CQ24" s="337"/>
      <c r="CR24" s="337"/>
      <c r="CS24" s="337"/>
      <c r="CT24" s="337"/>
      <c r="CU24" s="337"/>
      <c r="CV24" s="337"/>
      <c r="CW24" s="337"/>
      <c r="CX24" s="337"/>
      <c r="CY24" s="337"/>
      <c r="CZ24" s="337"/>
      <c r="DA24" s="337"/>
      <c r="DB24" s="337"/>
      <c r="DC24" s="337"/>
      <c r="DD24" s="337"/>
      <c r="DE24" s="337"/>
      <c r="DF24" s="337"/>
      <c r="DG24" s="337"/>
      <c r="DH24" s="337"/>
      <c r="DI24" s="337"/>
      <c r="DJ24" s="337"/>
      <c r="DK24" s="337"/>
      <c r="DL24" s="337"/>
      <c r="DM24" s="337"/>
      <c r="DN24" s="337"/>
      <c r="DO24" s="337"/>
      <c r="DP24" s="337"/>
      <c r="DQ24" s="337"/>
      <c r="DR24" s="337"/>
      <c r="DS24" s="337"/>
      <c r="DT24" s="337"/>
      <c r="DU24" s="337"/>
      <c r="DV24" s="337"/>
      <c r="DW24" s="337"/>
      <c r="DX24" s="337"/>
      <c r="DY24" s="337"/>
      <c r="DZ24" s="337"/>
      <c r="EA24" s="337"/>
      <c r="EB24" s="337"/>
      <c r="EC24" s="337"/>
      <c r="ED24" s="337"/>
      <c r="EE24" s="337"/>
      <c r="EF24" s="337"/>
      <c r="EG24" s="337"/>
      <c r="EH24" s="337"/>
      <c r="EI24" s="337"/>
      <c r="EJ24" s="337"/>
      <c r="EK24" s="337"/>
      <c r="EL24" s="337"/>
      <c r="EM24" s="337"/>
      <c r="EN24" s="337"/>
      <c r="EO24" s="337"/>
      <c r="EP24" s="337"/>
      <c r="EQ24" s="337"/>
      <c r="ER24" s="337"/>
      <c r="ES24" s="337"/>
      <c r="ET24" s="337"/>
      <c r="EU24" s="337"/>
      <c r="EV24" s="337"/>
      <c r="EW24" s="337"/>
      <c r="EX24" s="337"/>
      <c r="EY24" s="337"/>
      <c r="EZ24" s="337"/>
      <c r="FA24" s="337"/>
      <c r="FB24" s="337"/>
      <c r="FC24" s="337"/>
      <c r="FD24" s="337"/>
      <c r="FE24" s="337"/>
      <c r="FF24" s="337"/>
      <c r="FG24" s="337"/>
      <c r="FH24" s="337"/>
      <c r="FI24" s="337"/>
      <c r="FJ24" s="337"/>
      <c r="FK24" s="337"/>
      <c r="FL24" s="337"/>
      <c r="FM24" s="337"/>
      <c r="FN24" s="337"/>
      <c r="FO24" s="337"/>
      <c r="FP24" s="337"/>
      <c r="FQ24" s="337"/>
      <c r="FR24" s="337"/>
      <c r="FS24" s="337"/>
      <c r="FT24" s="337"/>
      <c r="FU24" s="337"/>
      <c r="FV24" s="337"/>
      <c r="FW24" s="337"/>
      <c r="FX24" s="337"/>
      <c r="FY24" s="337"/>
      <c r="FZ24" s="337"/>
      <c r="GA24" s="337"/>
      <c r="GB24" s="337"/>
      <c r="GC24" s="337"/>
      <c r="GD24" s="337"/>
      <c r="GE24" s="337"/>
      <c r="GF24" s="337"/>
      <c r="GG24" s="337"/>
      <c r="GH24" s="337"/>
      <c r="GI24" s="337"/>
      <c r="GJ24" s="337"/>
      <c r="GK24" s="337"/>
      <c r="GL24" s="337"/>
      <c r="GM24" s="337"/>
      <c r="GN24" s="337"/>
      <c r="GO24" s="337"/>
      <c r="GP24" s="337"/>
      <c r="GQ24" s="337"/>
      <c r="GR24" s="337"/>
      <c r="GS24" s="337"/>
      <c r="GT24" s="337"/>
      <c r="GU24" s="337"/>
      <c r="GV24" s="337"/>
      <c r="GW24" s="337"/>
      <c r="GX24" s="337"/>
      <c r="GY24" s="337"/>
      <c r="GZ24" s="337"/>
      <c r="HA24" s="337"/>
      <c r="HB24" s="337"/>
      <c r="HC24" s="337"/>
      <c r="HD24" s="337"/>
      <c r="HE24" s="337"/>
      <c r="HF24" s="337"/>
      <c r="HG24" s="337"/>
      <c r="HH24" s="337"/>
      <c r="HI24" s="337"/>
      <c r="HJ24" s="337"/>
      <c r="HK24" s="337"/>
      <c r="HL24" s="337"/>
      <c r="HM24" s="337"/>
      <c r="HN24" s="337"/>
      <c r="HO24" s="337"/>
      <c r="HP24" s="337"/>
      <c r="HQ24" s="337"/>
      <c r="HR24" s="337"/>
      <c r="HS24" s="337"/>
      <c r="HT24" s="337"/>
      <c r="HU24" s="337"/>
      <c r="HV24" s="337"/>
      <c r="HW24" s="337"/>
      <c r="HX24" s="337"/>
      <c r="HY24" s="337"/>
      <c r="HZ24" s="337"/>
      <c r="IA24" s="337"/>
      <c r="IB24" s="337"/>
      <c r="IC24" s="337"/>
      <c r="ID24" s="337"/>
      <c r="IE24" s="337"/>
      <c r="IF24" s="337"/>
      <c r="IG24" s="337"/>
      <c r="IH24" s="337"/>
      <c r="II24" s="337"/>
      <c r="IJ24" s="337"/>
      <c r="IK24" s="337"/>
      <c r="IL24" s="337"/>
      <c r="IM24" s="337"/>
      <c r="IN24" s="337"/>
      <c r="IO24" s="337"/>
      <c r="IP24" s="337"/>
      <c r="IQ24" s="337"/>
      <c r="IR24" s="337"/>
      <c r="IS24" s="337"/>
      <c r="IT24" s="337"/>
      <c r="IU24" s="337"/>
      <c r="IV24" s="337"/>
      <c r="IW24" s="337"/>
      <c r="IX24" s="337"/>
      <c r="IY24" s="337"/>
      <c r="IZ24" s="337"/>
      <c r="JA24" s="337"/>
      <c r="JB24" s="337"/>
      <c r="JC24" s="337"/>
      <c r="JD24" s="337"/>
      <c r="JE24" s="337"/>
      <c r="JF24" s="337"/>
      <c r="JG24" s="337"/>
      <c r="JH24" s="337"/>
      <c r="JI24" s="337"/>
      <c r="JJ24" s="337"/>
      <c r="JK24" s="337"/>
      <c r="JL24" s="337"/>
      <c r="JM24" s="337"/>
      <c r="JN24" s="337"/>
      <c r="JO24" s="337"/>
      <c r="JP24" s="337"/>
      <c r="JQ24" s="337"/>
      <c r="JR24" s="337"/>
      <c r="JS24" s="337"/>
      <c r="JT24" s="337"/>
      <c r="JU24" s="337"/>
      <c r="JV24" s="337"/>
      <c r="JW24" s="337"/>
      <c r="JX24" s="337"/>
      <c r="JY24" s="337"/>
      <c r="JZ24" s="337"/>
      <c r="KA24" s="337"/>
      <c r="KB24" s="337"/>
      <c r="KC24" s="337"/>
      <c r="KD24" s="337"/>
      <c r="KE24" s="337"/>
      <c r="KF24" s="337"/>
      <c r="KG24" s="337"/>
      <c r="KH24" s="337"/>
      <c r="KI24" s="337"/>
      <c r="KJ24" s="337"/>
      <c r="KK24" s="337"/>
      <c r="KL24" s="337"/>
      <c r="KM24" s="337"/>
      <c r="KN24" s="337"/>
      <c r="KO24" s="337"/>
      <c r="KP24" s="337"/>
      <c r="KQ24" s="337"/>
      <c r="KR24" s="337"/>
      <c r="KS24" s="337"/>
      <c r="KT24" s="337"/>
      <c r="KU24" s="337"/>
      <c r="KV24" s="337"/>
      <c r="KW24" s="337"/>
      <c r="KX24" s="337"/>
      <c r="KY24" s="337"/>
      <c r="KZ24" s="337"/>
      <c r="LA24" s="337"/>
      <c r="LB24" s="337"/>
      <c r="LC24" s="337"/>
      <c r="LD24" s="337"/>
      <c r="LE24" s="337"/>
      <c r="LF24" s="337"/>
      <c r="LG24" s="337"/>
      <c r="LH24" s="337"/>
      <c r="LI24" s="337"/>
      <c r="LJ24" s="337"/>
      <c r="LK24" s="337"/>
      <c r="LL24" s="337"/>
      <c r="LM24" s="337"/>
      <c r="LN24" s="337"/>
      <c r="LO24" s="337"/>
      <c r="LP24" s="337"/>
      <c r="LQ24" s="337"/>
      <c r="LR24" s="337"/>
      <c r="LS24" s="337"/>
      <c r="LT24" s="337"/>
      <c r="LU24" s="337"/>
      <c r="LV24" s="337"/>
      <c r="LW24" s="337"/>
      <c r="LX24" s="337"/>
      <c r="LY24" s="337"/>
      <c r="LZ24" s="337"/>
      <c r="MA24" s="337"/>
      <c r="MB24" s="337"/>
      <c r="MC24" s="337"/>
      <c r="MD24" s="337"/>
      <c r="ME24" s="337"/>
      <c r="MF24" s="337"/>
      <c r="MG24" s="337"/>
      <c r="MH24" s="337"/>
      <c r="MI24" s="337"/>
      <c r="MJ24" s="337"/>
      <c r="MK24" s="337"/>
      <c r="ML24" s="337"/>
      <c r="MM24" s="337"/>
      <c r="MN24" s="337"/>
      <c r="MO24" s="337"/>
      <c r="MP24" s="337"/>
      <c r="MQ24" s="337"/>
      <c r="MR24" s="337"/>
      <c r="MS24" s="337"/>
      <c r="MT24" s="337"/>
      <c r="MU24" s="337"/>
      <c r="MV24" s="337"/>
      <c r="MW24" s="337"/>
      <c r="MX24" s="337"/>
      <c r="MY24" s="337"/>
      <c r="MZ24" s="337"/>
      <c r="NA24" s="337"/>
      <c r="NB24" s="337"/>
      <c r="NC24" s="337"/>
      <c r="ND24" s="337"/>
      <c r="NE24" s="337"/>
      <c r="NF24" s="337"/>
      <c r="NG24" s="337"/>
      <c r="NH24" s="337"/>
      <c r="NI24" s="337"/>
      <c r="NJ24" s="337"/>
      <c r="NK24" s="337"/>
      <c r="NL24" s="337"/>
      <c r="NM24" s="337"/>
      <c r="NN24" s="337"/>
      <c r="NO24" s="337"/>
      <c r="NP24" s="337"/>
      <c r="NQ24" s="337"/>
      <c r="NR24" s="337"/>
      <c r="NS24" s="337"/>
      <c r="NT24" s="337"/>
      <c r="NU24" s="337"/>
      <c r="NV24" s="337"/>
      <c r="NW24" s="337"/>
      <c r="NX24" s="337"/>
      <c r="NY24" s="337"/>
      <c r="NZ24" s="337"/>
      <c r="OA24" s="337"/>
      <c r="OB24" s="337"/>
      <c r="OC24" s="337"/>
      <c r="OD24" s="337"/>
      <c r="OE24" s="337"/>
      <c r="OF24" s="337"/>
      <c r="OG24" s="337"/>
      <c r="OH24" s="337"/>
      <c r="OI24" s="337"/>
      <c r="OJ24" s="337"/>
      <c r="OK24" s="337"/>
      <c r="OL24" s="337"/>
      <c r="OM24" s="337"/>
      <c r="ON24" s="337"/>
      <c r="OO24" s="337"/>
      <c r="OP24" s="337"/>
      <c r="OQ24" s="337"/>
      <c r="OR24" s="337"/>
      <c r="OS24" s="337"/>
      <c r="OT24" s="337"/>
      <c r="OU24" s="337"/>
      <c r="OV24" s="337"/>
      <c r="OW24" s="337"/>
      <c r="OX24" s="337"/>
      <c r="OY24" s="337"/>
      <c r="OZ24" s="337"/>
      <c r="PA24" s="337"/>
      <c r="PB24" s="337"/>
      <c r="PC24" s="337"/>
      <c r="PD24" s="337"/>
      <c r="PE24" s="337"/>
      <c r="PF24" s="337"/>
      <c r="PG24" s="337"/>
      <c r="PH24" s="337"/>
      <c r="PI24" s="337"/>
      <c r="PJ24" s="337"/>
      <c r="PK24" s="337"/>
      <c r="PL24" s="337"/>
      <c r="PM24" s="337"/>
      <c r="PN24" s="337"/>
      <c r="PO24" s="337"/>
      <c r="PP24" s="337"/>
      <c r="PQ24" s="337"/>
      <c r="PR24" s="337"/>
      <c r="PS24" s="337"/>
      <c r="PT24" s="337"/>
      <c r="PU24" s="337"/>
      <c r="PV24" s="337"/>
      <c r="PW24" s="337"/>
      <c r="PX24" s="337"/>
      <c r="PY24" s="337"/>
      <c r="PZ24" s="337"/>
      <c r="QA24" s="337"/>
      <c r="QB24" s="337"/>
      <c r="QC24" s="337"/>
      <c r="QD24" s="337"/>
      <c r="QE24" s="337"/>
      <c r="QF24" s="337"/>
      <c r="QG24" s="337"/>
      <c r="QH24" s="337"/>
      <c r="QI24" s="337"/>
      <c r="QJ24" s="337"/>
      <c r="QK24" s="337"/>
      <c r="QL24" s="337"/>
      <c r="QM24" s="337"/>
      <c r="QN24" s="337"/>
      <c r="QO24" s="337"/>
      <c r="QP24" s="337"/>
      <c r="QQ24" s="337"/>
      <c r="QR24" s="337"/>
      <c r="QS24" s="337"/>
      <c r="QT24" s="337"/>
      <c r="QU24" s="337"/>
      <c r="QV24" s="337"/>
      <c r="QW24" s="337"/>
      <c r="QX24" s="337"/>
      <c r="QY24" s="337"/>
      <c r="QZ24" s="337"/>
      <c r="RA24" s="337"/>
      <c r="RB24" s="337"/>
      <c r="RC24" s="337"/>
      <c r="RD24" s="337"/>
      <c r="RE24" s="337"/>
      <c r="RF24" s="337"/>
      <c r="RG24" s="337"/>
      <c r="RH24" s="337"/>
      <c r="RI24" s="337"/>
      <c r="RJ24" s="337"/>
      <c r="RK24" s="337"/>
      <c r="RL24" s="337"/>
      <c r="RM24" s="337"/>
      <c r="RN24" s="337"/>
      <c r="RO24" s="337"/>
      <c r="RP24" s="337"/>
      <c r="RQ24" s="337"/>
      <c r="RR24" s="337"/>
      <c r="RS24" s="337"/>
      <c r="RT24" s="337"/>
      <c r="RU24" s="337"/>
      <c r="RV24" s="337"/>
      <c r="RW24" s="337"/>
      <c r="RX24" s="337"/>
      <c r="RY24" s="337"/>
      <c r="RZ24" s="337"/>
      <c r="SA24" s="337"/>
      <c r="SB24" s="337"/>
      <c r="SC24" s="337"/>
      <c r="SD24" s="337"/>
      <c r="SE24" s="337"/>
      <c r="SF24" s="337"/>
      <c r="SG24" s="337"/>
      <c r="SH24" s="337"/>
      <c r="SI24" s="337"/>
      <c r="SJ24" s="337"/>
      <c r="SK24" s="337"/>
      <c r="SL24" s="337"/>
      <c r="SM24" s="337"/>
      <c r="SN24" s="337"/>
      <c r="SO24" s="337"/>
      <c r="SP24" s="337"/>
      <c r="SQ24" s="337"/>
      <c r="SR24" s="337"/>
      <c r="SS24" s="337"/>
      <c r="ST24" s="337"/>
      <c r="SU24" s="337"/>
      <c r="SV24" s="337"/>
      <c r="SW24" s="337"/>
      <c r="SX24" s="337"/>
      <c r="SY24" s="337"/>
      <c r="SZ24" s="337"/>
      <c r="TA24" s="337"/>
      <c r="TB24" s="337"/>
      <c r="TC24" s="337"/>
      <c r="TD24" s="337"/>
      <c r="TE24" s="337"/>
      <c r="TF24" s="337"/>
      <c r="TG24" s="337"/>
      <c r="TH24" s="337"/>
      <c r="TI24" s="337"/>
      <c r="TJ24" s="337"/>
      <c r="TK24" s="337"/>
      <c r="TL24" s="337"/>
      <c r="TM24" s="337"/>
      <c r="TN24" s="337"/>
      <c r="TO24" s="337"/>
      <c r="TP24" s="337"/>
      <c r="TQ24" s="337"/>
      <c r="TR24" s="337"/>
      <c r="TS24" s="337"/>
      <c r="TT24" s="337"/>
      <c r="TU24" s="337"/>
      <c r="TV24" s="337"/>
      <c r="TW24" s="337"/>
      <c r="TX24" s="337"/>
      <c r="TY24" s="337"/>
      <c r="TZ24" s="337"/>
      <c r="UA24" s="337"/>
      <c r="UB24" s="337"/>
      <c r="UC24" s="337"/>
      <c r="UD24" s="337"/>
      <c r="UE24" s="337"/>
      <c r="UF24" s="337"/>
      <c r="UG24" s="337"/>
      <c r="UH24" s="337"/>
      <c r="UI24" s="337"/>
      <c r="UJ24" s="337"/>
      <c r="UK24" s="337"/>
      <c r="UL24" s="337"/>
      <c r="UM24" s="337"/>
      <c r="UN24" s="337"/>
      <c r="UO24" s="337"/>
      <c r="UP24" s="337"/>
      <c r="UQ24" s="337"/>
      <c r="UR24" s="337"/>
      <c r="US24" s="337"/>
      <c r="UT24" s="337"/>
      <c r="UU24" s="337"/>
      <c r="UV24" s="337"/>
      <c r="UW24" s="337"/>
      <c r="UX24" s="337"/>
      <c r="UY24" s="337"/>
      <c r="UZ24" s="337"/>
      <c r="VA24" s="337"/>
      <c r="VB24" s="337"/>
      <c r="VC24" s="337"/>
      <c r="VD24" s="337"/>
      <c r="VE24" s="337"/>
      <c r="VF24" s="337"/>
      <c r="VG24" s="337"/>
      <c r="VH24" s="337"/>
      <c r="VI24" s="337"/>
      <c r="VJ24" s="337"/>
      <c r="VK24" s="337"/>
      <c r="VL24" s="337"/>
      <c r="VM24" s="337"/>
      <c r="VN24" s="337"/>
      <c r="VO24" s="337"/>
      <c r="VP24" s="337"/>
      <c r="VQ24" s="337"/>
      <c r="VR24" s="337"/>
      <c r="VS24" s="337"/>
      <c r="VT24" s="337"/>
      <c r="VU24" s="337"/>
      <c r="VV24" s="337"/>
      <c r="VW24" s="337"/>
      <c r="VX24" s="337"/>
      <c r="VY24" s="337"/>
      <c r="VZ24" s="337"/>
      <c r="WA24" s="337"/>
      <c r="WB24" s="337"/>
      <c r="WC24" s="337"/>
      <c r="WD24" s="337"/>
      <c r="WE24" s="337"/>
      <c r="WF24" s="337"/>
      <c r="WG24" s="337"/>
      <c r="WH24" s="337"/>
      <c r="WI24" s="337"/>
      <c r="WJ24" s="337"/>
      <c r="WK24" s="337"/>
      <c r="WL24" s="337"/>
      <c r="WM24" s="337"/>
      <c r="WN24" s="337"/>
      <c r="WO24" s="337"/>
      <c r="WP24" s="337"/>
      <c r="WQ24" s="337"/>
      <c r="WR24" s="337"/>
      <c r="WS24" s="337"/>
      <c r="WT24" s="337"/>
      <c r="WU24" s="337"/>
      <c r="WV24" s="337"/>
      <c r="WW24" s="337"/>
      <c r="WX24" s="337"/>
      <c r="WY24" s="337"/>
      <c r="WZ24" s="337"/>
      <c r="XA24" s="337"/>
      <c r="XB24" s="337"/>
      <c r="XC24" s="337"/>
      <c r="XD24" s="337"/>
      <c r="XE24" s="337"/>
      <c r="XF24" s="337"/>
      <c r="XG24" s="337"/>
      <c r="XH24" s="337"/>
      <c r="XI24" s="337"/>
      <c r="XJ24" s="337"/>
      <c r="XK24" s="337"/>
      <c r="XL24" s="337"/>
      <c r="XM24" s="337"/>
      <c r="XN24" s="337"/>
      <c r="XO24" s="337"/>
      <c r="XP24" s="337"/>
      <c r="XQ24" s="337"/>
      <c r="XR24" s="337"/>
      <c r="XS24" s="337"/>
      <c r="XT24" s="337"/>
      <c r="XU24" s="337"/>
      <c r="XV24" s="337"/>
      <c r="XW24" s="337"/>
      <c r="XX24" s="337"/>
      <c r="XY24" s="337"/>
      <c r="XZ24" s="337"/>
      <c r="YA24" s="337"/>
      <c r="YB24" s="337"/>
      <c r="YC24" s="337"/>
      <c r="YD24" s="337"/>
      <c r="YE24" s="337"/>
      <c r="YF24" s="337"/>
      <c r="YG24" s="337"/>
      <c r="YH24" s="337"/>
      <c r="YI24" s="337"/>
      <c r="YJ24" s="337"/>
      <c r="YK24" s="337"/>
      <c r="YL24" s="337"/>
      <c r="YM24" s="337"/>
      <c r="YN24" s="337"/>
      <c r="YO24" s="337"/>
      <c r="YP24" s="337"/>
      <c r="YQ24" s="337"/>
      <c r="YR24" s="337"/>
      <c r="YS24" s="337"/>
      <c r="YT24" s="337"/>
      <c r="YU24" s="337"/>
      <c r="YV24" s="337"/>
      <c r="YW24" s="337"/>
      <c r="YX24" s="337"/>
      <c r="YY24" s="337"/>
      <c r="YZ24" s="337"/>
      <c r="ZA24" s="337"/>
      <c r="ZB24" s="337"/>
      <c r="ZC24" s="337"/>
      <c r="ZD24" s="337"/>
      <c r="ZE24" s="337"/>
      <c r="ZF24" s="337"/>
      <c r="ZG24" s="337"/>
      <c r="ZH24" s="337"/>
      <c r="ZI24" s="337"/>
      <c r="ZJ24" s="337"/>
      <c r="ZK24" s="337"/>
      <c r="ZL24" s="337"/>
      <c r="ZM24" s="337"/>
      <c r="ZN24" s="337"/>
      <c r="ZO24" s="337"/>
      <c r="ZP24" s="337"/>
      <c r="ZQ24" s="337"/>
      <c r="ZR24" s="337"/>
      <c r="ZS24" s="337"/>
      <c r="ZT24" s="337"/>
      <c r="ZU24" s="337"/>
      <c r="ZV24" s="337"/>
      <c r="ZW24" s="337"/>
      <c r="ZX24" s="337"/>
      <c r="ZY24" s="337"/>
      <c r="ZZ24" s="337"/>
      <c r="AAA24" s="337"/>
      <c r="AAB24" s="337"/>
      <c r="AAC24" s="337"/>
      <c r="AAD24" s="337"/>
      <c r="AAE24" s="337"/>
      <c r="AAF24" s="337"/>
      <c r="AAG24" s="337"/>
      <c r="AAH24" s="337"/>
      <c r="AAI24" s="337"/>
      <c r="AAJ24" s="337"/>
      <c r="AAK24" s="337"/>
      <c r="AAL24" s="337"/>
      <c r="AAM24" s="337"/>
      <c r="AAN24" s="337"/>
      <c r="AAO24" s="337"/>
      <c r="AAP24" s="337"/>
      <c r="AAQ24" s="337"/>
      <c r="AAR24" s="337"/>
      <c r="AAS24" s="337"/>
      <c r="AAT24" s="337"/>
      <c r="AAU24" s="337"/>
      <c r="AAV24" s="337"/>
      <c r="AAW24" s="337"/>
      <c r="AAX24" s="337"/>
      <c r="AAY24" s="337"/>
      <c r="AAZ24" s="337"/>
      <c r="ABA24" s="337"/>
      <c r="ABB24" s="337"/>
      <c r="ABC24" s="337"/>
      <c r="ABD24" s="337"/>
      <c r="ABE24" s="337"/>
      <c r="ABF24" s="337"/>
      <c r="ABG24" s="337"/>
      <c r="ABH24" s="337"/>
      <c r="ABI24" s="337"/>
      <c r="ABJ24" s="337"/>
      <c r="ABK24" s="337"/>
      <c r="ABL24" s="337"/>
      <c r="ABM24" s="337"/>
      <c r="ABN24" s="337"/>
      <c r="ABO24" s="337"/>
      <c r="ABP24" s="337"/>
      <c r="ABQ24" s="337"/>
      <c r="ABR24" s="337"/>
      <c r="ABS24" s="337"/>
      <c r="ABT24" s="337"/>
      <c r="ABU24" s="337"/>
      <c r="ABV24" s="337"/>
      <c r="ABW24" s="337"/>
      <c r="ABX24" s="337"/>
      <c r="ABY24" s="337"/>
      <c r="ABZ24" s="337"/>
      <c r="ACA24" s="337"/>
      <c r="ACB24" s="337"/>
      <c r="ACC24" s="337"/>
      <c r="ACD24" s="337"/>
      <c r="ACE24" s="337"/>
      <c r="ACF24" s="337"/>
      <c r="ACG24" s="337"/>
      <c r="ACH24" s="337"/>
      <c r="ACI24" s="337"/>
      <c r="ACJ24" s="337"/>
      <c r="ACK24" s="337"/>
      <c r="ACL24" s="337"/>
      <c r="ACM24" s="337"/>
      <c r="ACN24" s="337"/>
      <c r="ACO24" s="337"/>
      <c r="ACP24" s="337"/>
      <c r="ACQ24" s="337"/>
      <c r="ACR24" s="337"/>
      <c r="ACS24" s="337"/>
      <c r="ACT24" s="337"/>
      <c r="ACU24" s="337"/>
      <c r="ACV24" s="337"/>
      <c r="ACW24" s="337"/>
      <c r="ACX24" s="337"/>
      <c r="ACY24" s="337"/>
      <c r="ACZ24" s="337"/>
      <c r="ADA24" s="337"/>
      <c r="ADB24" s="337"/>
      <c r="ADC24" s="337"/>
      <c r="ADD24" s="337"/>
      <c r="ADE24" s="337"/>
      <c r="ADF24" s="337"/>
      <c r="ADG24" s="337"/>
      <c r="ADH24" s="337"/>
      <c r="ADI24" s="337"/>
      <c r="ADJ24" s="337"/>
      <c r="ADK24" s="337"/>
      <c r="ADL24" s="337"/>
      <c r="ADM24" s="337"/>
      <c r="ADN24" s="337"/>
      <c r="ADO24" s="337"/>
      <c r="ADP24" s="337"/>
      <c r="ADQ24" s="337"/>
      <c r="ADR24" s="337"/>
      <c r="ADS24" s="337"/>
      <c r="ADT24" s="337"/>
      <c r="ADU24" s="337"/>
      <c r="ADV24" s="337"/>
      <c r="ADW24" s="337"/>
      <c r="ADX24" s="337"/>
      <c r="ADY24" s="337"/>
      <c r="ADZ24" s="337"/>
      <c r="AEA24" s="337"/>
      <c r="AEB24" s="337"/>
      <c r="AEC24" s="337"/>
      <c r="AED24" s="337"/>
      <c r="AEE24" s="337"/>
      <c r="AEF24" s="337"/>
      <c r="AEG24" s="337"/>
      <c r="AEH24" s="337"/>
      <c r="AEI24" s="337"/>
      <c r="AEJ24" s="337"/>
      <c r="AEK24" s="337"/>
      <c r="AEL24" s="337"/>
      <c r="AEM24" s="337"/>
      <c r="AEN24" s="337"/>
      <c r="AEO24" s="337"/>
      <c r="AEP24" s="337"/>
      <c r="AEQ24" s="337"/>
      <c r="AER24" s="337"/>
      <c r="AES24" s="337"/>
      <c r="AET24" s="337"/>
      <c r="AEU24" s="337"/>
      <c r="AEV24" s="337"/>
      <c r="AEW24" s="337"/>
      <c r="AEX24" s="337"/>
      <c r="AEY24" s="337"/>
      <c r="AEZ24" s="337"/>
      <c r="AFA24" s="337"/>
      <c r="AFB24" s="337"/>
      <c r="AFC24" s="337"/>
      <c r="AFD24" s="337"/>
      <c r="AFE24" s="337"/>
      <c r="AFF24" s="337"/>
      <c r="AFG24" s="337"/>
      <c r="AFH24" s="337"/>
      <c r="AFI24" s="337"/>
      <c r="AFJ24" s="337"/>
      <c r="AFK24" s="337"/>
      <c r="AFL24" s="337"/>
      <c r="AFM24" s="337"/>
      <c r="AFN24" s="337"/>
      <c r="AFO24" s="337"/>
      <c r="AFP24" s="337"/>
      <c r="AFQ24" s="337"/>
      <c r="AFR24" s="337"/>
      <c r="AFS24" s="337"/>
      <c r="AFT24" s="337"/>
      <c r="AFU24" s="337"/>
      <c r="AFV24" s="337"/>
      <c r="AFW24" s="337"/>
      <c r="AFX24" s="337"/>
      <c r="AFY24" s="337"/>
      <c r="AFZ24" s="337"/>
      <c r="AGA24" s="337"/>
      <c r="AGB24" s="337"/>
      <c r="AGC24" s="337"/>
      <c r="AGD24" s="337"/>
      <c r="AGE24" s="337"/>
      <c r="AGF24" s="337"/>
      <c r="AGG24" s="337"/>
      <c r="AGH24" s="337"/>
      <c r="AGI24" s="337"/>
      <c r="AGJ24" s="337"/>
      <c r="AGK24" s="337"/>
      <c r="AGL24" s="337"/>
      <c r="AGM24" s="337"/>
      <c r="AGN24" s="337"/>
      <c r="AGO24" s="337"/>
      <c r="AGP24" s="337"/>
      <c r="AGQ24" s="337"/>
      <c r="AGR24" s="337"/>
      <c r="AGS24" s="337"/>
      <c r="AGT24" s="337"/>
      <c r="AGU24" s="337"/>
      <c r="AGV24" s="337"/>
      <c r="AGW24" s="337"/>
      <c r="AGX24" s="337"/>
      <c r="AGY24" s="337"/>
      <c r="AGZ24" s="337"/>
    </row>
    <row r="25" ht="24" customHeight="1" spans="1:884">
      <c r="A25" s="349">
        <v>21</v>
      </c>
      <c r="B25" s="350"/>
      <c r="C25" s="351" t="s">
        <v>120</v>
      </c>
      <c r="D25" s="352"/>
      <c r="E25" s="352"/>
      <c r="F25" s="81">
        <v>6</v>
      </c>
      <c r="G25" s="356" t="s">
        <v>465</v>
      </c>
      <c r="H25" s="357" t="s">
        <v>466</v>
      </c>
      <c r="I25" s="100" t="s">
        <v>124</v>
      </c>
      <c r="J25" s="100" t="s">
        <v>124</v>
      </c>
      <c r="K25" s="100"/>
      <c r="L25" s="100" t="s">
        <v>124</v>
      </c>
      <c r="M25" s="100" t="s">
        <v>124</v>
      </c>
      <c r="N25" s="373" t="s">
        <v>467</v>
      </c>
      <c r="O25" s="374"/>
      <c r="P25" s="375" t="str">
        <f>CONCATENATE(RemovePunctuation(H25),"_CA","_","i4K","_",C25,"_",AE25,"_",PROPER(R25),IF(S25="",PROPER(R25),PROPER(S25)),PROPER(T25),PROPER(U25),PROPER(V25),IF(V25&lt;&gt;"","SUB",""),PROPER(W25),IF(W25&lt;&gt;"","SUB",""),"_","Ed","_","M1",".mpg")</f>
        <v>LastoftheGiantsS03E07_CA_i4K_0825_43_EngEngEngSUBZhoSUB_Ed_M1.mpg</v>
      </c>
      <c r="Q25" s="375" t="str">
        <f>CONCATENATE(RemovePunctuation(H25),"_CA","_","i5K","_",C25,"_",AD25,"_",PROPER(R25),IF(S25="",PROPER(R25),PROPER(S25)),PROPER(T25),PROPER(U25),PROPER(V25),IF(V25&lt;&gt;"","SUB",""),PROPER(W25),IF(W25&lt;&gt;"","SUB",""),"_","Ed","_","M4",".mpg")</f>
        <v>LastoftheGiantsS03E07_CA_i5K_0825_169_EngEngEngSUBZhoSUB_Ed_M4.mpg</v>
      </c>
      <c r="R25" s="382" t="s">
        <v>131</v>
      </c>
      <c r="S25" s="385"/>
      <c r="T25" s="384"/>
      <c r="U25" s="384"/>
      <c r="V25" s="382" t="s">
        <v>131</v>
      </c>
      <c r="W25" s="382" t="s">
        <v>130</v>
      </c>
      <c r="X25" s="349" t="s">
        <v>129</v>
      </c>
      <c r="Y25" s="349" t="s">
        <v>129</v>
      </c>
      <c r="Z25" s="120">
        <f t="shared" si="0"/>
        <v>43</v>
      </c>
      <c r="AA25" s="304" t="str">
        <f t="shared" si="1"/>
        <v>00:43:00</v>
      </c>
      <c r="AB25" s="120">
        <f t="shared" si="2"/>
        <v>2580</v>
      </c>
      <c r="AC25" s="399">
        <v>0.0301736111111111</v>
      </c>
      <c r="AD25" s="400">
        <v>169</v>
      </c>
      <c r="AE25" s="400">
        <v>43</v>
      </c>
      <c r="AF25" s="349" t="s">
        <v>132</v>
      </c>
      <c r="AP25" s="337"/>
      <c r="AQ25" s="337"/>
      <c r="AR25" s="337"/>
      <c r="AS25" s="337"/>
      <c r="AT25" s="337"/>
      <c r="AU25" s="337"/>
      <c r="AV25" s="337"/>
      <c r="AW25" s="337"/>
      <c r="AX25" s="337"/>
      <c r="AY25" s="337"/>
      <c r="AZ25" s="337"/>
      <c r="BA25" s="337"/>
      <c r="BB25" s="337"/>
      <c r="BC25" s="337"/>
      <c r="BD25" s="337"/>
      <c r="BE25" s="337"/>
      <c r="BF25" s="337"/>
      <c r="BG25" s="337"/>
      <c r="BH25" s="337"/>
      <c r="BI25" s="337"/>
      <c r="BJ25" s="337"/>
      <c r="BK25" s="337"/>
      <c r="BL25" s="337"/>
      <c r="BM25" s="337"/>
      <c r="BN25" s="337"/>
      <c r="BO25" s="337"/>
      <c r="BP25" s="337"/>
      <c r="BQ25" s="337"/>
      <c r="BR25" s="337"/>
      <c r="BS25" s="337"/>
      <c r="BT25" s="337"/>
      <c r="BU25" s="337"/>
      <c r="BV25" s="337"/>
      <c r="BW25" s="337"/>
      <c r="BX25" s="337"/>
      <c r="BY25" s="337"/>
      <c r="BZ25" s="337"/>
      <c r="CA25" s="337"/>
      <c r="CB25" s="337"/>
      <c r="CC25" s="337"/>
      <c r="CD25" s="337"/>
      <c r="CE25" s="337"/>
      <c r="CF25" s="337"/>
      <c r="CG25" s="337"/>
      <c r="CH25" s="337"/>
      <c r="CI25" s="337"/>
      <c r="CJ25" s="337"/>
      <c r="CK25" s="337"/>
      <c r="CL25" s="337"/>
      <c r="CM25" s="337"/>
      <c r="CN25" s="337"/>
      <c r="CO25" s="337"/>
      <c r="CP25" s="337"/>
      <c r="CQ25" s="337"/>
      <c r="CR25" s="337"/>
      <c r="CS25" s="337"/>
      <c r="CT25" s="337"/>
      <c r="CU25" s="337"/>
      <c r="CV25" s="337"/>
      <c r="CW25" s="337"/>
      <c r="CX25" s="337"/>
      <c r="CY25" s="337"/>
      <c r="CZ25" s="337"/>
      <c r="DA25" s="337"/>
      <c r="DB25" s="337"/>
      <c r="DC25" s="337"/>
      <c r="DD25" s="337"/>
      <c r="DE25" s="337"/>
      <c r="DF25" s="337"/>
      <c r="DG25" s="337"/>
      <c r="DH25" s="337"/>
      <c r="DI25" s="337"/>
      <c r="DJ25" s="337"/>
      <c r="DK25" s="337"/>
      <c r="DL25" s="337"/>
      <c r="DM25" s="337"/>
      <c r="DN25" s="337"/>
      <c r="DO25" s="337"/>
      <c r="DP25" s="337"/>
      <c r="DQ25" s="337"/>
      <c r="DR25" s="337"/>
      <c r="DS25" s="337"/>
      <c r="DT25" s="337"/>
      <c r="DU25" s="337"/>
      <c r="DV25" s="337"/>
      <c r="DW25" s="337"/>
      <c r="DX25" s="337"/>
      <c r="DY25" s="337"/>
      <c r="DZ25" s="337"/>
      <c r="EA25" s="337"/>
      <c r="EB25" s="337"/>
      <c r="EC25" s="337"/>
      <c r="ED25" s="337"/>
      <c r="EE25" s="337"/>
      <c r="EF25" s="337"/>
      <c r="EG25" s="337"/>
      <c r="EH25" s="337"/>
      <c r="EI25" s="337"/>
      <c r="EJ25" s="337"/>
      <c r="EK25" s="337"/>
      <c r="EL25" s="337"/>
      <c r="EM25" s="337"/>
      <c r="EN25" s="337"/>
      <c r="EO25" s="337"/>
      <c r="EP25" s="337"/>
      <c r="EQ25" s="337"/>
      <c r="ER25" s="337"/>
      <c r="ES25" s="337"/>
      <c r="ET25" s="337"/>
      <c r="EU25" s="337"/>
      <c r="EV25" s="337"/>
      <c r="EW25" s="337"/>
      <c r="EX25" s="337"/>
      <c r="EY25" s="337"/>
      <c r="EZ25" s="337"/>
      <c r="FA25" s="337"/>
      <c r="FB25" s="337"/>
      <c r="FC25" s="337"/>
      <c r="FD25" s="337"/>
      <c r="FE25" s="337"/>
      <c r="FF25" s="337"/>
      <c r="FG25" s="337"/>
      <c r="FH25" s="337"/>
      <c r="FI25" s="337"/>
      <c r="FJ25" s="337"/>
      <c r="FK25" s="337"/>
      <c r="FL25" s="337"/>
      <c r="FM25" s="337"/>
      <c r="FN25" s="337"/>
      <c r="FO25" s="337"/>
      <c r="FP25" s="337"/>
      <c r="FQ25" s="337"/>
      <c r="FR25" s="337"/>
      <c r="FS25" s="337"/>
      <c r="FT25" s="337"/>
      <c r="FU25" s="337"/>
      <c r="FV25" s="337"/>
      <c r="FW25" s="337"/>
      <c r="FX25" s="337"/>
      <c r="FY25" s="337"/>
      <c r="FZ25" s="337"/>
      <c r="GA25" s="337"/>
      <c r="GB25" s="337"/>
      <c r="GC25" s="337"/>
      <c r="GD25" s="337"/>
      <c r="GE25" s="337"/>
      <c r="GF25" s="337"/>
      <c r="GG25" s="337"/>
      <c r="GH25" s="337"/>
      <c r="GI25" s="337"/>
      <c r="GJ25" s="337"/>
      <c r="GK25" s="337"/>
      <c r="GL25" s="337"/>
      <c r="GM25" s="337"/>
      <c r="GN25" s="337"/>
      <c r="GO25" s="337"/>
      <c r="GP25" s="337"/>
      <c r="GQ25" s="337"/>
      <c r="GR25" s="337"/>
      <c r="GS25" s="337"/>
      <c r="GT25" s="337"/>
      <c r="GU25" s="337"/>
      <c r="GV25" s="337"/>
      <c r="GW25" s="337"/>
      <c r="GX25" s="337"/>
      <c r="GY25" s="337"/>
      <c r="GZ25" s="337"/>
      <c r="HA25" s="337"/>
      <c r="HB25" s="337"/>
      <c r="HC25" s="337"/>
      <c r="HD25" s="337"/>
      <c r="HE25" s="337"/>
      <c r="HF25" s="337"/>
      <c r="HG25" s="337"/>
      <c r="HH25" s="337"/>
      <c r="HI25" s="337"/>
      <c r="HJ25" s="337"/>
      <c r="HK25" s="337"/>
      <c r="HL25" s="337"/>
      <c r="HM25" s="337"/>
      <c r="HN25" s="337"/>
      <c r="HO25" s="337"/>
      <c r="HP25" s="337"/>
      <c r="HQ25" s="337"/>
      <c r="HR25" s="337"/>
      <c r="HS25" s="337"/>
      <c r="HT25" s="337"/>
      <c r="HU25" s="337"/>
      <c r="HV25" s="337"/>
      <c r="HW25" s="337"/>
      <c r="HX25" s="337"/>
      <c r="HY25" s="337"/>
      <c r="HZ25" s="337"/>
      <c r="IA25" s="337"/>
      <c r="IB25" s="337"/>
      <c r="IC25" s="337"/>
      <c r="ID25" s="337"/>
      <c r="IE25" s="337"/>
      <c r="IF25" s="337"/>
      <c r="IG25" s="337"/>
      <c r="IH25" s="337"/>
      <c r="II25" s="337"/>
      <c r="IJ25" s="337"/>
      <c r="IK25" s="337"/>
      <c r="IL25" s="337"/>
      <c r="IM25" s="337"/>
      <c r="IN25" s="337"/>
      <c r="IO25" s="337"/>
      <c r="IP25" s="337"/>
      <c r="IQ25" s="337"/>
      <c r="IR25" s="337"/>
      <c r="IS25" s="337"/>
      <c r="IT25" s="337"/>
      <c r="IU25" s="337"/>
      <c r="IV25" s="337"/>
      <c r="IW25" s="337"/>
      <c r="IX25" s="337"/>
      <c r="IY25" s="337"/>
      <c r="IZ25" s="337"/>
      <c r="JA25" s="337"/>
      <c r="JB25" s="337"/>
      <c r="JC25" s="337"/>
      <c r="JD25" s="337"/>
      <c r="JE25" s="337"/>
      <c r="JF25" s="337"/>
      <c r="JG25" s="337"/>
      <c r="JH25" s="337"/>
      <c r="JI25" s="337"/>
      <c r="JJ25" s="337"/>
      <c r="JK25" s="337"/>
      <c r="JL25" s="337"/>
      <c r="JM25" s="337"/>
      <c r="JN25" s="337"/>
      <c r="JO25" s="337"/>
      <c r="JP25" s="337"/>
      <c r="JQ25" s="337"/>
      <c r="JR25" s="337"/>
      <c r="JS25" s="337"/>
      <c r="JT25" s="337"/>
      <c r="JU25" s="337"/>
      <c r="JV25" s="337"/>
      <c r="JW25" s="337"/>
      <c r="JX25" s="337"/>
      <c r="JY25" s="337"/>
      <c r="JZ25" s="337"/>
      <c r="KA25" s="337"/>
      <c r="KB25" s="337"/>
      <c r="KC25" s="337"/>
      <c r="KD25" s="337"/>
      <c r="KE25" s="337"/>
      <c r="KF25" s="337"/>
      <c r="KG25" s="337"/>
      <c r="KH25" s="337"/>
      <c r="KI25" s="337"/>
      <c r="KJ25" s="337"/>
      <c r="KK25" s="337"/>
      <c r="KL25" s="337"/>
      <c r="KM25" s="337"/>
      <c r="KN25" s="337"/>
      <c r="KO25" s="337"/>
      <c r="KP25" s="337"/>
      <c r="KQ25" s="337"/>
      <c r="KR25" s="337"/>
      <c r="KS25" s="337"/>
      <c r="KT25" s="337"/>
      <c r="KU25" s="337"/>
      <c r="KV25" s="337"/>
      <c r="KW25" s="337"/>
      <c r="KX25" s="337"/>
      <c r="KY25" s="337"/>
      <c r="KZ25" s="337"/>
      <c r="LA25" s="337"/>
      <c r="LB25" s="337"/>
      <c r="LC25" s="337"/>
      <c r="LD25" s="337"/>
      <c r="LE25" s="337"/>
      <c r="LF25" s="337"/>
      <c r="LG25" s="337"/>
      <c r="LH25" s="337"/>
      <c r="LI25" s="337"/>
      <c r="LJ25" s="337"/>
      <c r="LK25" s="337"/>
      <c r="LL25" s="337"/>
      <c r="LM25" s="337"/>
      <c r="LN25" s="337"/>
      <c r="LO25" s="337"/>
      <c r="LP25" s="337"/>
      <c r="LQ25" s="337"/>
      <c r="LR25" s="337"/>
      <c r="LS25" s="337"/>
      <c r="LT25" s="337"/>
      <c r="LU25" s="337"/>
      <c r="LV25" s="337"/>
      <c r="LW25" s="337"/>
      <c r="LX25" s="337"/>
      <c r="LY25" s="337"/>
      <c r="LZ25" s="337"/>
      <c r="MA25" s="337"/>
      <c r="MB25" s="337"/>
      <c r="MC25" s="337"/>
      <c r="MD25" s="337"/>
      <c r="ME25" s="337"/>
      <c r="MF25" s="337"/>
      <c r="MG25" s="337"/>
      <c r="MH25" s="337"/>
      <c r="MI25" s="337"/>
      <c r="MJ25" s="337"/>
      <c r="MK25" s="337"/>
      <c r="ML25" s="337"/>
      <c r="MM25" s="337"/>
      <c r="MN25" s="337"/>
      <c r="MO25" s="337"/>
      <c r="MP25" s="337"/>
      <c r="MQ25" s="337"/>
      <c r="MR25" s="337"/>
      <c r="MS25" s="337"/>
      <c r="MT25" s="337"/>
      <c r="MU25" s="337"/>
      <c r="MV25" s="337"/>
      <c r="MW25" s="337"/>
      <c r="MX25" s="337"/>
      <c r="MY25" s="337"/>
      <c r="MZ25" s="337"/>
      <c r="NA25" s="337"/>
      <c r="NB25" s="337"/>
      <c r="NC25" s="337"/>
      <c r="ND25" s="337"/>
      <c r="NE25" s="337"/>
      <c r="NF25" s="337"/>
      <c r="NG25" s="337"/>
      <c r="NH25" s="337"/>
      <c r="NI25" s="337"/>
      <c r="NJ25" s="337"/>
      <c r="NK25" s="337"/>
      <c r="NL25" s="337"/>
      <c r="NM25" s="337"/>
      <c r="NN25" s="337"/>
      <c r="NO25" s="337"/>
      <c r="NP25" s="337"/>
      <c r="NQ25" s="337"/>
      <c r="NR25" s="337"/>
      <c r="NS25" s="337"/>
      <c r="NT25" s="337"/>
      <c r="NU25" s="337"/>
      <c r="NV25" s="337"/>
      <c r="NW25" s="337"/>
      <c r="NX25" s="337"/>
      <c r="NY25" s="337"/>
      <c r="NZ25" s="337"/>
      <c r="OA25" s="337"/>
      <c r="OB25" s="337"/>
      <c r="OC25" s="337"/>
      <c r="OD25" s="337"/>
      <c r="OE25" s="337"/>
      <c r="OF25" s="337"/>
      <c r="OG25" s="337"/>
      <c r="OH25" s="337"/>
      <c r="OI25" s="337"/>
      <c r="OJ25" s="337"/>
      <c r="OK25" s="337"/>
      <c r="OL25" s="337"/>
      <c r="OM25" s="337"/>
      <c r="ON25" s="337"/>
      <c r="OO25" s="337"/>
      <c r="OP25" s="337"/>
      <c r="OQ25" s="337"/>
      <c r="OR25" s="337"/>
      <c r="OS25" s="337"/>
      <c r="OT25" s="337"/>
      <c r="OU25" s="337"/>
      <c r="OV25" s="337"/>
      <c r="OW25" s="337"/>
      <c r="OX25" s="337"/>
      <c r="OY25" s="337"/>
      <c r="OZ25" s="337"/>
      <c r="PA25" s="337"/>
      <c r="PB25" s="337"/>
      <c r="PC25" s="337"/>
      <c r="PD25" s="337"/>
      <c r="PE25" s="337"/>
      <c r="PF25" s="337"/>
      <c r="PG25" s="337"/>
      <c r="PH25" s="337"/>
      <c r="PI25" s="337"/>
      <c r="PJ25" s="337"/>
      <c r="PK25" s="337"/>
      <c r="PL25" s="337"/>
      <c r="PM25" s="337"/>
      <c r="PN25" s="337"/>
      <c r="PO25" s="337"/>
      <c r="PP25" s="337"/>
      <c r="PQ25" s="337"/>
      <c r="PR25" s="337"/>
      <c r="PS25" s="337"/>
      <c r="PT25" s="337"/>
      <c r="PU25" s="337"/>
      <c r="PV25" s="337"/>
      <c r="PW25" s="337"/>
      <c r="PX25" s="337"/>
      <c r="PY25" s="337"/>
      <c r="PZ25" s="337"/>
      <c r="QA25" s="337"/>
      <c r="QB25" s="337"/>
      <c r="QC25" s="337"/>
      <c r="QD25" s="337"/>
      <c r="QE25" s="337"/>
      <c r="QF25" s="337"/>
      <c r="QG25" s="337"/>
      <c r="QH25" s="337"/>
      <c r="QI25" s="337"/>
      <c r="QJ25" s="337"/>
      <c r="QK25" s="337"/>
      <c r="QL25" s="337"/>
      <c r="QM25" s="337"/>
      <c r="QN25" s="337"/>
      <c r="QO25" s="337"/>
      <c r="QP25" s="337"/>
      <c r="QQ25" s="337"/>
      <c r="QR25" s="337"/>
      <c r="QS25" s="337"/>
      <c r="QT25" s="337"/>
      <c r="QU25" s="337"/>
      <c r="QV25" s="337"/>
      <c r="QW25" s="337"/>
      <c r="QX25" s="337"/>
      <c r="QY25" s="337"/>
      <c r="QZ25" s="337"/>
      <c r="RA25" s="337"/>
      <c r="RB25" s="337"/>
      <c r="RC25" s="337"/>
      <c r="RD25" s="337"/>
      <c r="RE25" s="337"/>
      <c r="RF25" s="337"/>
      <c r="RG25" s="337"/>
      <c r="RH25" s="337"/>
      <c r="RI25" s="337"/>
      <c r="RJ25" s="337"/>
      <c r="RK25" s="337"/>
      <c r="RL25" s="337"/>
      <c r="RM25" s="337"/>
      <c r="RN25" s="337"/>
      <c r="RO25" s="337"/>
      <c r="RP25" s="337"/>
      <c r="RQ25" s="337"/>
      <c r="RR25" s="337"/>
      <c r="RS25" s="337"/>
      <c r="RT25" s="337"/>
      <c r="RU25" s="337"/>
      <c r="RV25" s="337"/>
      <c r="RW25" s="337"/>
      <c r="RX25" s="337"/>
      <c r="RY25" s="337"/>
      <c r="RZ25" s="337"/>
      <c r="SA25" s="337"/>
      <c r="SB25" s="337"/>
      <c r="SC25" s="337"/>
      <c r="SD25" s="337"/>
      <c r="SE25" s="337"/>
      <c r="SF25" s="337"/>
      <c r="SG25" s="337"/>
      <c r="SH25" s="337"/>
      <c r="SI25" s="337"/>
      <c r="SJ25" s="337"/>
      <c r="SK25" s="337"/>
      <c r="SL25" s="337"/>
      <c r="SM25" s="337"/>
      <c r="SN25" s="337"/>
      <c r="SO25" s="337"/>
      <c r="SP25" s="337"/>
      <c r="SQ25" s="337"/>
      <c r="SR25" s="337"/>
      <c r="SS25" s="337"/>
      <c r="ST25" s="337"/>
      <c r="SU25" s="337"/>
      <c r="SV25" s="337"/>
      <c r="SW25" s="337"/>
      <c r="SX25" s="337"/>
      <c r="SY25" s="337"/>
      <c r="SZ25" s="337"/>
      <c r="TA25" s="337"/>
      <c r="TB25" s="337"/>
      <c r="TC25" s="337"/>
      <c r="TD25" s="337"/>
      <c r="TE25" s="337"/>
      <c r="TF25" s="337"/>
      <c r="TG25" s="337"/>
      <c r="TH25" s="337"/>
      <c r="TI25" s="337"/>
      <c r="TJ25" s="337"/>
      <c r="TK25" s="337"/>
      <c r="TL25" s="337"/>
      <c r="TM25" s="337"/>
      <c r="TN25" s="337"/>
      <c r="TO25" s="337"/>
      <c r="TP25" s="337"/>
      <c r="TQ25" s="337"/>
      <c r="TR25" s="337"/>
      <c r="TS25" s="337"/>
      <c r="TT25" s="337"/>
      <c r="TU25" s="337"/>
      <c r="TV25" s="337"/>
      <c r="TW25" s="337"/>
      <c r="TX25" s="337"/>
      <c r="TY25" s="337"/>
      <c r="TZ25" s="337"/>
      <c r="UA25" s="337"/>
      <c r="UB25" s="337"/>
      <c r="UC25" s="337"/>
      <c r="UD25" s="337"/>
      <c r="UE25" s="337"/>
      <c r="UF25" s="337"/>
      <c r="UG25" s="337"/>
      <c r="UH25" s="337"/>
      <c r="UI25" s="337"/>
      <c r="UJ25" s="337"/>
      <c r="UK25" s="337"/>
      <c r="UL25" s="337"/>
      <c r="UM25" s="337"/>
      <c r="UN25" s="337"/>
      <c r="UO25" s="337"/>
      <c r="UP25" s="337"/>
      <c r="UQ25" s="337"/>
      <c r="UR25" s="337"/>
      <c r="US25" s="337"/>
      <c r="UT25" s="337"/>
      <c r="UU25" s="337"/>
      <c r="UV25" s="337"/>
      <c r="UW25" s="337"/>
      <c r="UX25" s="337"/>
      <c r="UY25" s="337"/>
      <c r="UZ25" s="337"/>
      <c r="VA25" s="337"/>
      <c r="VB25" s="337"/>
      <c r="VC25" s="337"/>
      <c r="VD25" s="337"/>
      <c r="VE25" s="337"/>
      <c r="VF25" s="337"/>
      <c r="VG25" s="337"/>
      <c r="VH25" s="337"/>
      <c r="VI25" s="337"/>
      <c r="VJ25" s="337"/>
      <c r="VK25" s="337"/>
      <c r="VL25" s="337"/>
      <c r="VM25" s="337"/>
      <c r="VN25" s="337"/>
      <c r="VO25" s="337"/>
      <c r="VP25" s="337"/>
      <c r="VQ25" s="337"/>
      <c r="VR25" s="337"/>
      <c r="VS25" s="337"/>
      <c r="VT25" s="337"/>
      <c r="VU25" s="337"/>
      <c r="VV25" s="337"/>
      <c r="VW25" s="337"/>
      <c r="VX25" s="337"/>
      <c r="VY25" s="337"/>
      <c r="VZ25" s="337"/>
      <c r="WA25" s="337"/>
      <c r="WB25" s="337"/>
      <c r="WC25" s="337"/>
      <c r="WD25" s="337"/>
      <c r="WE25" s="337"/>
      <c r="WF25" s="337"/>
      <c r="WG25" s="337"/>
      <c r="WH25" s="337"/>
      <c r="WI25" s="337"/>
      <c r="WJ25" s="337"/>
      <c r="WK25" s="337"/>
      <c r="WL25" s="337"/>
      <c r="WM25" s="337"/>
      <c r="WN25" s="337"/>
      <c r="WO25" s="337"/>
      <c r="WP25" s="337"/>
      <c r="WQ25" s="337"/>
      <c r="WR25" s="337"/>
      <c r="WS25" s="337"/>
      <c r="WT25" s="337"/>
      <c r="WU25" s="337"/>
      <c r="WV25" s="337"/>
      <c r="WW25" s="337"/>
      <c r="WX25" s="337"/>
      <c r="WY25" s="337"/>
      <c r="WZ25" s="337"/>
      <c r="XA25" s="337"/>
      <c r="XB25" s="337"/>
      <c r="XC25" s="337"/>
      <c r="XD25" s="337"/>
      <c r="XE25" s="337"/>
      <c r="XF25" s="337"/>
      <c r="XG25" s="337"/>
      <c r="XH25" s="337"/>
      <c r="XI25" s="337"/>
      <c r="XJ25" s="337"/>
      <c r="XK25" s="337"/>
      <c r="XL25" s="337"/>
      <c r="XM25" s="337"/>
      <c r="XN25" s="337"/>
      <c r="XO25" s="337"/>
      <c r="XP25" s="337"/>
      <c r="XQ25" s="337"/>
      <c r="XR25" s="337"/>
      <c r="XS25" s="337"/>
      <c r="XT25" s="337"/>
      <c r="XU25" s="337"/>
      <c r="XV25" s="337"/>
      <c r="XW25" s="337"/>
      <c r="XX25" s="337"/>
      <c r="XY25" s="337"/>
      <c r="XZ25" s="337"/>
      <c r="YA25" s="337"/>
      <c r="YB25" s="337"/>
      <c r="YC25" s="337"/>
      <c r="YD25" s="337"/>
      <c r="YE25" s="337"/>
      <c r="YF25" s="337"/>
      <c r="YG25" s="337"/>
      <c r="YH25" s="337"/>
      <c r="YI25" s="337"/>
      <c r="YJ25" s="337"/>
      <c r="YK25" s="337"/>
      <c r="YL25" s="337"/>
      <c r="YM25" s="337"/>
      <c r="YN25" s="337"/>
      <c r="YO25" s="337"/>
      <c r="YP25" s="337"/>
      <c r="YQ25" s="337"/>
      <c r="YR25" s="337"/>
      <c r="YS25" s="337"/>
      <c r="YT25" s="337"/>
      <c r="YU25" s="337"/>
      <c r="YV25" s="337"/>
      <c r="YW25" s="337"/>
      <c r="YX25" s="337"/>
      <c r="YY25" s="337"/>
      <c r="YZ25" s="337"/>
      <c r="ZA25" s="337"/>
      <c r="ZB25" s="337"/>
      <c r="ZC25" s="337"/>
      <c r="ZD25" s="337"/>
      <c r="ZE25" s="337"/>
      <c r="ZF25" s="337"/>
      <c r="ZG25" s="337"/>
      <c r="ZH25" s="337"/>
      <c r="ZI25" s="337"/>
      <c r="ZJ25" s="337"/>
      <c r="ZK25" s="337"/>
      <c r="ZL25" s="337"/>
      <c r="ZM25" s="337"/>
      <c r="ZN25" s="337"/>
      <c r="ZO25" s="337"/>
      <c r="ZP25" s="337"/>
      <c r="ZQ25" s="337"/>
      <c r="ZR25" s="337"/>
      <c r="ZS25" s="337"/>
      <c r="ZT25" s="337"/>
      <c r="ZU25" s="337"/>
      <c r="ZV25" s="337"/>
      <c r="ZW25" s="337"/>
      <c r="ZX25" s="337"/>
      <c r="ZY25" s="337"/>
      <c r="ZZ25" s="337"/>
      <c r="AAA25" s="337"/>
      <c r="AAB25" s="337"/>
      <c r="AAC25" s="337"/>
      <c r="AAD25" s="337"/>
      <c r="AAE25" s="337"/>
      <c r="AAF25" s="337"/>
      <c r="AAG25" s="337"/>
      <c r="AAH25" s="337"/>
      <c r="AAI25" s="337"/>
      <c r="AAJ25" s="337"/>
      <c r="AAK25" s="337"/>
      <c r="AAL25" s="337"/>
      <c r="AAM25" s="337"/>
      <c r="AAN25" s="337"/>
      <c r="AAO25" s="337"/>
      <c r="AAP25" s="337"/>
      <c r="AAQ25" s="337"/>
      <c r="AAR25" s="337"/>
      <c r="AAS25" s="337"/>
      <c r="AAT25" s="337"/>
      <c r="AAU25" s="337"/>
      <c r="AAV25" s="337"/>
      <c r="AAW25" s="337"/>
      <c r="AAX25" s="337"/>
      <c r="AAY25" s="337"/>
      <c r="AAZ25" s="337"/>
      <c r="ABA25" s="337"/>
      <c r="ABB25" s="337"/>
      <c r="ABC25" s="337"/>
      <c r="ABD25" s="337"/>
      <c r="ABE25" s="337"/>
      <c r="ABF25" s="337"/>
      <c r="ABG25" s="337"/>
      <c r="ABH25" s="337"/>
      <c r="ABI25" s="337"/>
      <c r="ABJ25" s="337"/>
      <c r="ABK25" s="337"/>
      <c r="ABL25" s="337"/>
      <c r="ABM25" s="337"/>
      <c r="ABN25" s="337"/>
      <c r="ABO25" s="337"/>
      <c r="ABP25" s="337"/>
      <c r="ABQ25" s="337"/>
      <c r="ABR25" s="337"/>
      <c r="ABS25" s="337"/>
      <c r="ABT25" s="337"/>
      <c r="ABU25" s="337"/>
      <c r="ABV25" s="337"/>
      <c r="ABW25" s="337"/>
      <c r="ABX25" s="337"/>
      <c r="ABY25" s="337"/>
      <c r="ABZ25" s="337"/>
      <c r="ACA25" s="337"/>
      <c r="ACB25" s="337"/>
      <c r="ACC25" s="337"/>
      <c r="ACD25" s="337"/>
      <c r="ACE25" s="337"/>
      <c r="ACF25" s="337"/>
      <c r="ACG25" s="337"/>
      <c r="ACH25" s="337"/>
      <c r="ACI25" s="337"/>
      <c r="ACJ25" s="337"/>
      <c r="ACK25" s="337"/>
      <c r="ACL25" s="337"/>
      <c r="ACM25" s="337"/>
      <c r="ACN25" s="337"/>
      <c r="ACO25" s="337"/>
      <c r="ACP25" s="337"/>
      <c r="ACQ25" s="337"/>
      <c r="ACR25" s="337"/>
      <c r="ACS25" s="337"/>
      <c r="ACT25" s="337"/>
      <c r="ACU25" s="337"/>
      <c r="ACV25" s="337"/>
      <c r="ACW25" s="337"/>
      <c r="ACX25" s="337"/>
      <c r="ACY25" s="337"/>
      <c r="ACZ25" s="337"/>
      <c r="ADA25" s="337"/>
      <c r="ADB25" s="337"/>
      <c r="ADC25" s="337"/>
      <c r="ADD25" s="337"/>
      <c r="ADE25" s="337"/>
      <c r="ADF25" s="337"/>
      <c r="ADG25" s="337"/>
      <c r="ADH25" s="337"/>
      <c r="ADI25" s="337"/>
      <c r="ADJ25" s="337"/>
      <c r="ADK25" s="337"/>
      <c r="ADL25" s="337"/>
      <c r="ADM25" s="337"/>
      <c r="ADN25" s="337"/>
      <c r="ADO25" s="337"/>
      <c r="ADP25" s="337"/>
      <c r="ADQ25" s="337"/>
      <c r="ADR25" s="337"/>
      <c r="ADS25" s="337"/>
      <c r="ADT25" s="337"/>
      <c r="ADU25" s="337"/>
      <c r="ADV25" s="337"/>
      <c r="ADW25" s="337"/>
      <c r="ADX25" s="337"/>
      <c r="ADY25" s="337"/>
      <c r="ADZ25" s="337"/>
      <c r="AEA25" s="337"/>
      <c r="AEB25" s="337"/>
      <c r="AEC25" s="337"/>
      <c r="AED25" s="337"/>
      <c r="AEE25" s="337"/>
      <c r="AEF25" s="337"/>
      <c r="AEG25" s="337"/>
      <c r="AEH25" s="337"/>
      <c r="AEI25" s="337"/>
      <c r="AEJ25" s="337"/>
      <c r="AEK25" s="337"/>
      <c r="AEL25" s="337"/>
      <c r="AEM25" s="337"/>
      <c r="AEN25" s="337"/>
      <c r="AEO25" s="337"/>
      <c r="AEP25" s="337"/>
      <c r="AEQ25" s="337"/>
      <c r="AER25" s="337"/>
      <c r="AES25" s="337"/>
      <c r="AET25" s="337"/>
      <c r="AEU25" s="337"/>
      <c r="AEV25" s="337"/>
      <c r="AEW25" s="337"/>
      <c r="AEX25" s="337"/>
      <c r="AEY25" s="337"/>
      <c r="AEZ25" s="337"/>
      <c r="AFA25" s="337"/>
      <c r="AFB25" s="337"/>
      <c r="AFC25" s="337"/>
      <c r="AFD25" s="337"/>
      <c r="AFE25" s="337"/>
      <c r="AFF25" s="337"/>
      <c r="AFG25" s="337"/>
      <c r="AFH25" s="337"/>
      <c r="AFI25" s="337"/>
      <c r="AFJ25" s="337"/>
      <c r="AFK25" s="337"/>
      <c r="AFL25" s="337"/>
      <c r="AFM25" s="337"/>
      <c r="AFN25" s="337"/>
      <c r="AFO25" s="337"/>
      <c r="AFP25" s="337"/>
      <c r="AFQ25" s="337"/>
      <c r="AFR25" s="337"/>
      <c r="AFS25" s="337"/>
      <c r="AFT25" s="337"/>
      <c r="AFU25" s="337"/>
      <c r="AFV25" s="337"/>
      <c r="AFW25" s="337"/>
      <c r="AFX25" s="337"/>
      <c r="AFY25" s="337"/>
      <c r="AFZ25" s="337"/>
      <c r="AGA25" s="337"/>
      <c r="AGB25" s="337"/>
      <c r="AGC25" s="337"/>
      <c r="AGD25" s="337"/>
      <c r="AGE25" s="337"/>
      <c r="AGF25" s="337"/>
      <c r="AGG25" s="337"/>
      <c r="AGH25" s="337"/>
      <c r="AGI25" s="337"/>
      <c r="AGJ25" s="337"/>
      <c r="AGK25" s="337"/>
      <c r="AGL25" s="337"/>
      <c r="AGM25" s="337"/>
      <c r="AGN25" s="337"/>
      <c r="AGO25" s="337"/>
      <c r="AGP25" s="337"/>
      <c r="AGQ25" s="337"/>
      <c r="AGR25" s="337"/>
      <c r="AGS25" s="337"/>
      <c r="AGT25" s="337"/>
      <c r="AGU25" s="337"/>
      <c r="AGV25" s="337"/>
      <c r="AGW25" s="337"/>
      <c r="AGX25" s="337"/>
      <c r="AGY25" s="337"/>
      <c r="AGZ25" s="337"/>
    </row>
    <row r="26" ht="24" customHeight="1" spans="1:884">
      <c r="A26" s="349">
        <v>22</v>
      </c>
      <c r="B26" s="350"/>
      <c r="C26" s="351" t="s">
        <v>120</v>
      </c>
      <c r="D26" s="358" t="s">
        <v>468</v>
      </c>
      <c r="E26" s="358"/>
      <c r="F26" s="81">
        <v>1</v>
      </c>
      <c r="G26" s="356" t="s">
        <v>469</v>
      </c>
      <c r="H26" s="357" t="s">
        <v>470</v>
      </c>
      <c r="I26" s="100" t="s">
        <v>124</v>
      </c>
      <c r="J26" s="100"/>
      <c r="K26" s="100"/>
      <c r="L26" s="100"/>
      <c r="M26" s="100"/>
      <c r="N26" s="373" t="s">
        <v>471</v>
      </c>
      <c r="O26" s="374"/>
      <c r="P26" s="376"/>
      <c r="Q26" s="375"/>
      <c r="R26" s="382" t="s">
        <v>130</v>
      </c>
      <c r="S26" s="385"/>
      <c r="T26" s="384"/>
      <c r="U26" s="384"/>
      <c r="V26" s="382" t="s">
        <v>130</v>
      </c>
      <c r="W26" s="386"/>
      <c r="X26" s="349" t="s">
        <v>129</v>
      </c>
      <c r="Y26" s="349" t="s">
        <v>129</v>
      </c>
      <c r="Z26" s="120">
        <f t="shared" ref="Z26:Z35" si="3">ROUNDUP(HOUR(AA26)*60+MINUTE(AA26)+SECOND(AA26)/60,0)</f>
        <v>72</v>
      </c>
      <c r="AA26" s="304" t="str">
        <f t="shared" ref="AA26:AA35" si="4">TEXT((HOUR(AC26)*60+MINUTE(AC26)+IF(SECOND(AC26)&lt;=29,0,1))*60/86400,"hh:mm:ss")</f>
        <v>01:12:00</v>
      </c>
      <c r="AB26" s="120">
        <f t="shared" ref="AB26:AB35" si="5">Z26*60</f>
        <v>4320</v>
      </c>
      <c r="AC26" s="399">
        <v>0.0497569444444444</v>
      </c>
      <c r="AD26" s="400">
        <v>169</v>
      </c>
      <c r="AE26" s="400">
        <v>43</v>
      </c>
      <c r="AF26" s="349" t="s">
        <v>132</v>
      </c>
      <c r="AP26" s="337"/>
      <c r="AQ26" s="337"/>
      <c r="AR26" s="337"/>
      <c r="AS26" s="337"/>
      <c r="AT26" s="337"/>
      <c r="AU26" s="337"/>
      <c r="AV26" s="337"/>
      <c r="AW26" s="337"/>
      <c r="AX26" s="337"/>
      <c r="AY26" s="337"/>
      <c r="AZ26" s="337"/>
      <c r="BA26" s="337"/>
      <c r="BB26" s="337"/>
      <c r="BC26" s="337"/>
      <c r="BD26" s="337"/>
      <c r="BE26" s="337"/>
      <c r="BF26" s="337"/>
      <c r="BG26" s="337"/>
      <c r="BH26" s="337"/>
      <c r="BI26" s="337"/>
      <c r="BJ26" s="337"/>
      <c r="BK26" s="337"/>
      <c r="BL26" s="337"/>
      <c r="BM26" s="337"/>
      <c r="BN26" s="337"/>
      <c r="BO26" s="337"/>
      <c r="BP26" s="337"/>
      <c r="BQ26" s="337"/>
      <c r="BR26" s="337"/>
      <c r="BS26" s="337"/>
      <c r="BT26" s="337"/>
      <c r="BU26" s="337"/>
      <c r="BV26" s="337"/>
      <c r="BW26" s="337"/>
      <c r="BX26" s="337"/>
      <c r="BY26" s="337"/>
      <c r="BZ26" s="337"/>
      <c r="CA26" s="337"/>
      <c r="CB26" s="337"/>
      <c r="CC26" s="337"/>
      <c r="CD26" s="337"/>
      <c r="CE26" s="337"/>
      <c r="CF26" s="337"/>
      <c r="CG26" s="337"/>
      <c r="CH26" s="337"/>
      <c r="CI26" s="337"/>
      <c r="CJ26" s="337"/>
      <c r="CK26" s="337"/>
      <c r="CL26" s="337"/>
      <c r="CM26" s="337"/>
      <c r="CN26" s="337"/>
      <c r="CO26" s="337"/>
      <c r="CP26" s="337"/>
      <c r="CQ26" s="337"/>
      <c r="CR26" s="337"/>
      <c r="CS26" s="337"/>
      <c r="CT26" s="337"/>
      <c r="CU26" s="337"/>
      <c r="CV26" s="337"/>
      <c r="CW26" s="337"/>
      <c r="CX26" s="337"/>
      <c r="CY26" s="337"/>
      <c r="CZ26" s="337"/>
      <c r="DA26" s="337"/>
      <c r="DB26" s="337"/>
      <c r="DC26" s="337"/>
      <c r="DD26" s="337"/>
      <c r="DE26" s="337"/>
      <c r="DF26" s="337"/>
      <c r="DG26" s="337"/>
      <c r="DH26" s="337"/>
      <c r="DI26" s="337"/>
      <c r="DJ26" s="337"/>
      <c r="DK26" s="337"/>
      <c r="DL26" s="337"/>
      <c r="DM26" s="337"/>
      <c r="DN26" s="337"/>
      <c r="DO26" s="337"/>
      <c r="DP26" s="337"/>
      <c r="DQ26" s="337"/>
      <c r="DR26" s="337"/>
      <c r="DS26" s="337"/>
      <c r="DT26" s="337"/>
      <c r="DU26" s="337"/>
      <c r="DV26" s="337"/>
      <c r="DW26" s="337"/>
      <c r="DX26" s="337"/>
      <c r="DY26" s="337"/>
      <c r="DZ26" s="337"/>
      <c r="EA26" s="337"/>
      <c r="EB26" s="337"/>
      <c r="EC26" s="337"/>
      <c r="ED26" s="337"/>
      <c r="EE26" s="337"/>
      <c r="EF26" s="337"/>
      <c r="EG26" s="337"/>
      <c r="EH26" s="337"/>
      <c r="EI26" s="337"/>
      <c r="EJ26" s="337"/>
      <c r="EK26" s="337"/>
      <c r="EL26" s="337"/>
      <c r="EM26" s="337"/>
      <c r="EN26" s="337"/>
      <c r="EO26" s="337"/>
      <c r="EP26" s="337"/>
      <c r="EQ26" s="337"/>
      <c r="ER26" s="337"/>
      <c r="ES26" s="337"/>
      <c r="ET26" s="337"/>
      <c r="EU26" s="337"/>
      <c r="EV26" s="337"/>
      <c r="EW26" s="337"/>
      <c r="EX26" s="337"/>
      <c r="EY26" s="337"/>
      <c r="EZ26" s="337"/>
      <c r="FA26" s="337"/>
      <c r="FB26" s="337"/>
      <c r="FC26" s="337"/>
      <c r="FD26" s="337"/>
      <c r="FE26" s="337"/>
      <c r="FF26" s="337"/>
      <c r="FG26" s="337"/>
      <c r="FH26" s="337"/>
      <c r="FI26" s="337"/>
      <c r="FJ26" s="337"/>
      <c r="FK26" s="337"/>
      <c r="FL26" s="337"/>
      <c r="FM26" s="337"/>
      <c r="FN26" s="337"/>
      <c r="FO26" s="337"/>
      <c r="FP26" s="337"/>
      <c r="FQ26" s="337"/>
      <c r="FR26" s="337"/>
      <c r="FS26" s="337"/>
      <c r="FT26" s="337"/>
      <c r="FU26" s="337"/>
      <c r="FV26" s="337"/>
      <c r="FW26" s="337"/>
      <c r="FX26" s="337"/>
      <c r="FY26" s="337"/>
      <c r="FZ26" s="337"/>
      <c r="GA26" s="337"/>
      <c r="GB26" s="337"/>
      <c r="GC26" s="337"/>
      <c r="GD26" s="337"/>
      <c r="GE26" s="337"/>
      <c r="GF26" s="337"/>
      <c r="GG26" s="337"/>
      <c r="GH26" s="337"/>
      <c r="GI26" s="337"/>
      <c r="GJ26" s="337"/>
      <c r="GK26" s="337"/>
      <c r="GL26" s="337"/>
      <c r="GM26" s="337"/>
      <c r="GN26" s="337"/>
      <c r="GO26" s="337"/>
      <c r="GP26" s="337"/>
      <c r="GQ26" s="337"/>
      <c r="GR26" s="337"/>
      <c r="GS26" s="337"/>
      <c r="GT26" s="337"/>
      <c r="GU26" s="337"/>
      <c r="GV26" s="337"/>
      <c r="GW26" s="337"/>
      <c r="GX26" s="337"/>
      <c r="GY26" s="337"/>
      <c r="GZ26" s="337"/>
      <c r="HA26" s="337"/>
      <c r="HB26" s="337"/>
      <c r="HC26" s="337"/>
      <c r="HD26" s="337"/>
      <c r="HE26" s="337"/>
      <c r="HF26" s="337"/>
      <c r="HG26" s="337"/>
      <c r="HH26" s="337"/>
      <c r="HI26" s="337"/>
      <c r="HJ26" s="337"/>
      <c r="HK26" s="337"/>
      <c r="HL26" s="337"/>
      <c r="HM26" s="337"/>
      <c r="HN26" s="337"/>
      <c r="HO26" s="337"/>
      <c r="HP26" s="337"/>
      <c r="HQ26" s="337"/>
      <c r="HR26" s="337"/>
      <c r="HS26" s="337"/>
      <c r="HT26" s="337"/>
      <c r="HU26" s="337"/>
      <c r="HV26" s="337"/>
      <c r="HW26" s="337"/>
      <c r="HX26" s="337"/>
      <c r="HY26" s="337"/>
      <c r="HZ26" s="337"/>
      <c r="IA26" s="337"/>
      <c r="IB26" s="337"/>
      <c r="IC26" s="337"/>
      <c r="ID26" s="337"/>
      <c r="IE26" s="337"/>
      <c r="IF26" s="337"/>
      <c r="IG26" s="337"/>
      <c r="IH26" s="337"/>
      <c r="II26" s="337"/>
      <c r="IJ26" s="337"/>
      <c r="IK26" s="337"/>
      <c r="IL26" s="337"/>
      <c r="IM26" s="337"/>
      <c r="IN26" s="337"/>
      <c r="IO26" s="337"/>
      <c r="IP26" s="337"/>
      <c r="IQ26" s="337"/>
      <c r="IR26" s="337"/>
      <c r="IS26" s="337"/>
      <c r="IT26" s="337"/>
      <c r="IU26" s="337"/>
      <c r="IV26" s="337"/>
      <c r="IW26" s="337"/>
      <c r="IX26" s="337"/>
      <c r="IY26" s="337"/>
      <c r="IZ26" s="337"/>
      <c r="JA26" s="337"/>
      <c r="JB26" s="337"/>
      <c r="JC26" s="337"/>
      <c r="JD26" s="337"/>
      <c r="JE26" s="337"/>
      <c r="JF26" s="337"/>
      <c r="JG26" s="337"/>
      <c r="JH26" s="337"/>
      <c r="JI26" s="337"/>
      <c r="JJ26" s="337"/>
      <c r="JK26" s="337"/>
      <c r="JL26" s="337"/>
      <c r="JM26" s="337"/>
      <c r="JN26" s="337"/>
      <c r="JO26" s="337"/>
      <c r="JP26" s="337"/>
      <c r="JQ26" s="337"/>
      <c r="JR26" s="337"/>
      <c r="JS26" s="337"/>
      <c r="JT26" s="337"/>
      <c r="JU26" s="337"/>
      <c r="JV26" s="337"/>
      <c r="JW26" s="337"/>
      <c r="JX26" s="337"/>
      <c r="JY26" s="337"/>
      <c r="JZ26" s="337"/>
      <c r="KA26" s="337"/>
      <c r="KB26" s="337"/>
      <c r="KC26" s="337"/>
      <c r="KD26" s="337"/>
      <c r="KE26" s="337"/>
      <c r="KF26" s="337"/>
      <c r="KG26" s="337"/>
      <c r="KH26" s="337"/>
      <c r="KI26" s="337"/>
      <c r="KJ26" s="337"/>
      <c r="KK26" s="337"/>
      <c r="KL26" s="337"/>
      <c r="KM26" s="337"/>
      <c r="KN26" s="337"/>
      <c r="KO26" s="337"/>
      <c r="KP26" s="337"/>
      <c r="KQ26" s="337"/>
      <c r="KR26" s="337"/>
      <c r="KS26" s="337"/>
      <c r="KT26" s="337"/>
      <c r="KU26" s="337"/>
      <c r="KV26" s="337"/>
      <c r="KW26" s="337"/>
      <c r="KX26" s="337"/>
      <c r="KY26" s="337"/>
      <c r="KZ26" s="337"/>
      <c r="LA26" s="337"/>
      <c r="LB26" s="337"/>
      <c r="LC26" s="337"/>
      <c r="LD26" s="337"/>
      <c r="LE26" s="337"/>
      <c r="LF26" s="337"/>
      <c r="LG26" s="337"/>
      <c r="LH26" s="337"/>
      <c r="LI26" s="337"/>
      <c r="LJ26" s="337"/>
      <c r="LK26" s="337"/>
      <c r="LL26" s="337"/>
      <c r="LM26" s="337"/>
      <c r="LN26" s="337"/>
      <c r="LO26" s="337"/>
      <c r="LP26" s="337"/>
      <c r="LQ26" s="337"/>
      <c r="LR26" s="337"/>
      <c r="LS26" s="337"/>
      <c r="LT26" s="337"/>
      <c r="LU26" s="337"/>
      <c r="LV26" s="337"/>
      <c r="LW26" s="337"/>
      <c r="LX26" s="337"/>
      <c r="LY26" s="337"/>
      <c r="LZ26" s="337"/>
      <c r="MA26" s="337"/>
      <c r="MB26" s="337"/>
      <c r="MC26" s="337"/>
      <c r="MD26" s="337"/>
      <c r="ME26" s="337"/>
      <c r="MF26" s="337"/>
      <c r="MG26" s="337"/>
      <c r="MH26" s="337"/>
      <c r="MI26" s="337"/>
      <c r="MJ26" s="337"/>
      <c r="MK26" s="337"/>
      <c r="ML26" s="337"/>
      <c r="MM26" s="337"/>
      <c r="MN26" s="337"/>
      <c r="MO26" s="337"/>
      <c r="MP26" s="337"/>
      <c r="MQ26" s="337"/>
      <c r="MR26" s="337"/>
      <c r="MS26" s="337"/>
      <c r="MT26" s="337"/>
      <c r="MU26" s="337"/>
      <c r="MV26" s="337"/>
      <c r="MW26" s="337"/>
      <c r="MX26" s="337"/>
      <c r="MY26" s="337"/>
      <c r="MZ26" s="337"/>
      <c r="NA26" s="337"/>
      <c r="NB26" s="337"/>
      <c r="NC26" s="337"/>
      <c r="ND26" s="337"/>
      <c r="NE26" s="337"/>
      <c r="NF26" s="337"/>
      <c r="NG26" s="337"/>
      <c r="NH26" s="337"/>
      <c r="NI26" s="337"/>
      <c r="NJ26" s="337"/>
      <c r="NK26" s="337"/>
      <c r="NL26" s="337"/>
      <c r="NM26" s="337"/>
      <c r="NN26" s="337"/>
      <c r="NO26" s="337"/>
      <c r="NP26" s="337"/>
      <c r="NQ26" s="337"/>
      <c r="NR26" s="337"/>
      <c r="NS26" s="337"/>
      <c r="NT26" s="337"/>
      <c r="NU26" s="337"/>
      <c r="NV26" s="337"/>
      <c r="NW26" s="337"/>
      <c r="NX26" s="337"/>
      <c r="NY26" s="337"/>
      <c r="NZ26" s="337"/>
      <c r="OA26" s="337"/>
      <c r="OB26" s="337"/>
      <c r="OC26" s="337"/>
      <c r="OD26" s="337"/>
      <c r="OE26" s="337"/>
      <c r="OF26" s="337"/>
      <c r="OG26" s="337"/>
      <c r="OH26" s="337"/>
      <c r="OI26" s="337"/>
      <c r="OJ26" s="337"/>
      <c r="OK26" s="337"/>
      <c r="OL26" s="337"/>
      <c r="OM26" s="337"/>
      <c r="ON26" s="337"/>
      <c r="OO26" s="337"/>
      <c r="OP26" s="337"/>
      <c r="OQ26" s="337"/>
      <c r="OR26" s="337"/>
      <c r="OS26" s="337"/>
      <c r="OT26" s="337"/>
      <c r="OU26" s="337"/>
      <c r="OV26" s="337"/>
      <c r="OW26" s="337"/>
      <c r="OX26" s="337"/>
      <c r="OY26" s="337"/>
      <c r="OZ26" s="337"/>
      <c r="PA26" s="337"/>
      <c r="PB26" s="337"/>
      <c r="PC26" s="337"/>
      <c r="PD26" s="337"/>
      <c r="PE26" s="337"/>
      <c r="PF26" s="337"/>
      <c r="PG26" s="337"/>
      <c r="PH26" s="337"/>
      <c r="PI26" s="337"/>
      <c r="PJ26" s="337"/>
      <c r="PK26" s="337"/>
      <c r="PL26" s="337"/>
      <c r="PM26" s="337"/>
      <c r="PN26" s="337"/>
      <c r="PO26" s="337"/>
      <c r="PP26" s="337"/>
      <c r="PQ26" s="337"/>
      <c r="PR26" s="337"/>
      <c r="PS26" s="337"/>
      <c r="PT26" s="337"/>
      <c r="PU26" s="337"/>
      <c r="PV26" s="337"/>
      <c r="PW26" s="337"/>
      <c r="PX26" s="337"/>
      <c r="PY26" s="337"/>
      <c r="PZ26" s="337"/>
      <c r="QA26" s="337"/>
      <c r="QB26" s="337"/>
      <c r="QC26" s="337"/>
      <c r="QD26" s="337"/>
      <c r="QE26" s="337"/>
      <c r="QF26" s="337"/>
      <c r="QG26" s="337"/>
      <c r="QH26" s="337"/>
      <c r="QI26" s="337"/>
      <c r="QJ26" s="337"/>
      <c r="QK26" s="337"/>
      <c r="QL26" s="337"/>
      <c r="QM26" s="337"/>
      <c r="QN26" s="337"/>
      <c r="QO26" s="337"/>
      <c r="QP26" s="337"/>
      <c r="QQ26" s="337"/>
      <c r="QR26" s="337"/>
      <c r="QS26" s="337"/>
      <c r="QT26" s="337"/>
      <c r="QU26" s="337"/>
      <c r="QV26" s="337"/>
      <c r="QW26" s="337"/>
      <c r="QX26" s="337"/>
      <c r="QY26" s="337"/>
      <c r="QZ26" s="337"/>
      <c r="RA26" s="337"/>
      <c r="RB26" s="337"/>
      <c r="RC26" s="337"/>
      <c r="RD26" s="337"/>
      <c r="RE26" s="337"/>
      <c r="RF26" s="337"/>
      <c r="RG26" s="337"/>
      <c r="RH26" s="337"/>
      <c r="RI26" s="337"/>
      <c r="RJ26" s="337"/>
      <c r="RK26" s="337"/>
      <c r="RL26" s="337"/>
      <c r="RM26" s="337"/>
      <c r="RN26" s="337"/>
      <c r="RO26" s="337"/>
      <c r="RP26" s="337"/>
      <c r="RQ26" s="337"/>
      <c r="RR26" s="337"/>
      <c r="RS26" s="337"/>
      <c r="RT26" s="337"/>
      <c r="RU26" s="337"/>
      <c r="RV26" s="337"/>
      <c r="RW26" s="337"/>
      <c r="RX26" s="337"/>
      <c r="RY26" s="337"/>
      <c r="RZ26" s="337"/>
      <c r="SA26" s="337"/>
      <c r="SB26" s="337"/>
      <c r="SC26" s="337"/>
      <c r="SD26" s="337"/>
      <c r="SE26" s="337"/>
      <c r="SF26" s="337"/>
      <c r="SG26" s="337"/>
      <c r="SH26" s="337"/>
      <c r="SI26" s="337"/>
      <c r="SJ26" s="337"/>
      <c r="SK26" s="337"/>
      <c r="SL26" s="337"/>
      <c r="SM26" s="337"/>
      <c r="SN26" s="337"/>
      <c r="SO26" s="337"/>
      <c r="SP26" s="337"/>
      <c r="SQ26" s="337"/>
      <c r="SR26" s="337"/>
      <c r="SS26" s="337"/>
      <c r="ST26" s="337"/>
      <c r="SU26" s="337"/>
      <c r="SV26" s="337"/>
      <c r="SW26" s="337"/>
      <c r="SX26" s="337"/>
      <c r="SY26" s="337"/>
      <c r="SZ26" s="337"/>
      <c r="TA26" s="337"/>
      <c r="TB26" s="337"/>
      <c r="TC26" s="337"/>
      <c r="TD26" s="337"/>
      <c r="TE26" s="337"/>
      <c r="TF26" s="337"/>
      <c r="TG26" s="337"/>
      <c r="TH26" s="337"/>
      <c r="TI26" s="337"/>
      <c r="TJ26" s="337"/>
      <c r="TK26" s="337"/>
      <c r="TL26" s="337"/>
      <c r="TM26" s="337"/>
      <c r="TN26" s="337"/>
      <c r="TO26" s="337"/>
      <c r="TP26" s="337"/>
      <c r="TQ26" s="337"/>
      <c r="TR26" s="337"/>
      <c r="TS26" s="337"/>
      <c r="TT26" s="337"/>
      <c r="TU26" s="337"/>
      <c r="TV26" s="337"/>
      <c r="TW26" s="337"/>
      <c r="TX26" s="337"/>
      <c r="TY26" s="337"/>
      <c r="TZ26" s="337"/>
      <c r="UA26" s="337"/>
      <c r="UB26" s="337"/>
      <c r="UC26" s="337"/>
      <c r="UD26" s="337"/>
      <c r="UE26" s="337"/>
      <c r="UF26" s="337"/>
      <c r="UG26" s="337"/>
      <c r="UH26" s="337"/>
      <c r="UI26" s="337"/>
      <c r="UJ26" s="337"/>
      <c r="UK26" s="337"/>
      <c r="UL26" s="337"/>
      <c r="UM26" s="337"/>
      <c r="UN26" s="337"/>
      <c r="UO26" s="337"/>
      <c r="UP26" s="337"/>
      <c r="UQ26" s="337"/>
      <c r="UR26" s="337"/>
      <c r="US26" s="337"/>
      <c r="UT26" s="337"/>
      <c r="UU26" s="337"/>
      <c r="UV26" s="337"/>
      <c r="UW26" s="337"/>
      <c r="UX26" s="337"/>
      <c r="UY26" s="337"/>
      <c r="UZ26" s="337"/>
      <c r="VA26" s="337"/>
      <c r="VB26" s="337"/>
      <c r="VC26" s="337"/>
      <c r="VD26" s="337"/>
      <c r="VE26" s="337"/>
      <c r="VF26" s="337"/>
      <c r="VG26" s="337"/>
      <c r="VH26" s="337"/>
      <c r="VI26" s="337"/>
      <c r="VJ26" s="337"/>
      <c r="VK26" s="337"/>
      <c r="VL26" s="337"/>
      <c r="VM26" s="337"/>
      <c r="VN26" s="337"/>
      <c r="VO26" s="337"/>
      <c r="VP26" s="337"/>
      <c r="VQ26" s="337"/>
      <c r="VR26" s="337"/>
      <c r="VS26" s="337"/>
      <c r="VT26" s="337"/>
      <c r="VU26" s="337"/>
      <c r="VV26" s="337"/>
      <c r="VW26" s="337"/>
      <c r="VX26" s="337"/>
      <c r="VY26" s="337"/>
      <c r="VZ26" s="337"/>
      <c r="WA26" s="337"/>
      <c r="WB26" s="337"/>
      <c r="WC26" s="337"/>
      <c r="WD26" s="337"/>
      <c r="WE26" s="337"/>
      <c r="WF26" s="337"/>
      <c r="WG26" s="337"/>
      <c r="WH26" s="337"/>
      <c r="WI26" s="337"/>
      <c r="WJ26" s="337"/>
      <c r="WK26" s="337"/>
      <c r="WL26" s="337"/>
      <c r="WM26" s="337"/>
      <c r="WN26" s="337"/>
      <c r="WO26" s="337"/>
      <c r="WP26" s="337"/>
      <c r="WQ26" s="337"/>
      <c r="WR26" s="337"/>
      <c r="WS26" s="337"/>
      <c r="WT26" s="337"/>
      <c r="WU26" s="337"/>
      <c r="WV26" s="337"/>
      <c r="WW26" s="337"/>
      <c r="WX26" s="337"/>
      <c r="WY26" s="337"/>
      <c r="WZ26" s="337"/>
      <c r="XA26" s="337"/>
      <c r="XB26" s="337"/>
      <c r="XC26" s="337"/>
      <c r="XD26" s="337"/>
      <c r="XE26" s="337"/>
      <c r="XF26" s="337"/>
      <c r="XG26" s="337"/>
      <c r="XH26" s="337"/>
      <c r="XI26" s="337"/>
      <c r="XJ26" s="337"/>
      <c r="XK26" s="337"/>
      <c r="XL26" s="337"/>
      <c r="XM26" s="337"/>
      <c r="XN26" s="337"/>
      <c r="XO26" s="337"/>
      <c r="XP26" s="337"/>
      <c r="XQ26" s="337"/>
      <c r="XR26" s="337"/>
      <c r="XS26" s="337"/>
      <c r="XT26" s="337"/>
      <c r="XU26" s="337"/>
      <c r="XV26" s="337"/>
      <c r="XW26" s="337"/>
      <c r="XX26" s="337"/>
      <c r="XY26" s="337"/>
      <c r="XZ26" s="337"/>
      <c r="YA26" s="337"/>
      <c r="YB26" s="337"/>
      <c r="YC26" s="337"/>
      <c r="YD26" s="337"/>
      <c r="YE26" s="337"/>
      <c r="YF26" s="337"/>
      <c r="YG26" s="337"/>
      <c r="YH26" s="337"/>
      <c r="YI26" s="337"/>
      <c r="YJ26" s="337"/>
      <c r="YK26" s="337"/>
      <c r="YL26" s="337"/>
      <c r="YM26" s="337"/>
      <c r="YN26" s="337"/>
      <c r="YO26" s="337"/>
      <c r="YP26" s="337"/>
      <c r="YQ26" s="337"/>
      <c r="YR26" s="337"/>
      <c r="YS26" s="337"/>
      <c r="YT26" s="337"/>
      <c r="YU26" s="337"/>
      <c r="YV26" s="337"/>
      <c r="YW26" s="337"/>
      <c r="YX26" s="337"/>
      <c r="YY26" s="337"/>
      <c r="YZ26" s="337"/>
      <c r="ZA26" s="337"/>
      <c r="ZB26" s="337"/>
      <c r="ZC26" s="337"/>
      <c r="ZD26" s="337"/>
      <c r="ZE26" s="337"/>
      <c r="ZF26" s="337"/>
      <c r="ZG26" s="337"/>
      <c r="ZH26" s="337"/>
      <c r="ZI26" s="337"/>
      <c r="ZJ26" s="337"/>
      <c r="ZK26" s="337"/>
      <c r="ZL26" s="337"/>
      <c r="ZM26" s="337"/>
      <c r="ZN26" s="337"/>
      <c r="ZO26" s="337"/>
      <c r="ZP26" s="337"/>
      <c r="ZQ26" s="337"/>
      <c r="ZR26" s="337"/>
      <c r="ZS26" s="337"/>
      <c r="ZT26" s="337"/>
      <c r="ZU26" s="337"/>
      <c r="ZV26" s="337"/>
      <c r="ZW26" s="337"/>
      <c r="ZX26" s="337"/>
      <c r="ZY26" s="337"/>
      <c r="ZZ26" s="337"/>
      <c r="AAA26" s="337"/>
      <c r="AAB26" s="337"/>
      <c r="AAC26" s="337"/>
      <c r="AAD26" s="337"/>
      <c r="AAE26" s="337"/>
      <c r="AAF26" s="337"/>
      <c r="AAG26" s="337"/>
      <c r="AAH26" s="337"/>
      <c r="AAI26" s="337"/>
      <c r="AAJ26" s="337"/>
      <c r="AAK26" s="337"/>
      <c r="AAL26" s="337"/>
      <c r="AAM26" s="337"/>
      <c r="AAN26" s="337"/>
      <c r="AAO26" s="337"/>
      <c r="AAP26" s="337"/>
      <c r="AAQ26" s="337"/>
      <c r="AAR26" s="337"/>
      <c r="AAS26" s="337"/>
      <c r="AAT26" s="337"/>
      <c r="AAU26" s="337"/>
      <c r="AAV26" s="337"/>
      <c r="AAW26" s="337"/>
      <c r="AAX26" s="337"/>
      <c r="AAY26" s="337"/>
      <c r="AAZ26" s="337"/>
      <c r="ABA26" s="337"/>
      <c r="ABB26" s="337"/>
      <c r="ABC26" s="337"/>
      <c r="ABD26" s="337"/>
      <c r="ABE26" s="337"/>
      <c r="ABF26" s="337"/>
      <c r="ABG26" s="337"/>
      <c r="ABH26" s="337"/>
      <c r="ABI26" s="337"/>
      <c r="ABJ26" s="337"/>
      <c r="ABK26" s="337"/>
      <c r="ABL26" s="337"/>
      <c r="ABM26" s="337"/>
      <c r="ABN26" s="337"/>
      <c r="ABO26" s="337"/>
      <c r="ABP26" s="337"/>
      <c r="ABQ26" s="337"/>
      <c r="ABR26" s="337"/>
      <c r="ABS26" s="337"/>
      <c r="ABT26" s="337"/>
      <c r="ABU26" s="337"/>
      <c r="ABV26" s="337"/>
      <c r="ABW26" s="337"/>
      <c r="ABX26" s="337"/>
      <c r="ABY26" s="337"/>
      <c r="ABZ26" s="337"/>
      <c r="ACA26" s="337"/>
      <c r="ACB26" s="337"/>
      <c r="ACC26" s="337"/>
      <c r="ACD26" s="337"/>
      <c r="ACE26" s="337"/>
      <c r="ACF26" s="337"/>
      <c r="ACG26" s="337"/>
      <c r="ACH26" s="337"/>
      <c r="ACI26" s="337"/>
      <c r="ACJ26" s="337"/>
      <c r="ACK26" s="337"/>
      <c r="ACL26" s="337"/>
      <c r="ACM26" s="337"/>
      <c r="ACN26" s="337"/>
      <c r="ACO26" s="337"/>
      <c r="ACP26" s="337"/>
      <c r="ACQ26" s="337"/>
      <c r="ACR26" s="337"/>
      <c r="ACS26" s="337"/>
      <c r="ACT26" s="337"/>
      <c r="ACU26" s="337"/>
      <c r="ACV26" s="337"/>
      <c r="ACW26" s="337"/>
      <c r="ACX26" s="337"/>
      <c r="ACY26" s="337"/>
      <c r="ACZ26" s="337"/>
      <c r="ADA26" s="337"/>
      <c r="ADB26" s="337"/>
      <c r="ADC26" s="337"/>
      <c r="ADD26" s="337"/>
      <c r="ADE26" s="337"/>
      <c r="ADF26" s="337"/>
      <c r="ADG26" s="337"/>
      <c r="ADH26" s="337"/>
      <c r="ADI26" s="337"/>
      <c r="ADJ26" s="337"/>
      <c r="ADK26" s="337"/>
      <c r="ADL26" s="337"/>
      <c r="ADM26" s="337"/>
      <c r="ADN26" s="337"/>
      <c r="ADO26" s="337"/>
      <c r="ADP26" s="337"/>
      <c r="ADQ26" s="337"/>
      <c r="ADR26" s="337"/>
      <c r="ADS26" s="337"/>
      <c r="ADT26" s="337"/>
      <c r="ADU26" s="337"/>
      <c r="ADV26" s="337"/>
      <c r="ADW26" s="337"/>
      <c r="ADX26" s="337"/>
      <c r="ADY26" s="337"/>
      <c r="ADZ26" s="337"/>
      <c r="AEA26" s="337"/>
      <c r="AEB26" s="337"/>
      <c r="AEC26" s="337"/>
      <c r="AED26" s="337"/>
      <c r="AEE26" s="337"/>
      <c r="AEF26" s="337"/>
      <c r="AEG26" s="337"/>
      <c r="AEH26" s="337"/>
      <c r="AEI26" s="337"/>
      <c r="AEJ26" s="337"/>
      <c r="AEK26" s="337"/>
      <c r="AEL26" s="337"/>
      <c r="AEM26" s="337"/>
      <c r="AEN26" s="337"/>
      <c r="AEO26" s="337"/>
      <c r="AEP26" s="337"/>
      <c r="AEQ26" s="337"/>
      <c r="AER26" s="337"/>
      <c r="AES26" s="337"/>
      <c r="AET26" s="337"/>
      <c r="AEU26" s="337"/>
      <c r="AEV26" s="337"/>
      <c r="AEW26" s="337"/>
      <c r="AEX26" s="337"/>
      <c r="AEY26" s="337"/>
      <c r="AEZ26" s="337"/>
      <c r="AFA26" s="337"/>
      <c r="AFB26" s="337"/>
      <c r="AFC26" s="337"/>
      <c r="AFD26" s="337"/>
      <c r="AFE26" s="337"/>
      <c r="AFF26" s="337"/>
      <c r="AFG26" s="337"/>
      <c r="AFH26" s="337"/>
      <c r="AFI26" s="337"/>
      <c r="AFJ26" s="337"/>
      <c r="AFK26" s="337"/>
      <c r="AFL26" s="337"/>
      <c r="AFM26" s="337"/>
      <c r="AFN26" s="337"/>
      <c r="AFO26" s="337"/>
      <c r="AFP26" s="337"/>
      <c r="AFQ26" s="337"/>
      <c r="AFR26" s="337"/>
      <c r="AFS26" s="337"/>
      <c r="AFT26" s="337"/>
      <c r="AFU26" s="337"/>
      <c r="AFV26" s="337"/>
      <c r="AFW26" s="337"/>
      <c r="AFX26" s="337"/>
      <c r="AFY26" s="337"/>
      <c r="AFZ26" s="337"/>
      <c r="AGA26" s="337"/>
      <c r="AGB26" s="337"/>
      <c r="AGC26" s="337"/>
      <c r="AGD26" s="337"/>
      <c r="AGE26" s="337"/>
      <c r="AGF26" s="337"/>
      <c r="AGG26" s="337"/>
      <c r="AGH26" s="337"/>
      <c r="AGI26" s="337"/>
      <c r="AGJ26" s="337"/>
      <c r="AGK26" s="337"/>
      <c r="AGL26" s="337"/>
      <c r="AGM26" s="337"/>
      <c r="AGN26" s="337"/>
      <c r="AGO26" s="337"/>
      <c r="AGP26" s="337"/>
      <c r="AGQ26" s="337"/>
      <c r="AGR26" s="337"/>
      <c r="AGS26" s="337"/>
      <c r="AGT26" s="337"/>
      <c r="AGU26" s="337"/>
      <c r="AGV26" s="337"/>
      <c r="AGW26" s="337"/>
      <c r="AGX26" s="337"/>
      <c r="AGY26" s="337"/>
      <c r="AGZ26" s="337"/>
    </row>
    <row r="27" ht="24" customHeight="1" spans="1:884">
      <c r="A27" s="349">
        <v>23</v>
      </c>
      <c r="B27" s="350"/>
      <c r="C27" s="351" t="s">
        <v>120</v>
      </c>
      <c r="D27" s="358"/>
      <c r="E27" s="358"/>
      <c r="F27" s="81">
        <v>2</v>
      </c>
      <c r="G27" s="356" t="s">
        <v>472</v>
      </c>
      <c r="H27" s="357" t="s">
        <v>473</v>
      </c>
      <c r="I27" s="100" t="s">
        <v>124</v>
      </c>
      <c r="J27" s="100"/>
      <c r="K27" s="100"/>
      <c r="L27" s="100"/>
      <c r="M27" s="100"/>
      <c r="N27" s="373" t="s">
        <v>474</v>
      </c>
      <c r="O27" s="374"/>
      <c r="P27" s="376"/>
      <c r="Q27" s="375"/>
      <c r="R27" s="382" t="s">
        <v>130</v>
      </c>
      <c r="S27" s="385"/>
      <c r="T27" s="384"/>
      <c r="U27" s="384"/>
      <c r="V27" s="382" t="s">
        <v>130</v>
      </c>
      <c r="W27" s="386"/>
      <c r="X27" s="349" t="s">
        <v>129</v>
      </c>
      <c r="Y27" s="349" t="s">
        <v>129</v>
      </c>
      <c r="Z27" s="120">
        <f t="shared" ref="Z27:Z53" si="6">ROUNDUP(HOUR(AA27)*60+MINUTE(AA27)+SECOND(AA27)/60,0)</f>
        <v>60</v>
      </c>
      <c r="AA27" s="304" t="str">
        <f t="shared" ref="AA27:AA53" si="7">TEXT((HOUR(AC27)*60+MINUTE(AC27)+IF(SECOND(AC27)&lt;=29,0,1))*60/86400,"hh:mm:ss")</f>
        <v>01:00:00</v>
      </c>
      <c r="AB27" s="120">
        <f t="shared" ref="AB27:AB53" si="8">Z27*60</f>
        <v>3600</v>
      </c>
      <c r="AC27" s="399">
        <v>0.0413541666666667</v>
      </c>
      <c r="AD27" s="400">
        <v>169</v>
      </c>
      <c r="AE27" s="400">
        <v>43</v>
      </c>
      <c r="AF27" s="349" t="s">
        <v>132</v>
      </c>
      <c r="AP27" s="337"/>
      <c r="AQ27" s="337"/>
      <c r="AR27" s="337"/>
      <c r="AS27" s="337"/>
      <c r="AT27" s="337"/>
      <c r="AU27" s="337"/>
      <c r="AV27" s="337"/>
      <c r="AW27" s="337"/>
      <c r="AX27" s="337"/>
      <c r="AY27" s="337"/>
      <c r="AZ27" s="337"/>
      <c r="BA27" s="337"/>
      <c r="BB27" s="337"/>
      <c r="BC27" s="337"/>
      <c r="BD27" s="337"/>
      <c r="BE27" s="337"/>
      <c r="BF27" s="337"/>
      <c r="BG27" s="337"/>
      <c r="BH27" s="337"/>
      <c r="BI27" s="337"/>
      <c r="BJ27" s="337"/>
      <c r="BK27" s="337"/>
      <c r="BL27" s="337"/>
      <c r="BM27" s="337"/>
      <c r="BN27" s="337"/>
      <c r="BO27" s="337"/>
      <c r="BP27" s="337"/>
      <c r="BQ27" s="337"/>
      <c r="BR27" s="337"/>
      <c r="BS27" s="337"/>
      <c r="BT27" s="337"/>
      <c r="BU27" s="337"/>
      <c r="BV27" s="337"/>
      <c r="BW27" s="337"/>
      <c r="BX27" s="337"/>
      <c r="BY27" s="337"/>
      <c r="BZ27" s="337"/>
      <c r="CA27" s="337"/>
      <c r="CB27" s="337"/>
      <c r="CC27" s="337"/>
      <c r="CD27" s="337"/>
      <c r="CE27" s="337"/>
      <c r="CF27" s="337"/>
      <c r="CG27" s="337"/>
      <c r="CH27" s="337"/>
      <c r="CI27" s="337"/>
      <c r="CJ27" s="337"/>
      <c r="CK27" s="337"/>
      <c r="CL27" s="337"/>
      <c r="CM27" s="337"/>
      <c r="CN27" s="337"/>
      <c r="CO27" s="337"/>
      <c r="CP27" s="337"/>
      <c r="CQ27" s="337"/>
      <c r="CR27" s="337"/>
      <c r="CS27" s="337"/>
      <c r="CT27" s="337"/>
      <c r="CU27" s="337"/>
      <c r="CV27" s="337"/>
      <c r="CW27" s="337"/>
      <c r="CX27" s="337"/>
      <c r="CY27" s="337"/>
      <c r="CZ27" s="337"/>
      <c r="DA27" s="337"/>
      <c r="DB27" s="337"/>
      <c r="DC27" s="337"/>
      <c r="DD27" s="337"/>
      <c r="DE27" s="337"/>
      <c r="DF27" s="337"/>
      <c r="DG27" s="337"/>
      <c r="DH27" s="337"/>
      <c r="DI27" s="337"/>
      <c r="DJ27" s="337"/>
      <c r="DK27" s="337"/>
      <c r="DL27" s="337"/>
      <c r="DM27" s="337"/>
      <c r="DN27" s="337"/>
      <c r="DO27" s="337"/>
      <c r="DP27" s="337"/>
      <c r="DQ27" s="337"/>
      <c r="DR27" s="337"/>
      <c r="DS27" s="337"/>
      <c r="DT27" s="337"/>
      <c r="DU27" s="337"/>
      <c r="DV27" s="337"/>
      <c r="DW27" s="337"/>
      <c r="DX27" s="337"/>
      <c r="DY27" s="337"/>
      <c r="DZ27" s="337"/>
      <c r="EA27" s="337"/>
      <c r="EB27" s="337"/>
      <c r="EC27" s="337"/>
      <c r="ED27" s="337"/>
      <c r="EE27" s="337"/>
      <c r="EF27" s="337"/>
      <c r="EG27" s="337"/>
      <c r="EH27" s="337"/>
      <c r="EI27" s="337"/>
      <c r="EJ27" s="337"/>
      <c r="EK27" s="337"/>
      <c r="EL27" s="337"/>
      <c r="EM27" s="337"/>
      <c r="EN27" s="337"/>
      <c r="EO27" s="337"/>
      <c r="EP27" s="337"/>
      <c r="EQ27" s="337"/>
      <c r="ER27" s="337"/>
      <c r="ES27" s="337"/>
      <c r="ET27" s="337"/>
      <c r="EU27" s="337"/>
      <c r="EV27" s="337"/>
      <c r="EW27" s="337"/>
      <c r="EX27" s="337"/>
      <c r="EY27" s="337"/>
      <c r="EZ27" s="337"/>
      <c r="FA27" s="337"/>
      <c r="FB27" s="337"/>
      <c r="FC27" s="337"/>
      <c r="FD27" s="337"/>
      <c r="FE27" s="337"/>
      <c r="FF27" s="337"/>
      <c r="FG27" s="337"/>
      <c r="FH27" s="337"/>
      <c r="FI27" s="337"/>
      <c r="FJ27" s="337"/>
      <c r="FK27" s="337"/>
      <c r="FL27" s="337"/>
      <c r="FM27" s="337"/>
      <c r="FN27" s="337"/>
      <c r="FO27" s="337"/>
      <c r="FP27" s="337"/>
      <c r="FQ27" s="337"/>
      <c r="FR27" s="337"/>
      <c r="FS27" s="337"/>
      <c r="FT27" s="337"/>
      <c r="FU27" s="337"/>
      <c r="FV27" s="337"/>
      <c r="FW27" s="337"/>
      <c r="FX27" s="337"/>
      <c r="FY27" s="337"/>
      <c r="FZ27" s="337"/>
      <c r="GA27" s="337"/>
      <c r="GB27" s="337"/>
      <c r="GC27" s="337"/>
      <c r="GD27" s="337"/>
      <c r="GE27" s="337"/>
      <c r="GF27" s="337"/>
      <c r="GG27" s="337"/>
      <c r="GH27" s="337"/>
      <c r="GI27" s="337"/>
      <c r="GJ27" s="337"/>
      <c r="GK27" s="337"/>
      <c r="GL27" s="337"/>
      <c r="GM27" s="337"/>
      <c r="GN27" s="337"/>
      <c r="GO27" s="337"/>
      <c r="GP27" s="337"/>
      <c r="GQ27" s="337"/>
      <c r="GR27" s="337"/>
      <c r="GS27" s="337"/>
      <c r="GT27" s="337"/>
      <c r="GU27" s="337"/>
      <c r="GV27" s="337"/>
      <c r="GW27" s="337"/>
      <c r="GX27" s="337"/>
      <c r="GY27" s="337"/>
      <c r="GZ27" s="337"/>
      <c r="HA27" s="337"/>
      <c r="HB27" s="337"/>
      <c r="HC27" s="337"/>
      <c r="HD27" s="337"/>
      <c r="HE27" s="337"/>
      <c r="HF27" s="337"/>
      <c r="HG27" s="337"/>
      <c r="HH27" s="337"/>
      <c r="HI27" s="337"/>
      <c r="HJ27" s="337"/>
      <c r="HK27" s="337"/>
      <c r="HL27" s="337"/>
      <c r="HM27" s="337"/>
      <c r="HN27" s="337"/>
      <c r="HO27" s="337"/>
      <c r="HP27" s="337"/>
      <c r="HQ27" s="337"/>
      <c r="HR27" s="337"/>
      <c r="HS27" s="337"/>
      <c r="HT27" s="337"/>
      <c r="HU27" s="337"/>
      <c r="HV27" s="337"/>
      <c r="HW27" s="337"/>
      <c r="HX27" s="337"/>
      <c r="HY27" s="337"/>
      <c r="HZ27" s="337"/>
      <c r="IA27" s="337"/>
      <c r="IB27" s="337"/>
      <c r="IC27" s="337"/>
      <c r="ID27" s="337"/>
      <c r="IE27" s="337"/>
      <c r="IF27" s="337"/>
      <c r="IG27" s="337"/>
      <c r="IH27" s="337"/>
      <c r="II27" s="337"/>
      <c r="IJ27" s="337"/>
      <c r="IK27" s="337"/>
      <c r="IL27" s="337"/>
      <c r="IM27" s="337"/>
      <c r="IN27" s="337"/>
      <c r="IO27" s="337"/>
      <c r="IP27" s="337"/>
      <c r="IQ27" s="337"/>
      <c r="IR27" s="337"/>
      <c r="IS27" s="337"/>
      <c r="IT27" s="337"/>
      <c r="IU27" s="337"/>
      <c r="IV27" s="337"/>
      <c r="IW27" s="337"/>
      <c r="IX27" s="337"/>
      <c r="IY27" s="337"/>
      <c r="IZ27" s="337"/>
      <c r="JA27" s="337"/>
      <c r="JB27" s="337"/>
      <c r="JC27" s="337"/>
      <c r="JD27" s="337"/>
      <c r="JE27" s="337"/>
      <c r="JF27" s="337"/>
      <c r="JG27" s="337"/>
      <c r="JH27" s="337"/>
      <c r="JI27" s="337"/>
      <c r="JJ27" s="337"/>
      <c r="JK27" s="337"/>
      <c r="JL27" s="337"/>
      <c r="JM27" s="337"/>
      <c r="JN27" s="337"/>
      <c r="JO27" s="337"/>
      <c r="JP27" s="337"/>
      <c r="JQ27" s="337"/>
      <c r="JR27" s="337"/>
      <c r="JS27" s="337"/>
      <c r="JT27" s="337"/>
      <c r="JU27" s="337"/>
      <c r="JV27" s="337"/>
      <c r="JW27" s="337"/>
      <c r="JX27" s="337"/>
      <c r="JY27" s="337"/>
      <c r="JZ27" s="337"/>
      <c r="KA27" s="337"/>
      <c r="KB27" s="337"/>
      <c r="KC27" s="337"/>
      <c r="KD27" s="337"/>
      <c r="KE27" s="337"/>
      <c r="KF27" s="337"/>
      <c r="KG27" s="337"/>
      <c r="KH27" s="337"/>
      <c r="KI27" s="337"/>
      <c r="KJ27" s="337"/>
      <c r="KK27" s="337"/>
      <c r="KL27" s="337"/>
      <c r="KM27" s="337"/>
      <c r="KN27" s="337"/>
      <c r="KO27" s="337"/>
      <c r="KP27" s="337"/>
      <c r="KQ27" s="337"/>
      <c r="KR27" s="337"/>
      <c r="KS27" s="337"/>
      <c r="KT27" s="337"/>
      <c r="KU27" s="337"/>
      <c r="KV27" s="337"/>
      <c r="KW27" s="337"/>
      <c r="KX27" s="337"/>
      <c r="KY27" s="337"/>
      <c r="KZ27" s="337"/>
      <c r="LA27" s="337"/>
      <c r="LB27" s="337"/>
      <c r="LC27" s="337"/>
      <c r="LD27" s="337"/>
      <c r="LE27" s="337"/>
      <c r="LF27" s="337"/>
      <c r="LG27" s="337"/>
      <c r="LH27" s="337"/>
      <c r="LI27" s="337"/>
      <c r="LJ27" s="337"/>
      <c r="LK27" s="337"/>
      <c r="LL27" s="337"/>
      <c r="LM27" s="337"/>
      <c r="LN27" s="337"/>
      <c r="LO27" s="337"/>
      <c r="LP27" s="337"/>
      <c r="LQ27" s="337"/>
      <c r="LR27" s="337"/>
      <c r="LS27" s="337"/>
      <c r="LT27" s="337"/>
      <c r="LU27" s="337"/>
      <c r="LV27" s="337"/>
      <c r="LW27" s="337"/>
      <c r="LX27" s="337"/>
      <c r="LY27" s="337"/>
      <c r="LZ27" s="337"/>
      <c r="MA27" s="337"/>
      <c r="MB27" s="337"/>
      <c r="MC27" s="337"/>
      <c r="MD27" s="337"/>
      <c r="ME27" s="337"/>
      <c r="MF27" s="337"/>
      <c r="MG27" s="337"/>
      <c r="MH27" s="337"/>
      <c r="MI27" s="337"/>
      <c r="MJ27" s="337"/>
      <c r="MK27" s="337"/>
      <c r="ML27" s="337"/>
      <c r="MM27" s="337"/>
      <c r="MN27" s="337"/>
      <c r="MO27" s="337"/>
      <c r="MP27" s="337"/>
      <c r="MQ27" s="337"/>
      <c r="MR27" s="337"/>
      <c r="MS27" s="337"/>
      <c r="MT27" s="337"/>
      <c r="MU27" s="337"/>
      <c r="MV27" s="337"/>
      <c r="MW27" s="337"/>
      <c r="MX27" s="337"/>
      <c r="MY27" s="337"/>
      <c r="MZ27" s="337"/>
      <c r="NA27" s="337"/>
      <c r="NB27" s="337"/>
      <c r="NC27" s="337"/>
      <c r="ND27" s="337"/>
      <c r="NE27" s="337"/>
      <c r="NF27" s="337"/>
      <c r="NG27" s="337"/>
      <c r="NH27" s="337"/>
      <c r="NI27" s="337"/>
      <c r="NJ27" s="337"/>
      <c r="NK27" s="337"/>
      <c r="NL27" s="337"/>
      <c r="NM27" s="337"/>
      <c r="NN27" s="337"/>
      <c r="NO27" s="337"/>
      <c r="NP27" s="337"/>
      <c r="NQ27" s="337"/>
      <c r="NR27" s="337"/>
      <c r="NS27" s="337"/>
      <c r="NT27" s="337"/>
      <c r="NU27" s="337"/>
      <c r="NV27" s="337"/>
      <c r="NW27" s="337"/>
      <c r="NX27" s="337"/>
      <c r="NY27" s="337"/>
      <c r="NZ27" s="337"/>
      <c r="OA27" s="337"/>
      <c r="OB27" s="337"/>
      <c r="OC27" s="337"/>
      <c r="OD27" s="337"/>
      <c r="OE27" s="337"/>
      <c r="OF27" s="337"/>
      <c r="OG27" s="337"/>
      <c r="OH27" s="337"/>
      <c r="OI27" s="337"/>
      <c r="OJ27" s="337"/>
      <c r="OK27" s="337"/>
      <c r="OL27" s="337"/>
      <c r="OM27" s="337"/>
      <c r="ON27" s="337"/>
      <c r="OO27" s="337"/>
      <c r="OP27" s="337"/>
      <c r="OQ27" s="337"/>
      <c r="OR27" s="337"/>
      <c r="OS27" s="337"/>
      <c r="OT27" s="337"/>
      <c r="OU27" s="337"/>
      <c r="OV27" s="337"/>
      <c r="OW27" s="337"/>
      <c r="OX27" s="337"/>
      <c r="OY27" s="337"/>
      <c r="OZ27" s="337"/>
      <c r="PA27" s="337"/>
      <c r="PB27" s="337"/>
      <c r="PC27" s="337"/>
      <c r="PD27" s="337"/>
      <c r="PE27" s="337"/>
      <c r="PF27" s="337"/>
      <c r="PG27" s="337"/>
      <c r="PH27" s="337"/>
      <c r="PI27" s="337"/>
      <c r="PJ27" s="337"/>
      <c r="PK27" s="337"/>
      <c r="PL27" s="337"/>
      <c r="PM27" s="337"/>
      <c r="PN27" s="337"/>
      <c r="PO27" s="337"/>
      <c r="PP27" s="337"/>
      <c r="PQ27" s="337"/>
      <c r="PR27" s="337"/>
      <c r="PS27" s="337"/>
      <c r="PT27" s="337"/>
      <c r="PU27" s="337"/>
      <c r="PV27" s="337"/>
      <c r="PW27" s="337"/>
      <c r="PX27" s="337"/>
      <c r="PY27" s="337"/>
      <c r="PZ27" s="337"/>
      <c r="QA27" s="337"/>
      <c r="QB27" s="337"/>
      <c r="QC27" s="337"/>
      <c r="QD27" s="337"/>
      <c r="QE27" s="337"/>
      <c r="QF27" s="337"/>
      <c r="QG27" s="337"/>
      <c r="QH27" s="337"/>
      <c r="QI27" s="337"/>
      <c r="QJ27" s="337"/>
      <c r="QK27" s="337"/>
      <c r="QL27" s="337"/>
      <c r="QM27" s="337"/>
      <c r="QN27" s="337"/>
      <c r="QO27" s="337"/>
      <c r="QP27" s="337"/>
      <c r="QQ27" s="337"/>
      <c r="QR27" s="337"/>
      <c r="QS27" s="337"/>
      <c r="QT27" s="337"/>
      <c r="QU27" s="337"/>
      <c r="QV27" s="337"/>
      <c r="QW27" s="337"/>
      <c r="QX27" s="337"/>
      <c r="QY27" s="337"/>
      <c r="QZ27" s="337"/>
      <c r="RA27" s="337"/>
      <c r="RB27" s="337"/>
      <c r="RC27" s="337"/>
      <c r="RD27" s="337"/>
      <c r="RE27" s="337"/>
      <c r="RF27" s="337"/>
      <c r="RG27" s="337"/>
      <c r="RH27" s="337"/>
      <c r="RI27" s="337"/>
      <c r="RJ27" s="337"/>
      <c r="RK27" s="337"/>
      <c r="RL27" s="337"/>
      <c r="RM27" s="337"/>
      <c r="RN27" s="337"/>
      <c r="RO27" s="337"/>
      <c r="RP27" s="337"/>
      <c r="RQ27" s="337"/>
      <c r="RR27" s="337"/>
      <c r="RS27" s="337"/>
      <c r="RT27" s="337"/>
      <c r="RU27" s="337"/>
      <c r="RV27" s="337"/>
      <c r="RW27" s="337"/>
      <c r="RX27" s="337"/>
      <c r="RY27" s="337"/>
      <c r="RZ27" s="337"/>
      <c r="SA27" s="337"/>
      <c r="SB27" s="337"/>
      <c r="SC27" s="337"/>
      <c r="SD27" s="337"/>
      <c r="SE27" s="337"/>
      <c r="SF27" s="337"/>
      <c r="SG27" s="337"/>
      <c r="SH27" s="337"/>
      <c r="SI27" s="337"/>
      <c r="SJ27" s="337"/>
      <c r="SK27" s="337"/>
      <c r="SL27" s="337"/>
      <c r="SM27" s="337"/>
      <c r="SN27" s="337"/>
      <c r="SO27" s="337"/>
      <c r="SP27" s="337"/>
      <c r="SQ27" s="337"/>
      <c r="SR27" s="337"/>
      <c r="SS27" s="337"/>
      <c r="ST27" s="337"/>
      <c r="SU27" s="337"/>
      <c r="SV27" s="337"/>
      <c r="SW27" s="337"/>
      <c r="SX27" s="337"/>
      <c r="SY27" s="337"/>
      <c r="SZ27" s="337"/>
      <c r="TA27" s="337"/>
      <c r="TB27" s="337"/>
      <c r="TC27" s="337"/>
      <c r="TD27" s="337"/>
      <c r="TE27" s="337"/>
      <c r="TF27" s="337"/>
      <c r="TG27" s="337"/>
      <c r="TH27" s="337"/>
      <c r="TI27" s="337"/>
      <c r="TJ27" s="337"/>
      <c r="TK27" s="337"/>
      <c r="TL27" s="337"/>
      <c r="TM27" s="337"/>
      <c r="TN27" s="337"/>
      <c r="TO27" s="337"/>
      <c r="TP27" s="337"/>
      <c r="TQ27" s="337"/>
      <c r="TR27" s="337"/>
      <c r="TS27" s="337"/>
      <c r="TT27" s="337"/>
      <c r="TU27" s="337"/>
      <c r="TV27" s="337"/>
      <c r="TW27" s="337"/>
      <c r="TX27" s="337"/>
      <c r="TY27" s="337"/>
      <c r="TZ27" s="337"/>
      <c r="UA27" s="337"/>
      <c r="UB27" s="337"/>
      <c r="UC27" s="337"/>
      <c r="UD27" s="337"/>
      <c r="UE27" s="337"/>
      <c r="UF27" s="337"/>
      <c r="UG27" s="337"/>
      <c r="UH27" s="337"/>
      <c r="UI27" s="337"/>
      <c r="UJ27" s="337"/>
      <c r="UK27" s="337"/>
      <c r="UL27" s="337"/>
      <c r="UM27" s="337"/>
      <c r="UN27" s="337"/>
      <c r="UO27" s="337"/>
      <c r="UP27" s="337"/>
      <c r="UQ27" s="337"/>
      <c r="UR27" s="337"/>
      <c r="US27" s="337"/>
      <c r="UT27" s="337"/>
      <c r="UU27" s="337"/>
      <c r="UV27" s="337"/>
      <c r="UW27" s="337"/>
      <c r="UX27" s="337"/>
      <c r="UY27" s="337"/>
      <c r="UZ27" s="337"/>
      <c r="VA27" s="337"/>
      <c r="VB27" s="337"/>
      <c r="VC27" s="337"/>
      <c r="VD27" s="337"/>
      <c r="VE27" s="337"/>
      <c r="VF27" s="337"/>
      <c r="VG27" s="337"/>
      <c r="VH27" s="337"/>
      <c r="VI27" s="337"/>
      <c r="VJ27" s="337"/>
      <c r="VK27" s="337"/>
      <c r="VL27" s="337"/>
      <c r="VM27" s="337"/>
      <c r="VN27" s="337"/>
      <c r="VO27" s="337"/>
      <c r="VP27" s="337"/>
      <c r="VQ27" s="337"/>
      <c r="VR27" s="337"/>
      <c r="VS27" s="337"/>
      <c r="VT27" s="337"/>
      <c r="VU27" s="337"/>
      <c r="VV27" s="337"/>
      <c r="VW27" s="337"/>
      <c r="VX27" s="337"/>
      <c r="VY27" s="337"/>
      <c r="VZ27" s="337"/>
      <c r="WA27" s="337"/>
      <c r="WB27" s="337"/>
      <c r="WC27" s="337"/>
      <c r="WD27" s="337"/>
      <c r="WE27" s="337"/>
      <c r="WF27" s="337"/>
      <c r="WG27" s="337"/>
      <c r="WH27" s="337"/>
      <c r="WI27" s="337"/>
      <c r="WJ27" s="337"/>
      <c r="WK27" s="337"/>
      <c r="WL27" s="337"/>
      <c r="WM27" s="337"/>
      <c r="WN27" s="337"/>
      <c r="WO27" s="337"/>
      <c r="WP27" s="337"/>
      <c r="WQ27" s="337"/>
      <c r="WR27" s="337"/>
      <c r="WS27" s="337"/>
      <c r="WT27" s="337"/>
      <c r="WU27" s="337"/>
      <c r="WV27" s="337"/>
      <c r="WW27" s="337"/>
      <c r="WX27" s="337"/>
      <c r="WY27" s="337"/>
      <c r="WZ27" s="337"/>
      <c r="XA27" s="337"/>
      <c r="XB27" s="337"/>
      <c r="XC27" s="337"/>
      <c r="XD27" s="337"/>
      <c r="XE27" s="337"/>
      <c r="XF27" s="337"/>
      <c r="XG27" s="337"/>
      <c r="XH27" s="337"/>
      <c r="XI27" s="337"/>
      <c r="XJ27" s="337"/>
      <c r="XK27" s="337"/>
      <c r="XL27" s="337"/>
      <c r="XM27" s="337"/>
      <c r="XN27" s="337"/>
      <c r="XO27" s="337"/>
      <c r="XP27" s="337"/>
      <c r="XQ27" s="337"/>
      <c r="XR27" s="337"/>
      <c r="XS27" s="337"/>
      <c r="XT27" s="337"/>
      <c r="XU27" s="337"/>
      <c r="XV27" s="337"/>
      <c r="XW27" s="337"/>
      <c r="XX27" s="337"/>
      <c r="XY27" s="337"/>
      <c r="XZ27" s="337"/>
      <c r="YA27" s="337"/>
      <c r="YB27" s="337"/>
      <c r="YC27" s="337"/>
      <c r="YD27" s="337"/>
      <c r="YE27" s="337"/>
      <c r="YF27" s="337"/>
      <c r="YG27" s="337"/>
      <c r="YH27" s="337"/>
      <c r="YI27" s="337"/>
      <c r="YJ27" s="337"/>
      <c r="YK27" s="337"/>
      <c r="YL27" s="337"/>
      <c r="YM27" s="337"/>
      <c r="YN27" s="337"/>
      <c r="YO27" s="337"/>
      <c r="YP27" s="337"/>
      <c r="YQ27" s="337"/>
      <c r="YR27" s="337"/>
      <c r="YS27" s="337"/>
      <c r="YT27" s="337"/>
      <c r="YU27" s="337"/>
      <c r="YV27" s="337"/>
      <c r="YW27" s="337"/>
      <c r="YX27" s="337"/>
      <c r="YY27" s="337"/>
      <c r="YZ27" s="337"/>
      <c r="ZA27" s="337"/>
      <c r="ZB27" s="337"/>
      <c r="ZC27" s="337"/>
      <c r="ZD27" s="337"/>
      <c r="ZE27" s="337"/>
      <c r="ZF27" s="337"/>
      <c r="ZG27" s="337"/>
      <c r="ZH27" s="337"/>
      <c r="ZI27" s="337"/>
      <c r="ZJ27" s="337"/>
      <c r="ZK27" s="337"/>
      <c r="ZL27" s="337"/>
      <c r="ZM27" s="337"/>
      <c r="ZN27" s="337"/>
      <c r="ZO27" s="337"/>
      <c r="ZP27" s="337"/>
      <c r="ZQ27" s="337"/>
      <c r="ZR27" s="337"/>
      <c r="ZS27" s="337"/>
      <c r="ZT27" s="337"/>
      <c r="ZU27" s="337"/>
      <c r="ZV27" s="337"/>
      <c r="ZW27" s="337"/>
      <c r="ZX27" s="337"/>
      <c r="ZY27" s="337"/>
      <c r="ZZ27" s="337"/>
      <c r="AAA27" s="337"/>
      <c r="AAB27" s="337"/>
      <c r="AAC27" s="337"/>
      <c r="AAD27" s="337"/>
      <c r="AAE27" s="337"/>
      <c r="AAF27" s="337"/>
      <c r="AAG27" s="337"/>
      <c r="AAH27" s="337"/>
      <c r="AAI27" s="337"/>
      <c r="AAJ27" s="337"/>
      <c r="AAK27" s="337"/>
      <c r="AAL27" s="337"/>
      <c r="AAM27" s="337"/>
      <c r="AAN27" s="337"/>
      <c r="AAO27" s="337"/>
      <c r="AAP27" s="337"/>
      <c r="AAQ27" s="337"/>
      <c r="AAR27" s="337"/>
      <c r="AAS27" s="337"/>
      <c r="AAT27" s="337"/>
      <c r="AAU27" s="337"/>
      <c r="AAV27" s="337"/>
      <c r="AAW27" s="337"/>
      <c r="AAX27" s="337"/>
      <c r="AAY27" s="337"/>
      <c r="AAZ27" s="337"/>
      <c r="ABA27" s="337"/>
      <c r="ABB27" s="337"/>
      <c r="ABC27" s="337"/>
      <c r="ABD27" s="337"/>
      <c r="ABE27" s="337"/>
      <c r="ABF27" s="337"/>
      <c r="ABG27" s="337"/>
      <c r="ABH27" s="337"/>
      <c r="ABI27" s="337"/>
      <c r="ABJ27" s="337"/>
      <c r="ABK27" s="337"/>
      <c r="ABL27" s="337"/>
      <c r="ABM27" s="337"/>
      <c r="ABN27" s="337"/>
      <c r="ABO27" s="337"/>
      <c r="ABP27" s="337"/>
      <c r="ABQ27" s="337"/>
      <c r="ABR27" s="337"/>
      <c r="ABS27" s="337"/>
      <c r="ABT27" s="337"/>
      <c r="ABU27" s="337"/>
      <c r="ABV27" s="337"/>
      <c r="ABW27" s="337"/>
      <c r="ABX27" s="337"/>
      <c r="ABY27" s="337"/>
      <c r="ABZ27" s="337"/>
      <c r="ACA27" s="337"/>
      <c r="ACB27" s="337"/>
      <c r="ACC27" s="337"/>
      <c r="ACD27" s="337"/>
      <c r="ACE27" s="337"/>
      <c r="ACF27" s="337"/>
      <c r="ACG27" s="337"/>
      <c r="ACH27" s="337"/>
      <c r="ACI27" s="337"/>
      <c r="ACJ27" s="337"/>
      <c r="ACK27" s="337"/>
      <c r="ACL27" s="337"/>
      <c r="ACM27" s="337"/>
      <c r="ACN27" s="337"/>
      <c r="ACO27" s="337"/>
      <c r="ACP27" s="337"/>
      <c r="ACQ27" s="337"/>
      <c r="ACR27" s="337"/>
      <c r="ACS27" s="337"/>
      <c r="ACT27" s="337"/>
      <c r="ACU27" s="337"/>
      <c r="ACV27" s="337"/>
      <c r="ACW27" s="337"/>
      <c r="ACX27" s="337"/>
      <c r="ACY27" s="337"/>
      <c r="ACZ27" s="337"/>
      <c r="ADA27" s="337"/>
      <c r="ADB27" s="337"/>
      <c r="ADC27" s="337"/>
      <c r="ADD27" s="337"/>
      <c r="ADE27" s="337"/>
      <c r="ADF27" s="337"/>
      <c r="ADG27" s="337"/>
      <c r="ADH27" s="337"/>
      <c r="ADI27" s="337"/>
      <c r="ADJ27" s="337"/>
      <c r="ADK27" s="337"/>
      <c r="ADL27" s="337"/>
      <c r="ADM27" s="337"/>
      <c r="ADN27" s="337"/>
      <c r="ADO27" s="337"/>
      <c r="ADP27" s="337"/>
      <c r="ADQ27" s="337"/>
      <c r="ADR27" s="337"/>
      <c r="ADS27" s="337"/>
      <c r="ADT27" s="337"/>
      <c r="ADU27" s="337"/>
      <c r="ADV27" s="337"/>
      <c r="ADW27" s="337"/>
      <c r="ADX27" s="337"/>
      <c r="ADY27" s="337"/>
      <c r="ADZ27" s="337"/>
      <c r="AEA27" s="337"/>
      <c r="AEB27" s="337"/>
      <c r="AEC27" s="337"/>
      <c r="AED27" s="337"/>
      <c r="AEE27" s="337"/>
      <c r="AEF27" s="337"/>
      <c r="AEG27" s="337"/>
      <c r="AEH27" s="337"/>
      <c r="AEI27" s="337"/>
      <c r="AEJ27" s="337"/>
      <c r="AEK27" s="337"/>
      <c r="AEL27" s="337"/>
      <c r="AEM27" s="337"/>
      <c r="AEN27" s="337"/>
      <c r="AEO27" s="337"/>
      <c r="AEP27" s="337"/>
      <c r="AEQ27" s="337"/>
      <c r="AER27" s="337"/>
      <c r="AES27" s="337"/>
      <c r="AET27" s="337"/>
      <c r="AEU27" s="337"/>
      <c r="AEV27" s="337"/>
      <c r="AEW27" s="337"/>
      <c r="AEX27" s="337"/>
      <c r="AEY27" s="337"/>
      <c r="AEZ27" s="337"/>
      <c r="AFA27" s="337"/>
      <c r="AFB27" s="337"/>
      <c r="AFC27" s="337"/>
      <c r="AFD27" s="337"/>
      <c r="AFE27" s="337"/>
      <c r="AFF27" s="337"/>
      <c r="AFG27" s="337"/>
      <c r="AFH27" s="337"/>
      <c r="AFI27" s="337"/>
      <c r="AFJ27" s="337"/>
      <c r="AFK27" s="337"/>
      <c r="AFL27" s="337"/>
      <c r="AFM27" s="337"/>
      <c r="AFN27" s="337"/>
      <c r="AFO27" s="337"/>
      <c r="AFP27" s="337"/>
      <c r="AFQ27" s="337"/>
      <c r="AFR27" s="337"/>
      <c r="AFS27" s="337"/>
      <c r="AFT27" s="337"/>
      <c r="AFU27" s="337"/>
      <c r="AFV27" s="337"/>
      <c r="AFW27" s="337"/>
      <c r="AFX27" s="337"/>
      <c r="AFY27" s="337"/>
      <c r="AFZ27" s="337"/>
      <c r="AGA27" s="337"/>
      <c r="AGB27" s="337"/>
      <c r="AGC27" s="337"/>
      <c r="AGD27" s="337"/>
      <c r="AGE27" s="337"/>
      <c r="AGF27" s="337"/>
      <c r="AGG27" s="337"/>
      <c r="AGH27" s="337"/>
      <c r="AGI27" s="337"/>
      <c r="AGJ27" s="337"/>
      <c r="AGK27" s="337"/>
      <c r="AGL27" s="337"/>
      <c r="AGM27" s="337"/>
      <c r="AGN27" s="337"/>
      <c r="AGO27" s="337"/>
      <c r="AGP27" s="337"/>
      <c r="AGQ27" s="337"/>
      <c r="AGR27" s="337"/>
      <c r="AGS27" s="337"/>
      <c r="AGT27" s="337"/>
      <c r="AGU27" s="337"/>
      <c r="AGV27" s="337"/>
      <c r="AGW27" s="337"/>
      <c r="AGX27" s="337"/>
      <c r="AGY27" s="337"/>
      <c r="AGZ27" s="337"/>
    </row>
    <row r="28" ht="24" customHeight="1" spans="1:884">
      <c r="A28" s="349">
        <v>24</v>
      </c>
      <c r="B28" s="350"/>
      <c r="C28" s="351" t="s">
        <v>120</v>
      </c>
      <c r="D28" s="358"/>
      <c r="E28" s="358"/>
      <c r="F28" s="81">
        <v>3</v>
      </c>
      <c r="G28" s="356" t="s">
        <v>475</v>
      </c>
      <c r="H28" s="357" t="s">
        <v>476</v>
      </c>
      <c r="I28" s="100" t="s">
        <v>124</v>
      </c>
      <c r="J28" s="100"/>
      <c r="K28" s="100"/>
      <c r="L28" s="100"/>
      <c r="M28" s="100"/>
      <c r="N28" s="373" t="s">
        <v>477</v>
      </c>
      <c r="O28" s="374"/>
      <c r="P28" s="376"/>
      <c r="Q28" s="375"/>
      <c r="R28" s="382" t="s">
        <v>130</v>
      </c>
      <c r="S28" s="385"/>
      <c r="T28" s="384"/>
      <c r="U28" s="384"/>
      <c r="V28" s="382" t="s">
        <v>130</v>
      </c>
      <c r="W28" s="386"/>
      <c r="X28" s="349" t="s">
        <v>129</v>
      </c>
      <c r="Y28" s="349" t="s">
        <v>129</v>
      </c>
      <c r="Z28" s="120">
        <f t="shared" si="6"/>
        <v>65</v>
      </c>
      <c r="AA28" s="304" t="str">
        <f t="shared" si="7"/>
        <v>01:05:00</v>
      </c>
      <c r="AB28" s="120">
        <f t="shared" si="8"/>
        <v>3900</v>
      </c>
      <c r="AC28" s="399">
        <v>0.0452199074074074</v>
      </c>
      <c r="AD28" s="400">
        <v>169</v>
      </c>
      <c r="AE28" s="400">
        <v>43</v>
      </c>
      <c r="AF28" s="349" t="s">
        <v>132</v>
      </c>
      <c r="AP28" s="337"/>
      <c r="AQ28" s="337"/>
      <c r="AR28" s="337"/>
      <c r="AS28" s="337"/>
      <c r="AT28" s="337"/>
      <c r="AU28" s="337"/>
      <c r="AV28" s="337"/>
      <c r="AW28" s="337"/>
      <c r="AX28" s="337"/>
      <c r="AY28" s="337"/>
      <c r="AZ28" s="337"/>
      <c r="BA28" s="337"/>
      <c r="BB28" s="337"/>
      <c r="BC28" s="337"/>
      <c r="BD28" s="337"/>
      <c r="BE28" s="337"/>
      <c r="BF28" s="337"/>
      <c r="BG28" s="337"/>
      <c r="BH28" s="337"/>
      <c r="BI28" s="337"/>
      <c r="BJ28" s="337"/>
      <c r="BK28" s="337"/>
      <c r="BL28" s="337"/>
      <c r="BM28" s="337"/>
      <c r="BN28" s="337"/>
      <c r="BO28" s="337"/>
      <c r="BP28" s="337"/>
      <c r="BQ28" s="337"/>
      <c r="BR28" s="337"/>
      <c r="BS28" s="337"/>
      <c r="BT28" s="337"/>
      <c r="BU28" s="337"/>
      <c r="BV28" s="337"/>
      <c r="BW28" s="337"/>
      <c r="BX28" s="337"/>
      <c r="BY28" s="337"/>
      <c r="BZ28" s="337"/>
      <c r="CA28" s="337"/>
      <c r="CB28" s="337"/>
      <c r="CC28" s="337"/>
      <c r="CD28" s="337"/>
      <c r="CE28" s="337"/>
      <c r="CF28" s="337"/>
      <c r="CG28" s="337"/>
      <c r="CH28" s="337"/>
      <c r="CI28" s="337"/>
      <c r="CJ28" s="337"/>
      <c r="CK28" s="337"/>
      <c r="CL28" s="337"/>
      <c r="CM28" s="337"/>
      <c r="CN28" s="337"/>
      <c r="CO28" s="337"/>
      <c r="CP28" s="337"/>
      <c r="CQ28" s="337"/>
      <c r="CR28" s="337"/>
      <c r="CS28" s="337"/>
      <c r="CT28" s="337"/>
      <c r="CU28" s="337"/>
      <c r="CV28" s="337"/>
      <c r="CW28" s="337"/>
      <c r="CX28" s="337"/>
      <c r="CY28" s="337"/>
      <c r="CZ28" s="337"/>
      <c r="DA28" s="337"/>
      <c r="DB28" s="337"/>
      <c r="DC28" s="337"/>
      <c r="DD28" s="337"/>
      <c r="DE28" s="337"/>
      <c r="DF28" s="337"/>
      <c r="DG28" s="337"/>
      <c r="DH28" s="337"/>
      <c r="DI28" s="337"/>
      <c r="DJ28" s="337"/>
      <c r="DK28" s="337"/>
      <c r="DL28" s="337"/>
      <c r="DM28" s="337"/>
      <c r="DN28" s="337"/>
      <c r="DO28" s="337"/>
      <c r="DP28" s="337"/>
      <c r="DQ28" s="337"/>
      <c r="DR28" s="337"/>
      <c r="DS28" s="337"/>
      <c r="DT28" s="337"/>
      <c r="DU28" s="337"/>
      <c r="DV28" s="337"/>
      <c r="DW28" s="337"/>
      <c r="DX28" s="337"/>
      <c r="DY28" s="337"/>
      <c r="DZ28" s="337"/>
      <c r="EA28" s="337"/>
      <c r="EB28" s="337"/>
      <c r="EC28" s="337"/>
      <c r="ED28" s="337"/>
      <c r="EE28" s="337"/>
      <c r="EF28" s="337"/>
      <c r="EG28" s="337"/>
      <c r="EH28" s="337"/>
      <c r="EI28" s="337"/>
      <c r="EJ28" s="337"/>
      <c r="EK28" s="337"/>
      <c r="EL28" s="337"/>
      <c r="EM28" s="337"/>
      <c r="EN28" s="337"/>
      <c r="EO28" s="337"/>
      <c r="EP28" s="337"/>
      <c r="EQ28" s="337"/>
      <c r="ER28" s="337"/>
      <c r="ES28" s="337"/>
      <c r="ET28" s="337"/>
      <c r="EU28" s="337"/>
      <c r="EV28" s="337"/>
      <c r="EW28" s="337"/>
      <c r="EX28" s="337"/>
      <c r="EY28" s="337"/>
      <c r="EZ28" s="337"/>
      <c r="FA28" s="337"/>
      <c r="FB28" s="337"/>
      <c r="FC28" s="337"/>
      <c r="FD28" s="337"/>
      <c r="FE28" s="337"/>
      <c r="FF28" s="337"/>
      <c r="FG28" s="337"/>
      <c r="FH28" s="337"/>
      <c r="FI28" s="337"/>
      <c r="FJ28" s="337"/>
      <c r="FK28" s="337"/>
      <c r="FL28" s="337"/>
      <c r="FM28" s="337"/>
      <c r="FN28" s="337"/>
      <c r="FO28" s="337"/>
      <c r="FP28" s="337"/>
      <c r="FQ28" s="337"/>
      <c r="FR28" s="337"/>
      <c r="FS28" s="337"/>
      <c r="FT28" s="337"/>
      <c r="FU28" s="337"/>
      <c r="FV28" s="337"/>
      <c r="FW28" s="337"/>
      <c r="FX28" s="337"/>
      <c r="FY28" s="337"/>
      <c r="FZ28" s="337"/>
      <c r="GA28" s="337"/>
      <c r="GB28" s="337"/>
      <c r="GC28" s="337"/>
      <c r="GD28" s="337"/>
      <c r="GE28" s="337"/>
      <c r="GF28" s="337"/>
      <c r="GG28" s="337"/>
      <c r="GH28" s="337"/>
      <c r="GI28" s="337"/>
      <c r="GJ28" s="337"/>
      <c r="GK28" s="337"/>
      <c r="GL28" s="337"/>
      <c r="GM28" s="337"/>
      <c r="GN28" s="337"/>
      <c r="GO28" s="337"/>
      <c r="GP28" s="337"/>
      <c r="GQ28" s="337"/>
      <c r="GR28" s="337"/>
      <c r="GS28" s="337"/>
      <c r="GT28" s="337"/>
      <c r="GU28" s="337"/>
      <c r="GV28" s="337"/>
      <c r="GW28" s="337"/>
      <c r="GX28" s="337"/>
      <c r="GY28" s="337"/>
      <c r="GZ28" s="337"/>
      <c r="HA28" s="337"/>
      <c r="HB28" s="337"/>
      <c r="HC28" s="337"/>
      <c r="HD28" s="337"/>
      <c r="HE28" s="337"/>
      <c r="HF28" s="337"/>
      <c r="HG28" s="337"/>
      <c r="HH28" s="337"/>
      <c r="HI28" s="337"/>
      <c r="HJ28" s="337"/>
      <c r="HK28" s="337"/>
      <c r="HL28" s="337"/>
      <c r="HM28" s="337"/>
      <c r="HN28" s="337"/>
      <c r="HO28" s="337"/>
      <c r="HP28" s="337"/>
      <c r="HQ28" s="337"/>
      <c r="HR28" s="337"/>
      <c r="HS28" s="337"/>
      <c r="HT28" s="337"/>
      <c r="HU28" s="337"/>
      <c r="HV28" s="337"/>
      <c r="HW28" s="337"/>
      <c r="HX28" s="337"/>
      <c r="HY28" s="337"/>
      <c r="HZ28" s="337"/>
      <c r="IA28" s="337"/>
      <c r="IB28" s="337"/>
      <c r="IC28" s="337"/>
      <c r="ID28" s="337"/>
      <c r="IE28" s="337"/>
      <c r="IF28" s="337"/>
      <c r="IG28" s="337"/>
      <c r="IH28" s="337"/>
      <c r="II28" s="337"/>
      <c r="IJ28" s="337"/>
      <c r="IK28" s="337"/>
      <c r="IL28" s="337"/>
      <c r="IM28" s="337"/>
      <c r="IN28" s="337"/>
      <c r="IO28" s="337"/>
      <c r="IP28" s="337"/>
      <c r="IQ28" s="337"/>
      <c r="IR28" s="337"/>
      <c r="IS28" s="337"/>
      <c r="IT28" s="337"/>
      <c r="IU28" s="337"/>
      <c r="IV28" s="337"/>
      <c r="IW28" s="337"/>
      <c r="IX28" s="337"/>
      <c r="IY28" s="337"/>
      <c r="IZ28" s="337"/>
      <c r="JA28" s="337"/>
      <c r="JB28" s="337"/>
      <c r="JC28" s="337"/>
      <c r="JD28" s="337"/>
      <c r="JE28" s="337"/>
      <c r="JF28" s="337"/>
      <c r="JG28" s="337"/>
      <c r="JH28" s="337"/>
      <c r="JI28" s="337"/>
      <c r="JJ28" s="337"/>
      <c r="JK28" s="337"/>
      <c r="JL28" s="337"/>
      <c r="JM28" s="337"/>
      <c r="JN28" s="337"/>
      <c r="JO28" s="337"/>
      <c r="JP28" s="337"/>
      <c r="JQ28" s="337"/>
      <c r="JR28" s="337"/>
      <c r="JS28" s="337"/>
      <c r="JT28" s="337"/>
      <c r="JU28" s="337"/>
      <c r="JV28" s="337"/>
      <c r="JW28" s="337"/>
      <c r="JX28" s="337"/>
      <c r="JY28" s="337"/>
      <c r="JZ28" s="337"/>
      <c r="KA28" s="337"/>
      <c r="KB28" s="337"/>
      <c r="KC28" s="337"/>
      <c r="KD28" s="337"/>
      <c r="KE28" s="337"/>
      <c r="KF28" s="337"/>
      <c r="KG28" s="337"/>
      <c r="KH28" s="337"/>
      <c r="KI28" s="337"/>
      <c r="KJ28" s="337"/>
      <c r="KK28" s="337"/>
      <c r="KL28" s="337"/>
      <c r="KM28" s="337"/>
      <c r="KN28" s="337"/>
      <c r="KO28" s="337"/>
      <c r="KP28" s="337"/>
      <c r="KQ28" s="337"/>
      <c r="KR28" s="337"/>
      <c r="KS28" s="337"/>
      <c r="KT28" s="337"/>
      <c r="KU28" s="337"/>
      <c r="KV28" s="337"/>
      <c r="KW28" s="337"/>
      <c r="KX28" s="337"/>
      <c r="KY28" s="337"/>
      <c r="KZ28" s="337"/>
      <c r="LA28" s="337"/>
      <c r="LB28" s="337"/>
      <c r="LC28" s="337"/>
      <c r="LD28" s="337"/>
      <c r="LE28" s="337"/>
      <c r="LF28" s="337"/>
      <c r="LG28" s="337"/>
      <c r="LH28" s="337"/>
      <c r="LI28" s="337"/>
      <c r="LJ28" s="337"/>
      <c r="LK28" s="337"/>
      <c r="LL28" s="337"/>
      <c r="LM28" s="337"/>
      <c r="LN28" s="337"/>
      <c r="LO28" s="337"/>
      <c r="LP28" s="337"/>
      <c r="LQ28" s="337"/>
      <c r="LR28" s="337"/>
      <c r="LS28" s="337"/>
      <c r="LT28" s="337"/>
      <c r="LU28" s="337"/>
      <c r="LV28" s="337"/>
      <c r="LW28" s="337"/>
      <c r="LX28" s="337"/>
      <c r="LY28" s="337"/>
      <c r="LZ28" s="337"/>
      <c r="MA28" s="337"/>
      <c r="MB28" s="337"/>
      <c r="MC28" s="337"/>
      <c r="MD28" s="337"/>
      <c r="ME28" s="337"/>
      <c r="MF28" s="337"/>
      <c r="MG28" s="337"/>
      <c r="MH28" s="337"/>
      <c r="MI28" s="337"/>
      <c r="MJ28" s="337"/>
      <c r="MK28" s="337"/>
      <c r="ML28" s="337"/>
      <c r="MM28" s="337"/>
      <c r="MN28" s="337"/>
      <c r="MO28" s="337"/>
      <c r="MP28" s="337"/>
      <c r="MQ28" s="337"/>
      <c r="MR28" s="337"/>
      <c r="MS28" s="337"/>
      <c r="MT28" s="337"/>
      <c r="MU28" s="337"/>
      <c r="MV28" s="337"/>
      <c r="MW28" s="337"/>
      <c r="MX28" s="337"/>
      <c r="MY28" s="337"/>
      <c r="MZ28" s="337"/>
      <c r="NA28" s="337"/>
      <c r="NB28" s="337"/>
      <c r="NC28" s="337"/>
      <c r="ND28" s="337"/>
      <c r="NE28" s="337"/>
      <c r="NF28" s="337"/>
      <c r="NG28" s="337"/>
      <c r="NH28" s="337"/>
      <c r="NI28" s="337"/>
      <c r="NJ28" s="337"/>
      <c r="NK28" s="337"/>
      <c r="NL28" s="337"/>
      <c r="NM28" s="337"/>
      <c r="NN28" s="337"/>
      <c r="NO28" s="337"/>
      <c r="NP28" s="337"/>
      <c r="NQ28" s="337"/>
      <c r="NR28" s="337"/>
      <c r="NS28" s="337"/>
      <c r="NT28" s="337"/>
      <c r="NU28" s="337"/>
      <c r="NV28" s="337"/>
      <c r="NW28" s="337"/>
      <c r="NX28" s="337"/>
      <c r="NY28" s="337"/>
      <c r="NZ28" s="337"/>
      <c r="OA28" s="337"/>
      <c r="OB28" s="337"/>
      <c r="OC28" s="337"/>
      <c r="OD28" s="337"/>
      <c r="OE28" s="337"/>
      <c r="OF28" s="337"/>
      <c r="OG28" s="337"/>
      <c r="OH28" s="337"/>
      <c r="OI28" s="337"/>
      <c r="OJ28" s="337"/>
      <c r="OK28" s="337"/>
      <c r="OL28" s="337"/>
      <c r="OM28" s="337"/>
      <c r="ON28" s="337"/>
      <c r="OO28" s="337"/>
      <c r="OP28" s="337"/>
      <c r="OQ28" s="337"/>
      <c r="OR28" s="337"/>
      <c r="OS28" s="337"/>
      <c r="OT28" s="337"/>
      <c r="OU28" s="337"/>
      <c r="OV28" s="337"/>
      <c r="OW28" s="337"/>
      <c r="OX28" s="337"/>
      <c r="OY28" s="337"/>
      <c r="OZ28" s="337"/>
      <c r="PA28" s="337"/>
      <c r="PB28" s="337"/>
      <c r="PC28" s="337"/>
      <c r="PD28" s="337"/>
      <c r="PE28" s="337"/>
      <c r="PF28" s="337"/>
      <c r="PG28" s="337"/>
      <c r="PH28" s="337"/>
      <c r="PI28" s="337"/>
      <c r="PJ28" s="337"/>
      <c r="PK28" s="337"/>
      <c r="PL28" s="337"/>
      <c r="PM28" s="337"/>
      <c r="PN28" s="337"/>
      <c r="PO28" s="337"/>
      <c r="PP28" s="337"/>
      <c r="PQ28" s="337"/>
      <c r="PR28" s="337"/>
      <c r="PS28" s="337"/>
      <c r="PT28" s="337"/>
      <c r="PU28" s="337"/>
      <c r="PV28" s="337"/>
      <c r="PW28" s="337"/>
      <c r="PX28" s="337"/>
      <c r="PY28" s="337"/>
      <c r="PZ28" s="337"/>
      <c r="QA28" s="337"/>
      <c r="QB28" s="337"/>
      <c r="QC28" s="337"/>
      <c r="QD28" s="337"/>
      <c r="QE28" s="337"/>
      <c r="QF28" s="337"/>
      <c r="QG28" s="337"/>
      <c r="QH28" s="337"/>
      <c r="QI28" s="337"/>
      <c r="QJ28" s="337"/>
      <c r="QK28" s="337"/>
      <c r="QL28" s="337"/>
      <c r="QM28" s="337"/>
      <c r="QN28" s="337"/>
      <c r="QO28" s="337"/>
      <c r="QP28" s="337"/>
      <c r="QQ28" s="337"/>
      <c r="QR28" s="337"/>
      <c r="QS28" s="337"/>
      <c r="QT28" s="337"/>
      <c r="QU28" s="337"/>
      <c r="QV28" s="337"/>
      <c r="QW28" s="337"/>
      <c r="QX28" s="337"/>
      <c r="QY28" s="337"/>
      <c r="QZ28" s="337"/>
      <c r="RA28" s="337"/>
      <c r="RB28" s="337"/>
      <c r="RC28" s="337"/>
      <c r="RD28" s="337"/>
      <c r="RE28" s="337"/>
      <c r="RF28" s="337"/>
      <c r="RG28" s="337"/>
      <c r="RH28" s="337"/>
      <c r="RI28" s="337"/>
      <c r="RJ28" s="337"/>
      <c r="RK28" s="337"/>
      <c r="RL28" s="337"/>
      <c r="RM28" s="337"/>
      <c r="RN28" s="337"/>
      <c r="RO28" s="337"/>
      <c r="RP28" s="337"/>
      <c r="RQ28" s="337"/>
      <c r="RR28" s="337"/>
      <c r="RS28" s="337"/>
      <c r="RT28" s="337"/>
      <c r="RU28" s="337"/>
      <c r="RV28" s="337"/>
      <c r="RW28" s="337"/>
      <c r="RX28" s="337"/>
      <c r="RY28" s="337"/>
      <c r="RZ28" s="337"/>
      <c r="SA28" s="337"/>
      <c r="SB28" s="337"/>
      <c r="SC28" s="337"/>
      <c r="SD28" s="337"/>
      <c r="SE28" s="337"/>
      <c r="SF28" s="337"/>
      <c r="SG28" s="337"/>
      <c r="SH28" s="337"/>
      <c r="SI28" s="337"/>
      <c r="SJ28" s="337"/>
      <c r="SK28" s="337"/>
      <c r="SL28" s="337"/>
      <c r="SM28" s="337"/>
      <c r="SN28" s="337"/>
      <c r="SO28" s="337"/>
      <c r="SP28" s="337"/>
      <c r="SQ28" s="337"/>
      <c r="SR28" s="337"/>
      <c r="SS28" s="337"/>
      <c r="ST28" s="337"/>
      <c r="SU28" s="337"/>
      <c r="SV28" s="337"/>
      <c r="SW28" s="337"/>
      <c r="SX28" s="337"/>
      <c r="SY28" s="337"/>
      <c r="SZ28" s="337"/>
      <c r="TA28" s="337"/>
      <c r="TB28" s="337"/>
      <c r="TC28" s="337"/>
      <c r="TD28" s="337"/>
      <c r="TE28" s="337"/>
      <c r="TF28" s="337"/>
      <c r="TG28" s="337"/>
      <c r="TH28" s="337"/>
      <c r="TI28" s="337"/>
      <c r="TJ28" s="337"/>
      <c r="TK28" s="337"/>
      <c r="TL28" s="337"/>
      <c r="TM28" s="337"/>
      <c r="TN28" s="337"/>
      <c r="TO28" s="337"/>
      <c r="TP28" s="337"/>
      <c r="TQ28" s="337"/>
      <c r="TR28" s="337"/>
      <c r="TS28" s="337"/>
      <c r="TT28" s="337"/>
      <c r="TU28" s="337"/>
      <c r="TV28" s="337"/>
      <c r="TW28" s="337"/>
      <c r="TX28" s="337"/>
      <c r="TY28" s="337"/>
      <c r="TZ28" s="337"/>
      <c r="UA28" s="337"/>
      <c r="UB28" s="337"/>
      <c r="UC28" s="337"/>
      <c r="UD28" s="337"/>
      <c r="UE28" s="337"/>
      <c r="UF28" s="337"/>
      <c r="UG28" s="337"/>
      <c r="UH28" s="337"/>
      <c r="UI28" s="337"/>
      <c r="UJ28" s="337"/>
      <c r="UK28" s="337"/>
      <c r="UL28" s="337"/>
      <c r="UM28" s="337"/>
      <c r="UN28" s="337"/>
      <c r="UO28" s="337"/>
      <c r="UP28" s="337"/>
      <c r="UQ28" s="337"/>
      <c r="UR28" s="337"/>
      <c r="US28" s="337"/>
      <c r="UT28" s="337"/>
      <c r="UU28" s="337"/>
      <c r="UV28" s="337"/>
      <c r="UW28" s="337"/>
      <c r="UX28" s="337"/>
      <c r="UY28" s="337"/>
      <c r="UZ28" s="337"/>
      <c r="VA28" s="337"/>
      <c r="VB28" s="337"/>
      <c r="VC28" s="337"/>
      <c r="VD28" s="337"/>
      <c r="VE28" s="337"/>
      <c r="VF28" s="337"/>
      <c r="VG28" s="337"/>
      <c r="VH28" s="337"/>
      <c r="VI28" s="337"/>
      <c r="VJ28" s="337"/>
      <c r="VK28" s="337"/>
      <c r="VL28" s="337"/>
      <c r="VM28" s="337"/>
      <c r="VN28" s="337"/>
      <c r="VO28" s="337"/>
      <c r="VP28" s="337"/>
      <c r="VQ28" s="337"/>
      <c r="VR28" s="337"/>
      <c r="VS28" s="337"/>
      <c r="VT28" s="337"/>
      <c r="VU28" s="337"/>
      <c r="VV28" s="337"/>
      <c r="VW28" s="337"/>
      <c r="VX28" s="337"/>
      <c r="VY28" s="337"/>
      <c r="VZ28" s="337"/>
      <c r="WA28" s="337"/>
      <c r="WB28" s="337"/>
      <c r="WC28" s="337"/>
      <c r="WD28" s="337"/>
      <c r="WE28" s="337"/>
      <c r="WF28" s="337"/>
      <c r="WG28" s="337"/>
      <c r="WH28" s="337"/>
      <c r="WI28" s="337"/>
      <c r="WJ28" s="337"/>
      <c r="WK28" s="337"/>
      <c r="WL28" s="337"/>
      <c r="WM28" s="337"/>
      <c r="WN28" s="337"/>
      <c r="WO28" s="337"/>
      <c r="WP28" s="337"/>
      <c r="WQ28" s="337"/>
      <c r="WR28" s="337"/>
      <c r="WS28" s="337"/>
      <c r="WT28" s="337"/>
      <c r="WU28" s="337"/>
      <c r="WV28" s="337"/>
      <c r="WW28" s="337"/>
      <c r="WX28" s="337"/>
      <c r="WY28" s="337"/>
      <c r="WZ28" s="337"/>
      <c r="XA28" s="337"/>
      <c r="XB28" s="337"/>
      <c r="XC28" s="337"/>
      <c r="XD28" s="337"/>
      <c r="XE28" s="337"/>
      <c r="XF28" s="337"/>
      <c r="XG28" s="337"/>
      <c r="XH28" s="337"/>
      <c r="XI28" s="337"/>
      <c r="XJ28" s="337"/>
      <c r="XK28" s="337"/>
      <c r="XL28" s="337"/>
      <c r="XM28" s="337"/>
      <c r="XN28" s="337"/>
      <c r="XO28" s="337"/>
      <c r="XP28" s="337"/>
      <c r="XQ28" s="337"/>
      <c r="XR28" s="337"/>
      <c r="XS28" s="337"/>
      <c r="XT28" s="337"/>
      <c r="XU28" s="337"/>
      <c r="XV28" s="337"/>
      <c r="XW28" s="337"/>
      <c r="XX28" s="337"/>
      <c r="XY28" s="337"/>
      <c r="XZ28" s="337"/>
      <c r="YA28" s="337"/>
      <c r="YB28" s="337"/>
      <c r="YC28" s="337"/>
      <c r="YD28" s="337"/>
      <c r="YE28" s="337"/>
      <c r="YF28" s="337"/>
      <c r="YG28" s="337"/>
      <c r="YH28" s="337"/>
      <c r="YI28" s="337"/>
      <c r="YJ28" s="337"/>
      <c r="YK28" s="337"/>
      <c r="YL28" s="337"/>
      <c r="YM28" s="337"/>
      <c r="YN28" s="337"/>
      <c r="YO28" s="337"/>
      <c r="YP28" s="337"/>
      <c r="YQ28" s="337"/>
      <c r="YR28" s="337"/>
      <c r="YS28" s="337"/>
      <c r="YT28" s="337"/>
      <c r="YU28" s="337"/>
      <c r="YV28" s="337"/>
      <c r="YW28" s="337"/>
      <c r="YX28" s="337"/>
      <c r="YY28" s="337"/>
      <c r="YZ28" s="337"/>
      <c r="ZA28" s="337"/>
      <c r="ZB28" s="337"/>
      <c r="ZC28" s="337"/>
      <c r="ZD28" s="337"/>
      <c r="ZE28" s="337"/>
      <c r="ZF28" s="337"/>
      <c r="ZG28" s="337"/>
      <c r="ZH28" s="337"/>
      <c r="ZI28" s="337"/>
      <c r="ZJ28" s="337"/>
      <c r="ZK28" s="337"/>
      <c r="ZL28" s="337"/>
      <c r="ZM28" s="337"/>
      <c r="ZN28" s="337"/>
      <c r="ZO28" s="337"/>
      <c r="ZP28" s="337"/>
      <c r="ZQ28" s="337"/>
      <c r="ZR28" s="337"/>
      <c r="ZS28" s="337"/>
      <c r="ZT28" s="337"/>
      <c r="ZU28" s="337"/>
      <c r="ZV28" s="337"/>
      <c r="ZW28" s="337"/>
      <c r="ZX28" s="337"/>
      <c r="ZY28" s="337"/>
      <c r="ZZ28" s="337"/>
      <c r="AAA28" s="337"/>
      <c r="AAB28" s="337"/>
      <c r="AAC28" s="337"/>
      <c r="AAD28" s="337"/>
      <c r="AAE28" s="337"/>
      <c r="AAF28" s="337"/>
      <c r="AAG28" s="337"/>
      <c r="AAH28" s="337"/>
      <c r="AAI28" s="337"/>
      <c r="AAJ28" s="337"/>
      <c r="AAK28" s="337"/>
      <c r="AAL28" s="337"/>
      <c r="AAM28" s="337"/>
      <c r="AAN28" s="337"/>
      <c r="AAO28" s="337"/>
      <c r="AAP28" s="337"/>
      <c r="AAQ28" s="337"/>
      <c r="AAR28" s="337"/>
      <c r="AAS28" s="337"/>
      <c r="AAT28" s="337"/>
      <c r="AAU28" s="337"/>
      <c r="AAV28" s="337"/>
      <c r="AAW28" s="337"/>
      <c r="AAX28" s="337"/>
      <c r="AAY28" s="337"/>
      <c r="AAZ28" s="337"/>
      <c r="ABA28" s="337"/>
      <c r="ABB28" s="337"/>
      <c r="ABC28" s="337"/>
      <c r="ABD28" s="337"/>
      <c r="ABE28" s="337"/>
      <c r="ABF28" s="337"/>
      <c r="ABG28" s="337"/>
      <c r="ABH28" s="337"/>
      <c r="ABI28" s="337"/>
      <c r="ABJ28" s="337"/>
      <c r="ABK28" s="337"/>
      <c r="ABL28" s="337"/>
      <c r="ABM28" s="337"/>
      <c r="ABN28" s="337"/>
      <c r="ABO28" s="337"/>
      <c r="ABP28" s="337"/>
      <c r="ABQ28" s="337"/>
      <c r="ABR28" s="337"/>
      <c r="ABS28" s="337"/>
      <c r="ABT28" s="337"/>
      <c r="ABU28" s="337"/>
      <c r="ABV28" s="337"/>
      <c r="ABW28" s="337"/>
      <c r="ABX28" s="337"/>
      <c r="ABY28" s="337"/>
      <c r="ABZ28" s="337"/>
      <c r="ACA28" s="337"/>
      <c r="ACB28" s="337"/>
      <c r="ACC28" s="337"/>
      <c r="ACD28" s="337"/>
      <c r="ACE28" s="337"/>
      <c r="ACF28" s="337"/>
      <c r="ACG28" s="337"/>
      <c r="ACH28" s="337"/>
      <c r="ACI28" s="337"/>
      <c r="ACJ28" s="337"/>
      <c r="ACK28" s="337"/>
      <c r="ACL28" s="337"/>
      <c r="ACM28" s="337"/>
      <c r="ACN28" s="337"/>
      <c r="ACO28" s="337"/>
      <c r="ACP28" s="337"/>
      <c r="ACQ28" s="337"/>
      <c r="ACR28" s="337"/>
      <c r="ACS28" s="337"/>
      <c r="ACT28" s="337"/>
      <c r="ACU28" s="337"/>
      <c r="ACV28" s="337"/>
      <c r="ACW28" s="337"/>
      <c r="ACX28" s="337"/>
      <c r="ACY28" s="337"/>
      <c r="ACZ28" s="337"/>
      <c r="ADA28" s="337"/>
      <c r="ADB28" s="337"/>
      <c r="ADC28" s="337"/>
      <c r="ADD28" s="337"/>
      <c r="ADE28" s="337"/>
      <c r="ADF28" s="337"/>
      <c r="ADG28" s="337"/>
      <c r="ADH28" s="337"/>
      <c r="ADI28" s="337"/>
      <c r="ADJ28" s="337"/>
      <c r="ADK28" s="337"/>
      <c r="ADL28" s="337"/>
      <c r="ADM28" s="337"/>
      <c r="ADN28" s="337"/>
      <c r="ADO28" s="337"/>
      <c r="ADP28" s="337"/>
      <c r="ADQ28" s="337"/>
      <c r="ADR28" s="337"/>
      <c r="ADS28" s="337"/>
      <c r="ADT28" s="337"/>
      <c r="ADU28" s="337"/>
      <c r="ADV28" s="337"/>
      <c r="ADW28" s="337"/>
      <c r="ADX28" s="337"/>
      <c r="ADY28" s="337"/>
      <c r="ADZ28" s="337"/>
      <c r="AEA28" s="337"/>
      <c r="AEB28" s="337"/>
      <c r="AEC28" s="337"/>
      <c r="AED28" s="337"/>
      <c r="AEE28" s="337"/>
      <c r="AEF28" s="337"/>
      <c r="AEG28" s="337"/>
      <c r="AEH28" s="337"/>
      <c r="AEI28" s="337"/>
      <c r="AEJ28" s="337"/>
      <c r="AEK28" s="337"/>
      <c r="AEL28" s="337"/>
      <c r="AEM28" s="337"/>
      <c r="AEN28" s="337"/>
      <c r="AEO28" s="337"/>
      <c r="AEP28" s="337"/>
      <c r="AEQ28" s="337"/>
      <c r="AER28" s="337"/>
      <c r="AES28" s="337"/>
      <c r="AET28" s="337"/>
      <c r="AEU28" s="337"/>
      <c r="AEV28" s="337"/>
      <c r="AEW28" s="337"/>
      <c r="AEX28" s="337"/>
      <c r="AEY28" s="337"/>
      <c r="AEZ28" s="337"/>
      <c r="AFA28" s="337"/>
      <c r="AFB28" s="337"/>
      <c r="AFC28" s="337"/>
      <c r="AFD28" s="337"/>
      <c r="AFE28" s="337"/>
      <c r="AFF28" s="337"/>
      <c r="AFG28" s="337"/>
      <c r="AFH28" s="337"/>
      <c r="AFI28" s="337"/>
      <c r="AFJ28" s="337"/>
      <c r="AFK28" s="337"/>
      <c r="AFL28" s="337"/>
      <c r="AFM28" s="337"/>
      <c r="AFN28" s="337"/>
      <c r="AFO28" s="337"/>
      <c r="AFP28" s="337"/>
      <c r="AFQ28" s="337"/>
      <c r="AFR28" s="337"/>
      <c r="AFS28" s="337"/>
      <c r="AFT28" s="337"/>
      <c r="AFU28" s="337"/>
      <c r="AFV28" s="337"/>
      <c r="AFW28" s="337"/>
      <c r="AFX28" s="337"/>
      <c r="AFY28" s="337"/>
      <c r="AFZ28" s="337"/>
      <c r="AGA28" s="337"/>
      <c r="AGB28" s="337"/>
      <c r="AGC28" s="337"/>
      <c r="AGD28" s="337"/>
      <c r="AGE28" s="337"/>
      <c r="AGF28" s="337"/>
      <c r="AGG28" s="337"/>
      <c r="AGH28" s="337"/>
      <c r="AGI28" s="337"/>
      <c r="AGJ28" s="337"/>
      <c r="AGK28" s="337"/>
      <c r="AGL28" s="337"/>
      <c r="AGM28" s="337"/>
      <c r="AGN28" s="337"/>
      <c r="AGO28" s="337"/>
      <c r="AGP28" s="337"/>
      <c r="AGQ28" s="337"/>
      <c r="AGR28" s="337"/>
      <c r="AGS28" s="337"/>
      <c r="AGT28" s="337"/>
      <c r="AGU28" s="337"/>
      <c r="AGV28" s="337"/>
      <c r="AGW28" s="337"/>
      <c r="AGX28" s="337"/>
      <c r="AGY28" s="337"/>
      <c r="AGZ28" s="337"/>
    </row>
    <row r="29" ht="24" customHeight="1" spans="1:884">
      <c r="A29" s="349">
        <v>25</v>
      </c>
      <c r="B29" s="350"/>
      <c r="C29" s="351" t="s">
        <v>120</v>
      </c>
      <c r="D29" s="358"/>
      <c r="E29" s="358"/>
      <c r="F29" s="81">
        <v>4</v>
      </c>
      <c r="G29" s="356" t="s">
        <v>478</v>
      </c>
      <c r="H29" s="357" t="s">
        <v>479</v>
      </c>
      <c r="I29" s="100" t="s">
        <v>124</v>
      </c>
      <c r="J29" s="100"/>
      <c r="K29" s="100"/>
      <c r="L29" s="100"/>
      <c r="M29" s="100"/>
      <c r="N29" s="373" t="s">
        <v>480</v>
      </c>
      <c r="O29" s="374"/>
      <c r="P29" s="376"/>
      <c r="Q29" s="375"/>
      <c r="R29" s="382" t="s">
        <v>130</v>
      </c>
      <c r="S29" s="385"/>
      <c r="T29" s="384"/>
      <c r="U29" s="384"/>
      <c r="V29" s="382" t="s">
        <v>130</v>
      </c>
      <c r="W29" s="386"/>
      <c r="X29" s="349" t="s">
        <v>129</v>
      </c>
      <c r="Y29" s="349" t="s">
        <v>129</v>
      </c>
      <c r="Z29" s="120">
        <f t="shared" si="6"/>
        <v>73</v>
      </c>
      <c r="AA29" s="304" t="str">
        <f t="shared" si="7"/>
        <v>01:13:00</v>
      </c>
      <c r="AB29" s="120">
        <f t="shared" si="8"/>
        <v>4380</v>
      </c>
      <c r="AC29" s="399">
        <v>0.050775462962963</v>
      </c>
      <c r="AD29" s="400">
        <v>169</v>
      </c>
      <c r="AE29" s="400">
        <v>43</v>
      </c>
      <c r="AF29" s="349" t="s">
        <v>132</v>
      </c>
      <c r="AP29" s="337"/>
      <c r="AQ29" s="337"/>
      <c r="AR29" s="337"/>
      <c r="AS29" s="337"/>
      <c r="AT29" s="337"/>
      <c r="AU29" s="337"/>
      <c r="AV29" s="337"/>
      <c r="AW29" s="337"/>
      <c r="AX29" s="337"/>
      <c r="AY29" s="337"/>
      <c r="AZ29" s="337"/>
      <c r="BA29" s="337"/>
      <c r="BB29" s="337"/>
      <c r="BC29" s="337"/>
      <c r="BD29" s="337"/>
      <c r="BE29" s="337"/>
      <c r="BF29" s="337"/>
      <c r="BG29" s="337"/>
      <c r="BH29" s="337"/>
      <c r="BI29" s="337"/>
      <c r="BJ29" s="337"/>
      <c r="BK29" s="337"/>
      <c r="BL29" s="337"/>
      <c r="BM29" s="337"/>
      <c r="BN29" s="337"/>
      <c r="BO29" s="337"/>
      <c r="BP29" s="337"/>
      <c r="BQ29" s="337"/>
      <c r="BR29" s="337"/>
      <c r="BS29" s="337"/>
      <c r="BT29" s="337"/>
      <c r="BU29" s="337"/>
      <c r="BV29" s="337"/>
      <c r="BW29" s="337"/>
      <c r="BX29" s="337"/>
      <c r="BY29" s="337"/>
      <c r="BZ29" s="337"/>
      <c r="CA29" s="337"/>
      <c r="CB29" s="337"/>
      <c r="CC29" s="337"/>
      <c r="CD29" s="337"/>
      <c r="CE29" s="337"/>
      <c r="CF29" s="337"/>
      <c r="CG29" s="337"/>
      <c r="CH29" s="337"/>
      <c r="CI29" s="337"/>
      <c r="CJ29" s="337"/>
      <c r="CK29" s="337"/>
      <c r="CL29" s="337"/>
      <c r="CM29" s="337"/>
      <c r="CN29" s="337"/>
      <c r="CO29" s="337"/>
      <c r="CP29" s="337"/>
      <c r="CQ29" s="337"/>
      <c r="CR29" s="337"/>
      <c r="CS29" s="337"/>
      <c r="CT29" s="337"/>
      <c r="CU29" s="337"/>
      <c r="CV29" s="337"/>
      <c r="CW29" s="337"/>
      <c r="CX29" s="337"/>
      <c r="CY29" s="337"/>
      <c r="CZ29" s="337"/>
      <c r="DA29" s="337"/>
      <c r="DB29" s="337"/>
      <c r="DC29" s="337"/>
      <c r="DD29" s="337"/>
      <c r="DE29" s="337"/>
      <c r="DF29" s="337"/>
      <c r="DG29" s="337"/>
      <c r="DH29" s="337"/>
      <c r="DI29" s="337"/>
      <c r="DJ29" s="337"/>
      <c r="DK29" s="337"/>
      <c r="DL29" s="337"/>
      <c r="DM29" s="337"/>
      <c r="DN29" s="337"/>
      <c r="DO29" s="337"/>
      <c r="DP29" s="337"/>
      <c r="DQ29" s="337"/>
      <c r="DR29" s="337"/>
      <c r="DS29" s="337"/>
      <c r="DT29" s="337"/>
      <c r="DU29" s="337"/>
      <c r="DV29" s="337"/>
      <c r="DW29" s="337"/>
      <c r="DX29" s="337"/>
      <c r="DY29" s="337"/>
      <c r="DZ29" s="337"/>
      <c r="EA29" s="337"/>
      <c r="EB29" s="337"/>
      <c r="EC29" s="337"/>
      <c r="ED29" s="337"/>
      <c r="EE29" s="337"/>
      <c r="EF29" s="337"/>
      <c r="EG29" s="337"/>
      <c r="EH29" s="337"/>
      <c r="EI29" s="337"/>
      <c r="EJ29" s="337"/>
      <c r="EK29" s="337"/>
      <c r="EL29" s="337"/>
      <c r="EM29" s="337"/>
      <c r="EN29" s="337"/>
      <c r="EO29" s="337"/>
      <c r="EP29" s="337"/>
      <c r="EQ29" s="337"/>
      <c r="ER29" s="337"/>
      <c r="ES29" s="337"/>
      <c r="ET29" s="337"/>
      <c r="EU29" s="337"/>
      <c r="EV29" s="337"/>
      <c r="EW29" s="337"/>
      <c r="EX29" s="337"/>
      <c r="EY29" s="337"/>
      <c r="EZ29" s="337"/>
      <c r="FA29" s="337"/>
      <c r="FB29" s="337"/>
      <c r="FC29" s="337"/>
      <c r="FD29" s="337"/>
      <c r="FE29" s="337"/>
      <c r="FF29" s="337"/>
      <c r="FG29" s="337"/>
      <c r="FH29" s="337"/>
      <c r="FI29" s="337"/>
      <c r="FJ29" s="337"/>
      <c r="FK29" s="337"/>
      <c r="FL29" s="337"/>
      <c r="FM29" s="337"/>
      <c r="FN29" s="337"/>
      <c r="FO29" s="337"/>
      <c r="FP29" s="337"/>
      <c r="FQ29" s="337"/>
      <c r="FR29" s="337"/>
      <c r="FS29" s="337"/>
      <c r="FT29" s="337"/>
      <c r="FU29" s="337"/>
      <c r="FV29" s="337"/>
      <c r="FW29" s="337"/>
      <c r="FX29" s="337"/>
      <c r="FY29" s="337"/>
      <c r="FZ29" s="337"/>
      <c r="GA29" s="337"/>
      <c r="GB29" s="337"/>
      <c r="GC29" s="337"/>
      <c r="GD29" s="337"/>
      <c r="GE29" s="337"/>
      <c r="GF29" s="337"/>
      <c r="GG29" s="337"/>
      <c r="GH29" s="337"/>
      <c r="GI29" s="337"/>
      <c r="GJ29" s="337"/>
      <c r="GK29" s="337"/>
      <c r="GL29" s="337"/>
      <c r="GM29" s="337"/>
      <c r="GN29" s="337"/>
      <c r="GO29" s="337"/>
      <c r="GP29" s="337"/>
      <c r="GQ29" s="337"/>
      <c r="GR29" s="337"/>
      <c r="GS29" s="337"/>
      <c r="GT29" s="337"/>
      <c r="GU29" s="337"/>
      <c r="GV29" s="337"/>
      <c r="GW29" s="337"/>
      <c r="GX29" s="337"/>
      <c r="GY29" s="337"/>
      <c r="GZ29" s="337"/>
      <c r="HA29" s="337"/>
      <c r="HB29" s="337"/>
      <c r="HC29" s="337"/>
      <c r="HD29" s="337"/>
      <c r="HE29" s="337"/>
      <c r="HF29" s="337"/>
      <c r="HG29" s="337"/>
      <c r="HH29" s="337"/>
      <c r="HI29" s="337"/>
      <c r="HJ29" s="337"/>
      <c r="HK29" s="337"/>
      <c r="HL29" s="337"/>
      <c r="HM29" s="337"/>
      <c r="HN29" s="337"/>
      <c r="HO29" s="337"/>
      <c r="HP29" s="337"/>
      <c r="HQ29" s="337"/>
      <c r="HR29" s="337"/>
      <c r="HS29" s="337"/>
      <c r="HT29" s="337"/>
      <c r="HU29" s="337"/>
      <c r="HV29" s="337"/>
      <c r="HW29" s="337"/>
      <c r="HX29" s="337"/>
      <c r="HY29" s="337"/>
      <c r="HZ29" s="337"/>
      <c r="IA29" s="337"/>
      <c r="IB29" s="337"/>
      <c r="IC29" s="337"/>
      <c r="ID29" s="337"/>
      <c r="IE29" s="337"/>
      <c r="IF29" s="337"/>
      <c r="IG29" s="337"/>
      <c r="IH29" s="337"/>
      <c r="II29" s="337"/>
      <c r="IJ29" s="337"/>
      <c r="IK29" s="337"/>
      <c r="IL29" s="337"/>
      <c r="IM29" s="337"/>
      <c r="IN29" s="337"/>
      <c r="IO29" s="337"/>
      <c r="IP29" s="337"/>
      <c r="IQ29" s="337"/>
      <c r="IR29" s="337"/>
      <c r="IS29" s="337"/>
      <c r="IT29" s="337"/>
      <c r="IU29" s="337"/>
      <c r="IV29" s="337"/>
      <c r="IW29" s="337"/>
      <c r="IX29" s="337"/>
      <c r="IY29" s="337"/>
      <c r="IZ29" s="337"/>
      <c r="JA29" s="337"/>
      <c r="JB29" s="337"/>
      <c r="JC29" s="337"/>
      <c r="JD29" s="337"/>
      <c r="JE29" s="337"/>
      <c r="JF29" s="337"/>
      <c r="JG29" s="337"/>
      <c r="JH29" s="337"/>
      <c r="JI29" s="337"/>
      <c r="JJ29" s="337"/>
      <c r="JK29" s="337"/>
      <c r="JL29" s="337"/>
      <c r="JM29" s="337"/>
      <c r="JN29" s="337"/>
      <c r="JO29" s="337"/>
      <c r="JP29" s="337"/>
      <c r="JQ29" s="337"/>
      <c r="JR29" s="337"/>
      <c r="JS29" s="337"/>
      <c r="JT29" s="337"/>
      <c r="JU29" s="337"/>
      <c r="JV29" s="337"/>
      <c r="JW29" s="337"/>
      <c r="JX29" s="337"/>
      <c r="JY29" s="337"/>
      <c r="JZ29" s="337"/>
      <c r="KA29" s="337"/>
      <c r="KB29" s="337"/>
      <c r="KC29" s="337"/>
      <c r="KD29" s="337"/>
      <c r="KE29" s="337"/>
      <c r="KF29" s="337"/>
      <c r="KG29" s="337"/>
      <c r="KH29" s="337"/>
      <c r="KI29" s="337"/>
      <c r="KJ29" s="337"/>
      <c r="KK29" s="337"/>
      <c r="KL29" s="337"/>
      <c r="KM29" s="337"/>
      <c r="KN29" s="337"/>
      <c r="KO29" s="337"/>
      <c r="KP29" s="337"/>
      <c r="KQ29" s="337"/>
      <c r="KR29" s="337"/>
      <c r="KS29" s="337"/>
      <c r="KT29" s="337"/>
      <c r="KU29" s="337"/>
      <c r="KV29" s="337"/>
      <c r="KW29" s="337"/>
      <c r="KX29" s="337"/>
      <c r="KY29" s="337"/>
      <c r="KZ29" s="337"/>
      <c r="LA29" s="337"/>
      <c r="LB29" s="337"/>
      <c r="LC29" s="337"/>
      <c r="LD29" s="337"/>
      <c r="LE29" s="337"/>
      <c r="LF29" s="337"/>
      <c r="LG29" s="337"/>
      <c r="LH29" s="337"/>
      <c r="LI29" s="337"/>
      <c r="LJ29" s="337"/>
      <c r="LK29" s="337"/>
      <c r="LL29" s="337"/>
      <c r="LM29" s="337"/>
      <c r="LN29" s="337"/>
      <c r="LO29" s="337"/>
      <c r="LP29" s="337"/>
      <c r="LQ29" s="337"/>
      <c r="LR29" s="337"/>
      <c r="LS29" s="337"/>
      <c r="LT29" s="337"/>
      <c r="LU29" s="337"/>
      <c r="LV29" s="337"/>
      <c r="LW29" s="337"/>
      <c r="LX29" s="337"/>
      <c r="LY29" s="337"/>
      <c r="LZ29" s="337"/>
      <c r="MA29" s="337"/>
      <c r="MB29" s="337"/>
      <c r="MC29" s="337"/>
      <c r="MD29" s="337"/>
      <c r="ME29" s="337"/>
      <c r="MF29" s="337"/>
      <c r="MG29" s="337"/>
      <c r="MH29" s="337"/>
      <c r="MI29" s="337"/>
      <c r="MJ29" s="337"/>
      <c r="MK29" s="337"/>
      <c r="ML29" s="337"/>
      <c r="MM29" s="337"/>
      <c r="MN29" s="337"/>
      <c r="MO29" s="337"/>
      <c r="MP29" s="337"/>
      <c r="MQ29" s="337"/>
      <c r="MR29" s="337"/>
      <c r="MS29" s="337"/>
      <c r="MT29" s="337"/>
      <c r="MU29" s="337"/>
      <c r="MV29" s="337"/>
      <c r="MW29" s="337"/>
      <c r="MX29" s="337"/>
      <c r="MY29" s="337"/>
      <c r="MZ29" s="337"/>
      <c r="NA29" s="337"/>
      <c r="NB29" s="337"/>
      <c r="NC29" s="337"/>
      <c r="ND29" s="337"/>
      <c r="NE29" s="337"/>
      <c r="NF29" s="337"/>
      <c r="NG29" s="337"/>
      <c r="NH29" s="337"/>
      <c r="NI29" s="337"/>
      <c r="NJ29" s="337"/>
      <c r="NK29" s="337"/>
      <c r="NL29" s="337"/>
      <c r="NM29" s="337"/>
      <c r="NN29" s="337"/>
      <c r="NO29" s="337"/>
      <c r="NP29" s="337"/>
      <c r="NQ29" s="337"/>
      <c r="NR29" s="337"/>
      <c r="NS29" s="337"/>
      <c r="NT29" s="337"/>
      <c r="NU29" s="337"/>
      <c r="NV29" s="337"/>
      <c r="NW29" s="337"/>
      <c r="NX29" s="337"/>
      <c r="NY29" s="337"/>
      <c r="NZ29" s="337"/>
      <c r="OA29" s="337"/>
      <c r="OB29" s="337"/>
      <c r="OC29" s="337"/>
      <c r="OD29" s="337"/>
      <c r="OE29" s="337"/>
      <c r="OF29" s="337"/>
      <c r="OG29" s="337"/>
      <c r="OH29" s="337"/>
      <c r="OI29" s="337"/>
      <c r="OJ29" s="337"/>
      <c r="OK29" s="337"/>
      <c r="OL29" s="337"/>
      <c r="OM29" s="337"/>
      <c r="ON29" s="337"/>
      <c r="OO29" s="337"/>
      <c r="OP29" s="337"/>
      <c r="OQ29" s="337"/>
      <c r="OR29" s="337"/>
      <c r="OS29" s="337"/>
      <c r="OT29" s="337"/>
      <c r="OU29" s="337"/>
      <c r="OV29" s="337"/>
      <c r="OW29" s="337"/>
      <c r="OX29" s="337"/>
      <c r="OY29" s="337"/>
      <c r="OZ29" s="337"/>
      <c r="PA29" s="337"/>
      <c r="PB29" s="337"/>
      <c r="PC29" s="337"/>
      <c r="PD29" s="337"/>
      <c r="PE29" s="337"/>
      <c r="PF29" s="337"/>
      <c r="PG29" s="337"/>
      <c r="PH29" s="337"/>
      <c r="PI29" s="337"/>
      <c r="PJ29" s="337"/>
      <c r="PK29" s="337"/>
      <c r="PL29" s="337"/>
      <c r="PM29" s="337"/>
      <c r="PN29" s="337"/>
      <c r="PO29" s="337"/>
      <c r="PP29" s="337"/>
      <c r="PQ29" s="337"/>
      <c r="PR29" s="337"/>
      <c r="PS29" s="337"/>
      <c r="PT29" s="337"/>
      <c r="PU29" s="337"/>
      <c r="PV29" s="337"/>
      <c r="PW29" s="337"/>
      <c r="PX29" s="337"/>
      <c r="PY29" s="337"/>
      <c r="PZ29" s="337"/>
      <c r="QA29" s="337"/>
      <c r="QB29" s="337"/>
      <c r="QC29" s="337"/>
      <c r="QD29" s="337"/>
      <c r="QE29" s="337"/>
      <c r="QF29" s="337"/>
      <c r="QG29" s="337"/>
      <c r="QH29" s="337"/>
      <c r="QI29" s="337"/>
      <c r="QJ29" s="337"/>
      <c r="QK29" s="337"/>
      <c r="QL29" s="337"/>
      <c r="QM29" s="337"/>
      <c r="QN29" s="337"/>
      <c r="QO29" s="337"/>
      <c r="QP29" s="337"/>
      <c r="QQ29" s="337"/>
      <c r="QR29" s="337"/>
      <c r="QS29" s="337"/>
      <c r="QT29" s="337"/>
      <c r="QU29" s="337"/>
      <c r="QV29" s="337"/>
      <c r="QW29" s="337"/>
      <c r="QX29" s="337"/>
      <c r="QY29" s="337"/>
      <c r="QZ29" s="337"/>
      <c r="RA29" s="337"/>
      <c r="RB29" s="337"/>
      <c r="RC29" s="337"/>
      <c r="RD29" s="337"/>
      <c r="RE29" s="337"/>
      <c r="RF29" s="337"/>
      <c r="RG29" s="337"/>
      <c r="RH29" s="337"/>
      <c r="RI29" s="337"/>
      <c r="RJ29" s="337"/>
      <c r="RK29" s="337"/>
      <c r="RL29" s="337"/>
      <c r="RM29" s="337"/>
      <c r="RN29" s="337"/>
      <c r="RO29" s="337"/>
      <c r="RP29" s="337"/>
      <c r="RQ29" s="337"/>
      <c r="RR29" s="337"/>
      <c r="RS29" s="337"/>
      <c r="RT29" s="337"/>
      <c r="RU29" s="337"/>
      <c r="RV29" s="337"/>
      <c r="RW29" s="337"/>
      <c r="RX29" s="337"/>
      <c r="RY29" s="337"/>
      <c r="RZ29" s="337"/>
      <c r="SA29" s="337"/>
      <c r="SB29" s="337"/>
      <c r="SC29" s="337"/>
      <c r="SD29" s="337"/>
      <c r="SE29" s="337"/>
      <c r="SF29" s="337"/>
      <c r="SG29" s="337"/>
      <c r="SH29" s="337"/>
      <c r="SI29" s="337"/>
      <c r="SJ29" s="337"/>
      <c r="SK29" s="337"/>
      <c r="SL29" s="337"/>
      <c r="SM29" s="337"/>
      <c r="SN29" s="337"/>
      <c r="SO29" s="337"/>
      <c r="SP29" s="337"/>
      <c r="SQ29" s="337"/>
      <c r="SR29" s="337"/>
      <c r="SS29" s="337"/>
      <c r="ST29" s="337"/>
      <c r="SU29" s="337"/>
      <c r="SV29" s="337"/>
      <c r="SW29" s="337"/>
      <c r="SX29" s="337"/>
      <c r="SY29" s="337"/>
      <c r="SZ29" s="337"/>
      <c r="TA29" s="337"/>
      <c r="TB29" s="337"/>
      <c r="TC29" s="337"/>
      <c r="TD29" s="337"/>
      <c r="TE29" s="337"/>
      <c r="TF29" s="337"/>
      <c r="TG29" s="337"/>
      <c r="TH29" s="337"/>
      <c r="TI29" s="337"/>
      <c r="TJ29" s="337"/>
      <c r="TK29" s="337"/>
      <c r="TL29" s="337"/>
      <c r="TM29" s="337"/>
      <c r="TN29" s="337"/>
      <c r="TO29" s="337"/>
      <c r="TP29" s="337"/>
      <c r="TQ29" s="337"/>
      <c r="TR29" s="337"/>
      <c r="TS29" s="337"/>
      <c r="TT29" s="337"/>
      <c r="TU29" s="337"/>
      <c r="TV29" s="337"/>
      <c r="TW29" s="337"/>
      <c r="TX29" s="337"/>
      <c r="TY29" s="337"/>
      <c r="TZ29" s="337"/>
      <c r="UA29" s="337"/>
      <c r="UB29" s="337"/>
      <c r="UC29" s="337"/>
      <c r="UD29" s="337"/>
      <c r="UE29" s="337"/>
      <c r="UF29" s="337"/>
      <c r="UG29" s="337"/>
      <c r="UH29" s="337"/>
      <c r="UI29" s="337"/>
      <c r="UJ29" s="337"/>
      <c r="UK29" s="337"/>
      <c r="UL29" s="337"/>
      <c r="UM29" s="337"/>
      <c r="UN29" s="337"/>
      <c r="UO29" s="337"/>
      <c r="UP29" s="337"/>
      <c r="UQ29" s="337"/>
      <c r="UR29" s="337"/>
      <c r="US29" s="337"/>
      <c r="UT29" s="337"/>
      <c r="UU29" s="337"/>
      <c r="UV29" s="337"/>
      <c r="UW29" s="337"/>
      <c r="UX29" s="337"/>
      <c r="UY29" s="337"/>
      <c r="UZ29" s="337"/>
      <c r="VA29" s="337"/>
      <c r="VB29" s="337"/>
      <c r="VC29" s="337"/>
      <c r="VD29" s="337"/>
      <c r="VE29" s="337"/>
      <c r="VF29" s="337"/>
      <c r="VG29" s="337"/>
      <c r="VH29" s="337"/>
      <c r="VI29" s="337"/>
      <c r="VJ29" s="337"/>
      <c r="VK29" s="337"/>
      <c r="VL29" s="337"/>
      <c r="VM29" s="337"/>
      <c r="VN29" s="337"/>
      <c r="VO29" s="337"/>
      <c r="VP29" s="337"/>
      <c r="VQ29" s="337"/>
      <c r="VR29" s="337"/>
      <c r="VS29" s="337"/>
      <c r="VT29" s="337"/>
      <c r="VU29" s="337"/>
      <c r="VV29" s="337"/>
      <c r="VW29" s="337"/>
      <c r="VX29" s="337"/>
      <c r="VY29" s="337"/>
      <c r="VZ29" s="337"/>
      <c r="WA29" s="337"/>
      <c r="WB29" s="337"/>
      <c r="WC29" s="337"/>
      <c r="WD29" s="337"/>
      <c r="WE29" s="337"/>
      <c r="WF29" s="337"/>
      <c r="WG29" s="337"/>
      <c r="WH29" s="337"/>
      <c r="WI29" s="337"/>
      <c r="WJ29" s="337"/>
      <c r="WK29" s="337"/>
      <c r="WL29" s="337"/>
      <c r="WM29" s="337"/>
      <c r="WN29" s="337"/>
      <c r="WO29" s="337"/>
      <c r="WP29" s="337"/>
      <c r="WQ29" s="337"/>
      <c r="WR29" s="337"/>
      <c r="WS29" s="337"/>
      <c r="WT29" s="337"/>
      <c r="WU29" s="337"/>
      <c r="WV29" s="337"/>
      <c r="WW29" s="337"/>
      <c r="WX29" s="337"/>
      <c r="WY29" s="337"/>
      <c r="WZ29" s="337"/>
      <c r="XA29" s="337"/>
      <c r="XB29" s="337"/>
      <c r="XC29" s="337"/>
      <c r="XD29" s="337"/>
      <c r="XE29" s="337"/>
      <c r="XF29" s="337"/>
      <c r="XG29" s="337"/>
      <c r="XH29" s="337"/>
      <c r="XI29" s="337"/>
      <c r="XJ29" s="337"/>
      <c r="XK29" s="337"/>
      <c r="XL29" s="337"/>
      <c r="XM29" s="337"/>
      <c r="XN29" s="337"/>
      <c r="XO29" s="337"/>
      <c r="XP29" s="337"/>
      <c r="XQ29" s="337"/>
      <c r="XR29" s="337"/>
      <c r="XS29" s="337"/>
      <c r="XT29" s="337"/>
      <c r="XU29" s="337"/>
      <c r="XV29" s="337"/>
      <c r="XW29" s="337"/>
      <c r="XX29" s="337"/>
      <c r="XY29" s="337"/>
      <c r="XZ29" s="337"/>
      <c r="YA29" s="337"/>
      <c r="YB29" s="337"/>
      <c r="YC29" s="337"/>
      <c r="YD29" s="337"/>
      <c r="YE29" s="337"/>
      <c r="YF29" s="337"/>
      <c r="YG29" s="337"/>
      <c r="YH29" s="337"/>
      <c r="YI29" s="337"/>
      <c r="YJ29" s="337"/>
      <c r="YK29" s="337"/>
      <c r="YL29" s="337"/>
      <c r="YM29" s="337"/>
      <c r="YN29" s="337"/>
      <c r="YO29" s="337"/>
      <c r="YP29" s="337"/>
      <c r="YQ29" s="337"/>
      <c r="YR29" s="337"/>
      <c r="YS29" s="337"/>
      <c r="YT29" s="337"/>
      <c r="YU29" s="337"/>
      <c r="YV29" s="337"/>
      <c r="YW29" s="337"/>
      <c r="YX29" s="337"/>
      <c r="YY29" s="337"/>
      <c r="YZ29" s="337"/>
      <c r="ZA29" s="337"/>
      <c r="ZB29" s="337"/>
      <c r="ZC29" s="337"/>
      <c r="ZD29" s="337"/>
      <c r="ZE29" s="337"/>
      <c r="ZF29" s="337"/>
      <c r="ZG29" s="337"/>
      <c r="ZH29" s="337"/>
      <c r="ZI29" s="337"/>
      <c r="ZJ29" s="337"/>
      <c r="ZK29" s="337"/>
      <c r="ZL29" s="337"/>
      <c r="ZM29" s="337"/>
      <c r="ZN29" s="337"/>
      <c r="ZO29" s="337"/>
      <c r="ZP29" s="337"/>
      <c r="ZQ29" s="337"/>
      <c r="ZR29" s="337"/>
      <c r="ZS29" s="337"/>
      <c r="ZT29" s="337"/>
      <c r="ZU29" s="337"/>
      <c r="ZV29" s="337"/>
      <c r="ZW29" s="337"/>
      <c r="ZX29" s="337"/>
      <c r="ZY29" s="337"/>
      <c r="ZZ29" s="337"/>
      <c r="AAA29" s="337"/>
      <c r="AAB29" s="337"/>
      <c r="AAC29" s="337"/>
      <c r="AAD29" s="337"/>
      <c r="AAE29" s="337"/>
      <c r="AAF29" s="337"/>
      <c r="AAG29" s="337"/>
      <c r="AAH29" s="337"/>
      <c r="AAI29" s="337"/>
      <c r="AAJ29" s="337"/>
      <c r="AAK29" s="337"/>
      <c r="AAL29" s="337"/>
      <c r="AAM29" s="337"/>
      <c r="AAN29" s="337"/>
      <c r="AAO29" s="337"/>
      <c r="AAP29" s="337"/>
      <c r="AAQ29" s="337"/>
      <c r="AAR29" s="337"/>
      <c r="AAS29" s="337"/>
      <c r="AAT29" s="337"/>
      <c r="AAU29" s="337"/>
      <c r="AAV29" s="337"/>
      <c r="AAW29" s="337"/>
      <c r="AAX29" s="337"/>
      <c r="AAY29" s="337"/>
      <c r="AAZ29" s="337"/>
      <c r="ABA29" s="337"/>
      <c r="ABB29" s="337"/>
      <c r="ABC29" s="337"/>
      <c r="ABD29" s="337"/>
      <c r="ABE29" s="337"/>
      <c r="ABF29" s="337"/>
      <c r="ABG29" s="337"/>
      <c r="ABH29" s="337"/>
      <c r="ABI29" s="337"/>
      <c r="ABJ29" s="337"/>
      <c r="ABK29" s="337"/>
      <c r="ABL29" s="337"/>
      <c r="ABM29" s="337"/>
      <c r="ABN29" s="337"/>
      <c r="ABO29" s="337"/>
      <c r="ABP29" s="337"/>
      <c r="ABQ29" s="337"/>
      <c r="ABR29" s="337"/>
      <c r="ABS29" s="337"/>
      <c r="ABT29" s="337"/>
      <c r="ABU29" s="337"/>
      <c r="ABV29" s="337"/>
      <c r="ABW29" s="337"/>
      <c r="ABX29" s="337"/>
      <c r="ABY29" s="337"/>
      <c r="ABZ29" s="337"/>
      <c r="ACA29" s="337"/>
      <c r="ACB29" s="337"/>
      <c r="ACC29" s="337"/>
      <c r="ACD29" s="337"/>
      <c r="ACE29" s="337"/>
      <c r="ACF29" s="337"/>
      <c r="ACG29" s="337"/>
      <c r="ACH29" s="337"/>
      <c r="ACI29" s="337"/>
      <c r="ACJ29" s="337"/>
      <c r="ACK29" s="337"/>
      <c r="ACL29" s="337"/>
      <c r="ACM29" s="337"/>
      <c r="ACN29" s="337"/>
      <c r="ACO29" s="337"/>
      <c r="ACP29" s="337"/>
      <c r="ACQ29" s="337"/>
      <c r="ACR29" s="337"/>
      <c r="ACS29" s="337"/>
      <c r="ACT29" s="337"/>
      <c r="ACU29" s="337"/>
      <c r="ACV29" s="337"/>
      <c r="ACW29" s="337"/>
      <c r="ACX29" s="337"/>
      <c r="ACY29" s="337"/>
      <c r="ACZ29" s="337"/>
      <c r="ADA29" s="337"/>
      <c r="ADB29" s="337"/>
      <c r="ADC29" s="337"/>
      <c r="ADD29" s="337"/>
      <c r="ADE29" s="337"/>
      <c r="ADF29" s="337"/>
      <c r="ADG29" s="337"/>
      <c r="ADH29" s="337"/>
      <c r="ADI29" s="337"/>
      <c r="ADJ29" s="337"/>
      <c r="ADK29" s="337"/>
      <c r="ADL29" s="337"/>
      <c r="ADM29" s="337"/>
      <c r="ADN29" s="337"/>
      <c r="ADO29" s="337"/>
      <c r="ADP29" s="337"/>
      <c r="ADQ29" s="337"/>
      <c r="ADR29" s="337"/>
      <c r="ADS29" s="337"/>
      <c r="ADT29" s="337"/>
      <c r="ADU29" s="337"/>
      <c r="ADV29" s="337"/>
      <c r="ADW29" s="337"/>
      <c r="ADX29" s="337"/>
      <c r="ADY29" s="337"/>
      <c r="ADZ29" s="337"/>
      <c r="AEA29" s="337"/>
      <c r="AEB29" s="337"/>
      <c r="AEC29" s="337"/>
      <c r="AED29" s="337"/>
      <c r="AEE29" s="337"/>
      <c r="AEF29" s="337"/>
      <c r="AEG29" s="337"/>
      <c r="AEH29" s="337"/>
      <c r="AEI29" s="337"/>
      <c r="AEJ29" s="337"/>
      <c r="AEK29" s="337"/>
      <c r="AEL29" s="337"/>
      <c r="AEM29" s="337"/>
      <c r="AEN29" s="337"/>
      <c r="AEO29" s="337"/>
      <c r="AEP29" s="337"/>
      <c r="AEQ29" s="337"/>
      <c r="AER29" s="337"/>
      <c r="AES29" s="337"/>
      <c r="AET29" s="337"/>
      <c r="AEU29" s="337"/>
      <c r="AEV29" s="337"/>
      <c r="AEW29" s="337"/>
      <c r="AEX29" s="337"/>
      <c r="AEY29" s="337"/>
      <c r="AEZ29" s="337"/>
      <c r="AFA29" s="337"/>
      <c r="AFB29" s="337"/>
      <c r="AFC29" s="337"/>
      <c r="AFD29" s="337"/>
      <c r="AFE29" s="337"/>
      <c r="AFF29" s="337"/>
      <c r="AFG29" s="337"/>
      <c r="AFH29" s="337"/>
      <c r="AFI29" s="337"/>
      <c r="AFJ29" s="337"/>
      <c r="AFK29" s="337"/>
      <c r="AFL29" s="337"/>
      <c r="AFM29" s="337"/>
      <c r="AFN29" s="337"/>
      <c r="AFO29" s="337"/>
      <c r="AFP29" s="337"/>
      <c r="AFQ29" s="337"/>
      <c r="AFR29" s="337"/>
      <c r="AFS29" s="337"/>
      <c r="AFT29" s="337"/>
      <c r="AFU29" s="337"/>
      <c r="AFV29" s="337"/>
      <c r="AFW29" s="337"/>
      <c r="AFX29" s="337"/>
      <c r="AFY29" s="337"/>
      <c r="AFZ29" s="337"/>
      <c r="AGA29" s="337"/>
      <c r="AGB29" s="337"/>
      <c r="AGC29" s="337"/>
      <c r="AGD29" s="337"/>
      <c r="AGE29" s="337"/>
      <c r="AGF29" s="337"/>
      <c r="AGG29" s="337"/>
      <c r="AGH29" s="337"/>
      <c r="AGI29" s="337"/>
      <c r="AGJ29" s="337"/>
      <c r="AGK29" s="337"/>
      <c r="AGL29" s="337"/>
      <c r="AGM29" s="337"/>
      <c r="AGN29" s="337"/>
      <c r="AGO29" s="337"/>
      <c r="AGP29" s="337"/>
      <c r="AGQ29" s="337"/>
      <c r="AGR29" s="337"/>
      <c r="AGS29" s="337"/>
      <c r="AGT29" s="337"/>
      <c r="AGU29" s="337"/>
      <c r="AGV29" s="337"/>
      <c r="AGW29" s="337"/>
      <c r="AGX29" s="337"/>
      <c r="AGY29" s="337"/>
      <c r="AGZ29" s="337"/>
    </row>
    <row r="30" ht="24" customHeight="1" spans="1:884">
      <c r="A30" s="349">
        <v>26</v>
      </c>
      <c r="B30" s="350"/>
      <c r="C30" s="351" t="s">
        <v>120</v>
      </c>
      <c r="D30" s="358"/>
      <c r="E30" s="358"/>
      <c r="F30" s="81">
        <v>5</v>
      </c>
      <c r="G30" s="356" t="s">
        <v>481</v>
      </c>
      <c r="H30" s="357" t="s">
        <v>482</v>
      </c>
      <c r="I30" s="100" t="s">
        <v>124</v>
      </c>
      <c r="J30" s="100"/>
      <c r="K30" s="100"/>
      <c r="L30" s="100"/>
      <c r="M30" s="100"/>
      <c r="N30" s="373" t="s">
        <v>483</v>
      </c>
      <c r="O30" s="374"/>
      <c r="P30" s="376"/>
      <c r="Q30" s="375"/>
      <c r="R30" s="382" t="s">
        <v>130</v>
      </c>
      <c r="S30" s="385"/>
      <c r="T30" s="384"/>
      <c r="U30" s="384"/>
      <c r="V30" s="382" t="s">
        <v>130</v>
      </c>
      <c r="W30" s="386"/>
      <c r="X30" s="349" t="s">
        <v>129</v>
      </c>
      <c r="Y30" s="349" t="s">
        <v>129</v>
      </c>
      <c r="Z30" s="120">
        <f t="shared" si="6"/>
        <v>56</v>
      </c>
      <c r="AA30" s="304" t="str">
        <f t="shared" si="7"/>
        <v>00:56:00</v>
      </c>
      <c r="AB30" s="120">
        <f t="shared" si="8"/>
        <v>3360</v>
      </c>
      <c r="AC30" s="399">
        <v>0.0386805555555556</v>
      </c>
      <c r="AD30" s="400">
        <v>169</v>
      </c>
      <c r="AE30" s="400">
        <v>43</v>
      </c>
      <c r="AF30" s="349" t="s">
        <v>132</v>
      </c>
      <c r="AP30" s="337"/>
      <c r="AQ30" s="337"/>
      <c r="AR30" s="337"/>
      <c r="AS30" s="337"/>
      <c r="AT30" s="337"/>
      <c r="AU30" s="337"/>
      <c r="AV30" s="337"/>
      <c r="AW30" s="337"/>
      <c r="AX30" s="337"/>
      <c r="AY30" s="337"/>
      <c r="AZ30" s="337"/>
      <c r="BA30" s="337"/>
      <c r="BB30" s="337"/>
      <c r="BC30" s="337"/>
      <c r="BD30" s="337"/>
      <c r="BE30" s="337"/>
      <c r="BF30" s="337"/>
      <c r="BG30" s="337"/>
      <c r="BH30" s="337"/>
      <c r="BI30" s="337"/>
      <c r="BJ30" s="337"/>
      <c r="BK30" s="337"/>
      <c r="BL30" s="337"/>
      <c r="BM30" s="337"/>
      <c r="BN30" s="337"/>
      <c r="BO30" s="337"/>
      <c r="BP30" s="337"/>
      <c r="BQ30" s="337"/>
      <c r="BR30" s="337"/>
      <c r="BS30" s="337"/>
      <c r="BT30" s="337"/>
      <c r="BU30" s="337"/>
      <c r="BV30" s="337"/>
      <c r="BW30" s="337"/>
      <c r="BX30" s="337"/>
      <c r="BY30" s="337"/>
      <c r="BZ30" s="337"/>
      <c r="CA30" s="337"/>
      <c r="CB30" s="337"/>
      <c r="CC30" s="337"/>
      <c r="CD30" s="337"/>
      <c r="CE30" s="337"/>
      <c r="CF30" s="337"/>
      <c r="CG30" s="337"/>
      <c r="CH30" s="337"/>
      <c r="CI30" s="337"/>
      <c r="CJ30" s="337"/>
      <c r="CK30" s="337"/>
      <c r="CL30" s="337"/>
      <c r="CM30" s="337"/>
      <c r="CN30" s="337"/>
      <c r="CO30" s="337"/>
      <c r="CP30" s="337"/>
      <c r="CQ30" s="337"/>
      <c r="CR30" s="337"/>
      <c r="CS30" s="337"/>
      <c r="CT30" s="337"/>
      <c r="CU30" s="337"/>
      <c r="CV30" s="337"/>
      <c r="CW30" s="337"/>
      <c r="CX30" s="337"/>
      <c r="CY30" s="337"/>
      <c r="CZ30" s="337"/>
      <c r="DA30" s="337"/>
      <c r="DB30" s="337"/>
      <c r="DC30" s="337"/>
      <c r="DD30" s="337"/>
      <c r="DE30" s="337"/>
      <c r="DF30" s="337"/>
      <c r="DG30" s="337"/>
      <c r="DH30" s="337"/>
      <c r="DI30" s="337"/>
      <c r="DJ30" s="337"/>
      <c r="DK30" s="337"/>
      <c r="DL30" s="337"/>
      <c r="DM30" s="337"/>
      <c r="DN30" s="337"/>
      <c r="DO30" s="337"/>
      <c r="DP30" s="337"/>
      <c r="DQ30" s="337"/>
      <c r="DR30" s="337"/>
      <c r="DS30" s="337"/>
      <c r="DT30" s="337"/>
      <c r="DU30" s="337"/>
      <c r="DV30" s="337"/>
      <c r="DW30" s="337"/>
      <c r="DX30" s="337"/>
      <c r="DY30" s="337"/>
      <c r="DZ30" s="337"/>
      <c r="EA30" s="337"/>
      <c r="EB30" s="337"/>
      <c r="EC30" s="337"/>
      <c r="ED30" s="337"/>
      <c r="EE30" s="337"/>
      <c r="EF30" s="337"/>
      <c r="EG30" s="337"/>
      <c r="EH30" s="337"/>
      <c r="EI30" s="337"/>
      <c r="EJ30" s="337"/>
      <c r="EK30" s="337"/>
      <c r="EL30" s="337"/>
      <c r="EM30" s="337"/>
      <c r="EN30" s="337"/>
      <c r="EO30" s="337"/>
      <c r="EP30" s="337"/>
      <c r="EQ30" s="337"/>
      <c r="ER30" s="337"/>
      <c r="ES30" s="337"/>
      <c r="ET30" s="337"/>
      <c r="EU30" s="337"/>
      <c r="EV30" s="337"/>
      <c r="EW30" s="337"/>
      <c r="EX30" s="337"/>
      <c r="EY30" s="337"/>
      <c r="EZ30" s="337"/>
      <c r="FA30" s="337"/>
      <c r="FB30" s="337"/>
      <c r="FC30" s="337"/>
      <c r="FD30" s="337"/>
      <c r="FE30" s="337"/>
      <c r="FF30" s="337"/>
      <c r="FG30" s="337"/>
      <c r="FH30" s="337"/>
      <c r="FI30" s="337"/>
      <c r="FJ30" s="337"/>
      <c r="FK30" s="337"/>
      <c r="FL30" s="337"/>
      <c r="FM30" s="337"/>
      <c r="FN30" s="337"/>
      <c r="FO30" s="337"/>
      <c r="FP30" s="337"/>
      <c r="FQ30" s="337"/>
      <c r="FR30" s="337"/>
      <c r="FS30" s="337"/>
      <c r="FT30" s="337"/>
      <c r="FU30" s="337"/>
      <c r="FV30" s="337"/>
      <c r="FW30" s="337"/>
      <c r="FX30" s="337"/>
      <c r="FY30" s="337"/>
      <c r="FZ30" s="337"/>
      <c r="GA30" s="337"/>
      <c r="GB30" s="337"/>
      <c r="GC30" s="337"/>
      <c r="GD30" s="337"/>
      <c r="GE30" s="337"/>
      <c r="GF30" s="337"/>
      <c r="GG30" s="337"/>
      <c r="GH30" s="337"/>
      <c r="GI30" s="337"/>
      <c r="GJ30" s="337"/>
      <c r="GK30" s="337"/>
      <c r="GL30" s="337"/>
      <c r="GM30" s="337"/>
      <c r="GN30" s="337"/>
      <c r="GO30" s="337"/>
      <c r="GP30" s="337"/>
      <c r="GQ30" s="337"/>
      <c r="GR30" s="337"/>
      <c r="GS30" s="337"/>
      <c r="GT30" s="337"/>
      <c r="GU30" s="337"/>
      <c r="GV30" s="337"/>
      <c r="GW30" s="337"/>
      <c r="GX30" s="337"/>
      <c r="GY30" s="337"/>
      <c r="GZ30" s="337"/>
      <c r="HA30" s="337"/>
      <c r="HB30" s="337"/>
      <c r="HC30" s="337"/>
      <c r="HD30" s="337"/>
      <c r="HE30" s="337"/>
      <c r="HF30" s="337"/>
      <c r="HG30" s="337"/>
      <c r="HH30" s="337"/>
      <c r="HI30" s="337"/>
      <c r="HJ30" s="337"/>
      <c r="HK30" s="337"/>
      <c r="HL30" s="337"/>
      <c r="HM30" s="337"/>
      <c r="HN30" s="337"/>
      <c r="HO30" s="337"/>
      <c r="HP30" s="337"/>
      <c r="HQ30" s="337"/>
      <c r="HR30" s="337"/>
      <c r="HS30" s="337"/>
      <c r="HT30" s="337"/>
      <c r="HU30" s="337"/>
      <c r="HV30" s="337"/>
      <c r="HW30" s="337"/>
      <c r="HX30" s="337"/>
      <c r="HY30" s="337"/>
      <c r="HZ30" s="337"/>
      <c r="IA30" s="337"/>
      <c r="IB30" s="337"/>
      <c r="IC30" s="337"/>
      <c r="ID30" s="337"/>
      <c r="IE30" s="337"/>
      <c r="IF30" s="337"/>
      <c r="IG30" s="337"/>
      <c r="IH30" s="337"/>
      <c r="II30" s="337"/>
      <c r="IJ30" s="337"/>
      <c r="IK30" s="337"/>
      <c r="IL30" s="337"/>
      <c r="IM30" s="337"/>
      <c r="IN30" s="337"/>
      <c r="IO30" s="337"/>
      <c r="IP30" s="337"/>
      <c r="IQ30" s="337"/>
      <c r="IR30" s="337"/>
      <c r="IS30" s="337"/>
      <c r="IT30" s="337"/>
      <c r="IU30" s="337"/>
      <c r="IV30" s="337"/>
      <c r="IW30" s="337"/>
      <c r="IX30" s="337"/>
      <c r="IY30" s="337"/>
      <c r="IZ30" s="337"/>
      <c r="JA30" s="337"/>
      <c r="JB30" s="337"/>
      <c r="JC30" s="337"/>
      <c r="JD30" s="337"/>
      <c r="JE30" s="337"/>
      <c r="JF30" s="337"/>
      <c r="JG30" s="337"/>
      <c r="JH30" s="337"/>
      <c r="JI30" s="337"/>
      <c r="JJ30" s="337"/>
      <c r="JK30" s="337"/>
      <c r="JL30" s="337"/>
      <c r="JM30" s="337"/>
      <c r="JN30" s="337"/>
      <c r="JO30" s="337"/>
      <c r="JP30" s="337"/>
      <c r="JQ30" s="337"/>
      <c r="JR30" s="337"/>
      <c r="JS30" s="337"/>
      <c r="JT30" s="337"/>
      <c r="JU30" s="337"/>
      <c r="JV30" s="337"/>
      <c r="JW30" s="337"/>
      <c r="JX30" s="337"/>
      <c r="JY30" s="337"/>
      <c r="JZ30" s="337"/>
      <c r="KA30" s="337"/>
      <c r="KB30" s="337"/>
      <c r="KC30" s="337"/>
      <c r="KD30" s="337"/>
      <c r="KE30" s="337"/>
      <c r="KF30" s="337"/>
      <c r="KG30" s="337"/>
      <c r="KH30" s="337"/>
      <c r="KI30" s="337"/>
      <c r="KJ30" s="337"/>
      <c r="KK30" s="337"/>
      <c r="KL30" s="337"/>
      <c r="KM30" s="337"/>
      <c r="KN30" s="337"/>
      <c r="KO30" s="337"/>
      <c r="KP30" s="337"/>
      <c r="KQ30" s="337"/>
      <c r="KR30" s="337"/>
      <c r="KS30" s="337"/>
      <c r="KT30" s="337"/>
      <c r="KU30" s="337"/>
      <c r="KV30" s="337"/>
      <c r="KW30" s="337"/>
      <c r="KX30" s="337"/>
      <c r="KY30" s="337"/>
      <c r="KZ30" s="337"/>
      <c r="LA30" s="337"/>
      <c r="LB30" s="337"/>
      <c r="LC30" s="337"/>
      <c r="LD30" s="337"/>
      <c r="LE30" s="337"/>
      <c r="LF30" s="337"/>
      <c r="LG30" s="337"/>
      <c r="LH30" s="337"/>
      <c r="LI30" s="337"/>
      <c r="LJ30" s="337"/>
      <c r="LK30" s="337"/>
      <c r="LL30" s="337"/>
      <c r="LM30" s="337"/>
      <c r="LN30" s="337"/>
      <c r="LO30" s="337"/>
      <c r="LP30" s="337"/>
      <c r="LQ30" s="337"/>
      <c r="LR30" s="337"/>
      <c r="LS30" s="337"/>
      <c r="LT30" s="337"/>
      <c r="LU30" s="337"/>
      <c r="LV30" s="337"/>
      <c r="LW30" s="337"/>
      <c r="LX30" s="337"/>
      <c r="LY30" s="337"/>
      <c r="LZ30" s="337"/>
      <c r="MA30" s="337"/>
      <c r="MB30" s="337"/>
      <c r="MC30" s="337"/>
      <c r="MD30" s="337"/>
      <c r="ME30" s="337"/>
      <c r="MF30" s="337"/>
      <c r="MG30" s="337"/>
      <c r="MH30" s="337"/>
      <c r="MI30" s="337"/>
      <c r="MJ30" s="337"/>
      <c r="MK30" s="337"/>
      <c r="ML30" s="337"/>
      <c r="MM30" s="337"/>
      <c r="MN30" s="337"/>
      <c r="MO30" s="337"/>
      <c r="MP30" s="337"/>
      <c r="MQ30" s="337"/>
      <c r="MR30" s="337"/>
      <c r="MS30" s="337"/>
      <c r="MT30" s="337"/>
      <c r="MU30" s="337"/>
      <c r="MV30" s="337"/>
      <c r="MW30" s="337"/>
      <c r="MX30" s="337"/>
      <c r="MY30" s="337"/>
      <c r="MZ30" s="337"/>
      <c r="NA30" s="337"/>
      <c r="NB30" s="337"/>
      <c r="NC30" s="337"/>
      <c r="ND30" s="337"/>
      <c r="NE30" s="337"/>
      <c r="NF30" s="337"/>
      <c r="NG30" s="337"/>
      <c r="NH30" s="337"/>
      <c r="NI30" s="337"/>
      <c r="NJ30" s="337"/>
      <c r="NK30" s="337"/>
      <c r="NL30" s="337"/>
      <c r="NM30" s="337"/>
      <c r="NN30" s="337"/>
      <c r="NO30" s="337"/>
      <c r="NP30" s="337"/>
      <c r="NQ30" s="337"/>
      <c r="NR30" s="337"/>
      <c r="NS30" s="337"/>
      <c r="NT30" s="337"/>
      <c r="NU30" s="337"/>
      <c r="NV30" s="337"/>
      <c r="NW30" s="337"/>
      <c r="NX30" s="337"/>
      <c r="NY30" s="337"/>
      <c r="NZ30" s="337"/>
      <c r="OA30" s="337"/>
      <c r="OB30" s="337"/>
      <c r="OC30" s="337"/>
      <c r="OD30" s="337"/>
      <c r="OE30" s="337"/>
      <c r="OF30" s="337"/>
      <c r="OG30" s="337"/>
      <c r="OH30" s="337"/>
      <c r="OI30" s="337"/>
      <c r="OJ30" s="337"/>
      <c r="OK30" s="337"/>
      <c r="OL30" s="337"/>
      <c r="OM30" s="337"/>
      <c r="ON30" s="337"/>
      <c r="OO30" s="337"/>
      <c r="OP30" s="337"/>
      <c r="OQ30" s="337"/>
      <c r="OR30" s="337"/>
      <c r="OS30" s="337"/>
      <c r="OT30" s="337"/>
      <c r="OU30" s="337"/>
      <c r="OV30" s="337"/>
      <c r="OW30" s="337"/>
      <c r="OX30" s="337"/>
      <c r="OY30" s="337"/>
      <c r="OZ30" s="337"/>
      <c r="PA30" s="337"/>
      <c r="PB30" s="337"/>
      <c r="PC30" s="337"/>
      <c r="PD30" s="337"/>
      <c r="PE30" s="337"/>
      <c r="PF30" s="337"/>
      <c r="PG30" s="337"/>
      <c r="PH30" s="337"/>
      <c r="PI30" s="337"/>
      <c r="PJ30" s="337"/>
      <c r="PK30" s="337"/>
      <c r="PL30" s="337"/>
      <c r="PM30" s="337"/>
      <c r="PN30" s="337"/>
      <c r="PO30" s="337"/>
      <c r="PP30" s="337"/>
      <c r="PQ30" s="337"/>
      <c r="PR30" s="337"/>
      <c r="PS30" s="337"/>
      <c r="PT30" s="337"/>
      <c r="PU30" s="337"/>
      <c r="PV30" s="337"/>
      <c r="PW30" s="337"/>
      <c r="PX30" s="337"/>
      <c r="PY30" s="337"/>
      <c r="PZ30" s="337"/>
      <c r="QA30" s="337"/>
      <c r="QB30" s="337"/>
      <c r="QC30" s="337"/>
      <c r="QD30" s="337"/>
      <c r="QE30" s="337"/>
      <c r="QF30" s="337"/>
      <c r="QG30" s="337"/>
      <c r="QH30" s="337"/>
      <c r="QI30" s="337"/>
      <c r="QJ30" s="337"/>
      <c r="QK30" s="337"/>
      <c r="QL30" s="337"/>
      <c r="QM30" s="337"/>
      <c r="QN30" s="337"/>
      <c r="QO30" s="337"/>
      <c r="QP30" s="337"/>
      <c r="QQ30" s="337"/>
      <c r="QR30" s="337"/>
      <c r="QS30" s="337"/>
      <c r="QT30" s="337"/>
      <c r="QU30" s="337"/>
      <c r="QV30" s="337"/>
      <c r="QW30" s="337"/>
      <c r="QX30" s="337"/>
      <c r="QY30" s="337"/>
      <c r="QZ30" s="337"/>
      <c r="RA30" s="337"/>
      <c r="RB30" s="337"/>
      <c r="RC30" s="337"/>
      <c r="RD30" s="337"/>
      <c r="RE30" s="337"/>
      <c r="RF30" s="337"/>
      <c r="RG30" s="337"/>
      <c r="RH30" s="337"/>
      <c r="RI30" s="337"/>
      <c r="RJ30" s="337"/>
      <c r="RK30" s="337"/>
      <c r="RL30" s="337"/>
      <c r="RM30" s="337"/>
      <c r="RN30" s="337"/>
      <c r="RO30" s="337"/>
      <c r="RP30" s="337"/>
      <c r="RQ30" s="337"/>
      <c r="RR30" s="337"/>
      <c r="RS30" s="337"/>
      <c r="RT30" s="337"/>
      <c r="RU30" s="337"/>
      <c r="RV30" s="337"/>
      <c r="RW30" s="337"/>
      <c r="RX30" s="337"/>
      <c r="RY30" s="337"/>
      <c r="RZ30" s="337"/>
      <c r="SA30" s="337"/>
      <c r="SB30" s="337"/>
      <c r="SC30" s="337"/>
      <c r="SD30" s="337"/>
      <c r="SE30" s="337"/>
      <c r="SF30" s="337"/>
      <c r="SG30" s="337"/>
      <c r="SH30" s="337"/>
      <c r="SI30" s="337"/>
      <c r="SJ30" s="337"/>
      <c r="SK30" s="337"/>
      <c r="SL30" s="337"/>
      <c r="SM30" s="337"/>
      <c r="SN30" s="337"/>
      <c r="SO30" s="337"/>
      <c r="SP30" s="337"/>
      <c r="SQ30" s="337"/>
      <c r="SR30" s="337"/>
      <c r="SS30" s="337"/>
      <c r="ST30" s="337"/>
      <c r="SU30" s="337"/>
      <c r="SV30" s="337"/>
      <c r="SW30" s="337"/>
      <c r="SX30" s="337"/>
      <c r="SY30" s="337"/>
      <c r="SZ30" s="337"/>
      <c r="TA30" s="337"/>
      <c r="TB30" s="337"/>
      <c r="TC30" s="337"/>
      <c r="TD30" s="337"/>
      <c r="TE30" s="337"/>
      <c r="TF30" s="337"/>
      <c r="TG30" s="337"/>
      <c r="TH30" s="337"/>
      <c r="TI30" s="337"/>
      <c r="TJ30" s="337"/>
      <c r="TK30" s="337"/>
      <c r="TL30" s="337"/>
      <c r="TM30" s="337"/>
      <c r="TN30" s="337"/>
      <c r="TO30" s="337"/>
      <c r="TP30" s="337"/>
      <c r="TQ30" s="337"/>
      <c r="TR30" s="337"/>
      <c r="TS30" s="337"/>
      <c r="TT30" s="337"/>
      <c r="TU30" s="337"/>
      <c r="TV30" s="337"/>
      <c r="TW30" s="337"/>
      <c r="TX30" s="337"/>
      <c r="TY30" s="337"/>
      <c r="TZ30" s="337"/>
      <c r="UA30" s="337"/>
      <c r="UB30" s="337"/>
      <c r="UC30" s="337"/>
      <c r="UD30" s="337"/>
      <c r="UE30" s="337"/>
      <c r="UF30" s="337"/>
      <c r="UG30" s="337"/>
      <c r="UH30" s="337"/>
      <c r="UI30" s="337"/>
      <c r="UJ30" s="337"/>
      <c r="UK30" s="337"/>
      <c r="UL30" s="337"/>
      <c r="UM30" s="337"/>
      <c r="UN30" s="337"/>
      <c r="UO30" s="337"/>
      <c r="UP30" s="337"/>
      <c r="UQ30" s="337"/>
      <c r="UR30" s="337"/>
      <c r="US30" s="337"/>
      <c r="UT30" s="337"/>
      <c r="UU30" s="337"/>
      <c r="UV30" s="337"/>
      <c r="UW30" s="337"/>
      <c r="UX30" s="337"/>
      <c r="UY30" s="337"/>
      <c r="UZ30" s="337"/>
      <c r="VA30" s="337"/>
      <c r="VB30" s="337"/>
      <c r="VC30" s="337"/>
      <c r="VD30" s="337"/>
      <c r="VE30" s="337"/>
      <c r="VF30" s="337"/>
      <c r="VG30" s="337"/>
      <c r="VH30" s="337"/>
      <c r="VI30" s="337"/>
      <c r="VJ30" s="337"/>
      <c r="VK30" s="337"/>
      <c r="VL30" s="337"/>
      <c r="VM30" s="337"/>
      <c r="VN30" s="337"/>
      <c r="VO30" s="337"/>
      <c r="VP30" s="337"/>
      <c r="VQ30" s="337"/>
      <c r="VR30" s="337"/>
      <c r="VS30" s="337"/>
      <c r="VT30" s="337"/>
      <c r="VU30" s="337"/>
      <c r="VV30" s="337"/>
      <c r="VW30" s="337"/>
      <c r="VX30" s="337"/>
      <c r="VY30" s="337"/>
      <c r="VZ30" s="337"/>
      <c r="WA30" s="337"/>
      <c r="WB30" s="337"/>
      <c r="WC30" s="337"/>
      <c r="WD30" s="337"/>
      <c r="WE30" s="337"/>
      <c r="WF30" s="337"/>
      <c r="WG30" s="337"/>
      <c r="WH30" s="337"/>
      <c r="WI30" s="337"/>
      <c r="WJ30" s="337"/>
      <c r="WK30" s="337"/>
      <c r="WL30" s="337"/>
      <c r="WM30" s="337"/>
      <c r="WN30" s="337"/>
      <c r="WO30" s="337"/>
      <c r="WP30" s="337"/>
      <c r="WQ30" s="337"/>
      <c r="WR30" s="337"/>
      <c r="WS30" s="337"/>
      <c r="WT30" s="337"/>
      <c r="WU30" s="337"/>
      <c r="WV30" s="337"/>
      <c r="WW30" s="337"/>
      <c r="WX30" s="337"/>
      <c r="WY30" s="337"/>
      <c r="WZ30" s="337"/>
      <c r="XA30" s="337"/>
      <c r="XB30" s="337"/>
      <c r="XC30" s="337"/>
      <c r="XD30" s="337"/>
      <c r="XE30" s="337"/>
      <c r="XF30" s="337"/>
      <c r="XG30" s="337"/>
      <c r="XH30" s="337"/>
      <c r="XI30" s="337"/>
      <c r="XJ30" s="337"/>
      <c r="XK30" s="337"/>
      <c r="XL30" s="337"/>
      <c r="XM30" s="337"/>
      <c r="XN30" s="337"/>
      <c r="XO30" s="337"/>
      <c r="XP30" s="337"/>
      <c r="XQ30" s="337"/>
      <c r="XR30" s="337"/>
      <c r="XS30" s="337"/>
      <c r="XT30" s="337"/>
      <c r="XU30" s="337"/>
      <c r="XV30" s="337"/>
      <c r="XW30" s="337"/>
      <c r="XX30" s="337"/>
      <c r="XY30" s="337"/>
      <c r="XZ30" s="337"/>
      <c r="YA30" s="337"/>
      <c r="YB30" s="337"/>
      <c r="YC30" s="337"/>
      <c r="YD30" s="337"/>
      <c r="YE30" s="337"/>
      <c r="YF30" s="337"/>
      <c r="YG30" s="337"/>
      <c r="YH30" s="337"/>
      <c r="YI30" s="337"/>
      <c r="YJ30" s="337"/>
      <c r="YK30" s="337"/>
      <c r="YL30" s="337"/>
      <c r="YM30" s="337"/>
      <c r="YN30" s="337"/>
      <c r="YO30" s="337"/>
      <c r="YP30" s="337"/>
      <c r="YQ30" s="337"/>
      <c r="YR30" s="337"/>
      <c r="YS30" s="337"/>
      <c r="YT30" s="337"/>
      <c r="YU30" s="337"/>
      <c r="YV30" s="337"/>
      <c r="YW30" s="337"/>
      <c r="YX30" s="337"/>
      <c r="YY30" s="337"/>
      <c r="YZ30" s="337"/>
      <c r="ZA30" s="337"/>
      <c r="ZB30" s="337"/>
      <c r="ZC30" s="337"/>
      <c r="ZD30" s="337"/>
      <c r="ZE30" s="337"/>
      <c r="ZF30" s="337"/>
      <c r="ZG30" s="337"/>
      <c r="ZH30" s="337"/>
      <c r="ZI30" s="337"/>
      <c r="ZJ30" s="337"/>
      <c r="ZK30" s="337"/>
      <c r="ZL30" s="337"/>
      <c r="ZM30" s="337"/>
      <c r="ZN30" s="337"/>
      <c r="ZO30" s="337"/>
      <c r="ZP30" s="337"/>
      <c r="ZQ30" s="337"/>
      <c r="ZR30" s="337"/>
      <c r="ZS30" s="337"/>
      <c r="ZT30" s="337"/>
      <c r="ZU30" s="337"/>
      <c r="ZV30" s="337"/>
      <c r="ZW30" s="337"/>
      <c r="ZX30" s="337"/>
      <c r="ZY30" s="337"/>
      <c r="ZZ30" s="337"/>
      <c r="AAA30" s="337"/>
      <c r="AAB30" s="337"/>
      <c r="AAC30" s="337"/>
      <c r="AAD30" s="337"/>
      <c r="AAE30" s="337"/>
      <c r="AAF30" s="337"/>
      <c r="AAG30" s="337"/>
      <c r="AAH30" s="337"/>
      <c r="AAI30" s="337"/>
      <c r="AAJ30" s="337"/>
      <c r="AAK30" s="337"/>
      <c r="AAL30" s="337"/>
      <c r="AAM30" s="337"/>
      <c r="AAN30" s="337"/>
      <c r="AAO30" s="337"/>
      <c r="AAP30" s="337"/>
      <c r="AAQ30" s="337"/>
      <c r="AAR30" s="337"/>
      <c r="AAS30" s="337"/>
      <c r="AAT30" s="337"/>
      <c r="AAU30" s="337"/>
      <c r="AAV30" s="337"/>
      <c r="AAW30" s="337"/>
      <c r="AAX30" s="337"/>
      <c r="AAY30" s="337"/>
      <c r="AAZ30" s="337"/>
      <c r="ABA30" s="337"/>
      <c r="ABB30" s="337"/>
      <c r="ABC30" s="337"/>
      <c r="ABD30" s="337"/>
      <c r="ABE30" s="337"/>
      <c r="ABF30" s="337"/>
      <c r="ABG30" s="337"/>
      <c r="ABH30" s="337"/>
      <c r="ABI30" s="337"/>
      <c r="ABJ30" s="337"/>
      <c r="ABK30" s="337"/>
      <c r="ABL30" s="337"/>
      <c r="ABM30" s="337"/>
      <c r="ABN30" s="337"/>
      <c r="ABO30" s="337"/>
      <c r="ABP30" s="337"/>
      <c r="ABQ30" s="337"/>
      <c r="ABR30" s="337"/>
      <c r="ABS30" s="337"/>
      <c r="ABT30" s="337"/>
      <c r="ABU30" s="337"/>
      <c r="ABV30" s="337"/>
      <c r="ABW30" s="337"/>
      <c r="ABX30" s="337"/>
      <c r="ABY30" s="337"/>
      <c r="ABZ30" s="337"/>
      <c r="ACA30" s="337"/>
      <c r="ACB30" s="337"/>
      <c r="ACC30" s="337"/>
      <c r="ACD30" s="337"/>
      <c r="ACE30" s="337"/>
      <c r="ACF30" s="337"/>
      <c r="ACG30" s="337"/>
      <c r="ACH30" s="337"/>
      <c r="ACI30" s="337"/>
      <c r="ACJ30" s="337"/>
      <c r="ACK30" s="337"/>
      <c r="ACL30" s="337"/>
      <c r="ACM30" s="337"/>
      <c r="ACN30" s="337"/>
      <c r="ACO30" s="337"/>
      <c r="ACP30" s="337"/>
      <c r="ACQ30" s="337"/>
      <c r="ACR30" s="337"/>
      <c r="ACS30" s="337"/>
      <c r="ACT30" s="337"/>
      <c r="ACU30" s="337"/>
      <c r="ACV30" s="337"/>
      <c r="ACW30" s="337"/>
      <c r="ACX30" s="337"/>
      <c r="ACY30" s="337"/>
      <c r="ACZ30" s="337"/>
      <c r="ADA30" s="337"/>
      <c r="ADB30" s="337"/>
      <c r="ADC30" s="337"/>
      <c r="ADD30" s="337"/>
      <c r="ADE30" s="337"/>
      <c r="ADF30" s="337"/>
      <c r="ADG30" s="337"/>
      <c r="ADH30" s="337"/>
      <c r="ADI30" s="337"/>
      <c r="ADJ30" s="337"/>
      <c r="ADK30" s="337"/>
      <c r="ADL30" s="337"/>
      <c r="ADM30" s="337"/>
      <c r="ADN30" s="337"/>
      <c r="ADO30" s="337"/>
      <c r="ADP30" s="337"/>
      <c r="ADQ30" s="337"/>
      <c r="ADR30" s="337"/>
      <c r="ADS30" s="337"/>
      <c r="ADT30" s="337"/>
      <c r="ADU30" s="337"/>
      <c r="ADV30" s="337"/>
      <c r="ADW30" s="337"/>
      <c r="ADX30" s="337"/>
      <c r="ADY30" s="337"/>
      <c r="ADZ30" s="337"/>
      <c r="AEA30" s="337"/>
      <c r="AEB30" s="337"/>
      <c r="AEC30" s="337"/>
      <c r="AED30" s="337"/>
      <c r="AEE30" s="337"/>
      <c r="AEF30" s="337"/>
      <c r="AEG30" s="337"/>
      <c r="AEH30" s="337"/>
      <c r="AEI30" s="337"/>
      <c r="AEJ30" s="337"/>
      <c r="AEK30" s="337"/>
      <c r="AEL30" s="337"/>
      <c r="AEM30" s="337"/>
      <c r="AEN30" s="337"/>
      <c r="AEO30" s="337"/>
      <c r="AEP30" s="337"/>
      <c r="AEQ30" s="337"/>
      <c r="AER30" s="337"/>
      <c r="AES30" s="337"/>
      <c r="AET30" s="337"/>
      <c r="AEU30" s="337"/>
      <c r="AEV30" s="337"/>
      <c r="AEW30" s="337"/>
      <c r="AEX30" s="337"/>
      <c r="AEY30" s="337"/>
      <c r="AEZ30" s="337"/>
      <c r="AFA30" s="337"/>
      <c r="AFB30" s="337"/>
      <c r="AFC30" s="337"/>
      <c r="AFD30" s="337"/>
      <c r="AFE30" s="337"/>
      <c r="AFF30" s="337"/>
      <c r="AFG30" s="337"/>
      <c r="AFH30" s="337"/>
      <c r="AFI30" s="337"/>
      <c r="AFJ30" s="337"/>
      <c r="AFK30" s="337"/>
      <c r="AFL30" s="337"/>
      <c r="AFM30" s="337"/>
      <c r="AFN30" s="337"/>
      <c r="AFO30" s="337"/>
      <c r="AFP30" s="337"/>
      <c r="AFQ30" s="337"/>
      <c r="AFR30" s="337"/>
      <c r="AFS30" s="337"/>
      <c r="AFT30" s="337"/>
      <c r="AFU30" s="337"/>
      <c r="AFV30" s="337"/>
      <c r="AFW30" s="337"/>
      <c r="AFX30" s="337"/>
      <c r="AFY30" s="337"/>
      <c r="AFZ30" s="337"/>
      <c r="AGA30" s="337"/>
      <c r="AGB30" s="337"/>
      <c r="AGC30" s="337"/>
      <c r="AGD30" s="337"/>
      <c r="AGE30" s="337"/>
      <c r="AGF30" s="337"/>
      <c r="AGG30" s="337"/>
      <c r="AGH30" s="337"/>
      <c r="AGI30" s="337"/>
      <c r="AGJ30" s="337"/>
      <c r="AGK30" s="337"/>
      <c r="AGL30" s="337"/>
      <c r="AGM30" s="337"/>
      <c r="AGN30" s="337"/>
      <c r="AGO30" s="337"/>
      <c r="AGP30" s="337"/>
      <c r="AGQ30" s="337"/>
      <c r="AGR30" s="337"/>
      <c r="AGS30" s="337"/>
      <c r="AGT30" s="337"/>
      <c r="AGU30" s="337"/>
      <c r="AGV30" s="337"/>
      <c r="AGW30" s="337"/>
      <c r="AGX30" s="337"/>
      <c r="AGY30" s="337"/>
      <c r="AGZ30" s="337"/>
    </row>
    <row r="31" ht="24" customHeight="1" spans="1:884">
      <c r="A31" s="349">
        <v>27</v>
      </c>
      <c r="B31" s="350"/>
      <c r="C31" s="351" t="s">
        <v>120</v>
      </c>
      <c r="D31" s="358"/>
      <c r="E31" s="358"/>
      <c r="F31" s="81">
        <v>6</v>
      </c>
      <c r="G31" s="356" t="s">
        <v>484</v>
      </c>
      <c r="H31" s="357" t="s">
        <v>485</v>
      </c>
      <c r="I31" s="100" t="s">
        <v>124</v>
      </c>
      <c r="J31" s="100"/>
      <c r="K31" s="100"/>
      <c r="L31" s="100"/>
      <c r="M31" s="100"/>
      <c r="N31" s="373" t="s">
        <v>486</v>
      </c>
      <c r="O31" s="374"/>
      <c r="P31" s="376"/>
      <c r="Q31" s="375"/>
      <c r="R31" s="382" t="s">
        <v>130</v>
      </c>
      <c r="S31" s="385"/>
      <c r="T31" s="384"/>
      <c r="U31" s="384"/>
      <c r="V31" s="382" t="s">
        <v>130</v>
      </c>
      <c r="W31" s="386"/>
      <c r="X31" s="349" t="s">
        <v>129</v>
      </c>
      <c r="Y31" s="349" t="s">
        <v>129</v>
      </c>
      <c r="Z31" s="120">
        <f t="shared" si="6"/>
        <v>61</v>
      </c>
      <c r="AA31" s="304" t="str">
        <f t="shared" si="7"/>
        <v>01:01:00</v>
      </c>
      <c r="AB31" s="120">
        <f t="shared" si="8"/>
        <v>3660</v>
      </c>
      <c r="AC31" s="399">
        <v>0.0422453703703704</v>
      </c>
      <c r="AD31" s="400">
        <v>169</v>
      </c>
      <c r="AE31" s="400">
        <v>43</v>
      </c>
      <c r="AF31" s="349" t="s">
        <v>132</v>
      </c>
      <c r="AP31" s="337"/>
      <c r="AQ31" s="337"/>
      <c r="AR31" s="337"/>
      <c r="AS31" s="337"/>
      <c r="AT31" s="337"/>
      <c r="AU31" s="337"/>
      <c r="AV31" s="337"/>
      <c r="AW31" s="337"/>
      <c r="AX31" s="337"/>
      <c r="AY31" s="337"/>
      <c r="AZ31" s="337"/>
      <c r="BA31" s="337"/>
      <c r="BB31" s="337"/>
      <c r="BC31" s="337"/>
      <c r="BD31" s="337"/>
      <c r="BE31" s="337"/>
      <c r="BF31" s="337"/>
      <c r="BG31" s="337"/>
      <c r="BH31" s="337"/>
      <c r="BI31" s="337"/>
      <c r="BJ31" s="337"/>
      <c r="BK31" s="337"/>
      <c r="BL31" s="337"/>
      <c r="BM31" s="337"/>
      <c r="BN31" s="337"/>
      <c r="BO31" s="337"/>
      <c r="BP31" s="337"/>
      <c r="BQ31" s="337"/>
      <c r="BR31" s="337"/>
      <c r="BS31" s="337"/>
      <c r="BT31" s="337"/>
      <c r="BU31" s="337"/>
      <c r="BV31" s="337"/>
      <c r="BW31" s="337"/>
      <c r="BX31" s="337"/>
      <c r="BY31" s="337"/>
      <c r="BZ31" s="337"/>
      <c r="CA31" s="337"/>
      <c r="CB31" s="337"/>
      <c r="CC31" s="337"/>
      <c r="CD31" s="337"/>
      <c r="CE31" s="337"/>
      <c r="CF31" s="337"/>
      <c r="CG31" s="337"/>
      <c r="CH31" s="337"/>
      <c r="CI31" s="337"/>
      <c r="CJ31" s="337"/>
      <c r="CK31" s="337"/>
      <c r="CL31" s="337"/>
      <c r="CM31" s="337"/>
      <c r="CN31" s="337"/>
      <c r="CO31" s="337"/>
      <c r="CP31" s="337"/>
      <c r="CQ31" s="337"/>
      <c r="CR31" s="337"/>
      <c r="CS31" s="337"/>
      <c r="CT31" s="337"/>
      <c r="CU31" s="337"/>
      <c r="CV31" s="337"/>
      <c r="CW31" s="337"/>
      <c r="CX31" s="337"/>
      <c r="CY31" s="337"/>
      <c r="CZ31" s="337"/>
      <c r="DA31" s="337"/>
      <c r="DB31" s="337"/>
      <c r="DC31" s="337"/>
      <c r="DD31" s="337"/>
      <c r="DE31" s="337"/>
      <c r="DF31" s="337"/>
      <c r="DG31" s="337"/>
      <c r="DH31" s="337"/>
      <c r="DI31" s="337"/>
      <c r="DJ31" s="337"/>
      <c r="DK31" s="337"/>
      <c r="DL31" s="337"/>
      <c r="DM31" s="337"/>
      <c r="DN31" s="337"/>
      <c r="DO31" s="337"/>
      <c r="DP31" s="337"/>
      <c r="DQ31" s="337"/>
      <c r="DR31" s="337"/>
      <c r="DS31" s="337"/>
      <c r="DT31" s="337"/>
      <c r="DU31" s="337"/>
      <c r="DV31" s="337"/>
      <c r="DW31" s="337"/>
      <c r="DX31" s="337"/>
      <c r="DY31" s="337"/>
      <c r="DZ31" s="337"/>
      <c r="EA31" s="337"/>
      <c r="EB31" s="337"/>
      <c r="EC31" s="337"/>
      <c r="ED31" s="337"/>
      <c r="EE31" s="337"/>
      <c r="EF31" s="337"/>
      <c r="EG31" s="337"/>
      <c r="EH31" s="337"/>
      <c r="EI31" s="337"/>
      <c r="EJ31" s="337"/>
      <c r="EK31" s="337"/>
      <c r="EL31" s="337"/>
      <c r="EM31" s="337"/>
      <c r="EN31" s="337"/>
      <c r="EO31" s="337"/>
      <c r="EP31" s="337"/>
      <c r="EQ31" s="337"/>
      <c r="ER31" s="337"/>
      <c r="ES31" s="337"/>
      <c r="ET31" s="337"/>
      <c r="EU31" s="337"/>
      <c r="EV31" s="337"/>
      <c r="EW31" s="337"/>
      <c r="EX31" s="337"/>
      <c r="EY31" s="337"/>
      <c r="EZ31" s="337"/>
      <c r="FA31" s="337"/>
      <c r="FB31" s="337"/>
      <c r="FC31" s="337"/>
      <c r="FD31" s="337"/>
      <c r="FE31" s="337"/>
      <c r="FF31" s="337"/>
      <c r="FG31" s="337"/>
      <c r="FH31" s="337"/>
      <c r="FI31" s="337"/>
      <c r="FJ31" s="337"/>
      <c r="FK31" s="337"/>
      <c r="FL31" s="337"/>
      <c r="FM31" s="337"/>
      <c r="FN31" s="337"/>
      <c r="FO31" s="337"/>
      <c r="FP31" s="337"/>
      <c r="FQ31" s="337"/>
      <c r="FR31" s="337"/>
      <c r="FS31" s="337"/>
      <c r="FT31" s="337"/>
      <c r="FU31" s="337"/>
      <c r="FV31" s="337"/>
      <c r="FW31" s="337"/>
      <c r="FX31" s="337"/>
      <c r="FY31" s="337"/>
      <c r="FZ31" s="337"/>
      <c r="GA31" s="337"/>
      <c r="GB31" s="337"/>
      <c r="GC31" s="337"/>
      <c r="GD31" s="337"/>
      <c r="GE31" s="337"/>
      <c r="GF31" s="337"/>
      <c r="GG31" s="337"/>
      <c r="GH31" s="337"/>
      <c r="GI31" s="337"/>
      <c r="GJ31" s="337"/>
      <c r="GK31" s="337"/>
      <c r="GL31" s="337"/>
      <c r="GM31" s="337"/>
      <c r="GN31" s="337"/>
      <c r="GO31" s="337"/>
      <c r="GP31" s="337"/>
      <c r="GQ31" s="337"/>
      <c r="GR31" s="337"/>
      <c r="GS31" s="337"/>
      <c r="GT31" s="337"/>
      <c r="GU31" s="337"/>
      <c r="GV31" s="337"/>
      <c r="GW31" s="337"/>
      <c r="GX31" s="337"/>
      <c r="GY31" s="337"/>
      <c r="GZ31" s="337"/>
      <c r="HA31" s="337"/>
      <c r="HB31" s="337"/>
      <c r="HC31" s="337"/>
      <c r="HD31" s="337"/>
      <c r="HE31" s="337"/>
      <c r="HF31" s="337"/>
      <c r="HG31" s="337"/>
      <c r="HH31" s="337"/>
      <c r="HI31" s="337"/>
      <c r="HJ31" s="337"/>
      <c r="HK31" s="337"/>
      <c r="HL31" s="337"/>
      <c r="HM31" s="337"/>
      <c r="HN31" s="337"/>
      <c r="HO31" s="337"/>
      <c r="HP31" s="337"/>
      <c r="HQ31" s="337"/>
      <c r="HR31" s="337"/>
      <c r="HS31" s="337"/>
      <c r="HT31" s="337"/>
      <c r="HU31" s="337"/>
      <c r="HV31" s="337"/>
      <c r="HW31" s="337"/>
      <c r="HX31" s="337"/>
      <c r="HY31" s="337"/>
      <c r="HZ31" s="337"/>
      <c r="IA31" s="337"/>
      <c r="IB31" s="337"/>
      <c r="IC31" s="337"/>
      <c r="ID31" s="337"/>
      <c r="IE31" s="337"/>
      <c r="IF31" s="337"/>
      <c r="IG31" s="337"/>
      <c r="IH31" s="337"/>
      <c r="II31" s="337"/>
      <c r="IJ31" s="337"/>
      <c r="IK31" s="337"/>
      <c r="IL31" s="337"/>
      <c r="IM31" s="337"/>
      <c r="IN31" s="337"/>
      <c r="IO31" s="337"/>
      <c r="IP31" s="337"/>
      <c r="IQ31" s="337"/>
      <c r="IR31" s="337"/>
      <c r="IS31" s="337"/>
      <c r="IT31" s="337"/>
      <c r="IU31" s="337"/>
      <c r="IV31" s="337"/>
      <c r="IW31" s="337"/>
      <c r="IX31" s="337"/>
      <c r="IY31" s="337"/>
      <c r="IZ31" s="337"/>
      <c r="JA31" s="337"/>
      <c r="JB31" s="337"/>
      <c r="JC31" s="337"/>
      <c r="JD31" s="337"/>
      <c r="JE31" s="337"/>
      <c r="JF31" s="337"/>
      <c r="JG31" s="337"/>
      <c r="JH31" s="337"/>
      <c r="JI31" s="337"/>
      <c r="JJ31" s="337"/>
      <c r="JK31" s="337"/>
      <c r="JL31" s="337"/>
      <c r="JM31" s="337"/>
      <c r="JN31" s="337"/>
      <c r="JO31" s="337"/>
      <c r="JP31" s="337"/>
      <c r="JQ31" s="337"/>
      <c r="JR31" s="337"/>
      <c r="JS31" s="337"/>
      <c r="JT31" s="337"/>
      <c r="JU31" s="337"/>
      <c r="JV31" s="337"/>
      <c r="JW31" s="337"/>
      <c r="JX31" s="337"/>
      <c r="JY31" s="337"/>
      <c r="JZ31" s="337"/>
      <c r="KA31" s="337"/>
      <c r="KB31" s="337"/>
      <c r="KC31" s="337"/>
      <c r="KD31" s="337"/>
      <c r="KE31" s="337"/>
      <c r="KF31" s="337"/>
      <c r="KG31" s="337"/>
      <c r="KH31" s="337"/>
      <c r="KI31" s="337"/>
      <c r="KJ31" s="337"/>
      <c r="KK31" s="337"/>
      <c r="KL31" s="337"/>
      <c r="KM31" s="337"/>
      <c r="KN31" s="337"/>
      <c r="KO31" s="337"/>
      <c r="KP31" s="337"/>
      <c r="KQ31" s="337"/>
      <c r="KR31" s="337"/>
      <c r="KS31" s="337"/>
      <c r="KT31" s="337"/>
      <c r="KU31" s="337"/>
      <c r="KV31" s="337"/>
      <c r="KW31" s="337"/>
      <c r="KX31" s="337"/>
      <c r="KY31" s="337"/>
      <c r="KZ31" s="337"/>
      <c r="LA31" s="337"/>
      <c r="LB31" s="337"/>
      <c r="LC31" s="337"/>
      <c r="LD31" s="337"/>
      <c r="LE31" s="337"/>
      <c r="LF31" s="337"/>
      <c r="LG31" s="337"/>
      <c r="LH31" s="337"/>
      <c r="LI31" s="337"/>
      <c r="LJ31" s="337"/>
      <c r="LK31" s="337"/>
      <c r="LL31" s="337"/>
      <c r="LM31" s="337"/>
      <c r="LN31" s="337"/>
      <c r="LO31" s="337"/>
      <c r="LP31" s="337"/>
      <c r="LQ31" s="337"/>
      <c r="LR31" s="337"/>
      <c r="LS31" s="337"/>
      <c r="LT31" s="337"/>
      <c r="LU31" s="337"/>
      <c r="LV31" s="337"/>
      <c r="LW31" s="337"/>
      <c r="LX31" s="337"/>
      <c r="LY31" s="337"/>
      <c r="LZ31" s="337"/>
      <c r="MA31" s="337"/>
      <c r="MB31" s="337"/>
      <c r="MC31" s="337"/>
      <c r="MD31" s="337"/>
      <c r="ME31" s="337"/>
      <c r="MF31" s="337"/>
      <c r="MG31" s="337"/>
      <c r="MH31" s="337"/>
      <c r="MI31" s="337"/>
      <c r="MJ31" s="337"/>
      <c r="MK31" s="337"/>
      <c r="ML31" s="337"/>
      <c r="MM31" s="337"/>
      <c r="MN31" s="337"/>
      <c r="MO31" s="337"/>
      <c r="MP31" s="337"/>
      <c r="MQ31" s="337"/>
      <c r="MR31" s="337"/>
      <c r="MS31" s="337"/>
      <c r="MT31" s="337"/>
      <c r="MU31" s="337"/>
      <c r="MV31" s="337"/>
      <c r="MW31" s="337"/>
      <c r="MX31" s="337"/>
      <c r="MY31" s="337"/>
      <c r="MZ31" s="337"/>
      <c r="NA31" s="337"/>
      <c r="NB31" s="337"/>
      <c r="NC31" s="337"/>
      <c r="ND31" s="337"/>
      <c r="NE31" s="337"/>
      <c r="NF31" s="337"/>
      <c r="NG31" s="337"/>
      <c r="NH31" s="337"/>
      <c r="NI31" s="337"/>
      <c r="NJ31" s="337"/>
      <c r="NK31" s="337"/>
      <c r="NL31" s="337"/>
      <c r="NM31" s="337"/>
      <c r="NN31" s="337"/>
      <c r="NO31" s="337"/>
      <c r="NP31" s="337"/>
      <c r="NQ31" s="337"/>
      <c r="NR31" s="337"/>
      <c r="NS31" s="337"/>
      <c r="NT31" s="337"/>
      <c r="NU31" s="337"/>
      <c r="NV31" s="337"/>
      <c r="NW31" s="337"/>
      <c r="NX31" s="337"/>
      <c r="NY31" s="337"/>
      <c r="NZ31" s="337"/>
      <c r="OA31" s="337"/>
      <c r="OB31" s="337"/>
      <c r="OC31" s="337"/>
      <c r="OD31" s="337"/>
      <c r="OE31" s="337"/>
      <c r="OF31" s="337"/>
      <c r="OG31" s="337"/>
      <c r="OH31" s="337"/>
      <c r="OI31" s="337"/>
      <c r="OJ31" s="337"/>
      <c r="OK31" s="337"/>
      <c r="OL31" s="337"/>
      <c r="OM31" s="337"/>
      <c r="ON31" s="337"/>
      <c r="OO31" s="337"/>
      <c r="OP31" s="337"/>
      <c r="OQ31" s="337"/>
      <c r="OR31" s="337"/>
      <c r="OS31" s="337"/>
      <c r="OT31" s="337"/>
      <c r="OU31" s="337"/>
      <c r="OV31" s="337"/>
      <c r="OW31" s="337"/>
      <c r="OX31" s="337"/>
      <c r="OY31" s="337"/>
      <c r="OZ31" s="337"/>
      <c r="PA31" s="337"/>
      <c r="PB31" s="337"/>
      <c r="PC31" s="337"/>
      <c r="PD31" s="337"/>
      <c r="PE31" s="337"/>
      <c r="PF31" s="337"/>
      <c r="PG31" s="337"/>
      <c r="PH31" s="337"/>
      <c r="PI31" s="337"/>
      <c r="PJ31" s="337"/>
      <c r="PK31" s="337"/>
      <c r="PL31" s="337"/>
      <c r="PM31" s="337"/>
      <c r="PN31" s="337"/>
      <c r="PO31" s="337"/>
      <c r="PP31" s="337"/>
      <c r="PQ31" s="337"/>
      <c r="PR31" s="337"/>
      <c r="PS31" s="337"/>
      <c r="PT31" s="337"/>
      <c r="PU31" s="337"/>
      <c r="PV31" s="337"/>
      <c r="PW31" s="337"/>
      <c r="PX31" s="337"/>
      <c r="PY31" s="337"/>
      <c r="PZ31" s="337"/>
      <c r="QA31" s="337"/>
      <c r="QB31" s="337"/>
      <c r="QC31" s="337"/>
      <c r="QD31" s="337"/>
      <c r="QE31" s="337"/>
      <c r="QF31" s="337"/>
      <c r="QG31" s="337"/>
      <c r="QH31" s="337"/>
      <c r="QI31" s="337"/>
      <c r="QJ31" s="337"/>
      <c r="QK31" s="337"/>
      <c r="QL31" s="337"/>
      <c r="QM31" s="337"/>
      <c r="QN31" s="337"/>
      <c r="QO31" s="337"/>
      <c r="QP31" s="337"/>
      <c r="QQ31" s="337"/>
      <c r="QR31" s="337"/>
      <c r="QS31" s="337"/>
      <c r="QT31" s="337"/>
      <c r="QU31" s="337"/>
      <c r="QV31" s="337"/>
      <c r="QW31" s="337"/>
      <c r="QX31" s="337"/>
      <c r="QY31" s="337"/>
      <c r="QZ31" s="337"/>
      <c r="RA31" s="337"/>
      <c r="RB31" s="337"/>
      <c r="RC31" s="337"/>
      <c r="RD31" s="337"/>
      <c r="RE31" s="337"/>
      <c r="RF31" s="337"/>
      <c r="RG31" s="337"/>
      <c r="RH31" s="337"/>
      <c r="RI31" s="337"/>
      <c r="RJ31" s="337"/>
      <c r="RK31" s="337"/>
      <c r="RL31" s="337"/>
      <c r="RM31" s="337"/>
      <c r="RN31" s="337"/>
      <c r="RO31" s="337"/>
      <c r="RP31" s="337"/>
      <c r="RQ31" s="337"/>
      <c r="RR31" s="337"/>
      <c r="RS31" s="337"/>
      <c r="RT31" s="337"/>
      <c r="RU31" s="337"/>
      <c r="RV31" s="337"/>
      <c r="RW31" s="337"/>
      <c r="RX31" s="337"/>
      <c r="RY31" s="337"/>
      <c r="RZ31" s="337"/>
      <c r="SA31" s="337"/>
      <c r="SB31" s="337"/>
      <c r="SC31" s="337"/>
      <c r="SD31" s="337"/>
      <c r="SE31" s="337"/>
      <c r="SF31" s="337"/>
      <c r="SG31" s="337"/>
      <c r="SH31" s="337"/>
      <c r="SI31" s="337"/>
      <c r="SJ31" s="337"/>
      <c r="SK31" s="337"/>
      <c r="SL31" s="337"/>
      <c r="SM31" s="337"/>
      <c r="SN31" s="337"/>
      <c r="SO31" s="337"/>
      <c r="SP31" s="337"/>
      <c r="SQ31" s="337"/>
      <c r="SR31" s="337"/>
      <c r="SS31" s="337"/>
      <c r="ST31" s="337"/>
      <c r="SU31" s="337"/>
      <c r="SV31" s="337"/>
      <c r="SW31" s="337"/>
      <c r="SX31" s="337"/>
      <c r="SY31" s="337"/>
      <c r="SZ31" s="337"/>
      <c r="TA31" s="337"/>
      <c r="TB31" s="337"/>
      <c r="TC31" s="337"/>
      <c r="TD31" s="337"/>
      <c r="TE31" s="337"/>
      <c r="TF31" s="337"/>
      <c r="TG31" s="337"/>
      <c r="TH31" s="337"/>
      <c r="TI31" s="337"/>
      <c r="TJ31" s="337"/>
      <c r="TK31" s="337"/>
      <c r="TL31" s="337"/>
      <c r="TM31" s="337"/>
      <c r="TN31" s="337"/>
      <c r="TO31" s="337"/>
      <c r="TP31" s="337"/>
      <c r="TQ31" s="337"/>
      <c r="TR31" s="337"/>
      <c r="TS31" s="337"/>
      <c r="TT31" s="337"/>
      <c r="TU31" s="337"/>
      <c r="TV31" s="337"/>
      <c r="TW31" s="337"/>
      <c r="TX31" s="337"/>
      <c r="TY31" s="337"/>
      <c r="TZ31" s="337"/>
      <c r="UA31" s="337"/>
      <c r="UB31" s="337"/>
      <c r="UC31" s="337"/>
      <c r="UD31" s="337"/>
      <c r="UE31" s="337"/>
      <c r="UF31" s="337"/>
      <c r="UG31" s="337"/>
      <c r="UH31" s="337"/>
      <c r="UI31" s="337"/>
      <c r="UJ31" s="337"/>
      <c r="UK31" s="337"/>
      <c r="UL31" s="337"/>
      <c r="UM31" s="337"/>
      <c r="UN31" s="337"/>
      <c r="UO31" s="337"/>
      <c r="UP31" s="337"/>
      <c r="UQ31" s="337"/>
      <c r="UR31" s="337"/>
      <c r="US31" s="337"/>
      <c r="UT31" s="337"/>
      <c r="UU31" s="337"/>
      <c r="UV31" s="337"/>
      <c r="UW31" s="337"/>
      <c r="UX31" s="337"/>
      <c r="UY31" s="337"/>
      <c r="UZ31" s="337"/>
      <c r="VA31" s="337"/>
      <c r="VB31" s="337"/>
      <c r="VC31" s="337"/>
      <c r="VD31" s="337"/>
      <c r="VE31" s="337"/>
      <c r="VF31" s="337"/>
      <c r="VG31" s="337"/>
      <c r="VH31" s="337"/>
      <c r="VI31" s="337"/>
      <c r="VJ31" s="337"/>
      <c r="VK31" s="337"/>
      <c r="VL31" s="337"/>
      <c r="VM31" s="337"/>
      <c r="VN31" s="337"/>
      <c r="VO31" s="337"/>
      <c r="VP31" s="337"/>
      <c r="VQ31" s="337"/>
      <c r="VR31" s="337"/>
      <c r="VS31" s="337"/>
      <c r="VT31" s="337"/>
      <c r="VU31" s="337"/>
      <c r="VV31" s="337"/>
      <c r="VW31" s="337"/>
      <c r="VX31" s="337"/>
      <c r="VY31" s="337"/>
      <c r="VZ31" s="337"/>
      <c r="WA31" s="337"/>
      <c r="WB31" s="337"/>
      <c r="WC31" s="337"/>
      <c r="WD31" s="337"/>
      <c r="WE31" s="337"/>
      <c r="WF31" s="337"/>
      <c r="WG31" s="337"/>
      <c r="WH31" s="337"/>
      <c r="WI31" s="337"/>
      <c r="WJ31" s="337"/>
      <c r="WK31" s="337"/>
      <c r="WL31" s="337"/>
      <c r="WM31" s="337"/>
      <c r="WN31" s="337"/>
      <c r="WO31" s="337"/>
      <c r="WP31" s="337"/>
      <c r="WQ31" s="337"/>
      <c r="WR31" s="337"/>
      <c r="WS31" s="337"/>
      <c r="WT31" s="337"/>
      <c r="WU31" s="337"/>
      <c r="WV31" s="337"/>
      <c r="WW31" s="337"/>
      <c r="WX31" s="337"/>
      <c r="WY31" s="337"/>
      <c r="WZ31" s="337"/>
      <c r="XA31" s="337"/>
      <c r="XB31" s="337"/>
      <c r="XC31" s="337"/>
      <c r="XD31" s="337"/>
      <c r="XE31" s="337"/>
      <c r="XF31" s="337"/>
      <c r="XG31" s="337"/>
      <c r="XH31" s="337"/>
      <c r="XI31" s="337"/>
      <c r="XJ31" s="337"/>
      <c r="XK31" s="337"/>
      <c r="XL31" s="337"/>
      <c r="XM31" s="337"/>
      <c r="XN31" s="337"/>
      <c r="XO31" s="337"/>
      <c r="XP31" s="337"/>
      <c r="XQ31" s="337"/>
      <c r="XR31" s="337"/>
      <c r="XS31" s="337"/>
      <c r="XT31" s="337"/>
      <c r="XU31" s="337"/>
      <c r="XV31" s="337"/>
      <c r="XW31" s="337"/>
      <c r="XX31" s="337"/>
      <c r="XY31" s="337"/>
      <c r="XZ31" s="337"/>
      <c r="YA31" s="337"/>
      <c r="YB31" s="337"/>
      <c r="YC31" s="337"/>
      <c r="YD31" s="337"/>
      <c r="YE31" s="337"/>
      <c r="YF31" s="337"/>
      <c r="YG31" s="337"/>
      <c r="YH31" s="337"/>
      <c r="YI31" s="337"/>
      <c r="YJ31" s="337"/>
      <c r="YK31" s="337"/>
      <c r="YL31" s="337"/>
      <c r="YM31" s="337"/>
      <c r="YN31" s="337"/>
      <c r="YO31" s="337"/>
      <c r="YP31" s="337"/>
      <c r="YQ31" s="337"/>
      <c r="YR31" s="337"/>
      <c r="YS31" s="337"/>
      <c r="YT31" s="337"/>
      <c r="YU31" s="337"/>
      <c r="YV31" s="337"/>
      <c r="YW31" s="337"/>
      <c r="YX31" s="337"/>
      <c r="YY31" s="337"/>
      <c r="YZ31" s="337"/>
      <c r="ZA31" s="337"/>
      <c r="ZB31" s="337"/>
      <c r="ZC31" s="337"/>
      <c r="ZD31" s="337"/>
      <c r="ZE31" s="337"/>
      <c r="ZF31" s="337"/>
      <c r="ZG31" s="337"/>
      <c r="ZH31" s="337"/>
      <c r="ZI31" s="337"/>
      <c r="ZJ31" s="337"/>
      <c r="ZK31" s="337"/>
      <c r="ZL31" s="337"/>
      <c r="ZM31" s="337"/>
      <c r="ZN31" s="337"/>
      <c r="ZO31" s="337"/>
      <c r="ZP31" s="337"/>
      <c r="ZQ31" s="337"/>
      <c r="ZR31" s="337"/>
      <c r="ZS31" s="337"/>
      <c r="ZT31" s="337"/>
      <c r="ZU31" s="337"/>
      <c r="ZV31" s="337"/>
      <c r="ZW31" s="337"/>
      <c r="ZX31" s="337"/>
      <c r="ZY31" s="337"/>
      <c r="ZZ31" s="337"/>
      <c r="AAA31" s="337"/>
      <c r="AAB31" s="337"/>
      <c r="AAC31" s="337"/>
      <c r="AAD31" s="337"/>
      <c r="AAE31" s="337"/>
      <c r="AAF31" s="337"/>
      <c r="AAG31" s="337"/>
      <c r="AAH31" s="337"/>
      <c r="AAI31" s="337"/>
      <c r="AAJ31" s="337"/>
      <c r="AAK31" s="337"/>
      <c r="AAL31" s="337"/>
      <c r="AAM31" s="337"/>
      <c r="AAN31" s="337"/>
      <c r="AAO31" s="337"/>
      <c r="AAP31" s="337"/>
      <c r="AAQ31" s="337"/>
      <c r="AAR31" s="337"/>
      <c r="AAS31" s="337"/>
      <c r="AAT31" s="337"/>
      <c r="AAU31" s="337"/>
      <c r="AAV31" s="337"/>
      <c r="AAW31" s="337"/>
      <c r="AAX31" s="337"/>
      <c r="AAY31" s="337"/>
      <c r="AAZ31" s="337"/>
      <c r="ABA31" s="337"/>
      <c r="ABB31" s="337"/>
      <c r="ABC31" s="337"/>
      <c r="ABD31" s="337"/>
      <c r="ABE31" s="337"/>
      <c r="ABF31" s="337"/>
      <c r="ABG31" s="337"/>
      <c r="ABH31" s="337"/>
      <c r="ABI31" s="337"/>
      <c r="ABJ31" s="337"/>
      <c r="ABK31" s="337"/>
      <c r="ABL31" s="337"/>
      <c r="ABM31" s="337"/>
      <c r="ABN31" s="337"/>
      <c r="ABO31" s="337"/>
      <c r="ABP31" s="337"/>
      <c r="ABQ31" s="337"/>
      <c r="ABR31" s="337"/>
      <c r="ABS31" s="337"/>
      <c r="ABT31" s="337"/>
      <c r="ABU31" s="337"/>
      <c r="ABV31" s="337"/>
      <c r="ABW31" s="337"/>
      <c r="ABX31" s="337"/>
      <c r="ABY31" s="337"/>
      <c r="ABZ31" s="337"/>
      <c r="ACA31" s="337"/>
      <c r="ACB31" s="337"/>
      <c r="ACC31" s="337"/>
      <c r="ACD31" s="337"/>
      <c r="ACE31" s="337"/>
      <c r="ACF31" s="337"/>
      <c r="ACG31" s="337"/>
      <c r="ACH31" s="337"/>
      <c r="ACI31" s="337"/>
      <c r="ACJ31" s="337"/>
      <c r="ACK31" s="337"/>
      <c r="ACL31" s="337"/>
      <c r="ACM31" s="337"/>
      <c r="ACN31" s="337"/>
      <c r="ACO31" s="337"/>
      <c r="ACP31" s="337"/>
      <c r="ACQ31" s="337"/>
      <c r="ACR31" s="337"/>
      <c r="ACS31" s="337"/>
      <c r="ACT31" s="337"/>
      <c r="ACU31" s="337"/>
      <c r="ACV31" s="337"/>
      <c r="ACW31" s="337"/>
      <c r="ACX31" s="337"/>
      <c r="ACY31" s="337"/>
      <c r="ACZ31" s="337"/>
      <c r="ADA31" s="337"/>
      <c r="ADB31" s="337"/>
      <c r="ADC31" s="337"/>
      <c r="ADD31" s="337"/>
      <c r="ADE31" s="337"/>
      <c r="ADF31" s="337"/>
      <c r="ADG31" s="337"/>
      <c r="ADH31" s="337"/>
      <c r="ADI31" s="337"/>
      <c r="ADJ31" s="337"/>
      <c r="ADK31" s="337"/>
      <c r="ADL31" s="337"/>
      <c r="ADM31" s="337"/>
      <c r="ADN31" s="337"/>
      <c r="ADO31" s="337"/>
      <c r="ADP31" s="337"/>
      <c r="ADQ31" s="337"/>
      <c r="ADR31" s="337"/>
      <c r="ADS31" s="337"/>
      <c r="ADT31" s="337"/>
      <c r="ADU31" s="337"/>
      <c r="ADV31" s="337"/>
      <c r="ADW31" s="337"/>
      <c r="ADX31" s="337"/>
      <c r="ADY31" s="337"/>
      <c r="ADZ31" s="337"/>
      <c r="AEA31" s="337"/>
      <c r="AEB31" s="337"/>
      <c r="AEC31" s="337"/>
      <c r="AED31" s="337"/>
      <c r="AEE31" s="337"/>
      <c r="AEF31" s="337"/>
      <c r="AEG31" s="337"/>
      <c r="AEH31" s="337"/>
      <c r="AEI31" s="337"/>
      <c r="AEJ31" s="337"/>
      <c r="AEK31" s="337"/>
      <c r="AEL31" s="337"/>
      <c r="AEM31" s="337"/>
      <c r="AEN31" s="337"/>
      <c r="AEO31" s="337"/>
      <c r="AEP31" s="337"/>
      <c r="AEQ31" s="337"/>
      <c r="AER31" s="337"/>
      <c r="AES31" s="337"/>
      <c r="AET31" s="337"/>
      <c r="AEU31" s="337"/>
      <c r="AEV31" s="337"/>
      <c r="AEW31" s="337"/>
      <c r="AEX31" s="337"/>
      <c r="AEY31" s="337"/>
      <c r="AEZ31" s="337"/>
      <c r="AFA31" s="337"/>
      <c r="AFB31" s="337"/>
      <c r="AFC31" s="337"/>
      <c r="AFD31" s="337"/>
      <c r="AFE31" s="337"/>
      <c r="AFF31" s="337"/>
      <c r="AFG31" s="337"/>
      <c r="AFH31" s="337"/>
      <c r="AFI31" s="337"/>
      <c r="AFJ31" s="337"/>
      <c r="AFK31" s="337"/>
      <c r="AFL31" s="337"/>
      <c r="AFM31" s="337"/>
      <c r="AFN31" s="337"/>
      <c r="AFO31" s="337"/>
      <c r="AFP31" s="337"/>
      <c r="AFQ31" s="337"/>
      <c r="AFR31" s="337"/>
      <c r="AFS31" s="337"/>
      <c r="AFT31" s="337"/>
      <c r="AFU31" s="337"/>
      <c r="AFV31" s="337"/>
      <c r="AFW31" s="337"/>
      <c r="AFX31" s="337"/>
      <c r="AFY31" s="337"/>
      <c r="AFZ31" s="337"/>
      <c r="AGA31" s="337"/>
      <c r="AGB31" s="337"/>
      <c r="AGC31" s="337"/>
      <c r="AGD31" s="337"/>
      <c r="AGE31" s="337"/>
      <c r="AGF31" s="337"/>
      <c r="AGG31" s="337"/>
      <c r="AGH31" s="337"/>
      <c r="AGI31" s="337"/>
      <c r="AGJ31" s="337"/>
      <c r="AGK31" s="337"/>
      <c r="AGL31" s="337"/>
      <c r="AGM31" s="337"/>
      <c r="AGN31" s="337"/>
      <c r="AGO31" s="337"/>
      <c r="AGP31" s="337"/>
      <c r="AGQ31" s="337"/>
      <c r="AGR31" s="337"/>
      <c r="AGS31" s="337"/>
      <c r="AGT31" s="337"/>
      <c r="AGU31" s="337"/>
      <c r="AGV31" s="337"/>
      <c r="AGW31" s="337"/>
      <c r="AGX31" s="337"/>
      <c r="AGY31" s="337"/>
      <c r="AGZ31" s="337"/>
    </row>
    <row r="32" ht="24" customHeight="1" spans="1:884">
      <c r="A32" s="349">
        <v>28</v>
      </c>
      <c r="B32" s="350"/>
      <c r="C32" s="351" t="s">
        <v>120</v>
      </c>
      <c r="D32" s="358"/>
      <c r="E32" s="358"/>
      <c r="F32" s="81">
        <v>7</v>
      </c>
      <c r="G32" s="356" t="s">
        <v>487</v>
      </c>
      <c r="H32" s="357" t="s">
        <v>488</v>
      </c>
      <c r="I32" s="100" t="s">
        <v>124</v>
      </c>
      <c r="J32" s="100"/>
      <c r="K32" s="100"/>
      <c r="L32" s="100" t="s">
        <v>124</v>
      </c>
      <c r="M32" s="100"/>
      <c r="N32" s="373" t="s">
        <v>489</v>
      </c>
      <c r="O32" s="374"/>
      <c r="P32" s="376"/>
      <c r="Q32" s="375" t="str">
        <f>CONCATENATE(RemovePunctuation(H32),"_CA","_","i5K","_",C32,"_",AD32,"_",PROPER(R32),IF(S32="",PROPER(R32),PROPER(S32)),PROPER(T32),PROPER(U32),PROPER(V32),IF(V32&lt;&gt;"","SUB",""),PROPER(W32),IF(W32&lt;&gt;"","SUB",""),"_","Ed","_","M4",".mpg")</f>
        <v>SandstormEp06_CA_i5K_0825_169_ZhoZhoZhoSUB_Ed_M4.mpg</v>
      </c>
      <c r="R32" s="382" t="s">
        <v>130</v>
      </c>
      <c r="S32" s="385"/>
      <c r="T32" s="384"/>
      <c r="U32" s="384"/>
      <c r="V32" s="382" t="s">
        <v>130</v>
      </c>
      <c r="W32" s="386"/>
      <c r="X32" s="349" t="s">
        <v>129</v>
      </c>
      <c r="Y32" s="349" t="s">
        <v>129</v>
      </c>
      <c r="Z32" s="120">
        <f t="shared" si="6"/>
        <v>63</v>
      </c>
      <c r="AA32" s="304" t="str">
        <f t="shared" si="7"/>
        <v>01:03:00</v>
      </c>
      <c r="AB32" s="120">
        <f t="shared" si="8"/>
        <v>3780</v>
      </c>
      <c r="AC32" s="399">
        <v>0.0435763888888889</v>
      </c>
      <c r="AD32" s="400">
        <v>169</v>
      </c>
      <c r="AE32" s="400">
        <v>43</v>
      </c>
      <c r="AF32" s="349" t="s">
        <v>132</v>
      </c>
      <c r="AP32" s="337"/>
      <c r="AQ32" s="337"/>
      <c r="AR32" s="337"/>
      <c r="AS32" s="337"/>
      <c r="AT32" s="337"/>
      <c r="AU32" s="337"/>
      <c r="AV32" s="337"/>
      <c r="AW32" s="337"/>
      <c r="AX32" s="337"/>
      <c r="AY32" s="337"/>
      <c r="AZ32" s="337"/>
      <c r="BA32" s="337"/>
      <c r="BB32" s="337"/>
      <c r="BC32" s="337"/>
      <c r="BD32" s="337"/>
      <c r="BE32" s="337"/>
      <c r="BF32" s="337"/>
      <c r="BG32" s="337"/>
      <c r="BH32" s="337"/>
      <c r="BI32" s="337"/>
      <c r="BJ32" s="337"/>
      <c r="BK32" s="337"/>
      <c r="BL32" s="337"/>
      <c r="BM32" s="337"/>
      <c r="BN32" s="337"/>
      <c r="BO32" s="337"/>
      <c r="BP32" s="337"/>
      <c r="BQ32" s="337"/>
      <c r="BR32" s="337"/>
      <c r="BS32" s="337"/>
      <c r="BT32" s="337"/>
      <c r="BU32" s="337"/>
      <c r="BV32" s="337"/>
      <c r="BW32" s="337"/>
      <c r="BX32" s="337"/>
      <c r="BY32" s="337"/>
      <c r="BZ32" s="337"/>
      <c r="CA32" s="337"/>
      <c r="CB32" s="337"/>
      <c r="CC32" s="337"/>
      <c r="CD32" s="337"/>
      <c r="CE32" s="337"/>
      <c r="CF32" s="337"/>
      <c r="CG32" s="337"/>
      <c r="CH32" s="337"/>
      <c r="CI32" s="337"/>
      <c r="CJ32" s="337"/>
      <c r="CK32" s="337"/>
      <c r="CL32" s="337"/>
      <c r="CM32" s="337"/>
      <c r="CN32" s="337"/>
      <c r="CO32" s="337"/>
      <c r="CP32" s="337"/>
      <c r="CQ32" s="337"/>
      <c r="CR32" s="337"/>
      <c r="CS32" s="337"/>
      <c r="CT32" s="337"/>
      <c r="CU32" s="337"/>
      <c r="CV32" s="337"/>
      <c r="CW32" s="337"/>
      <c r="CX32" s="337"/>
      <c r="CY32" s="337"/>
      <c r="CZ32" s="337"/>
      <c r="DA32" s="337"/>
      <c r="DB32" s="337"/>
      <c r="DC32" s="337"/>
      <c r="DD32" s="337"/>
      <c r="DE32" s="337"/>
      <c r="DF32" s="337"/>
      <c r="DG32" s="337"/>
      <c r="DH32" s="337"/>
      <c r="DI32" s="337"/>
      <c r="DJ32" s="337"/>
      <c r="DK32" s="337"/>
      <c r="DL32" s="337"/>
      <c r="DM32" s="337"/>
      <c r="DN32" s="337"/>
      <c r="DO32" s="337"/>
      <c r="DP32" s="337"/>
      <c r="DQ32" s="337"/>
      <c r="DR32" s="337"/>
      <c r="DS32" s="337"/>
      <c r="DT32" s="337"/>
      <c r="DU32" s="337"/>
      <c r="DV32" s="337"/>
      <c r="DW32" s="337"/>
      <c r="DX32" s="337"/>
      <c r="DY32" s="337"/>
      <c r="DZ32" s="337"/>
      <c r="EA32" s="337"/>
      <c r="EB32" s="337"/>
      <c r="EC32" s="337"/>
      <c r="ED32" s="337"/>
      <c r="EE32" s="337"/>
      <c r="EF32" s="337"/>
      <c r="EG32" s="337"/>
      <c r="EH32" s="337"/>
      <c r="EI32" s="337"/>
      <c r="EJ32" s="337"/>
      <c r="EK32" s="337"/>
      <c r="EL32" s="337"/>
      <c r="EM32" s="337"/>
      <c r="EN32" s="337"/>
      <c r="EO32" s="337"/>
      <c r="EP32" s="337"/>
      <c r="EQ32" s="337"/>
      <c r="ER32" s="337"/>
      <c r="ES32" s="337"/>
      <c r="ET32" s="337"/>
      <c r="EU32" s="337"/>
      <c r="EV32" s="337"/>
      <c r="EW32" s="337"/>
      <c r="EX32" s="337"/>
      <c r="EY32" s="337"/>
      <c r="EZ32" s="337"/>
      <c r="FA32" s="337"/>
      <c r="FB32" s="337"/>
      <c r="FC32" s="337"/>
      <c r="FD32" s="337"/>
      <c r="FE32" s="337"/>
      <c r="FF32" s="337"/>
      <c r="FG32" s="337"/>
      <c r="FH32" s="337"/>
      <c r="FI32" s="337"/>
      <c r="FJ32" s="337"/>
      <c r="FK32" s="337"/>
      <c r="FL32" s="337"/>
      <c r="FM32" s="337"/>
      <c r="FN32" s="337"/>
      <c r="FO32" s="337"/>
      <c r="FP32" s="337"/>
      <c r="FQ32" s="337"/>
      <c r="FR32" s="337"/>
      <c r="FS32" s="337"/>
      <c r="FT32" s="337"/>
      <c r="FU32" s="337"/>
      <c r="FV32" s="337"/>
      <c r="FW32" s="337"/>
      <c r="FX32" s="337"/>
      <c r="FY32" s="337"/>
      <c r="FZ32" s="337"/>
      <c r="GA32" s="337"/>
      <c r="GB32" s="337"/>
      <c r="GC32" s="337"/>
      <c r="GD32" s="337"/>
      <c r="GE32" s="337"/>
      <c r="GF32" s="337"/>
      <c r="GG32" s="337"/>
      <c r="GH32" s="337"/>
      <c r="GI32" s="337"/>
      <c r="GJ32" s="337"/>
      <c r="GK32" s="337"/>
      <c r="GL32" s="337"/>
      <c r="GM32" s="337"/>
      <c r="GN32" s="337"/>
      <c r="GO32" s="337"/>
      <c r="GP32" s="337"/>
      <c r="GQ32" s="337"/>
      <c r="GR32" s="337"/>
      <c r="GS32" s="337"/>
      <c r="GT32" s="337"/>
      <c r="GU32" s="337"/>
      <c r="GV32" s="337"/>
      <c r="GW32" s="337"/>
      <c r="GX32" s="337"/>
      <c r="GY32" s="337"/>
      <c r="GZ32" s="337"/>
      <c r="HA32" s="337"/>
      <c r="HB32" s="337"/>
      <c r="HC32" s="337"/>
      <c r="HD32" s="337"/>
      <c r="HE32" s="337"/>
      <c r="HF32" s="337"/>
      <c r="HG32" s="337"/>
      <c r="HH32" s="337"/>
      <c r="HI32" s="337"/>
      <c r="HJ32" s="337"/>
      <c r="HK32" s="337"/>
      <c r="HL32" s="337"/>
      <c r="HM32" s="337"/>
      <c r="HN32" s="337"/>
      <c r="HO32" s="337"/>
      <c r="HP32" s="337"/>
      <c r="HQ32" s="337"/>
      <c r="HR32" s="337"/>
      <c r="HS32" s="337"/>
      <c r="HT32" s="337"/>
      <c r="HU32" s="337"/>
      <c r="HV32" s="337"/>
      <c r="HW32" s="337"/>
      <c r="HX32" s="337"/>
      <c r="HY32" s="337"/>
      <c r="HZ32" s="337"/>
      <c r="IA32" s="337"/>
      <c r="IB32" s="337"/>
      <c r="IC32" s="337"/>
      <c r="ID32" s="337"/>
      <c r="IE32" s="337"/>
      <c r="IF32" s="337"/>
      <c r="IG32" s="337"/>
      <c r="IH32" s="337"/>
      <c r="II32" s="337"/>
      <c r="IJ32" s="337"/>
      <c r="IK32" s="337"/>
      <c r="IL32" s="337"/>
      <c r="IM32" s="337"/>
      <c r="IN32" s="337"/>
      <c r="IO32" s="337"/>
      <c r="IP32" s="337"/>
      <c r="IQ32" s="337"/>
      <c r="IR32" s="337"/>
      <c r="IS32" s="337"/>
      <c r="IT32" s="337"/>
      <c r="IU32" s="337"/>
      <c r="IV32" s="337"/>
      <c r="IW32" s="337"/>
      <c r="IX32" s="337"/>
      <c r="IY32" s="337"/>
      <c r="IZ32" s="337"/>
      <c r="JA32" s="337"/>
      <c r="JB32" s="337"/>
      <c r="JC32" s="337"/>
      <c r="JD32" s="337"/>
      <c r="JE32" s="337"/>
      <c r="JF32" s="337"/>
      <c r="JG32" s="337"/>
      <c r="JH32" s="337"/>
      <c r="JI32" s="337"/>
      <c r="JJ32" s="337"/>
      <c r="JK32" s="337"/>
      <c r="JL32" s="337"/>
      <c r="JM32" s="337"/>
      <c r="JN32" s="337"/>
      <c r="JO32" s="337"/>
      <c r="JP32" s="337"/>
      <c r="JQ32" s="337"/>
      <c r="JR32" s="337"/>
      <c r="JS32" s="337"/>
      <c r="JT32" s="337"/>
      <c r="JU32" s="337"/>
      <c r="JV32" s="337"/>
      <c r="JW32" s="337"/>
      <c r="JX32" s="337"/>
      <c r="JY32" s="337"/>
      <c r="JZ32" s="337"/>
      <c r="KA32" s="337"/>
      <c r="KB32" s="337"/>
      <c r="KC32" s="337"/>
      <c r="KD32" s="337"/>
      <c r="KE32" s="337"/>
      <c r="KF32" s="337"/>
      <c r="KG32" s="337"/>
      <c r="KH32" s="337"/>
      <c r="KI32" s="337"/>
      <c r="KJ32" s="337"/>
      <c r="KK32" s="337"/>
      <c r="KL32" s="337"/>
      <c r="KM32" s="337"/>
      <c r="KN32" s="337"/>
      <c r="KO32" s="337"/>
      <c r="KP32" s="337"/>
      <c r="KQ32" s="337"/>
      <c r="KR32" s="337"/>
      <c r="KS32" s="337"/>
      <c r="KT32" s="337"/>
      <c r="KU32" s="337"/>
      <c r="KV32" s="337"/>
      <c r="KW32" s="337"/>
      <c r="KX32" s="337"/>
      <c r="KY32" s="337"/>
      <c r="KZ32" s="337"/>
      <c r="LA32" s="337"/>
      <c r="LB32" s="337"/>
      <c r="LC32" s="337"/>
      <c r="LD32" s="337"/>
      <c r="LE32" s="337"/>
      <c r="LF32" s="337"/>
      <c r="LG32" s="337"/>
      <c r="LH32" s="337"/>
      <c r="LI32" s="337"/>
      <c r="LJ32" s="337"/>
      <c r="LK32" s="337"/>
      <c r="LL32" s="337"/>
      <c r="LM32" s="337"/>
      <c r="LN32" s="337"/>
      <c r="LO32" s="337"/>
      <c r="LP32" s="337"/>
      <c r="LQ32" s="337"/>
      <c r="LR32" s="337"/>
      <c r="LS32" s="337"/>
      <c r="LT32" s="337"/>
      <c r="LU32" s="337"/>
      <c r="LV32" s="337"/>
      <c r="LW32" s="337"/>
      <c r="LX32" s="337"/>
      <c r="LY32" s="337"/>
      <c r="LZ32" s="337"/>
      <c r="MA32" s="337"/>
      <c r="MB32" s="337"/>
      <c r="MC32" s="337"/>
      <c r="MD32" s="337"/>
      <c r="ME32" s="337"/>
      <c r="MF32" s="337"/>
      <c r="MG32" s="337"/>
      <c r="MH32" s="337"/>
      <c r="MI32" s="337"/>
      <c r="MJ32" s="337"/>
      <c r="MK32" s="337"/>
      <c r="ML32" s="337"/>
      <c r="MM32" s="337"/>
      <c r="MN32" s="337"/>
      <c r="MO32" s="337"/>
      <c r="MP32" s="337"/>
      <c r="MQ32" s="337"/>
      <c r="MR32" s="337"/>
      <c r="MS32" s="337"/>
      <c r="MT32" s="337"/>
      <c r="MU32" s="337"/>
      <c r="MV32" s="337"/>
      <c r="MW32" s="337"/>
      <c r="MX32" s="337"/>
      <c r="MY32" s="337"/>
      <c r="MZ32" s="337"/>
      <c r="NA32" s="337"/>
      <c r="NB32" s="337"/>
      <c r="NC32" s="337"/>
      <c r="ND32" s="337"/>
      <c r="NE32" s="337"/>
      <c r="NF32" s="337"/>
      <c r="NG32" s="337"/>
      <c r="NH32" s="337"/>
      <c r="NI32" s="337"/>
      <c r="NJ32" s="337"/>
      <c r="NK32" s="337"/>
      <c r="NL32" s="337"/>
      <c r="NM32" s="337"/>
      <c r="NN32" s="337"/>
      <c r="NO32" s="337"/>
      <c r="NP32" s="337"/>
      <c r="NQ32" s="337"/>
      <c r="NR32" s="337"/>
      <c r="NS32" s="337"/>
      <c r="NT32" s="337"/>
      <c r="NU32" s="337"/>
      <c r="NV32" s="337"/>
      <c r="NW32" s="337"/>
      <c r="NX32" s="337"/>
      <c r="NY32" s="337"/>
      <c r="NZ32" s="337"/>
      <c r="OA32" s="337"/>
      <c r="OB32" s="337"/>
      <c r="OC32" s="337"/>
      <c r="OD32" s="337"/>
      <c r="OE32" s="337"/>
      <c r="OF32" s="337"/>
      <c r="OG32" s="337"/>
      <c r="OH32" s="337"/>
      <c r="OI32" s="337"/>
      <c r="OJ32" s="337"/>
      <c r="OK32" s="337"/>
      <c r="OL32" s="337"/>
      <c r="OM32" s="337"/>
      <c r="ON32" s="337"/>
      <c r="OO32" s="337"/>
      <c r="OP32" s="337"/>
      <c r="OQ32" s="337"/>
      <c r="OR32" s="337"/>
      <c r="OS32" s="337"/>
      <c r="OT32" s="337"/>
      <c r="OU32" s="337"/>
      <c r="OV32" s="337"/>
      <c r="OW32" s="337"/>
      <c r="OX32" s="337"/>
      <c r="OY32" s="337"/>
      <c r="OZ32" s="337"/>
      <c r="PA32" s="337"/>
      <c r="PB32" s="337"/>
      <c r="PC32" s="337"/>
      <c r="PD32" s="337"/>
      <c r="PE32" s="337"/>
      <c r="PF32" s="337"/>
      <c r="PG32" s="337"/>
      <c r="PH32" s="337"/>
      <c r="PI32" s="337"/>
      <c r="PJ32" s="337"/>
      <c r="PK32" s="337"/>
      <c r="PL32" s="337"/>
      <c r="PM32" s="337"/>
      <c r="PN32" s="337"/>
      <c r="PO32" s="337"/>
      <c r="PP32" s="337"/>
      <c r="PQ32" s="337"/>
      <c r="PR32" s="337"/>
      <c r="PS32" s="337"/>
      <c r="PT32" s="337"/>
      <c r="PU32" s="337"/>
      <c r="PV32" s="337"/>
      <c r="PW32" s="337"/>
      <c r="PX32" s="337"/>
      <c r="PY32" s="337"/>
      <c r="PZ32" s="337"/>
      <c r="QA32" s="337"/>
      <c r="QB32" s="337"/>
      <c r="QC32" s="337"/>
      <c r="QD32" s="337"/>
      <c r="QE32" s="337"/>
      <c r="QF32" s="337"/>
      <c r="QG32" s="337"/>
      <c r="QH32" s="337"/>
      <c r="QI32" s="337"/>
      <c r="QJ32" s="337"/>
      <c r="QK32" s="337"/>
      <c r="QL32" s="337"/>
      <c r="QM32" s="337"/>
      <c r="QN32" s="337"/>
      <c r="QO32" s="337"/>
      <c r="QP32" s="337"/>
      <c r="QQ32" s="337"/>
      <c r="QR32" s="337"/>
      <c r="QS32" s="337"/>
      <c r="QT32" s="337"/>
      <c r="QU32" s="337"/>
      <c r="QV32" s="337"/>
      <c r="QW32" s="337"/>
      <c r="QX32" s="337"/>
      <c r="QY32" s="337"/>
      <c r="QZ32" s="337"/>
      <c r="RA32" s="337"/>
      <c r="RB32" s="337"/>
      <c r="RC32" s="337"/>
      <c r="RD32" s="337"/>
      <c r="RE32" s="337"/>
      <c r="RF32" s="337"/>
      <c r="RG32" s="337"/>
      <c r="RH32" s="337"/>
      <c r="RI32" s="337"/>
      <c r="RJ32" s="337"/>
      <c r="RK32" s="337"/>
      <c r="RL32" s="337"/>
      <c r="RM32" s="337"/>
      <c r="RN32" s="337"/>
      <c r="RO32" s="337"/>
      <c r="RP32" s="337"/>
      <c r="RQ32" s="337"/>
      <c r="RR32" s="337"/>
      <c r="RS32" s="337"/>
      <c r="RT32" s="337"/>
      <c r="RU32" s="337"/>
      <c r="RV32" s="337"/>
      <c r="RW32" s="337"/>
      <c r="RX32" s="337"/>
      <c r="RY32" s="337"/>
      <c r="RZ32" s="337"/>
      <c r="SA32" s="337"/>
      <c r="SB32" s="337"/>
      <c r="SC32" s="337"/>
      <c r="SD32" s="337"/>
      <c r="SE32" s="337"/>
      <c r="SF32" s="337"/>
      <c r="SG32" s="337"/>
      <c r="SH32" s="337"/>
      <c r="SI32" s="337"/>
      <c r="SJ32" s="337"/>
      <c r="SK32" s="337"/>
      <c r="SL32" s="337"/>
      <c r="SM32" s="337"/>
      <c r="SN32" s="337"/>
      <c r="SO32" s="337"/>
      <c r="SP32" s="337"/>
      <c r="SQ32" s="337"/>
      <c r="SR32" s="337"/>
      <c r="SS32" s="337"/>
      <c r="ST32" s="337"/>
      <c r="SU32" s="337"/>
      <c r="SV32" s="337"/>
      <c r="SW32" s="337"/>
      <c r="SX32" s="337"/>
      <c r="SY32" s="337"/>
      <c r="SZ32" s="337"/>
      <c r="TA32" s="337"/>
      <c r="TB32" s="337"/>
      <c r="TC32" s="337"/>
      <c r="TD32" s="337"/>
      <c r="TE32" s="337"/>
      <c r="TF32" s="337"/>
      <c r="TG32" s="337"/>
      <c r="TH32" s="337"/>
      <c r="TI32" s="337"/>
      <c r="TJ32" s="337"/>
      <c r="TK32" s="337"/>
      <c r="TL32" s="337"/>
      <c r="TM32" s="337"/>
      <c r="TN32" s="337"/>
      <c r="TO32" s="337"/>
      <c r="TP32" s="337"/>
      <c r="TQ32" s="337"/>
      <c r="TR32" s="337"/>
      <c r="TS32" s="337"/>
      <c r="TT32" s="337"/>
      <c r="TU32" s="337"/>
      <c r="TV32" s="337"/>
      <c r="TW32" s="337"/>
      <c r="TX32" s="337"/>
      <c r="TY32" s="337"/>
      <c r="TZ32" s="337"/>
      <c r="UA32" s="337"/>
      <c r="UB32" s="337"/>
      <c r="UC32" s="337"/>
      <c r="UD32" s="337"/>
      <c r="UE32" s="337"/>
      <c r="UF32" s="337"/>
      <c r="UG32" s="337"/>
      <c r="UH32" s="337"/>
      <c r="UI32" s="337"/>
      <c r="UJ32" s="337"/>
      <c r="UK32" s="337"/>
      <c r="UL32" s="337"/>
      <c r="UM32" s="337"/>
      <c r="UN32" s="337"/>
      <c r="UO32" s="337"/>
      <c r="UP32" s="337"/>
      <c r="UQ32" s="337"/>
      <c r="UR32" s="337"/>
      <c r="US32" s="337"/>
      <c r="UT32" s="337"/>
      <c r="UU32" s="337"/>
      <c r="UV32" s="337"/>
      <c r="UW32" s="337"/>
      <c r="UX32" s="337"/>
      <c r="UY32" s="337"/>
      <c r="UZ32" s="337"/>
      <c r="VA32" s="337"/>
      <c r="VB32" s="337"/>
      <c r="VC32" s="337"/>
      <c r="VD32" s="337"/>
      <c r="VE32" s="337"/>
      <c r="VF32" s="337"/>
      <c r="VG32" s="337"/>
      <c r="VH32" s="337"/>
      <c r="VI32" s="337"/>
      <c r="VJ32" s="337"/>
      <c r="VK32" s="337"/>
      <c r="VL32" s="337"/>
      <c r="VM32" s="337"/>
      <c r="VN32" s="337"/>
      <c r="VO32" s="337"/>
      <c r="VP32" s="337"/>
      <c r="VQ32" s="337"/>
      <c r="VR32" s="337"/>
      <c r="VS32" s="337"/>
      <c r="VT32" s="337"/>
      <c r="VU32" s="337"/>
      <c r="VV32" s="337"/>
      <c r="VW32" s="337"/>
      <c r="VX32" s="337"/>
      <c r="VY32" s="337"/>
      <c r="VZ32" s="337"/>
      <c r="WA32" s="337"/>
      <c r="WB32" s="337"/>
      <c r="WC32" s="337"/>
      <c r="WD32" s="337"/>
      <c r="WE32" s="337"/>
      <c r="WF32" s="337"/>
      <c r="WG32" s="337"/>
      <c r="WH32" s="337"/>
      <c r="WI32" s="337"/>
      <c r="WJ32" s="337"/>
      <c r="WK32" s="337"/>
      <c r="WL32" s="337"/>
      <c r="WM32" s="337"/>
      <c r="WN32" s="337"/>
      <c r="WO32" s="337"/>
      <c r="WP32" s="337"/>
      <c r="WQ32" s="337"/>
      <c r="WR32" s="337"/>
      <c r="WS32" s="337"/>
      <c r="WT32" s="337"/>
      <c r="WU32" s="337"/>
      <c r="WV32" s="337"/>
      <c r="WW32" s="337"/>
      <c r="WX32" s="337"/>
      <c r="WY32" s="337"/>
      <c r="WZ32" s="337"/>
      <c r="XA32" s="337"/>
      <c r="XB32" s="337"/>
      <c r="XC32" s="337"/>
      <c r="XD32" s="337"/>
      <c r="XE32" s="337"/>
      <c r="XF32" s="337"/>
      <c r="XG32" s="337"/>
      <c r="XH32" s="337"/>
      <c r="XI32" s="337"/>
      <c r="XJ32" s="337"/>
      <c r="XK32" s="337"/>
      <c r="XL32" s="337"/>
      <c r="XM32" s="337"/>
      <c r="XN32" s="337"/>
      <c r="XO32" s="337"/>
      <c r="XP32" s="337"/>
      <c r="XQ32" s="337"/>
      <c r="XR32" s="337"/>
      <c r="XS32" s="337"/>
      <c r="XT32" s="337"/>
      <c r="XU32" s="337"/>
      <c r="XV32" s="337"/>
      <c r="XW32" s="337"/>
      <c r="XX32" s="337"/>
      <c r="XY32" s="337"/>
      <c r="XZ32" s="337"/>
      <c r="YA32" s="337"/>
      <c r="YB32" s="337"/>
      <c r="YC32" s="337"/>
      <c r="YD32" s="337"/>
      <c r="YE32" s="337"/>
      <c r="YF32" s="337"/>
      <c r="YG32" s="337"/>
      <c r="YH32" s="337"/>
      <c r="YI32" s="337"/>
      <c r="YJ32" s="337"/>
      <c r="YK32" s="337"/>
      <c r="YL32" s="337"/>
      <c r="YM32" s="337"/>
      <c r="YN32" s="337"/>
      <c r="YO32" s="337"/>
      <c r="YP32" s="337"/>
      <c r="YQ32" s="337"/>
      <c r="YR32" s="337"/>
      <c r="YS32" s="337"/>
      <c r="YT32" s="337"/>
      <c r="YU32" s="337"/>
      <c r="YV32" s="337"/>
      <c r="YW32" s="337"/>
      <c r="YX32" s="337"/>
      <c r="YY32" s="337"/>
      <c r="YZ32" s="337"/>
      <c r="ZA32" s="337"/>
      <c r="ZB32" s="337"/>
      <c r="ZC32" s="337"/>
      <c r="ZD32" s="337"/>
      <c r="ZE32" s="337"/>
      <c r="ZF32" s="337"/>
      <c r="ZG32" s="337"/>
      <c r="ZH32" s="337"/>
      <c r="ZI32" s="337"/>
      <c r="ZJ32" s="337"/>
      <c r="ZK32" s="337"/>
      <c r="ZL32" s="337"/>
      <c r="ZM32" s="337"/>
      <c r="ZN32" s="337"/>
      <c r="ZO32" s="337"/>
      <c r="ZP32" s="337"/>
      <c r="ZQ32" s="337"/>
      <c r="ZR32" s="337"/>
      <c r="ZS32" s="337"/>
      <c r="ZT32" s="337"/>
      <c r="ZU32" s="337"/>
      <c r="ZV32" s="337"/>
      <c r="ZW32" s="337"/>
      <c r="ZX32" s="337"/>
      <c r="ZY32" s="337"/>
      <c r="ZZ32" s="337"/>
      <c r="AAA32" s="337"/>
      <c r="AAB32" s="337"/>
      <c r="AAC32" s="337"/>
      <c r="AAD32" s="337"/>
      <c r="AAE32" s="337"/>
      <c r="AAF32" s="337"/>
      <c r="AAG32" s="337"/>
      <c r="AAH32" s="337"/>
      <c r="AAI32" s="337"/>
      <c r="AAJ32" s="337"/>
      <c r="AAK32" s="337"/>
      <c r="AAL32" s="337"/>
      <c r="AAM32" s="337"/>
      <c r="AAN32" s="337"/>
      <c r="AAO32" s="337"/>
      <c r="AAP32" s="337"/>
      <c r="AAQ32" s="337"/>
      <c r="AAR32" s="337"/>
      <c r="AAS32" s="337"/>
      <c r="AAT32" s="337"/>
      <c r="AAU32" s="337"/>
      <c r="AAV32" s="337"/>
      <c r="AAW32" s="337"/>
      <c r="AAX32" s="337"/>
      <c r="AAY32" s="337"/>
      <c r="AAZ32" s="337"/>
      <c r="ABA32" s="337"/>
      <c r="ABB32" s="337"/>
      <c r="ABC32" s="337"/>
      <c r="ABD32" s="337"/>
      <c r="ABE32" s="337"/>
      <c r="ABF32" s="337"/>
      <c r="ABG32" s="337"/>
      <c r="ABH32" s="337"/>
      <c r="ABI32" s="337"/>
      <c r="ABJ32" s="337"/>
      <c r="ABK32" s="337"/>
      <c r="ABL32" s="337"/>
      <c r="ABM32" s="337"/>
      <c r="ABN32" s="337"/>
      <c r="ABO32" s="337"/>
      <c r="ABP32" s="337"/>
      <c r="ABQ32" s="337"/>
      <c r="ABR32" s="337"/>
      <c r="ABS32" s="337"/>
      <c r="ABT32" s="337"/>
      <c r="ABU32" s="337"/>
      <c r="ABV32" s="337"/>
      <c r="ABW32" s="337"/>
      <c r="ABX32" s="337"/>
      <c r="ABY32" s="337"/>
      <c r="ABZ32" s="337"/>
      <c r="ACA32" s="337"/>
      <c r="ACB32" s="337"/>
      <c r="ACC32" s="337"/>
      <c r="ACD32" s="337"/>
      <c r="ACE32" s="337"/>
      <c r="ACF32" s="337"/>
      <c r="ACG32" s="337"/>
      <c r="ACH32" s="337"/>
      <c r="ACI32" s="337"/>
      <c r="ACJ32" s="337"/>
      <c r="ACK32" s="337"/>
      <c r="ACL32" s="337"/>
      <c r="ACM32" s="337"/>
      <c r="ACN32" s="337"/>
      <c r="ACO32" s="337"/>
      <c r="ACP32" s="337"/>
      <c r="ACQ32" s="337"/>
      <c r="ACR32" s="337"/>
      <c r="ACS32" s="337"/>
      <c r="ACT32" s="337"/>
      <c r="ACU32" s="337"/>
      <c r="ACV32" s="337"/>
      <c r="ACW32" s="337"/>
      <c r="ACX32" s="337"/>
      <c r="ACY32" s="337"/>
      <c r="ACZ32" s="337"/>
      <c r="ADA32" s="337"/>
      <c r="ADB32" s="337"/>
      <c r="ADC32" s="337"/>
      <c r="ADD32" s="337"/>
      <c r="ADE32" s="337"/>
      <c r="ADF32" s="337"/>
      <c r="ADG32" s="337"/>
      <c r="ADH32" s="337"/>
      <c r="ADI32" s="337"/>
      <c r="ADJ32" s="337"/>
      <c r="ADK32" s="337"/>
      <c r="ADL32" s="337"/>
      <c r="ADM32" s="337"/>
      <c r="ADN32" s="337"/>
      <c r="ADO32" s="337"/>
      <c r="ADP32" s="337"/>
      <c r="ADQ32" s="337"/>
      <c r="ADR32" s="337"/>
      <c r="ADS32" s="337"/>
      <c r="ADT32" s="337"/>
      <c r="ADU32" s="337"/>
      <c r="ADV32" s="337"/>
      <c r="ADW32" s="337"/>
      <c r="ADX32" s="337"/>
      <c r="ADY32" s="337"/>
      <c r="ADZ32" s="337"/>
      <c r="AEA32" s="337"/>
      <c r="AEB32" s="337"/>
      <c r="AEC32" s="337"/>
      <c r="AED32" s="337"/>
      <c r="AEE32" s="337"/>
      <c r="AEF32" s="337"/>
      <c r="AEG32" s="337"/>
      <c r="AEH32" s="337"/>
      <c r="AEI32" s="337"/>
      <c r="AEJ32" s="337"/>
      <c r="AEK32" s="337"/>
      <c r="AEL32" s="337"/>
      <c r="AEM32" s="337"/>
      <c r="AEN32" s="337"/>
      <c r="AEO32" s="337"/>
      <c r="AEP32" s="337"/>
      <c r="AEQ32" s="337"/>
      <c r="AER32" s="337"/>
      <c r="AES32" s="337"/>
      <c r="AET32" s="337"/>
      <c r="AEU32" s="337"/>
      <c r="AEV32" s="337"/>
      <c r="AEW32" s="337"/>
      <c r="AEX32" s="337"/>
      <c r="AEY32" s="337"/>
      <c r="AEZ32" s="337"/>
      <c r="AFA32" s="337"/>
      <c r="AFB32" s="337"/>
      <c r="AFC32" s="337"/>
      <c r="AFD32" s="337"/>
      <c r="AFE32" s="337"/>
      <c r="AFF32" s="337"/>
      <c r="AFG32" s="337"/>
      <c r="AFH32" s="337"/>
      <c r="AFI32" s="337"/>
      <c r="AFJ32" s="337"/>
      <c r="AFK32" s="337"/>
      <c r="AFL32" s="337"/>
      <c r="AFM32" s="337"/>
      <c r="AFN32" s="337"/>
      <c r="AFO32" s="337"/>
      <c r="AFP32" s="337"/>
      <c r="AFQ32" s="337"/>
      <c r="AFR32" s="337"/>
      <c r="AFS32" s="337"/>
      <c r="AFT32" s="337"/>
      <c r="AFU32" s="337"/>
      <c r="AFV32" s="337"/>
      <c r="AFW32" s="337"/>
      <c r="AFX32" s="337"/>
      <c r="AFY32" s="337"/>
      <c r="AFZ32" s="337"/>
      <c r="AGA32" s="337"/>
      <c r="AGB32" s="337"/>
      <c r="AGC32" s="337"/>
      <c r="AGD32" s="337"/>
      <c r="AGE32" s="337"/>
      <c r="AGF32" s="337"/>
      <c r="AGG32" s="337"/>
      <c r="AGH32" s="337"/>
      <c r="AGI32" s="337"/>
      <c r="AGJ32" s="337"/>
      <c r="AGK32" s="337"/>
      <c r="AGL32" s="337"/>
      <c r="AGM32" s="337"/>
      <c r="AGN32" s="337"/>
      <c r="AGO32" s="337"/>
      <c r="AGP32" s="337"/>
      <c r="AGQ32" s="337"/>
      <c r="AGR32" s="337"/>
      <c r="AGS32" s="337"/>
      <c r="AGT32" s="337"/>
      <c r="AGU32" s="337"/>
      <c r="AGV32" s="337"/>
      <c r="AGW32" s="337"/>
      <c r="AGX32" s="337"/>
      <c r="AGY32" s="337"/>
      <c r="AGZ32" s="337"/>
    </row>
    <row r="33" ht="24" customHeight="1" spans="1:884">
      <c r="A33" s="349">
        <v>29</v>
      </c>
      <c r="B33" s="350"/>
      <c r="C33" s="351" t="s">
        <v>120</v>
      </c>
      <c r="D33" s="358"/>
      <c r="E33" s="358"/>
      <c r="F33" s="81">
        <v>8</v>
      </c>
      <c r="G33" s="356" t="s">
        <v>490</v>
      </c>
      <c r="H33" s="357" t="s">
        <v>491</v>
      </c>
      <c r="I33" s="100" t="s">
        <v>124</v>
      </c>
      <c r="J33" s="100"/>
      <c r="K33" s="100"/>
      <c r="L33" s="100" t="s">
        <v>124</v>
      </c>
      <c r="M33" s="100"/>
      <c r="N33" s="373" t="s">
        <v>492</v>
      </c>
      <c r="O33" s="374"/>
      <c r="P33" s="376"/>
      <c r="Q33" s="375" t="str">
        <f>CONCATENATE(RemovePunctuation(H33),"_CA","_","i5K","_",C33,"_",AD33,"_",PROPER(R33),IF(S33="",PROPER(R33),PROPER(S33)),PROPER(T33),PROPER(U33),PROPER(V33),IF(V33&lt;&gt;"","SUB",""),PROPER(W33),IF(W33&lt;&gt;"","SUB",""),"_","Ed","_","M4",".mpg")</f>
        <v>SandstormEp05_CA_i5K_0825_169_ZhoZhoZhoSUB_Ed_M4.mpg</v>
      </c>
      <c r="R33" s="382" t="s">
        <v>130</v>
      </c>
      <c r="S33" s="385"/>
      <c r="T33" s="384"/>
      <c r="U33" s="384"/>
      <c r="V33" s="382" t="s">
        <v>130</v>
      </c>
      <c r="W33" s="386"/>
      <c r="X33" s="349" t="s">
        <v>129</v>
      </c>
      <c r="Y33" s="349" t="s">
        <v>129</v>
      </c>
      <c r="Z33" s="120">
        <f t="shared" si="6"/>
        <v>59</v>
      </c>
      <c r="AA33" s="304" t="str">
        <f t="shared" si="7"/>
        <v>00:59:00</v>
      </c>
      <c r="AB33" s="120">
        <f t="shared" si="8"/>
        <v>3540</v>
      </c>
      <c r="AC33" s="399">
        <v>0.0408217592592593</v>
      </c>
      <c r="AD33" s="400">
        <v>169</v>
      </c>
      <c r="AE33" s="400">
        <v>43</v>
      </c>
      <c r="AF33" s="349" t="s">
        <v>132</v>
      </c>
      <c r="AP33" s="337"/>
      <c r="AQ33" s="337"/>
      <c r="AR33" s="337"/>
      <c r="AS33" s="337"/>
      <c r="AT33" s="337"/>
      <c r="AU33" s="337"/>
      <c r="AV33" s="337"/>
      <c r="AW33" s="337"/>
      <c r="AX33" s="337"/>
      <c r="AY33" s="337"/>
      <c r="AZ33" s="337"/>
      <c r="BA33" s="337"/>
      <c r="BB33" s="337"/>
      <c r="BC33" s="337"/>
      <c r="BD33" s="337"/>
      <c r="BE33" s="337"/>
      <c r="BF33" s="337"/>
      <c r="BG33" s="337"/>
      <c r="BH33" s="337"/>
      <c r="BI33" s="337"/>
      <c r="BJ33" s="337"/>
      <c r="BK33" s="337"/>
      <c r="BL33" s="337"/>
      <c r="BM33" s="337"/>
      <c r="BN33" s="337"/>
      <c r="BO33" s="337"/>
      <c r="BP33" s="337"/>
      <c r="BQ33" s="337"/>
      <c r="BR33" s="337"/>
      <c r="BS33" s="337"/>
      <c r="BT33" s="337"/>
      <c r="BU33" s="337"/>
      <c r="BV33" s="337"/>
      <c r="BW33" s="337"/>
      <c r="BX33" s="337"/>
      <c r="BY33" s="337"/>
      <c r="BZ33" s="337"/>
      <c r="CA33" s="337"/>
      <c r="CB33" s="337"/>
      <c r="CC33" s="337"/>
      <c r="CD33" s="337"/>
      <c r="CE33" s="337"/>
      <c r="CF33" s="337"/>
      <c r="CG33" s="337"/>
      <c r="CH33" s="337"/>
      <c r="CI33" s="337"/>
      <c r="CJ33" s="337"/>
      <c r="CK33" s="337"/>
      <c r="CL33" s="337"/>
      <c r="CM33" s="337"/>
      <c r="CN33" s="337"/>
      <c r="CO33" s="337"/>
      <c r="CP33" s="337"/>
      <c r="CQ33" s="337"/>
      <c r="CR33" s="337"/>
      <c r="CS33" s="337"/>
      <c r="CT33" s="337"/>
      <c r="CU33" s="337"/>
      <c r="CV33" s="337"/>
      <c r="CW33" s="337"/>
      <c r="CX33" s="337"/>
      <c r="CY33" s="337"/>
      <c r="CZ33" s="337"/>
      <c r="DA33" s="337"/>
      <c r="DB33" s="337"/>
      <c r="DC33" s="337"/>
      <c r="DD33" s="337"/>
      <c r="DE33" s="337"/>
      <c r="DF33" s="337"/>
      <c r="DG33" s="337"/>
      <c r="DH33" s="337"/>
      <c r="DI33" s="337"/>
      <c r="DJ33" s="337"/>
      <c r="DK33" s="337"/>
      <c r="DL33" s="337"/>
      <c r="DM33" s="337"/>
      <c r="DN33" s="337"/>
      <c r="DO33" s="337"/>
      <c r="DP33" s="337"/>
      <c r="DQ33" s="337"/>
      <c r="DR33" s="337"/>
      <c r="DS33" s="337"/>
      <c r="DT33" s="337"/>
      <c r="DU33" s="337"/>
      <c r="DV33" s="337"/>
      <c r="DW33" s="337"/>
      <c r="DX33" s="337"/>
      <c r="DY33" s="337"/>
      <c r="DZ33" s="337"/>
      <c r="EA33" s="337"/>
      <c r="EB33" s="337"/>
      <c r="EC33" s="337"/>
      <c r="ED33" s="337"/>
      <c r="EE33" s="337"/>
      <c r="EF33" s="337"/>
      <c r="EG33" s="337"/>
      <c r="EH33" s="337"/>
      <c r="EI33" s="337"/>
      <c r="EJ33" s="337"/>
      <c r="EK33" s="337"/>
      <c r="EL33" s="337"/>
      <c r="EM33" s="337"/>
      <c r="EN33" s="337"/>
      <c r="EO33" s="337"/>
      <c r="EP33" s="337"/>
      <c r="EQ33" s="337"/>
      <c r="ER33" s="337"/>
      <c r="ES33" s="337"/>
      <c r="ET33" s="337"/>
      <c r="EU33" s="337"/>
      <c r="EV33" s="337"/>
      <c r="EW33" s="337"/>
      <c r="EX33" s="337"/>
      <c r="EY33" s="337"/>
      <c r="EZ33" s="337"/>
      <c r="FA33" s="337"/>
      <c r="FB33" s="337"/>
      <c r="FC33" s="337"/>
      <c r="FD33" s="337"/>
      <c r="FE33" s="337"/>
      <c r="FF33" s="337"/>
      <c r="FG33" s="337"/>
      <c r="FH33" s="337"/>
      <c r="FI33" s="337"/>
      <c r="FJ33" s="337"/>
      <c r="FK33" s="337"/>
      <c r="FL33" s="337"/>
      <c r="FM33" s="337"/>
      <c r="FN33" s="337"/>
      <c r="FO33" s="337"/>
      <c r="FP33" s="337"/>
      <c r="FQ33" s="337"/>
      <c r="FR33" s="337"/>
      <c r="FS33" s="337"/>
      <c r="FT33" s="337"/>
      <c r="FU33" s="337"/>
      <c r="FV33" s="337"/>
      <c r="FW33" s="337"/>
      <c r="FX33" s="337"/>
      <c r="FY33" s="337"/>
      <c r="FZ33" s="337"/>
      <c r="GA33" s="337"/>
      <c r="GB33" s="337"/>
      <c r="GC33" s="337"/>
      <c r="GD33" s="337"/>
      <c r="GE33" s="337"/>
      <c r="GF33" s="337"/>
      <c r="GG33" s="337"/>
      <c r="GH33" s="337"/>
      <c r="GI33" s="337"/>
      <c r="GJ33" s="337"/>
      <c r="GK33" s="337"/>
      <c r="GL33" s="337"/>
      <c r="GM33" s="337"/>
      <c r="GN33" s="337"/>
      <c r="GO33" s="337"/>
      <c r="GP33" s="337"/>
      <c r="GQ33" s="337"/>
      <c r="GR33" s="337"/>
      <c r="GS33" s="337"/>
      <c r="GT33" s="337"/>
      <c r="GU33" s="337"/>
      <c r="GV33" s="337"/>
      <c r="GW33" s="337"/>
      <c r="GX33" s="337"/>
      <c r="GY33" s="337"/>
      <c r="GZ33" s="337"/>
      <c r="HA33" s="337"/>
      <c r="HB33" s="337"/>
      <c r="HC33" s="337"/>
      <c r="HD33" s="337"/>
      <c r="HE33" s="337"/>
      <c r="HF33" s="337"/>
      <c r="HG33" s="337"/>
      <c r="HH33" s="337"/>
      <c r="HI33" s="337"/>
      <c r="HJ33" s="337"/>
      <c r="HK33" s="337"/>
      <c r="HL33" s="337"/>
      <c r="HM33" s="337"/>
      <c r="HN33" s="337"/>
      <c r="HO33" s="337"/>
      <c r="HP33" s="337"/>
      <c r="HQ33" s="337"/>
      <c r="HR33" s="337"/>
      <c r="HS33" s="337"/>
      <c r="HT33" s="337"/>
      <c r="HU33" s="337"/>
      <c r="HV33" s="337"/>
      <c r="HW33" s="337"/>
      <c r="HX33" s="337"/>
      <c r="HY33" s="337"/>
      <c r="HZ33" s="337"/>
      <c r="IA33" s="337"/>
      <c r="IB33" s="337"/>
      <c r="IC33" s="337"/>
      <c r="ID33" s="337"/>
      <c r="IE33" s="337"/>
      <c r="IF33" s="337"/>
      <c r="IG33" s="337"/>
      <c r="IH33" s="337"/>
      <c r="II33" s="337"/>
      <c r="IJ33" s="337"/>
      <c r="IK33" s="337"/>
      <c r="IL33" s="337"/>
      <c r="IM33" s="337"/>
      <c r="IN33" s="337"/>
      <c r="IO33" s="337"/>
      <c r="IP33" s="337"/>
      <c r="IQ33" s="337"/>
      <c r="IR33" s="337"/>
      <c r="IS33" s="337"/>
      <c r="IT33" s="337"/>
      <c r="IU33" s="337"/>
      <c r="IV33" s="337"/>
      <c r="IW33" s="337"/>
      <c r="IX33" s="337"/>
      <c r="IY33" s="337"/>
      <c r="IZ33" s="337"/>
      <c r="JA33" s="337"/>
      <c r="JB33" s="337"/>
      <c r="JC33" s="337"/>
      <c r="JD33" s="337"/>
      <c r="JE33" s="337"/>
      <c r="JF33" s="337"/>
      <c r="JG33" s="337"/>
      <c r="JH33" s="337"/>
      <c r="JI33" s="337"/>
      <c r="JJ33" s="337"/>
      <c r="JK33" s="337"/>
      <c r="JL33" s="337"/>
      <c r="JM33" s="337"/>
      <c r="JN33" s="337"/>
      <c r="JO33" s="337"/>
      <c r="JP33" s="337"/>
      <c r="JQ33" s="337"/>
      <c r="JR33" s="337"/>
      <c r="JS33" s="337"/>
      <c r="JT33" s="337"/>
      <c r="JU33" s="337"/>
      <c r="JV33" s="337"/>
      <c r="JW33" s="337"/>
      <c r="JX33" s="337"/>
      <c r="JY33" s="337"/>
      <c r="JZ33" s="337"/>
      <c r="KA33" s="337"/>
      <c r="KB33" s="337"/>
      <c r="KC33" s="337"/>
      <c r="KD33" s="337"/>
      <c r="KE33" s="337"/>
      <c r="KF33" s="337"/>
      <c r="KG33" s="337"/>
      <c r="KH33" s="337"/>
      <c r="KI33" s="337"/>
      <c r="KJ33" s="337"/>
      <c r="KK33" s="337"/>
      <c r="KL33" s="337"/>
      <c r="KM33" s="337"/>
      <c r="KN33" s="337"/>
      <c r="KO33" s="337"/>
      <c r="KP33" s="337"/>
      <c r="KQ33" s="337"/>
      <c r="KR33" s="337"/>
      <c r="KS33" s="337"/>
      <c r="KT33" s="337"/>
      <c r="KU33" s="337"/>
      <c r="KV33" s="337"/>
      <c r="KW33" s="337"/>
      <c r="KX33" s="337"/>
      <c r="KY33" s="337"/>
      <c r="KZ33" s="337"/>
      <c r="LA33" s="337"/>
      <c r="LB33" s="337"/>
      <c r="LC33" s="337"/>
      <c r="LD33" s="337"/>
      <c r="LE33" s="337"/>
      <c r="LF33" s="337"/>
      <c r="LG33" s="337"/>
      <c r="LH33" s="337"/>
      <c r="LI33" s="337"/>
      <c r="LJ33" s="337"/>
      <c r="LK33" s="337"/>
      <c r="LL33" s="337"/>
      <c r="LM33" s="337"/>
      <c r="LN33" s="337"/>
      <c r="LO33" s="337"/>
      <c r="LP33" s="337"/>
      <c r="LQ33" s="337"/>
      <c r="LR33" s="337"/>
      <c r="LS33" s="337"/>
      <c r="LT33" s="337"/>
      <c r="LU33" s="337"/>
      <c r="LV33" s="337"/>
      <c r="LW33" s="337"/>
      <c r="LX33" s="337"/>
      <c r="LY33" s="337"/>
      <c r="LZ33" s="337"/>
      <c r="MA33" s="337"/>
      <c r="MB33" s="337"/>
      <c r="MC33" s="337"/>
      <c r="MD33" s="337"/>
      <c r="ME33" s="337"/>
      <c r="MF33" s="337"/>
      <c r="MG33" s="337"/>
      <c r="MH33" s="337"/>
      <c r="MI33" s="337"/>
      <c r="MJ33" s="337"/>
      <c r="MK33" s="337"/>
      <c r="ML33" s="337"/>
      <c r="MM33" s="337"/>
      <c r="MN33" s="337"/>
      <c r="MO33" s="337"/>
      <c r="MP33" s="337"/>
      <c r="MQ33" s="337"/>
      <c r="MR33" s="337"/>
      <c r="MS33" s="337"/>
      <c r="MT33" s="337"/>
      <c r="MU33" s="337"/>
      <c r="MV33" s="337"/>
      <c r="MW33" s="337"/>
      <c r="MX33" s="337"/>
      <c r="MY33" s="337"/>
      <c r="MZ33" s="337"/>
      <c r="NA33" s="337"/>
      <c r="NB33" s="337"/>
      <c r="NC33" s="337"/>
      <c r="ND33" s="337"/>
      <c r="NE33" s="337"/>
      <c r="NF33" s="337"/>
      <c r="NG33" s="337"/>
      <c r="NH33" s="337"/>
      <c r="NI33" s="337"/>
      <c r="NJ33" s="337"/>
      <c r="NK33" s="337"/>
      <c r="NL33" s="337"/>
      <c r="NM33" s="337"/>
      <c r="NN33" s="337"/>
      <c r="NO33" s="337"/>
      <c r="NP33" s="337"/>
      <c r="NQ33" s="337"/>
      <c r="NR33" s="337"/>
      <c r="NS33" s="337"/>
      <c r="NT33" s="337"/>
      <c r="NU33" s="337"/>
      <c r="NV33" s="337"/>
      <c r="NW33" s="337"/>
      <c r="NX33" s="337"/>
      <c r="NY33" s="337"/>
      <c r="NZ33" s="337"/>
      <c r="OA33" s="337"/>
      <c r="OB33" s="337"/>
      <c r="OC33" s="337"/>
      <c r="OD33" s="337"/>
      <c r="OE33" s="337"/>
      <c r="OF33" s="337"/>
      <c r="OG33" s="337"/>
      <c r="OH33" s="337"/>
      <c r="OI33" s="337"/>
      <c r="OJ33" s="337"/>
      <c r="OK33" s="337"/>
      <c r="OL33" s="337"/>
      <c r="OM33" s="337"/>
      <c r="ON33" s="337"/>
      <c r="OO33" s="337"/>
      <c r="OP33" s="337"/>
      <c r="OQ33" s="337"/>
      <c r="OR33" s="337"/>
      <c r="OS33" s="337"/>
      <c r="OT33" s="337"/>
      <c r="OU33" s="337"/>
      <c r="OV33" s="337"/>
      <c r="OW33" s="337"/>
      <c r="OX33" s="337"/>
      <c r="OY33" s="337"/>
      <c r="OZ33" s="337"/>
      <c r="PA33" s="337"/>
      <c r="PB33" s="337"/>
      <c r="PC33" s="337"/>
      <c r="PD33" s="337"/>
      <c r="PE33" s="337"/>
      <c r="PF33" s="337"/>
      <c r="PG33" s="337"/>
      <c r="PH33" s="337"/>
      <c r="PI33" s="337"/>
      <c r="PJ33" s="337"/>
      <c r="PK33" s="337"/>
      <c r="PL33" s="337"/>
      <c r="PM33" s="337"/>
      <c r="PN33" s="337"/>
      <c r="PO33" s="337"/>
      <c r="PP33" s="337"/>
      <c r="PQ33" s="337"/>
      <c r="PR33" s="337"/>
      <c r="PS33" s="337"/>
      <c r="PT33" s="337"/>
      <c r="PU33" s="337"/>
      <c r="PV33" s="337"/>
      <c r="PW33" s="337"/>
      <c r="PX33" s="337"/>
      <c r="PY33" s="337"/>
      <c r="PZ33" s="337"/>
      <c r="QA33" s="337"/>
      <c r="QB33" s="337"/>
      <c r="QC33" s="337"/>
      <c r="QD33" s="337"/>
      <c r="QE33" s="337"/>
      <c r="QF33" s="337"/>
      <c r="QG33" s="337"/>
      <c r="QH33" s="337"/>
      <c r="QI33" s="337"/>
      <c r="QJ33" s="337"/>
      <c r="QK33" s="337"/>
      <c r="QL33" s="337"/>
      <c r="QM33" s="337"/>
      <c r="QN33" s="337"/>
      <c r="QO33" s="337"/>
      <c r="QP33" s="337"/>
      <c r="QQ33" s="337"/>
      <c r="QR33" s="337"/>
      <c r="QS33" s="337"/>
      <c r="QT33" s="337"/>
      <c r="QU33" s="337"/>
      <c r="QV33" s="337"/>
      <c r="QW33" s="337"/>
      <c r="QX33" s="337"/>
      <c r="QY33" s="337"/>
      <c r="QZ33" s="337"/>
      <c r="RA33" s="337"/>
      <c r="RB33" s="337"/>
      <c r="RC33" s="337"/>
      <c r="RD33" s="337"/>
      <c r="RE33" s="337"/>
      <c r="RF33" s="337"/>
      <c r="RG33" s="337"/>
      <c r="RH33" s="337"/>
      <c r="RI33" s="337"/>
      <c r="RJ33" s="337"/>
      <c r="RK33" s="337"/>
      <c r="RL33" s="337"/>
      <c r="RM33" s="337"/>
      <c r="RN33" s="337"/>
      <c r="RO33" s="337"/>
      <c r="RP33" s="337"/>
      <c r="RQ33" s="337"/>
      <c r="RR33" s="337"/>
      <c r="RS33" s="337"/>
      <c r="RT33" s="337"/>
      <c r="RU33" s="337"/>
      <c r="RV33" s="337"/>
      <c r="RW33" s="337"/>
      <c r="RX33" s="337"/>
      <c r="RY33" s="337"/>
      <c r="RZ33" s="337"/>
      <c r="SA33" s="337"/>
      <c r="SB33" s="337"/>
      <c r="SC33" s="337"/>
      <c r="SD33" s="337"/>
      <c r="SE33" s="337"/>
      <c r="SF33" s="337"/>
      <c r="SG33" s="337"/>
      <c r="SH33" s="337"/>
      <c r="SI33" s="337"/>
      <c r="SJ33" s="337"/>
      <c r="SK33" s="337"/>
      <c r="SL33" s="337"/>
      <c r="SM33" s="337"/>
      <c r="SN33" s="337"/>
      <c r="SO33" s="337"/>
      <c r="SP33" s="337"/>
      <c r="SQ33" s="337"/>
      <c r="SR33" s="337"/>
      <c r="SS33" s="337"/>
      <c r="ST33" s="337"/>
      <c r="SU33" s="337"/>
      <c r="SV33" s="337"/>
      <c r="SW33" s="337"/>
      <c r="SX33" s="337"/>
      <c r="SY33" s="337"/>
      <c r="SZ33" s="337"/>
      <c r="TA33" s="337"/>
      <c r="TB33" s="337"/>
      <c r="TC33" s="337"/>
      <c r="TD33" s="337"/>
      <c r="TE33" s="337"/>
      <c r="TF33" s="337"/>
      <c r="TG33" s="337"/>
      <c r="TH33" s="337"/>
      <c r="TI33" s="337"/>
      <c r="TJ33" s="337"/>
      <c r="TK33" s="337"/>
      <c r="TL33" s="337"/>
      <c r="TM33" s="337"/>
      <c r="TN33" s="337"/>
      <c r="TO33" s="337"/>
      <c r="TP33" s="337"/>
      <c r="TQ33" s="337"/>
      <c r="TR33" s="337"/>
      <c r="TS33" s="337"/>
      <c r="TT33" s="337"/>
      <c r="TU33" s="337"/>
      <c r="TV33" s="337"/>
      <c r="TW33" s="337"/>
      <c r="TX33" s="337"/>
      <c r="TY33" s="337"/>
      <c r="TZ33" s="337"/>
      <c r="UA33" s="337"/>
      <c r="UB33" s="337"/>
      <c r="UC33" s="337"/>
      <c r="UD33" s="337"/>
      <c r="UE33" s="337"/>
      <c r="UF33" s="337"/>
      <c r="UG33" s="337"/>
      <c r="UH33" s="337"/>
      <c r="UI33" s="337"/>
      <c r="UJ33" s="337"/>
      <c r="UK33" s="337"/>
      <c r="UL33" s="337"/>
      <c r="UM33" s="337"/>
      <c r="UN33" s="337"/>
      <c r="UO33" s="337"/>
      <c r="UP33" s="337"/>
      <c r="UQ33" s="337"/>
      <c r="UR33" s="337"/>
      <c r="US33" s="337"/>
      <c r="UT33" s="337"/>
      <c r="UU33" s="337"/>
      <c r="UV33" s="337"/>
      <c r="UW33" s="337"/>
      <c r="UX33" s="337"/>
      <c r="UY33" s="337"/>
      <c r="UZ33" s="337"/>
      <c r="VA33" s="337"/>
      <c r="VB33" s="337"/>
      <c r="VC33" s="337"/>
      <c r="VD33" s="337"/>
      <c r="VE33" s="337"/>
      <c r="VF33" s="337"/>
      <c r="VG33" s="337"/>
      <c r="VH33" s="337"/>
      <c r="VI33" s="337"/>
      <c r="VJ33" s="337"/>
      <c r="VK33" s="337"/>
      <c r="VL33" s="337"/>
      <c r="VM33" s="337"/>
      <c r="VN33" s="337"/>
      <c r="VO33" s="337"/>
      <c r="VP33" s="337"/>
      <c r="VQ33" s="337"/>
      <c r="VR33" s="337"/>
      <c r="VS33" s="337"/>
      <c r="VT33" s="337"/>
      <c r="VU33" s="337"/>
      <c r="VV33" s="337"/>
      <c r="VW33" s="337"/>
      <c r="VX33" s="337"/>
      <c r="VY33" s="337"/>
      <c r="VZ33" s="337"/>
      <c r="WA33" s="337"/>
      <c r="WB33" s="337"/>
      <c r="WC33" s="337"/>
      <c r="WD33" s="337"/>
      <c r="WE33" s="337"/>
      <c r="WF33" s="337"/>
      <c r="WG33" s="337"/>
      <c r="WH33" s="337"/>
      <c r="WI33" s="337"/>
      <c r="WJ33" s="337"/>
      <c r="WK33" s="337"/>
      <c r="WL33" s="337"/>
      <c r="WM33" s="337"/>
      <c r="WN33" s="337"/>
      <c r="WO33" s="337"/>
      <c r="WP33" s="337"/>
      <c r="WQ33" s="337"/>
      <c r="WR33" s="337"/>
      <c r="WS33" s="337"/>
      <c r="WT33" s="337"/>
      <c r="WU33" s="337"/>
      <c r="WV33" s="337"/>
      <c r="WW33" s="337"/>
      <c r="WX33" s="337"/>
      <c r="WY33" s="337"/>
      <c r="WZ33" s="337"/>
      <c r="XA33" s="337"/>
      <c r="XB33" s="337"/>
      <c r="XC33" s="337"/>
      <c r="XD33" s="337"/>
      <c r="XE33" s="337"/>
      <c r="XF33" s="337"/>
      <c r="XG33" s="337"/>
      <c r="XH33" s="337"/>
      <c r="XI33" s="337"/>
      <c r="XJ33" s="337"/>
      <c r="XK33" s="337"/>
      <c r="XL33" s="337"/>
      <c r="XM33" s="337"/>
      <c r="XN33" s="337"/>
      <c r="XO33" s="337"/>
      <c r="XP33" s="337"/>
      <c r="XQ33" s="337"/>
      <c r="XR33" s="337"/>
      <c r="XS33" s="337"/>
      <c r="XT33" s="337"/>
      <c r="XU33" s="337"/>
      <c r="XV33" s="337"/>
      <c r="XW33" s="337"/>
      <c r="XX33" s="337"/>
      <c r="XY33" s="337"/>
      <c r="XZ33" s="337"/>
      <c r="YA33" s="337"/>
      <c r="YB33" s="337"/>
      <c r="YC33" s="337"/>
      <c r="YD33" s="337"/>
      <c r="YE33" s="337"/>
      <c r="YF33" s="337"/>
      <c r="YG33" s="337"/>
      <c r="YH33" s="337"/>
      <c r="YI33" s="337"/>
      <c r="YJ33" s="337"/>
      <c r="YK33" s="337"/>
      <c r="YL33" s="337"/>
      <c r="YM33" s="337"/>
      <c r="YN33" s="337"/>
      <c r="YO33" s="337"/>
      <c r="YP33" s="337"/>
      <c r="YQ33" s="337"/>
      <c r="YR33" s="337"/>
      <c r="YS33" s="337"/>
      <c r="YT33" s="337"/>
      <c r="YU33" s="337"/>
      <c r="YV33" s="337"/>
      <c r="YW33" s="337"/>
      <c r="YX33" s="337"/>
      <c r="YY33" s="337"/>
      <c r="YZ33" s="337"/>
      <c r="ZA33" s="337"/>
      <c r="ZB33" s="337"/>
      <c r="ZC33" s="337"/>
      <c r="ZD33" s="337"/>
      <c r="ZE33" s="337"/>
      <c r="ZF33" s="337"/>
      <c r="ZG33" s="337"/>
      <c r="ZH33" s="337"/>
      <c r="ZI33" s="337"/>
      <c r="ZJ33" s="337"/>
      <c r="ZK33" s="337"/>
      <c r="ZL33" s="337"/>
      <c r="ZM33" s="337"/>
      <c r="ZN33" s="337"/>
      <c r="ZO33" s="337"/>
      <c r="ZP33" s="337"/>
      <c r="ZQ33" s="337"/>
      <c r="ZR33" s="337"/>
      <c r="ZS33" s="337"/>
      <c r="ZT33" s="337"/>
      <c r="ZU33" s="337"/>
      <c r="ZV33" s="337"/>
      <c r="ZW33" s="337"/>
      <c r="ZX33" s="337"/>
      <c r="ZY33" s="337"/>
      <c r="ZZ33" s="337"/>
      <c r="AAA33" s="337"/>
      <c r="AAB33" s="337"/>
      <c r="AAC33" s="337"/>
      <c r="AAD33" s="337"/>
      <c r="AAE33" s="337"/>
      <c r="AAF33" s="337"/>
      <c r="AAG33" s="337"/>
      <c r="AAH33" s="337"/>
      <c r="AAI33" s="337"/>
      <c r="AAJ33" s="337"/>
      <c r="AAK33" s="337"/>
      <c r="AAL33" s="337"/>
      <c r="AAM33" s="337"/>
      <c r="AAN33" s="337"/>
      <c r="AAO33" s="337"/>
      <c r="AAP33" s="337"/>
      <c r="AAQ33" s="337"/>
      <c r="AAR33" s="337"/>
      <c r="AAS33" s="337"/>
      <c r="AAT33" s="337"/>
      <c r="AAU33" s="337"/>
      <c r="AAV33" s="337"/>
      <c r="AAW33" s="337"/>
      <c r="AAX33" s="337"/>
      <c r="AAY33" s="337"/>
      <c r="AAZ33" s="337"/>
      <c r="ABA33" s="337"/>
      <c r="ABB33" s="337"/>
      <c r="ABC33" s="337"/>
      <c r="ABD33" s="337"/>
      <c r="ABE33" s="337"/>
      <c r="ABF33" s="337"/>
      <c r="ABG33" s="337"/>
      <c r="ABH33" s="337"/>
      <c r="ABI33" s="337"/>
      <c r="ABJ33" s="337"/>
      <c r="ABK33" s="337"/>
      <c r="ABL33" s="337"/>
      <c r="ABM33" s="337"/>
      <c r="ABN33" s="337"/>
      <c r="ABO33" s="337"/>
      <c r="ABP33" s="337"/>
      <c r="ABQ33" s="337"/>
      <c r="ABR33" s="337"/>
      <c r="ABS33" s="337"/>
      <c r="ABT33" s="337"/>
      <c r="ABU33" s="337"/>
      <c r="ABV33" s="337"/>
      <c r="ABW33" s="337"/>
      <c r="ABX33" s="337"/>
      <c r="ABY33" s="337"/>
      <c r="ABZ33" s="337"/>
      <c r="ACA33" s="337"/>
      <c r="ACB33" s="337"/>
      <c r="ACC33" s="337"/>
      <c r="ACD33" s="337"/>
      <c r="ACE33" s="337"/>
      <c r="ACF33" s="337"/>
      <c r="ACG33" s="337"/>
      <c r="ACH33" s="337"/>
      <c r="ACI33" s="337"/>
      <c r="ACJ33" s="337"/>
      <c r="ACK33" s="337"/>
      <c r="ACL33" s="337"/>
      <c r="ACM33" s="337"/>
      <c r="ACN33" s="337"/>
      <c r="ACO33" s="337"/>
      <c r="ACP33" s="337"/>
      <c r="ACQ33" s="337"/>
      <c r="ACR33" s="337"/>
      <c r="ACS33" s="337"/>
      <c r="ACT33" s="337"/>
      <c r="ACU33" s="337"/>
      <c r="ACV33" s="337"/>
      <c r="ACW33" s="337"/>
      <c r="ACX33" s="337"/>
      <c r="ACY33" s="337"/>
      <c r="ACZ33" s="337"/>
      <c r="ADA33" s="337"/>
      <c r="ADB33" s="337"/>
      <c r="ADC33" s="337"/>
      <c r="ADD33" s="337"/>
      <c r="ADE33" s="337"/>
      <c r="ADF33" s="337"/>
      <c r="ADG33" s="337"/>
      <c r="ADH33" s="337"/>
      <c r="ADI33" s="337"/>
      <c r="ADJ33" s="337"/>
      <c r="ADK33" s="337"/>
      <c r="ADL33" s="337"/>
      <c r="ADM33" s="337"/>
      <c r="ADN33" s="337"/>
      <c r="ADO33" s="337"/>
      <c r="ADP33" s="337"/>
      <c r="ADQ33" s="337"/>
      <c r="ADR33" s="337"/>
      <c r="ADS33" s="337"/>
      <c r="ADT33" s="337"/>
      <c r="ADU33" s="337"/>
      <c r="ADV33" s="337"/>
      <c r="ADW33" s="337"/>
      <c r="ADX33" s="337"/>
      <c r="ADY33" s="337"/>
      <c r="ADZ33" s="337"/>
      <c r="AEA33" s="337"/>
      <c r="AEB33" s="337"/>
      <c r="AEC33" s="337"/>
      <c r="AED33" s="337"/>
      <c r="AEE33" s="337"/>
      <c r="AEF33" s="337"/>
      <c r="AEG33" s="337"/>
      <c r="AEH33" s="337"/>
      <c r="AEI33" s="337"/>
      <c r="AEJ33" s="337"/>
      <c r="AEK33" s="337"/>
      <c r="AEL33" s="337"/>
      <c r="AEM33" s="337"/>
      <c r="AEN33" s="337"/>
      <c r="AEO33" s="337"/>
      <c r="AEP33" s="337"/>
      <c r="AEQ33" s="337"/>
      <c r="AER33" s="337"/>
      <c r="AES33" s="337"/>
      <c r="AET33" s="337"/>
      <c r="AEU33" s="337"/>
      <c r="AEV33" s="337"/>
      <c r="AEW33" s="337"/>
      <c r="AEX33" s="337"/>
      <c r="AEY33" s="337"/>
      <c r="AEZ33" s="337"/>
      <c r="AFA33" s="337"/>
      <c r="AFB33" s="337"/>
      <c r="AFC33" s="337"/>
      <c r="AFD33" s="337"/>
      <c r="AFE33" s="337"/>
      <c r="AFF33" s="337"/>
      <c r="AFG33" s="337"/>
      <c r="AFH33" s="337"/>
      <c r="AFI33" s="337"/>
      <c r="AFJ33" s="337"/>
      <c r="AFK33" s="337"/>
      <c r="AFL33" s="337"/>
      <c r="AFM33" s="337"/>
      <c r="AFN33" s="337"/>
      <c r="AFO33" s="337"/>
      <c r="AFP33" s="337"/>
      <c r="AFQ33" s="337"/>
      <c r="AFR33" s="337"/>
      <c r="AFS33" s="337"/>
      <c r="AFT33" s="337"/>
      <c r="AFU33" s="337"/>
      <c r="AFV33" s="337"/>
      <c r="AFW33" s="337"/>
      <c r="AFX33" s="337"/>
      <c r="AFY33" s="337"/>
      <c r="AFZ33" s="337"/>
      <c r="AGA33" s="337"/>
      <c r="AGB33" s="337"/>
      <c r="AGC33" s="337"/>
      <c r="AGD33" s="337"/>
      <c r="AGE33" s="337"/>
      <c r="AGF33" s="337"/>
      <c r="AGG33" s="337"/>
      <c r="AGH33" s="337"/>
      <c r="AGI33" s="337"/>
      <c r="AGJ33" s="337"/>
      <c r="AGK33" s="337"/>
      <c r="AGL33" s="337"/>
      <c r="AGM33" s="337"/>
      <c r="AGN33" s="337"/>
      <c r="AGO33" s="337"/>
      <c r="AGP33" s="337"/>
      <c r="AGQ33" s="337"/>
      <c r="AGR33" s="337"/>
      <c r="AGS33" s="337"/>
      <c r="AGT33" s="337"/>
      <c r="AGU33" s="337"/>
      <c r="AGV33" s="337"/>
      <c r="AGW33" s="337"/>
      <c r="AGX33" s="337"/>
      <c r="AGY33" s="337"/>
      <c r="AGZ33" s="337"/>
    </row>
    <row r="34" ht="24" customHeight="1" spans="1:884">
      <c r="A34" s="349">
        <v>30</v>
      </c>
      <c r="B34" s="350"/>
      <c r="C34" s="351" t="s">
        <v>120</v>
      </c>
      <c r="D34" s="358"/>
      <c r="E34" s="358"/>
      <c r="F34" s="81">
        <v>9</v>
      </c>
      <c r="G34" s="356" t="s">
        <v>493</v>
      </c>
      <c r="H34" s="357" t="s">
        <v>494</v>
      </c>
      <c r="I34" s="100" t="s">
        <v>124</v>
      </c>
      <c r="J34" s="100"/>
      <c r="K34" s="100"/>
      <c r="L34" s="100" t="s">
        <v>124</v>
      </c>
      <c r="M34" s="100"/>
      <c r="N34" s="373" t="s">
        <v>495</v>
      </c>
      <c r="O34" s="374"/>
      <c r="P34" s="376"/>
      <c r="Q34" s="375" t="str">
        <f>CONCATENATE(RemovePunctuation(H34),"_CA","_","i5K","_",C34,"_",AD34,"_",PROPER(R34),IF(S34="",PROPER(R34),PROPER(S34)),PROPER(T34),PROPER(U34),PROPER(V34),IF(V34&lt;&gt;"","SUB",""),PROPER(W34),IF(W34&lt;&gt;"","SUB",""),"_","Ed","_","M4",".mpg")</f>
        <v>SandstormEp04_CA_i5K_0825_169_ZhoZhoZhoSUB_Ed_M4.mpg</v>
      </c>
      <c r="R34" s="382" t="s">
        <v>130</v>
      </c>
      <c r="S34" s="385"/>
      <c r="T34" s="384"/>
      <c r="U34" s="384"/>
      <c r="V34" s="382" t="s">
        <v>130</v>
      </c>
      <c r="W34" s="386"/>
      <c r="X34" s="349" t="s">
        <v>129</v>
      </c>
      <c r="Y34" s="349" t="s">
        <v>129</v>
      </c>
      <c r="Z34" s="120">
        <f t="shared" si="6"/>
        <v>55</v>
      </c>
      <c r="AA34" s="304" t="str">
        <f t="shared" si="7"/>
        <v>00:55:00</v>
      </c>
      <c r="AB34" s="120">
        <f t="shared" si="8"/>
        <v>3300</v>
      </c>
      <c r="AC34" s="399">
        <v>0.0380902777777778</v>
      </c>
      <c r="AD34" s="400">
        <v>169</v>
      </c>
      <c r="AE34" s="400">
        <v>43</v>
      </c>
      <c r="AF34" s="349" t="s">
        <v>132</v>
      </c>
      <c r="AP34" s="337"/>
      <c r="AQ34" s="337"/>
      <c r="AR34" s="337"/>
      <c r="AS34" s="337"/>
      <c r="AT34" s="337"/>
      <c r="AU34" s="337"/>
      <c r="AV34" s="337"/>
      <c r="AW34" s="337"/>
      <c r="AX34" s="337"/>
      <c r="AY34" s="337"/>
      <c r="AZ34" s="337"/>
      <c r="BA34" s="337"/>
      <c r="BB34" s="337"/>
      <c r="BC34" s="337"/>
      <c r="BD34" s="337"/>
      <c r="BE34" s="337"/>
      <c r="BF34" s="337"/>
      <c r="BG34" s="337"/>
      <c r="BH34" s="337"/>
      <c r="BI34" s="337"/>
      <c r="BJ34" s="337"/>
      <c r="BK34" s="337"/>
      <c r="BL34" s="337"/>
      <c r="BM34" s="337"/>
      <c r="BN34" s="337"/>
      <c r="BO34" s="337"/>
      <c r="BP34" s="337"/>
      <c r="BQ34" s="337"/>
      <c r="BR34" s="337"/>
      <c r="BS34" s="337"/>
      <c r="BT34" s="337"/>
      <c r="BU34" s="337"/>
      <c r="BV34" s="337"/>
      <c r="BW34" s="337"/>
      <c r="BX34" s="337"/>
      <c r="BY34" s="337"/>
      <c r="BZ34" s="337"/>
      <c r="CA34" s="337"/>
      <c r="CB34" s="337"/>
      <c r="CC34" s="337"/>
      <c r="CD34" s="337"/>
      <c r="CE34" s="337"/>
      <c r="CF34" s="337"/>
      <c r="CG34" s="337"/>
      <c r="CH34" s="337"/>
      <c r="CI34" s="337"/>
      <c r="CJ34" s="337"/>
      <c r="CK34" s="337"/>
      <c r="CL34" s="337"/>
      <c r="CM34" s="337"/>
      <c r="CN34" s="337"/>
      <c r="CO34" s="337"/>
      <c r="CP34" s="337"/>
      <c r="CQ34" s="337"/>
      <c r="CR34" s="337"/>
      <c r="CS34" s="337"/>
      <c r="CT34" s="337"/>
      <c r="CU34" s="337"/>
      <c r="CV34" s="337"/>
      <c r="CW34" s="337"/>
      <c r="CX34" s="337"/>
      <c r="CY34" s="337"/>
      <c r="CZ34" s="337"/>
      <c r="DA34" s="337"/>
      <c r="DB34" s="337"/>
      <c r="DC34" s="337"/>
      <c r="DD34" s="337"/>
      <c r="DE34" s="337"/>
      <c r="DF34" s="337"/>
      <c r="DG34" s="337"/>
      <c r="DH34" s="337"/>
      <c r="DI34" s="337"/>
      <c r="DJ34" s="337"/>
      <c r="DK34" s="337"/>
      <c r="DL34" s="337"/>
      <c r="DM34" s="337"/>
      <c r="DN34" s="337"/>
      <c r="DO34" s="337"/>
      <c r="DP34" s="337"/>
      <c r="DQ34" s="337"/>
      <c r="DR34" s="337"/>
      <c r="DS34" s="337"/>
      <c r="DT34" s="337"/>
      <c r="DU34" s="337"/>
      <c r="DV34" s="337"/>
      <c r="DW34" s="337"/>
      <c r="DX34" s="337"/>
      <c r="DY34" s="337"/>
      <c r="DZ34" s="337"/>
      <c r="EA34" s="337"/>
      <c r="EB34" s="337"/>
      <c r="EC34" s="337"/>
      <c r="ED34" s="337"/>
      <c r="EE34" s="337"/>
      <c r="EF34" s="337"/>
      <c r="EG34" s="337"/>
      <c r="EH34" s="337"/>
      <c r="EI34" s="337"/>
      <c r="EJ34" s="337"/>
      <c r="EK34" s="337"/>
      <c r="EL34" s="337"/>
      <c r="EM34" s="337"/>
      <c r="EN34" s="337"/>
      <c r="EO34" s="337"/>
      <c r="EP34" s="337"/>
      <c r="EQ34" s="337"/>
      <c r="ER34" s="337"/>
      <c r="ES34" s="337"/>
      <c r="ET34" s="337"/>
      <c r="EU34" s="337"/>
      <c r="EV34" s="337"/>
      <c r="EW34" s="337"/>
      <c r="EX34" s="337"/>
      <c r="EY34" s="337"/>
      <c r="EZ34" s="337"/>
      <c r="FA34" s="337"/>
      <c r="FB34" s="337"/>
      <c r="FC34" s="337"/>
      <c r="FD34" s="337"/>
      <c r="FE34" s="337"/>
      <c r="FF34" s="337"/>
      <c r="FG34" s="337"/>
      <c r="FH34" s="337"/>
      <c r="FI34" s="337"/>
      <c r="FJ34" s="337"/>
      <c r="FK34" s="337"/>
      <c r="FL34" s="337"/>
      <c r="FM34" s="337"/>
      <c r="FN34" s="337"/>
      <c r="FO34" s="337"/>
      <c r="FP34" s="337"/>
      <c r="FQ34" s="337"/>
      <c r="FR34" s="337"/>
      <c r="FS34" s="337"/>
      <c r="FT34" s="337"/>
      <c r="FU34" s="337"/>
      <c r="FV34" s="337"/>
      <c r="FW34" s="337"/>
      <c r="FX34" s="337"/>
      <c r="FY34" s="337"/>
      <c r="FZ34" s="337"/>
      <c r="GA34" s="337"/>
      <c r="GB34" s="337"/>
      <c r="GC34" s="337"/>
      <c r="GD34" s="337"/>
      <c r="GE34" s="337"/>
      <c r="GF34" s="337"/>
      <c r="GG34" s="337"/>
      <c r="GH34" s="337"/>
      <c r="GI34" s="337"/>
      <c r="GJ34" s="337"/>
      <c r="GK34" s="337"/>
      <c r="GL34" s="337"/>
      <c r="GM34" s="337"/>
      <c r="GN34" s="337"/>
      <c r="GO34" s="337"/>
      <c r="GP34" s="337"/>
      <c r="GQ34" s="337"/>
      <c r="GR34" s="337"/>
      <c r="GS34" s="337"/>
      <c r="GT34" s="337"/>
      <c r="GU34" s="337"/>
      <c r="GV34" s="337"/>
      <c r="GW34" s="337"/>
      <c r="GX34" s="337"/>
      <c r="GY34" s="337"/>
      <c r="GZ34" s="337"/>
      <c r="HA34" s="337"/>
      <c r="HB34" s="337"/>
      <c r="HC34" s="337"/>
      <c r="HD34" s="337"/>
      <c r="HE34" s="337"/>
      <c r="HF34" s="337"/>
      <c r="HG34" s="337"/>
      <c r="HH34" s="337"/>
      <c r="HI34" s="337"/>
      <c r="HJ34" s="337"/>
      <c r="HK34" s="337"/>
      <c r="HL34" s="337"/>
      <c r="HM34" s="337"/>
      <c r="HN34" s="337"/>
      <c r="HO34" s="337"/>
      <c r="HP34" s="337"/>
      <c r="HQ34" s="337"/>
      <c r="HR34" s="337"/>
      <c r="HS34" s="337"/>
      <c r="HT34" s="337"/>
      <c r="HU34" s="337"/>
      <c r="HV34" s="337"/>
      <c r="HW34" s="337"/>
      <c r="HX34" s="337"/>
      <c r="HY34" s="337"/>
      <c r="HZ34" s="337"/>
      <c r="IA34" s="337"/>
      <c r="IB34" s="337"/>
      <c r="IC34" s="337"/>
      <c r="ID34" s="337"/>
      <c r="IE34" s="337"/>
      <c r="IF34" s="337"/>
      <c r="IG34" s="337"/>
      <c r="IH34" s="337"/>
      <c r="II34" s="337"/>
      <c r="IJ34" s="337"/>
      <c r="IK34" s="337"/>
      <c r="IL34" s="337"/>
      <c r="IM34" s="337"/>
      <c r="IN34" s="337"/>
      <c r="IO34" s="337"/>
      <c r="IP34" s="337"/>
      <c r="IQ34" s="337"/>
      <c r="IR34" s="337"/>
      <c r="IS34" s="337"/>
      <c r="IT34" s="337"/>
      <c r="IU34" s="337"/>
      <c r="IV34" s="337"/>
      <c r="IW34" s="337"/>
      <c r="IX34" s="337"/>
      <c r="IY34" s="337"/>
      <c r="IZ34" s="337"/>
      <c r="JA34" s="337"/>
      <c r="JB34" s="337"/>
      <c r="JC34" s="337"/>
      <c r="JD34" s="337"/>
      <c r="JE34" s="337"/>
      <c r="JF34" s="337"/>
      <c r="JG34" s="337"/>
      <c r="JH34" s="337"/>
      <c r="JI34" s="337"/>
      <c r="JJ34" s="337"/>
      <c r="JK34" s="337"/>
      <c r="JL34" s="337"/>
      <c r="JM34" s="337"/>
      <c r="JN34" s="337"/>
      <c r="JO34" s="337"/>
      <c r="JP34" s="337"/>
      <c r="JQ34" s="337"/>
      <c r="JR34" s="337"/>
      <c r="JS34" s="337"/>
      <c r="JT34" s="337"/>
      <c r="JU34" s="337"/>
      <c r="JV34" s="337"/>
      <c r="JW34" s="337"/>
      <c r="JX34" s="337"/>
      <c r="JY34" s="337"/>
      <c r="JZ34" s="337"/>
      <c r="KA34" s="337"/>
      <c r="KB34" s="337"/>
      <c r="KC34" s="337"/>
      <c r="KD34" s="337"/>
      <c r="KE34" s="337"/>
      <c r="KF34" s="337"/>
      <c r="KG34" s="337"/>
      <c r="KH34" s="337"/>
      <c r="KI34" s="337"/>
      <c r="KJ34" s="337"/>
      <c r="KK34" s="337"/>
      <c r="KL34" s="337"/>
      <c r="KM34" s="337"/>
      <c r="KN34" s="337"/>
      <c r="KO34" s="337"/>
      <c r="KP34" s="337"/>
      <c r="KQ34" s="337"/>
      <c r="KR34" s="337"/>
      <c r="KS34" s="337"/>
      <c r="KT34" s="337"/>
      <c r="KU34" s="337"/>
      <c r="KV34" s="337"/>
      <c r="KW34" s="337"/>
      <c r="KX34" s="337"/>
      <c r="KY34" s="337"/>
      <c r="KZ34" s="337"/>
      <c r="LA34" s="337"/>
      <c r="LB34" s="337"/>
      <c r="LC34" s="337"/>
      <c r="LD34" s="337"/>
      <c r="LE34" s="337"/>
      <c r="LF34" s="337"/>
      <c r="LG34" s="337"/>
      <c r="LH34" s="337"/>
      <c r="LI34" s="337"/>
      <c r="LJ34" s="337"/>
      <c r="LK34" s="337"/>
      <c r="LL34" s="337"/>
      <c r="LM34" s="337"/>
      <c r="LN34" s="337"/>
      <c r="LO34" s="337"/>
      <c r="LP34" s="337"/>
      <c r="LQ34" s="337"/>
      <c r="LR34" s="337"/>
      <c r="LS34" s="337"/>
      <c r="LT34" s="337"/>
      <c r="LU34" s="337"/>
      <c r="LV34" s="337"/>
      <c r="LW34" s="337"/>
      <c r="LX34" s="337"/>
      <c r="LY34" s="337"/>
      <c r="LZ34" s="337"/>
      <c r="MA34" s="337"/>
      <c r="MB34" s="337"/>
      <c r="MC34" s="337"/>
      <c r="MD34" s="337"/>
      <c r="ME34" s="337"/>
      <c r="MF34" s="337"/>
      <c r="MG34" s="337"/>
      <c r="MH34" s="337"/>
      <c r="MI34" s="337"/>
      <c r="MJ34" s="337"/>
      <c r="MK34" s="337"/>
      <c r="ML34" s="337"/>
      <c r="MM34" s="337"/>
      <c r="MN34" s="337"/>
      <c r="MO34" s="337"/>
      <c r="MP34" s="337"/>
      <c r="MQ34" s="337"/>
      <c r="MR34" s="337"/>
      <c r="MS34" s="337"/>
      <c r="MT34" s="337"/>
      <c r="MU34" s="337"/>
      <c r="MV34" s="337"/>
      <c r="MW34" s="337"/>
      <c r="MX34" s="337"/>
      <c r="MY34" s="337"/>
      <c r="MZ34" s="337"/>
      <c r="NA34" s="337"/>
      <c r="NB34" s="337"/>
      <c r="NC34" s="337"/>
      <c r="ND34" s="337"/>
      <c r="NE34" s="337"/>
      <c r="NF34" s="337"/>
      <c r="NG34" s="337"/>
      <c r="NH34" s="337"/>
      <c r="NI34" s="337"/>
      <c r="NJ34" s="337"/>
      <c r="NK34" s="337"/>
      <c r="NL34" s="337"/>
      <c r="NM34" s="337"/>
      <c r="NN34" s="337"/>
      <c r="NO34" s="337"/>
      <c r="NP34" s="337"/>
      <c r="NQ34" s="337"/>
      <c r="NR34" s="337"/>
      <c r="NS34" s="337"/>
      <c r="NT34" s="337"/>
      <c r="NU34" s="337"/>
      <c r="NV34" s="337"/>
      <c r="NW34" s="337"/>
      <c r="NX34" s="337"/>
      <c r="NY34" s="337"/>
      <c r="NZ34" s="337"/>
      <c r="OA34" s="337"/>
      <c r="OB34" s="337"/>
      <c r="OC34" s="337"/>
      <c r="OD34" s="337"/>
      <c r="OE34" s="337"/>
      <c r="OF34" s="337"/>
      <c r="OG34" s="337"/>
      <c r="OH34" s="337"/>
      <c r="OI34" s="337"/>
      <c r="OJ34" s="337"/>
      <c r="OK34" s="337"/>
      <c r="OL34" s="337"/>
      <c r="OM34" s="337"/>
      <c r="ON34" s="337"/>
      <c r="OO34" s="337"/>
      <c r="OP34" s="337"/>
      <c r="OQ34" s="337"/>
      <c r="OR34" s="337"/>
      <c r="OS34" s="337"/>
      <c r="OT34" s="337"/>
      <c r="OU34" s="337"/>
      <c r="OV34" s="337"/>
      <c r="OW34" s="337"/>
      <c r="OX34" s="337"/>
      <c r="OY34" s="337"/>
      <c r="OZ34" s="337"/>
      <c r="PA34" s="337"/>
      <c r="PB34" s="337"/>
      <c r="PC34" s="337"/>
      <c r="PD34" s="337"/>
      <c r="PE34" s="337"/>
      <c r="PF34" s="337"/>
      <c r="PG34" s="337"/>
      <c r="PH34" s="337"/>
      <c r="PI34" s="337"/>
      <c r="PJ34" s="337"/>
      <c r="PK34" s="337"/>
      <c r="PL34" s="337"/>
      <c r="PM34" s="337"/>
      <c r="PN34" s="337"/>
      <c r="PO34" s="337"/>
      <c r="PP34" s="337"/>
      <c r="PQ34" s="337"/>
      <c r="PR34" s="337"/>
      <c r="PS34" s="337"/>
      <c r="PT34" s="337"/>
      <c r="PU34" s="337"/>
      <c r="PV34" s="337"/>
      <c r="PW34" s="337"/>
      <c r="PX34" s="337"/>
      <c r="PY34" s="337"/>
      <c r="PZ34" s="337"/>
      <c r="QA34" s="337"/>
      <c r="QB34" s="337"/>
      <c r="QC34" s="337"/>
      <c r="QD34" s="337"/>
      <c r="QE34" s="337"/>
      <c r="QF34" s="337"/>
      <c r="QG34" s="337"/>
      <c r="QH34" s="337"/>
      <c r="QI34" s="337"/>
      <c r="QJ34" s="337"/>
      <c r="QK34" s="337"/>
      <c r="QL34" s="337"/>
      <c r="QM34" s="337"/>
      <c r="QN34" s="337"/>
      <c r="QO34" s="337"/>
      <c r="QP34" s="337"/>
      <c r="QQ34" s="337"/>
      <c r="QR34" s="337"/>
      <c r="QS34" s="337"/>
      <c r="QT34" s="337"/>
      <c r="QU34" s="337"/>
      <c r="QV34" s="337"/>
      <c r="QW34" s="337"/>
      <c r="QX34" s="337"/>
      <c r="QY34" s="337"/>
      <c r="QZ34" s="337"/>
      <c r="RA34" s="337"/>
      <c r="RB34" s="337"/>
      <c r="RC34" s="337"/>
      <c r="RD34" s="337"/>
      <c r="RE34" s="337"/>
      <c r="RF34" s="337"/>
      <c r="RG34" s="337"/>
      <c r="RH34" s="337"/>
      <c r="RI34" s="337"/>
      <c r="RJ34" s="337"/>
      <c r="RK34" s="337"/>
      <c r="RL34" s="337"/>
      <c r="RM34" s="337"/>
      <c r="RN34" s="337"/>
      <c r="RO34" s="337"/>
      <c r="RP34" s="337"/>
      <c r="RQ34" s="337"/>
      <c r="RR34" s="337"/>
      <c r="RS34" s="337"/>
      <c r="RT34" s="337"/>
      <c r="RU34" s="337"/>
      <c r="RV34" s="337"/>
      <c r="RW34" s="337"/>
      <c r="RX34" s="337"/>
      <c r="RY34" s="337"/>
      <c r="RZ34" s="337"/>
      <c r="SA34" s="337"/>
      <c r="SB34" s="337"/>
      <c r="SC34" s="337"/>
      <c r="SD34" s="337"/>
      <c r="SE34" s="337"/>
      <c r="SF34" s="337"/>
      <c r="SG34" s="337"/>
      <c r="SH34" s="337"/>
      <c r="SI34" s="337"/>
      <c r="SJ34" s="337"/>
      <c r="SK34" s="337"/>
      <c r="SL34" s="337"/>
      <c r="SM34" s="337"/>
      <c r="SN34" s="337"/>
      <c r="SO34" s="337"/>
      <c r="SP34" s="337"/>
      <c r="SQ34" s="337"/>
      <c r="SR34" s="337"/>
      <c r="SS34" s="337"/>
      <c r="ST34" s="337"/>
      <c r="SU34" s="337"/>
      <c r="SV34" s="337"/>
      <c r="SW34" s="337"/>
      <c r="SX34" s="337"/>
      <c r="SY34" s="337"/>
      <c r="SZ34" s="337"/>
      <c r="TA34" s="337"/>
      <c r="TB34" s="337"/>
      <c r="TC34" s="337"/>
      <c r="TD34" s="337"/>
      <c r="TE34" s="337"/>
      <c r="TF34" s="337"/>
      <c r="TG34" s="337"/>
      <c r="TH34" s="337"/>
      <c r="TI34" s="337"/>
      <c r="TJ34" s="337"/>
      <c r="TK34" s="337"/>
      <c r="TL34" s="337"/>
      <c r="TM34" s="337"/>
      <c r="TN34" s="337"/>
      <c r="TO34" s="337"/>
      <c r="TP34" s="337"/>
      <c r="TQ34" s="337"/>
      <c r="TR34" s="337"/>
      <c r="TS34" s="337"/>
      <c r="TT34" s="337"/>
      <c r="TU34" s="337"/>
      <c r="TV34" s="337"/>
      <c r="TW34" s="337"/>
      <c r="TX34" s="337"/>
      <c r="TY34" s="337"/>
      <c r="TZ34" s="337"/>
      <c r="UA34" s="337"/>
      <c r="UB34" s="337"/>
      <c r="UC34" s="337"/>
      <c r="UD34" s="337"/>
      <c r="UE34" s="337"/>
      <c r="UF34" s="337"/>
      <c r="UG34" s="337"/>
      <c r="UH34" s="337"/>
      <c r="UI34" s="337"/>
      <c r="UJ34" s="337"/>
      <c r="UK34" s="337"/>
      <c r="UL34" s="337"/>
      <c r="UM34" s="337"/>
      <c r="UN34" s="337"/>
      <c r="UO34" s="337"/>
      <c r="UP34" s="337"/>
      <c r="UQ34" s="337"/>
      <c r="UR34" s="337"/>
      <c r="US34" s="337"/>
      <c r="UT34" s="337"/>
      <c r="UU34" s="337"/>
      <c r="UV34" s="337"/>
      <c r="UW34" s="337"/>
      <c r="UX34" s="337"/>
      <c r="UY34" s="337"/>
      <c r="UZ34" s="337"/>
      <c r="VA34" s="337"/>
      <c r="VB34" s="337"/>
      <c r="VC34" s="337"/>
      <c r="VD34" s="337"/>
      <c r="VE34" s="337"/>
      <c r="VF34" s="337"/>
      <c r="VG34" s="337"/>
      <c r="VH34" s="337"/>
      <c r="VI34" s="337"/>
      <c r="VJ34" s="337"/>
      <c r="VK34" s="337"/>
      <c r="VL34" s="337"/>
      <c r="VM34" s="337"/>
      <c r="VN34" s="337"/>
      <c r="VO34" s="337"/>
      <c r="VP34" s="337"/>
      <c r="VQ34" s="337"/>
      <c r="VR34" s="337"/>
      <c r="VS34" s="337"/>
      <c r="VT34" s="337"/>
      <c r="VU34" s="337"/>
      <c r="VV34" s="337"/>
      <c r="VW34" s="337"/>
      <c r="VX34" s="337"/>
      <c r="VY34" s="337"/>
      <c r="VZ34" s="337"/>
      <c r="WA34" s="337"/>
      <c r="WB34" s="337"/>
      <c r="WC34" s="337"/>
      <c r="WD34" s="337"/>
      <c r="WE34" s="337"/>
      <c r="WF34" s="337"/>
      <c r="WG34" s="337"/>
      <c r="WH34" s="337"/>
      <c r="WI34" s="337"/>
      <c r="WJ34" s="337"/>
      <c r="WK34" s="337"/>
      <c r="WL34" s="337"/>
      <c r="WM34" s="337"/>
      <c r="WN34" s="337"/>
      <c r="WO34" s="337"/>
      <c r="WP34" s="337"/>
      <c r="WQ34" s="337"/>
      <c r="WR34" s="337"/>
      <c r="WS34" s="337"/>
      <c r="WT34" s="337"/>
      <c r="WU34" s="337"/>
      <c r="WV34" s="337"/>
      <c r="WW34" s="337"/>
      <c r="WX34" s="337"/>
      <c r="WY34" s="337"/>
      <c r="WZ34" s="337"/>
      <c r="XA34" s="337"/>
      <c r="XB34" s="337"/>
      <c r="XC34" s="337"/>
      <c r="XD34" s="337"/>
      <c r="XE34" s="337"/>
      <c r="XF34" s="337"/>
      <c r="XG34" s="337"/>
      <c r="XH34" s="337"/>
      <c r="XI34" s="337"/>
      <c r="XJ34" s="337"/>
      <c r="XK34" s="337"/>
      <c r="XL34" s="337"/>
      <c r="XM34" s="337"/>
      <c r="XN34" s="337"/>
      <c r="XO34" s="337"/>
      <c r="XP34" s="337"/>
      <c r="XQ34" s="337"/>
      <c r="XR34" s="337"/>
      <c r="XS34" s="337"/>
      <c r="XT34" s="337"/>
      <c r="XU34" s="337"/>
      <c r="XV34" s="337"/>
      <c r="XW34" s="337"/>
      <c r="XX34" s="337"/>
      <c r="XY34" s="337"/>
      <c r="XZ34" s="337"/>
      <c r="YA34" s="337"/>
      <c r="YB34" s="337"/>
      <c r="YC34" s="337"/>
      <c r="YD34" s="337"/>
      <c r="YE34" s="337"/>
      <c r="YF34" s="337"/>
      <c r="YG34" s="337"/>
      <c r="YH34" s="337"/>
      <c r="YI34" s="337"/>
      <c r="YJ34" s="337"/>
      <c r="YK34" s="337"/>
      <c r="YL34" s="337"/>
      <c r="YM34" s="337"/>
      <c r="YN34" s="337"/>
      <c r="YO34" s="337"/>
      <c r="YP34" s="337"/>
      <c r="YQ34" s="337"/>
      <c r="YR34" s="337"/>
      <c r="YS34" s="337"/>
      <c r="YT34" s="337"/>
      <c r="YU34" s="337"/>
      <c r="YV34" s="337"/>
      <c r="YW34" s="337"/>
      <c r="YX34" s="337"/>
      <c r="YY34" s="337"/>
      <c r="YZ34" s="337"/>
      <c r="ZA34" s="337"/>
      <c r="ZB34" s="337"/>
      <c r="ZC34" s="337"/>
      <c r="ZD34" s="337"/>
      <c r="ZE34" s="337"/>
      <c r="ZF34" s="337"/>
      <c r="ZG34" s="337"/>
      <c r="ZH34" s="337"/>
      <c r="ZI34" s="337"/>
      <c r="ZJ34" s="337"/>
      <c r="ZK34" s="337"/>
      <c r="ZL34" s="337"/>
      <c r="ZM34" s="337"/>
      <c r="ZN34" s="337"/>
      <c r="ZO34" s="337"/>
      <c r="ZP34" s="337"/>
      <c r="ZQ34" s="337"/>
      <c r="ZR34" s="337"/>
      <c r="ZS34" s="337"/>
      <c r="ZT34" s="337"/>
      <c r="ZU34" s="337"/>
      <c r="ZV34" s="337"/>
      <c r="ZW34" s="337"/>
      <c r="ZX34" s="337"/>
      <c r="ZY34" s="337"/>
      <c r="ZZ34" s="337"/>
      <c r="AAA34" s="337"/>
      <c r="AAB34" s="337"/>
      <c r="AAC34" s="337"/>
      <c r="AAD34" s="337"/>
      <c r="AAE34" s="337"/>
      <c r="AAF34" s="337"/>
      <c r="AAG34" s="337"/>
      <c r="AAH34" s="337"/>
      <c r="AAI34" s="337"/>
      <c r="AAJ34" s="337"/>
      <c r="AAK34" s="337"/>
      <c r="AAL34" s="337"/>
      <c r="AAM34" s="337"/>
      <c r="AAN34" s="337"/>
      <c r="AAO34" s="337"/>
      <c r="AAP34" s="337"/>
      <c r="AAQ34" s="337"/>
      <c r="AAR34" s="337"/>
      <c r="AAS34" s="337"/>
      <c r="AAT34" s="337"/>
      <c r="AAU34" s="337"/>
      <c r="AAV34" s="337"/>
      <c r="AAW34" s="337"/>
      <c r="AAX34" s="337"/>
      <c r="AAY34" s="337"/>
      <c r="AAZ34" s="337"/>
      <c r="ABA34" s="337"/>
      <c r="ABB34" s="337"/>
      <c r="ABC34" s="337"/>
      <c r="ABD34" s="337"/>
      <c r="ABE34" s="337"/>
      <c r="ABF34" s="337"/>
      <c r="ABG34" s="337"/>
      <c r="ABH34" s="337"/>
      <c r="ABI34" s="337"/>
      <c r="ABJ34" s="337"/>
      <c r="ABK34" s="337"/>
      <c r="ABL34" s="337"/>
      <c r="ABM34" s="337"/>
      <c r="ABN34" s="337"/>
      <c r="ABO34" s="337"/>
      <c r="ABP34" s="337"/>
      <c r="ABQ34" s="337"/>
      <c r="ABR34" s="337"/>
      <c r="ABS34" s="337"/>
      <c r="ABT34" s="337"/>
      <c r="ABU34" s="337"/>
      <c r="ABV34" s="337"/>
      <c r="ABW34" s="337"/>
      <c r="ABX34" s="337"/>
      <c r="ABY34" s="337"/>
      <c r="ABZ34" s="337"/>
      <c r="ACA34" s="337"/>
      <c r="ACB34" s="337"/>
      <c r="ACC34" s="337"/>
      <c r="ACD34" s="337"/>
      <c r="ACE34" s="337"/>
      <c r="ACF34" s="337"/>
      <c r="ACG34" s="337"/>
      <c r="ACH34" s="337"/>
      <c r="ACI34" s="337"/>
      <c r="ACJ34" s="337"/>
      <c r="ACK34" s="337"/>
      <c r="ACL34" s="337"/>
      <c r="ACM34" s="337"/>
      <c r="ACN34" s="337"/>
      <c r="ACO34" s="337"/>
      <c r="ACP34" s="337"/>
      <c r="ACQ34" s="337"/>
      <c r="ACR34" s="337"/>
      <c r="ACS34" s="337"/>
      <c r="ACT34" s="337"/>
      <c r="ACU34" s="337"/>
      <c r="ACV34" s="337"/>
      <c r="ACW34" s="337"/>
      <c r="ACX34" s="337"/>
      <c r="ACY34" s="337"/>
      <c r="ACZ34" s="337"/>
      <c r="ADA34" s="337"/>
      <c r="ADB34" s="337"/>
      <c r="ADC34" s="337"/>
      <c r="ADD34" s="337"/>
      <c r="ADE34" s="337"/>
      <c r="ADF34" s="337"/>
      <c r="ADG34" s="337"/>
      <c r="ADH34" s="337"/>
      <c r="ADI34" s="337"/>
      <c r="ADJ34" s="337"/>
      <c r="ADK34" s="337"/>
      <c r="ADL34" s="337"/>
      <c r="ADM34" s="337"/>
      <c r="ADN34" s="337"/>
      <c r="ADO34" s="337"/>
      <c r="ADP34" s="337"/>
      <c r="ADQ34" s="337"/>
      <c r="ADR34" s="337"/>
      <c r="ADS34" s="337"/>
      <c r="ADT34" s="337"/>
      <c r="ADU34" s="337"/>
      <c r="ADV34" s="337"/>
      <c r="ADW34" s="337"/>
      <c r="ADX34" s="337"/>
      <c r="ADY34" s="337"/>
      <c r="ADZ34" s="337"/>
      <c r="AEA34" s="337"/>
      <c r="AEB34" s="337"/>
      <c r="AEC34" s="337"/>
      <c r="AED34" s="337"/>
      <c r="AEE34" s="337"/>
      <c r="AEF34" s="337"/>
      <c r="AEG34" s="337"/>
      <c r="AEH34" s="337"/>
      <c r="AEI34" s="337"/>
      <c r="AEJ34" s="337"/>
      <c r="AEK34" s="337"/>
      <c r="AEL34" s="337"/>
      <c r="AEM34" s="337"/>
      <c r="AEN34" s="337"/>
      <c r="AEO34" s="337"/>
      <c r="AEP34" s="337"/>
      <c r="AEQ34" s="337"/>
      <c r="AER34" s="337"/>
      <c r="AES34" s="337"/>
      <c r="AET34" s="337"/>
      <c r="AEU34" s="337"/>
      <c r="AEV34" s="337"/>
      <c r="AEW34" s="337"/>
      <c r="AEX34" s="337"/>
      <c r="AEY34" s="337"/>
      <c r="AEZ34" s="337"/>
      <c r="AFA34" s="337"/>
      <c r="AFB34" s="337"/>
      <c r="AFC34" s="337"/>
      <c r="AFD34" s="337"/>
      <c r="AFE34" s="337"/>
      <c r="AFF34" s="337"/>
      <c r="AFG34" s="337"/>
      <c r="AFH34" s="337"/>
      <c r="AFI34" s="337"/>
      <c r="AFJ34" s="337"/>
      <c r="AFK34" s="337"/>
      <c r="AFL34" s="337"/>
      <c r="AFM34" s="337"/>
      <c r="AFN34" s="337"/>
      <c r="AFO34" s="337"/>
      <c r="AFP34" s="337"/>
      <c r="AFQ34" s="337"/>
      <c r="AFR34" s="337"/>
      <c r="AFS34" s="337"/>
      <c r="AFT34" s="337"/>
      <c r="AFU34" s="337"/>
      <c r="AFV34" s="337"/>
      <c r="AFW34" s="337"/>
      <c r="AFX34" s="337"/>
      <c r="AFY34" s="337"/>
      <c r="AFZ34" s="337"/>
      <c r="AGA34" s="337"/>
      <c r="AGB34" s="337"/>
      <c r="AGC34" s="337"/>
      <c r="AGD34" s="337"/>
      <c r="AGE34" s="337"/>
      <c r="AGF34" s="337"/>
      <c r="AGG34" s="337"/>
      <c r="AGH34" s="337"/>
      <c r="AGI34" s="337"/>
      <c r="AGJ34" s="337"/>
      <c r="AGK34" s="337"/>
      <c r="AGL34" s="337"/>
      <c r="AGM34" s="337"/>
      <c r="AGN34" s="337"/>
      <c r="AGO34" s="337"/>
      <c r="AGP34" s="337"/>
      <c r="AGQ34" s="337"/>
      <c r="AGR34" s="337"/>
      <c r="AGS34" s="337"/>
      <c r="AGT34" s="337"/>
      <c r="AGU34" s="337"/>
      <c r="AGV34" s="337"/>
      <c r="AGW34" s="337"/>
      <c r="AGX34" s="337"/>
      <c r="AGY34" s="337"/>
      <c r="AGZ34" s="337"/>
    </row>
    <row r="35" ht="24" customHeight="1" spans="1:884">
      <c r="A35" s="349">
        <v>31</v>
      </c>
      <c r="B35" s="350"/>
      <c r="C35" s="351" t="s">
        <v>120</v>
      </c>
      <c r="D35" s="358"/>
      <c r="E35" s="358"/>
      <c r="F35" s="81">
        <v>10</v>
      </c>
      <c r="G35" s="356" t="s">
        <v>496</v>
      </c>
      <c r="H35" s="357" t="s">
        <v>497</v>
      </c>
      <c r="I35" s="100" t="s">
        <v>124</v>
      </c>
      <c r="J35" s="100" t="s">
        <v>124</v>
      </c>
      <c r="K35" s="100"/>
      <c r="L35" s="100" t="s">
        <v>124</v>
      </c>
      <c r="M35" s="100" t="s">
        <v>124</v>
      </c>
      <c r="N35" s="373" t="s">
        <v>498</v>
      </c>
      <c r="O35" s="374"/>
      <c r="P35" s="375" t="str">
        <f>CONCATENATE(RemovePunctuation(H35),"_CA","_","i4K","_",C35,"_",AE35,"_",PROPER(R35),IF(S35="",PROPER(R35),PROPER(S35)),PROPER(T35),PROPER(U35),PROPER(V35),IF(V35&lt;&gt;"","SUB",""),PROPER(W35),IF(W35&lt;&gt;"","SUB",""),"_","Ed","_","M1",".mpg")</f>
        <v>SandstormEp03_CA_i4K_0825_43_ZhoZhoZhoSUB_Ed_M1.mpg</v>
      </c>
      <c r="Q35" s="375" t="str">
        <f>CONCATENATE(RemovePunctuation(H35),"_CA","_","i5K","_",C35,"_",AD35,"_",PROPER(R35),IF(S35="",PROPER(R35),PROPER(S35)),PROPER(T35),PROPER(U35),PROPER(V35),IF(V35&lt;&gt;"","SUB",""),PROPER(W35),IF(W35&lt;&gt;"","SUB",""),"_","Ed","_","M4",".mpg")</f>
        <v>SandstormEp03_CA_i5K_0825_169_ZhoZhoZhoSUB_Ed_M4.mpg</v>
      </c>
      <c r="R35" s="382" t="s">
        <v>130</v>
      </c>
      <c r="S35" s="385"/>
      <c r="T35" s="384"/>
      <c r="U35" s="384"/>
      <c r="V35" s="382" t="s">
        <v>130</v>
      </c>
      <c r="W35" s="386"/>
      <c r="X35" s="349" t="s">
        <v>129</v>
      </c>
      <c r="Y35" s="349" t="s">
        <v>129</v>
      </c>
      <c r="Z35" s="120">
        <f t="shared" si="6"/>
        <v>52</v>
      </c>
      <c r="AA35" s="304" t="str">
        <f t="shared" si="7"/>
        <v>00:52:00</v>
      </c>
      <c r="AB35" s="120">
        <f t="shared" si="8"/>
        <v>3120</v>
      </c>
      <c r="AC35" s="399">
        <v>0.0362847222222222</v>
      </c>
      <c r="AD35" s="400">
        <v>169</v>
      </c>
      <c r="AE35" s="400">
        <v>43</v>
      </c>
      <c r="AF35" s="349" t="s">
        <v>132</v>
      </c>
      <c r="AP35" s="337"/>
      <c r="AQ35" s="337"/>
      <c r="AR35" s="337"/>
      <c r="AS35" s="337"/>
      <c r="AT35" s="337"/>
      <c r="AU35" s="337"/>
      <c r="AV35" s="337"/>
      <c r="AW35" s="337"/>
      <c r="AX35" s="337"/>
      <c r="AY35" s="337"/>
      <c r="AZ35" s="337"/>
      <c r="BA35" s="337"/>
      <c r="BB35" s="337"/>
      <c r="BC35" s="337"/>
      <c r="BD35" s="337"/>
      <c r="BE35" s="337"/>
      <c r="BF35" s="337"/>
      <c r="BG35" s="337"/>
      <c r="BH35" s="337"/>
      <c r="BI35" s="337"/>
      <c r="BJ35" s="337"/>
      <c r="BK35" s="337"/>
      <c r="BL35" s="337"/>
      <c r="BM35" s="337"/>
      <c r="BN35" s="337"/>
      <c r="BO35" s="337"/>
      <c r="BP35" s="337"/>
      <c r="BQ35" s="337"/>
      <c r="BR35" s="337"/>
      <c r="BS35" s="337"/>
      <c r="BT35" s="337"/>
      <c r="BU35" s="337"/>
      <c r="BV35" s="337"/>
      <c r="BW35" s="337"/>
      <c r="BX35" s="337"/>
      <c r="BY35" s="337"/>
      <c r="BZ35" s="337"/>
      <c r="CA35" s="337"/>
      <c r="CB35" s="337"/>
      <c r="CC35" s="337"/>
      <c r="CD35" s="337"/>
      <c r="CE35" s="337"/>
      <c r="CF35" s="337"/>
      <c r="CG35" s="337"/>
      <c r="CH35" s="337"/>
      <c r="CI35" s="337"/>
      <c r="CJ35" s="337"/>
      <c r="CK35" s="337"/>
      <c r="CL35" s="337"/>
      <c r="CM35" s="337"/>
      <c r="CN35" s="337"/>
      <c r="CO35" s="337"/>
      <c r="CP35" s="337"/>
      <c r="CQ35" s="337"/>
      <c r="CR35" s="337"/>
      <c r="CS35" s="337"/>
      <c r="CT35" s="337"/>
      <c r="CU35" s="337"/>
      <c r="CV35" s="337"/>
      <c r="CW35" s="337"/>
      <c r="CX35" s="337"/>
      <c r="CY35" s="337"/>
      <c r="CZ35" s="337"/>
      <c r="DA35" s="337"/>
      <c r="DB35" s="337"/>
      <c r="DC35" s="337"/>
      <c r="DD35" s="337"/>
      <c r="DE35" s="337"/>
      <c r="DF35" s="337"/>
      <c r="DG35" s="337"/>
      <c r="DH35" s="337"/>
      <c r="DI35" s="337"/>
      <c r="DJ35" s="337"/>
      <c r="DK35" s="337"/>
      <c r="DL35" s="337"/>
      <c r="DM35" s="337"/>
      <c r="DN35" s="337"/>
      <c r="DO35" s="337"/>
      <c r="DP35" s="337"/>
      <c r="DQ35" s="337"/>
      <c r="DR35" s="337"/>
      <c r="DS35" s="337"/>
      <c r="DT35" s="337"/>
      <c r="DU35" s="337"/>
      <c r="DV35" s="337"/>
      <c r="DW35" s="337"/>
      <c r="DX35" s="337"/>
      <c r="DY35" s="337"/>
      <c r="DZ35" s="337"/>
      <c r="EA35" s="337"/>
      <c r="EB35" s="337"/>
      <c r="EC35" s="337"/>
      <c r="ED35" s="337"/>
      <c r="EE35" s="337"/>
      <c r="EF35" s="337"/>
      <c r="EG35" s="337"/>
      <c r="EH35" s="337"/>
      <c r="EI35" s="337"/>
      <c r="EJ35" s="337"/>
      <c r="EK35" s="337"/>
      <c r="EL35" s="337"/>
      <c r="EM35" s="337"/>
      <c r="EN35" s="337"/>
      <c r="EO35" s="337"/>
      <c r="EP35" s="337"/>
      <c r="EQ35" s="337"/>
      <c r="ER35" s="337"/>
      <c r="ES35" s="337"/>
      <c r="ET35" s="337"/>
      <c r="EU35" s="337"/>
      <c r="EV35" s="337"/>
      <c r="EW35" s="337"/>
      <c r="EX35" s="337"/>
      <c r="EY35" s="337"/>
      <c r="EZ35" s="337"/>
      <c r="FA35" s="337"/>
      <c r="FB35" s="337"/>
      <c r="FC35" s="337"/>
      <c r="FD35" s="337"/>
      <c r="FE35" s="337"/>
      <c r="FF35" s="337"/>
      <c r="FG35" s="337"/>
      <c r="FH35" s="337"/>
      <c r="FI35" s="337"/>
      <c r="FJ35" s="337"/>
      <c r="FK35" s="337"/>
      <c r="FL35" s="337"/>
      <c r="FM35" s="337"/>
      <c r="FN35" s="337"/>
      <c r="FO35" s="337"/>
      <c r="FP35" s="337"/>
      <c r="FQ35" s="337"/>
      <c r="FR35" s="337"/>
      <c r="FS35" s="337"/>
      <c r="FT35" s="337"/>
      <c r="FU35" s="337"/>
      <c r="FV35" s="337"/>
      <c r="FW35" s="337"/>
      <c r="FX35" s="337"/>
      <c r="FY35" s="337"/>
      <c r="FZ35" s="337"/>
      <c r="GA35" s="337"/>
      <c r="GB35" s="337"/>
      <c r="GC35" s="337"/>
      <c r="GD35" s="337"/>
      <c r="GE35" s="337"/>
      <c r="GF35" s="337"/>
      <c r="GG35" s="337"/>
      <c r="GH35" s="337"/>
      <c r="GI35" s="337"/>
      <c r="GJ35" s="337"/>
      <c r="GK35" s="337"/>
      <c r="GL35" s="337"/>
      <c r="GM35" s="337"/>
      <c r="GN35" s="337"/>
      <c r="GO35" s="337"/>
      <c r="GP35" s="337"/>
      <c r="GQ35" s="337"/>
      <c r="GR35" s="337"/>
      <c r="GS35" s="337"/>
      <c r="GT35" s="337"/>
      <c r="GU35" s="337"/>
      <c r="GV35" s="337"/>
      <c r="GW35" s="337"/>
      <c r="GX35" s="337"/>
      <c r="GY35" s="337"/>
      <c r="GZ35" s="337"/>
      <c r="HA35" s="337"/>
      <c r="HB35" s="337"/>
      <c r="HC35" s="337"/>
      <c r="HD35" s="337"/>
      <c r="HE35" s="337"/>
      <c r="HF35" s="337"/>
      <c r="HG35" s="337"/>
      <c r="HH35" s="337"/>
      <c r="HI35" s="337"/>
      <c r="HJ35" s="337"/>
      <c r="HK35" s="337"/>
      <c r="HL35" s="337"/>
      <c r="HM35" s="337"/>
      <c r="HN35" s="337"/>
      <c r="HO35" s="337"/>
      <c r="HP35" s="337"/>
      <c r="HQ35" s="337"/>
      <c r="HR35" s="337"/>
      <c r="HS35" s="337"/>
      <c r="HT35" s="337"/>
      <c r="HU35" s="337"/>
      <c r="HV35" s="337"/>
      <c r="HW35" s="337"/>
      <c r="HX35" s="337"/>
      <c r="HY35" s="337"/>
      <c r="HZ35" s="337"/>
      <c r="IA35" s="337"/>
      <c r="IB35" s="337"/>
      <c r="IC35" s="337"/>
      <c r="ID35" s="337"/>
      <c r="IE35" s="337"/>
      <c r="IF35" s="337"/>
      <c r="IG35" s="337"/>
      <c r="IH35" s="337"/>
      <c r="II35" s="337"/>
      <c r="IJ35" s="337"/>
      <c r="IK35" s="337"/>
      <c r="IL35" s="337"/>
      <c r="IM35" s="337"/>
      <c r="IN35" s="337"/>
      <c r="IO35" s="337"/>
      <c r="IP35" s="337"/>
      <c r="IQ35" s="337"/>
      <c r="IR35" s="337"/>
      <c r="IS35" s="337"/>
      <c r="IT35" s="337"/>
      <c r="IU35" s="337"/>
      <c r="IV35" s="337"/>
      <c r="IW35" s="337"/>
      <c r="IX35" s="337"/>
      <c r="IY35" s="337"/>
      <c r="IZ35" s="337"/>
      <c r="JA35" s="337"/>
      <c r="JB35" s="337"/>
      <c r="JC35" s="337"/>
      <c r="JD35" s="337"/>
      <c r="JE35" s="337"/>
      <c r="JF35" s="337"/>
      <c r="JG35" s="337"/>
      <c r="JH35" s="337"/>
      <c r="JI35" s="337"/>
      <c r="JJ35" s="337"/>
      <c r="JK35" s="337"/>
      <c r="JL35" s="337"/>
      <c r="JM35" s="337"/>
      <c r="JN35" s="337"/>
      <c r="JO35" s="337"/>
      <c r="JP35" s="337"/>
      <c r="JQ35" s="337"/>
      <c r="JR35" s="337"/>
      <c r="JS35" s="337"/>
      <c r="JT35" s="337"/>
      <c r="JU35" s="337"/>
      <c r="JV35" s="337"/>
      <c r="JW35" s="337"/>
      <c r="JX35" s="337"/>
      <c r="JY35" s="337"/>
      <c r="JZ35" s="337"/>
      <c r="KA35" s="337"/>
      <c r="KB35" s="337"/>
      <c r="KC35" s="337"/>
      <c r="KD35" s="337"/>
      <c r="KE35" s="337"/>
      <c r="KF35" s="337"/>
      <c r="KG35" s="337"/>
      <c r="KH35" s="337"/>
      <c r="KI35" s="337"/>
      <c r="KJ35" s="337"/>
      <c r="KK35" s="337"/>
      <c r="KL35" s="337"/>
      <c r="KM35" s="337"/>
      <c r="KN35" s="337"/>
      <c r="KO35" s="337"/>
      <c r="KP35" s="337"/>
      <c r="KQ35" s="337"/>
      <c r="KR35" s="337"/>
      <c r="KS35" s="337"/>
      <c r="KT35" s="337"/>
      <c r="KU35" s="337"/>
      <c r="KV35" s="337"/>
      <c r="KW35" s="337"/>
      <c r="KX35" s="337"/>
      <c r="KY35" s="337"/>
      <c r="KZ35" s="337"/>
      <c r="LA35" s="337"/>
      <c r="LB35" s="337"/>
      <c r="LC35" s="337"/>
      <c r="LD35" s="337"/>
      <c r="LE35" s="337"/>
      <c r="LF35" s="337"/>
      <c r="LG35" s="337"/>
      <c r="LH35" s="337"/>
      <c r="LI35" s="337"/>
      <c r="LJ35" s="337"/>
      <c r="LK35" s="337"/>
      <c r="LL35" s="337"/>
      <c r="LM35" s="337"/>
      <c r="LN35" s="337"/>
      <c r="LO35" s="337"/>
      <c r="LP35" s="337"/>
      <c r="LQ35" s="337"/>
      <c r="LR35" s="337"/>
      <c r="LS35" s="337"/>
      <c r="LT35" s="337"/>
      <c r="LU35" s="337"/>
      <c r="LV35" s="337"/>
      <c r="LW35" s="337"/>
      <c r="LX35" s="337"/>
      <c r="LY35" s="337"/>
      <c r="LZ35" s="337"/>
      <c r="MA35" s="337"/>
      <c r="MB35" s="337"/>
      <c r="MC35" s="337"/>
      <c r="MD35" s="337"/>
      <c r="ME35" s="337"/>
      <c r="MF35" s="337"/>
      <c r="MG35" s="337"/>
      <c r="MH35" s="337"/>
      <c r="MI35" s="337"/>
      <c r="MJ35" s="337"/>
      <c r="MK35" s="337"/>
      <c r="ML35" s="337"/>
      <c r="MM35" s="337"/>
      <c r="MN35" s="337"/>
      <c r="MO35" s="337"/>
      <c r="MP35" s="337"/>
      <c r="MQ35" s="337"/>
      <c r="MR35" s="337"/>
      <c r="MS35" s="337"/>
      <c r="MT35" s="337"/>
      <c r="MU35" s="337"/>
      <c r="MV35" s="337"/>
      <c r="MW35" s="337"/>
      <c r="MX35" s="337"/>
      <c r="MY35" s="337"/>
      <c r="MZ35" s="337"/>
      <c r="NA35" s="337"/>
      <c r="NB35" s="337"/>
      <c r="NC35" s="337"/>
      <c r="ND35" s="337"/>
      <c r="NE35" s="337"/>
      <c r="NF35" s="337"/>
      <c r="NG35" s="337"/>
      <c r="NH35" s="337"/>
      <c r="NI35" s="337"/>
      <c r="NJ35" s="337"/>
      <c r="NK35" s="337"/>
      <c r="NL35" s="337"/>
      <c r="NM35" s="337"/>
      <c r="NN35" s="337"/>
      <c r="NO35" s="337"/>
      <c r="NP35" s="337"/>
      <c r="NQ35" s="337"/>
      <c r="NR35" s="337"/>
      <c r="NS35" s="337"/>
      <c r="NT35" s="337"/>
      <c r="NU35" s="337"/>
      <c r="NV35" s="337"/>
      <c r="NW35" s="337"/>
      <c r="NX35" s="337"/>
      <c r="NY35" s="337"/>
      <c r="NZ35" s="337"/>
      <c r="OA35" s="337"/>
      <c r="OB35" s="337"/>
      <c r="OC35" s="337"/>
      <c r="OD35" s="337"/>
      <c r="OE35" s="337"/>
      <c r="OF35" s="337"/>
      <c r="OG35" s="337"/>
      <c r="OH35" s="337"/>
      <c r="OI35" s="337"/>
      <c r="OJ35" s="337"/>
      <c r="OK35" s="337"/>
      <c r="OL35" s="337"/>
      <c r="OM35" s="337"/>
      <c r="ON35" s="337"/>
      <c r="OO35" s="337"/>
      <c r="OP35" s="337"/>
      <c r="OQ35" s="337"/>
      <c r="OR35" s="337"/>
      <c r="OS35" s="337"/>
      <c r="OT35" s="337"/>
      <c r="OU35" s="337"/>
      <c r="OV35" s="337"/>
      <c r="OW35" s="337"/>
      <c r="OX35" s="337"/>
      <c r="OY35" s="337"/>
      <c r="OZ35" s="337"/>
      <c r="PA35" s="337"/>
      <c r="PB35" s="337"/>
      <c r="PC35" s="337"/>
      <c r="PD35" s="337"/>
      <c r="PE35" s="337"/>
      <c r="PF35" s="337"/>
      <c r="PG35" s="337"/>
      <c r="PH35" s="337"/>
      <c r="PI35" s="337"/>
      <c r="PJ35" s="337"/>
      <c r="PK35" s="337"/>
      <c r="PL35" s="337"/>
      <c r="PM35" s="337"/>
      <c r="PN35" s="337"/>
      <c r="PO35" s="337"/>
      <c r="PP35" s="337"/>
      <c r="PQ35" s="337"/>
      <c r="PR35" s="337"/>
      <c r="PS35" s="337"/>
      <c r="PT35" s="337"/>
      <c r="PU35" s="337"/>
      <c r="PV35" s="337"/>
      <c r="PW35" s="337"/>
      <c r="PX35" s="337"/>
      <c r="PY35" s="337"/>
      <c r="PZ35" s="337"/>
      <c r="QA35" s="337"/>
      <c r="QB35" s="337"/>
      <c r="QC35" s="337"/>
      <c r="QD35" s="337"/>
      <c r="QE35" s="337"/>
      <c r="QF35" s="337"/>
      <c r="QG35" s="337"/>
      <c r="QH35" s="337"/>
      <c r="QI35" s="337"/>
      <c r="QJ35" s="337"/>
      <c r="QK35" s="337"/>
      <c r="QL35" s="337"/>
      <c r="QM35" s="337"/>
      <c r="QN35" s="337"/>
      <c r="QO35" s="337"/>
      <c r="QP35" s="337"/>
      <c r="QQ35" s="337"/>
      <c r="QR35" s="337"/>
      <c r="QS35" s="337"/>
      <c r="QT35" s="337"/>
      <c r="QU35" s="337"/>
      <c r="QV35" s="337"/>
      <c r="QW35" s="337"/>
      <c r="QX35" s="337"/>
      <c r="QY35" s="337"/>
      <c r="QZ35" s="337"/>
      <c r="RA35" s="337"/>
      <c r="RB35" s="337"/>
      <c r="RC35" s="337"/>
      <c r="RD35" s="337"/>
      <c r="RE35" s="337"/>
      <c r="RF35" s="337"/>
      <c r="RG35" s="337"/>
      <c r="RH35" s="337"/>
      <c r="RI35" s="337"/>
      <c r="RJ35" s="337"/>
      <c r="RK35" s="337"/>
      <c r="RL35" s="337"/>
      <c r="RM35" s="337"/>
      <c r="RN35" s="337"/>
      <c r="RO35" s="337"/>
      <c r="RP35" s="337"/>
      <c r="RQ35" s="337"/>
      <c r="RR35" s="337"/>
      <c r="RS35" s="337"/>
      <c r="RT35" s="337"/>
      <c r="RU35" s="337"/>
      <c r="RV35" s="337"/>
      <c r="RW35" s="337"/>
      <c r="RX35" s="337"/>
      <c r="RY35" s="337"/>
      <c r="RZ35" s="337"/>
      <c r="SA35" s="337"/>
      <c r="SB35" s="337"/>
      <c r="SC35" s="337"/>
      <c r="SD35" s="337"/>
      <c r="SE35" s="337"/>
      <c r="SF35" s="337"/>
      <c r="SG35" s="337"/>
      <c r="SH35" s="337"/>
      <c r="SI35" s="337"/>
      <c r="SJ35" s="337"/>
      <c r="SK35" s="337"/>
      <c r="SL35" s="337"/>
      <c r="SM35" s="337"/>
      <c r="SN35" s="337"/>
      <c r="SO35" s="337"/>
      <c r="SP35" s="337"/>
      <c r="SQ35" s="337"/>
      <c r="SR35" s="337"/>
      <c r="SS35" s="337"/>
      <c r="ST35" s="337"/>
      <c r="SU35" s="337"/>
      <c r="SV35" s="337"/>
      <c r="SW35" s="337"/>
      <c r="SX35" s="337"/>
      <c r="SY35" s="337"/>
      <c r="SZ35" s="337"/>
      <c r="TA35" s="337"/>
      <c r="TB35" s="337"/>
      <c r="TC35" s="337"/>
      <c r="TD35" s="337"/>
      <c r="TE35" s="337"/>
      <c r="TF35" s="337"/>
      <c r="TG35" s="337"/>
      <c r="TH35" s="337"/>
      <c r="TI35" s="337"/>
      <c r="TJ35" s="337"/>
      <c r="TK35" s="337"/>
      <c r="TL35" s="337"/>
      <c r="TM35" s="337"/>
      <c r="TN35" s="337"/>
      <c r="TO35" s="337"/>
      <c r="TP35" s="337"/>
      <c r="TQ35" s="337"/>
      <c r="TR35" s="337"/>
      <c r="TS35" s="337"/>
      <c r="TT35" s="337"/>
      <c r="TU35" s="337"/>
      <c r="TV35" s="337"/>
      <c r="TW35" s="337"/>
      <c r="TX35" s="337"/>
      <c r="TY35" s="337"/>
      <c r="TZ35" s="337"/>
      <c r="UA35" s="337"/>
      <c r="UB35" s="337"/>
      <c r="UC35" s="337"/>
      <c r="UD35" s="337"/>
      <c r="UE35" s="337"/>
      <c r="UF35" s="337"/>
      <c r="UG35" s="337"/>
      <c r="UH35" s="337"/>
      <c r="UI35" s="337"/>
      <c r="UJ35" s="337"/>
      <c r="UK35" s="337"/>
      <c r="UL35" s="337"/>
      <c r="UM35" s="337"/>
      <c r="UN35" s="337"/>
      <c r="UO35" s="337"/>
      <c r="UP35" s="337"/>
      <c r="UQ35" s="337"/>
      <c r="UR35" s="337"/>
      <c r="US35" s="337"/>
      <c r="UT35" s="337"/>
      <c r="UU35" s="337"/>
      <c r="UV35" s="337"/>
      <c r="UW35" s="337"/>
      <c r="UX35" s="337"/>
      <c r="UY35" s="337"/>
      <c r="UZ35" s="337"/>
      <c r="VA35" s="337"/>
      <c r="VB35" s="337"/>
      <c r="VC35" s="337"/>
      <c r="VD35" s="337"/>
      <c r="VE35" s="337"/>
      <c r="VF35" s="337"/>
      <c r="VG35" s="337"/>
      <c r="VH35" s="337"/>
      <c r="VI35" s="337"/>
      <c r="VJ35" s="337"/>
      <c r="VK35" s="337"/>
      <c r="VL35" s="337"/>
      <c r="VM35" s="337"/>
      <c r="VN35" s="337"/>
      <c r="VO35" s="337"/>
      <c r="VP35" s="337"/>
      <c r="VQ35" s="337"/>
      <c r="VR35" s="337"/>
      <c r="VS35" s="337"/>
      <c r="VT35" s="337"/>
      <c r="VU35" s="337"/>
      <c r="VV35" s="337"/>
      <c r="VW35" s="337"/>
      <c r="VX35" s="337"/>
      <c r="VY35" s="337"/>
      <c r="VZ35" s="337"/>
      <c r="WA35" s="337"/>
      <c r="WB35" s="337"/>
      <c r="WC35" s="337"/>
      <c r="WD35" s="337"/>
      <c r="WE35" s="337"/>
      <c r="WF35" s="337"/>
      <c r="WG35" s="337"/>
      <c r="WH35" s="337"/>
      <c r="WI35" s="337"/>
      <c r="WJ35" s="337"/>
      <c r="WK35" s="337"/>
      <c r="WL35" s="337"/>
      <c r="WM35" s="337"/>
      <c r="WN35" s="337"/>
      <c r="WO35" s="337"/>
      <c r="WP35" s="337"/>
      <c r="WQ35" s="337"/>
      <c r="WR35" s="337"/>
      <c r="WS35" s="337"/>
      <c r="WT35" s="337"/>
      <c r="WU35" s="337"/>
      <c r="WV35" s="337"/>
      <c r="WW35" s="337"/>
      <c r="WX35" s="337"/>
      <c r="WY35" s="337"/>
      <c r="WZ35" s="337"/>
      <c r="XA35" s="337"/>
      <c r="XB35" s="337"/>
      <c r="XC35" s="337"/>
      <c r="XD35" s="337"/>
      <c r="XE35" s="337"/>
      <c r="XF35" s="337"/>
      <c r="XG35" s="337"/>
      <c r="XH35" s="337"/>
      <c r="XI35" s="337"/>
      <c r="XJ35" s="337"/>
      <c r="XK35" s="337"/>
      <c r="XL35" s="337"/>
      <c r="XM35" s="337"/>
      <c r="XN35" s="337"/>
      <c r="XO35" s="337"/>
      <c r="XP35" s="337"/>
      <c r="XQ35" s="337"/>
      <c r="XR35" s="337"/>
      <c r="XS35" s="337"/>
      <c r="XT35" s="337"/>
      <c r="XU35" s="337"/>
      <c r="XV35" s="337"/>
      <c r="XW35" s="337"/>
      <c r="XX35" s="337"/>
      <c r="XY35" s="337"/>
      <c r="XZ35" s="337"/>
      <c r="YA35" s="337"/>
      <c r="YB35" s="337"/>
      <c r="YC35" s="337"/>
      <c r="YD35" s="337"/>
      <c r="YE35" s="337"/>
      <c r="YF35" s="337"/>
      <c r="YG35" s="337"/>
      <c r="YH35" s="337"/>
      <c r="YI35" s="337"/>
      <c r="YJ35" s="337"/>
      <c r="YK35" s="337"/>
      <c r="YL35" s="337"/>
      <c r="YM35" s="337"/>
      <c r="YN35" s="337"/>
      <c r="YO35" s="337"/>
      <c r="YP35" s="337"/>
      <c r="YQ35" s="337"/>
      <c r="YR35" s="337"/>
      <c r="YS35" s="337"/>
      <c r="YT35" s="337"/>
      <c r="YU35" s="337"/>
      <c r="YV35" s="337"/>
      <c r="YW35" s="337"/>
      <c r="YX35" s="337"/>
      <c r="YY35" s="337"/>
      <c r="YZ35" s="337"/>
      <c r="ZA35" s="337"/>
      <c r="ZB35" s="337"/>
      <c r="ZC35" s="337"/>
      <c r="ZD35" s="337"/>
      <c r="ZE35" s="337"/>
      <c r="ZF35" s="337"/>
      <c r="ZG35" s="337"/>
      <c r="ZH35" s="337"/>
      <c r="ZI35" s="337"/>
      <c r="ZJ35" s="337"/>
      <c r="ZK35" s="337"/>
      <c r="ZL35" s="337"/>
      <c r="ZM35" s="337"/>
      <c r="ZN35" s="337"/>
      <c r="ZO35" s="337"/>
      <c r="ZP35" s="337"/>
      <c r="ZQ35" s="337"/>
      <c r="ZR35" s="337"/>
      <c r="ZS35" s="337"/>
      <c r="ZT35" s="337"/>
      <c r="ZU35" s="337"/>
      <c r="ZV35" s="337"/>
      <c r="ZW35" s="337"/>
      <c r="ZX35" s="337"/>
      <c r="ZY35" s="337"/>
      <c r="ZZ35" s="337"/>
      <c r="AAA35" s="337"/>
      <c r="AAB35" s="337"/>
      <c r="AAC35" s="337"/>
      <c r="AAD35" s="337"/>
      <c r="AAE35" s="337"/>
      <c r="AAF35" s="337"/>
      <c r="AAG35" s="337"/>
      <c r="AAH35" s="337"/>
      <c r="AAI35" s="337"/>
      <c r="AAJ35" s="337"/>
      <c r="AAK35" s="337"/>
      <c r="AAL35" s="337"/>
      <c r="AAM35" s="337"/>
      <c r="AAN35" s="337"/>
      <c r="AAO35" s="337"/>
      <c r="AAP35" s="337"/>
      <c r="AAQ35" s="337"/>
      <c r="AAR35" s="337"/>
      <c r="AAS35" s="337"/>
      <c r="AAT35" s="337"/>
      <c r="AAU35" s="337"/>
      <c r="AAV35" s="337"/>
      <c r="AAW35" s="337"/>
      <c r="AAX35" s="337"/>
      <c r="AAY35" s="337"/>
      <c r="AAZ35" s="337"/>
      <c r="ABA35" s="337"/>
      <c r="ABB35" s="337"/>
      <c r="ABC35" s="337"/>
      <c r="ABD35" s="337"/>
      <c r="ABE35" s="337"/>
      <c r="ABF35" s="337"/>
      <c r="ABG35" s="337"/>
      <c r="ABH35" s="337"/>
      <c r="ABI35" s="337"/>
      <c r="ABJ35" s="337"/>
      <c r="ABK35" s="337"/>
      <c r="ABL35" s="337"/>
      <c r="ABM35" s="337"/>
      <c r="ABN35" s="337"/>
      <c r="ABO35" s="337"/>
      <c r="ABP35" s="337"/>
      <c r="ABQ35" s="337"/>
      <c r="ABR35" s="337"/>
      <c r="ABS35" s="337"/>
      <c r="ABT35" s="337"/>
      <c r="ABU35" s="337"/>
      <c r="ABV35" s="337"/>
      <c r="ABW35" s="337"/>
      <c r="ABX35" s="337"/>
      <c r="ABY35" s="337"/>
      <c r="ABZ35" s="337"/>
      <c r="ACA35" s="337"/>
      <c r="ACB35" s="337"/>
      <c r="ACC35" s="337"/>
      <c r="ACD35" s="337"/>
      <c r="ACE35" s="337"/>
      <c r="ACF35" s="337"/>
      <c r="ACG35" s="337"/>
      <c r="ACH35" s="337"/>
      <c r="ACI35" s="337"/>
      <c r="ACJ35" s="337"/>
      <c r="ACK35" s="337"/>
      <c r="ACL35" s="337"/>
      <c r="ACM35" s="337"/>
      <c r="ACN35" s="337"/>
      <c r="ACO35" s="337"/>
      <c r="ACP35" s="337"/>
      <c r="ACQ35" s="337"/>
      <c r="ACR35" s="337"/>
      <c r="ACS35" s="337"/>
      <c r="ACT35" s="337"/>
      <c r="ACU35" s="337"/>
      <c r="ACV35" s="337"/>
      <c r="ACW35" s="337"/>
      <c r="ACX35" s="337"/>
      <c r="ACY35" s="337"/>
      <c r="ACZ35" s="337"/>
      <c r="ADA35" s="337"/>
      <c r="ADB35" s="337"/>
      <c r="ADC35" s="337"/>
      <c r="ADD35" s="337"/>
      <c r="ADE35" s="337"/>
      <c r="ADF35" s="337"/>
      <c r="ADG35" s="337"/>
      <c r="ADH35" s="337"/>
      <c r="ADI35" s="337"/>
      <c r="ADJ35" s="337"/>
      <c r="ADK35" s="337"/>
      <c r="ADL35" s="337"/>
      <c r="ADM35" s="337"/>
      <c r="ADN35" s="337"/>
      <c r="ADO35" s="337"/>
      <c r="ADP35" s="337"/>
      <c r="ADQ35" s="337"/>
      <c r="ADR35" s="337"/>
      <c r="ADS35" s="337"/>
      <c r="ADT35" s="337"/>
      <c r="ADU35" s="337"/>
      <c r="ADV35" s="337"/>
      <c r="ADW35" s="337"/>
      <c r="ADX35" s="337"/>
      <c r="ADY35" s="337"/>
      <c r="ADZ35" s="337"/>
      <c r="AEA35" s="337"/>
      <c r="AEB35" s="337"/>
      <c r="AEC35" s="337"/>
      <c r="AED35" s="337"/>
      <c r="AEE35" s="337"/>
      <c r="AEF35" s="337"/>
      <c r="AEG35" s="337"/>
      <c r="AEH35" s="337"/>
      <c r="AEI35" s="337"/>
      <c r="AEJ35" s="337"/>
      <c r="AEK35" s="337"/>
      <c r="AEL35" s="337"/>
      <c r="AEM35" s="337"/>
      <c r="AEN35" s="337"/>
      <c r="AEO35" s="337"/>
      <c r="AEP35" s="337"/>
      <c r="AEQ35" s="337"/>
      <c r="AER35" s="337"/>
      <c r="AES35" s="337"/>
      <c r="AET35" s="337"/>
      <c r="AEU35" s="337"/>
      <c r="AEV35" s="337"/>
      <c r="AEW35" s="337"/>
      <c r="AEX35" s="337"/>
      <c r="AEY35" s="337"/>
      <c r="AEZ35" s="337"/>
      <c r="AFA35" s="337"/>
      <c r="AFB35" s="337"/>
      <c r="AFC35" s="337"/>
      <c r="AFD35" s="337"/>
      <c r="AFE35" s="337"/>
      <c r="AFF35" s="337"/>
      <c r="AFG35" s="337"/>
      <c r="AFH35" s="337"/>
      <c r="AFI35" s="337"/>
      <c r="AFJ35" s="337"/>
      <c r="AFK35" s="337"/>
      <c r="AFL35" s="337"/>
      <c r="AFM35" s="337"/>
      <c r="AFN35" s="337"/>
      <c r="AFO35" s="337"/>
      <c r="AFP35" s="337"/>
      <c r="AFQ35" s="337"/>
      <c r="AFR35" s="337"/>
      <c r="AFS35" s="337"/>
      <c r="AFT35" s="337"/>
      <c r="AFU35" s="337"/>
      <c r="AFV35" s="337"/>
      <c r="AFW35" s="337"/>
      <c r="AFX35" s="337"/>
      <c r="AFY35" s="337"/>
      <c r="AFZ35" s="337"/>
      <c r="AGA35" s="337"/>
      <c r="AGB35" s="337"/>
      <c r="AGC35" s="337"/>
      <c r="AGD35" s="337"/>
      <c r="AGE35" s="337"/>
      <c r="AGF35" s="337"/>
      <c r="AGG35" s="337"/>
      <c r="AGH35" s="337"/>
      <c r="AGI35" s="337"/>
      <c r="AGJ35" s="337"/>
      <c r="AGK35" s="337"/>
      <c r="AGL35" s="337"/>
      <c r="AGM35" s="337"/>
      <c r="AGN35" s="337"/>
      <c r="AGO35" s="337"/>
      <c r="AGP35" s="337"/>
      <c r="AGQ35" s="337"/>
      <c r="AGR35" s="337"/>
      <c r="AGS35" s="337"/>
      <c r="AGT35" s="337"/>
      <c r="AGU35" s="337"/>
      <c r="AGV35" s="337"/>
      <c r="AGW35" s="337"/>
      <c r="AGX35" s="337"/>
      <c r="AGY35" s="337"/>
      <c r="AGZ35" s="337"/>
    </row>
    <row r="36" ht="24" customHeight="1" spans="1:884">
      <c r="A36" s="349">
        <v>32</v>
      </c>
      <c r="B36" s="350"/>
      <c r="C36" s="351" t="s">
        <v>120</v>
      </c>
      <c r="D36" s="358"/>
      <c r="E36" s="358"/>
      <c r="F36" s="81">
        <v>11</v>
      </c>
      <c r="G36" s="356" t="s">
        <v>499</v>
      </c>
      <c r="H36" s="357" t="s">
        <v>500</v>
      </c>
      <c r="I36" s="100" t="s">
        <v>124</v>
      </c>
      <c r="J36" s="100" t="s">
        <v>124</v>
      </c>
      <c r="K36" s="100"/>
      <c r="L36" s="100" t="s">
        <v>124</v>
      </c>
      <c r="M36" s="100" t="s">
        <v>124</v>
      </c>
      <c r="N36" s="373" t="s">
        <v>501</v>
      </c>
      <c r="O36" s="374"/>
      <c r="P36" s="375" t="str">
        <f>CONCATENATE(RemovePunctuation(H36),"_CA","_","i4K","_",C36,"_",AE36,"_",PROPER(R36),IF(S36="",PROPER(R36),PROPER(S36)),PROPER(T36),PROPER(U36),PROPER(V36),IF(V36&lt;&gt;"","SUB",""),PROPER(W36),IF(W36&lt;&gt;"","SUB",""),"_","Ed","_","M1",".mpg")</f>
        <v>SandstormEp02_CA_i4K_0825_43_ZhoZhoZhoSUB_Ed_M1.mpg</v>
      </c>
      <c r="Q36" s="375" t="str">
        <f>CONCATENATE(RemovePunctuation(H36),"_CA","_","i5K","_",C36,"_",AD36,"_",PROPER(R36),IF(S36="",PROPER(R36),PROPER(S36)),PROPER(T36),PROPER(U36),PROPER(V36),IF(V36&lt;&gt;"","SUB",""),PROPER(W36),IF(W36&lt;&gt;"","SUB",""),"_","Ed","_","M4",".mpg")</f>
        <v>SandstormEp02_CA_i5K_0825_169_ZhoZhoZhoSUB_Ed_M4.mpg</v>
      </c>
      <c r="R36" s="382" t="s">
        <v>130</v>
      </c>
      <c r="S36" s="385"/>
      <c r="T36" s="384"/>
      <c r="U36" s="384"/>
      <c r="V36" s="382" t="s">
        <v>130</v>
      </c>
      <c r="W36" s="386"/>
      <c r="X36" s="349" t="s">
        <v>129</v>
      </c>
      <c r="Y36" s="349" t="s">
        <v>129</v>
      </c>
      <c r="Z36" s="120">
        <f t="shared" si="6"/>
        <v>53</v>
      </c>
      <c r="AA36" s="304" t="str">
        <f t="shared" si="7"/>
        <v>00:53:00</v>
      </c>
      <c r="AB36" s="120">
        <f t="shared" si="8"/>
        <v>3180</v>
      </c>
      <c r="AC36" s="399">
        <v>0.0365740740740741</v>
      </c>
      <c r="AD36" s="400">
        <v>169</v>
      </c>
      <c r="AE36" s="400">
        <v>43</v>
      </c>
      <c r="AF36" s="349" t="s">
        <v>132</v>
      </c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7"/>
      <c r="BK36" s="337"/>
      <c r="BL36" s="337"/>
      <c r="BM36" s="337"/>
      <c r="BN36" s="337"/>
      <c r="BO36" s="337"/>
      <c r="BP36" s="337"/>
      <c r="BQ36" s="337"/>
      <c r="BR36" s="337"/>
      <c r="BS36" s="337"/>
      <c r="BT36" s="337"/>
      <c r="BU36" s="337"/>
      <c r="BV36" s="337"/>
      <c r="BW36" s="337"/>
      <c r="BX36" s="337"/>
      <c r="BY36" s="337"/>
      <c r="BZ36" s="337"/>
      <c r="CA36" s="337"/>
      <c r="CB36" s="337"/>
      <c r="CC36" s="337"/>
      <c r="CD36" s="337"/>
      <c r="CE36" s="337"/>
      <c r="CF36" s="337"/>
      <c r="CG36" s="337"/>
      <c r="CH36" s="337"/>
      <c r="CI36" s="337"/>
      <c r="CJ36" s="337"/>
      <c r="CK36" s="337"/>
      <c r="CL36" s="337"/>
      <c r="CM36" s="337"/>
      <c r="CN36" s="337"/>
      <c r="CO36" s="337"/>
      <c r="CP36" s="337"/>
      <c r="CQ36" s="337"/>
      <c r="CR36" s="337"/>
      <c r="CS36" s="337"/>
      <c r="CT36" s="337"/>
      <c r="CU36" s="337"/>
      <c r="CV36" s="337"/>
      <c r="CW36" s="337"/>
      <c r="CX36" s="337"/>
      <c r="CY36" s="337"/>
      <c r="CZ36" s="337"/>
      <c r="DA36" s="337"/>
      <c r="DB36" s="337"/>
      <c r="DC36" s="337"/>
      <c r="DD36" s="337"/>
      <c r="DE36" s="337"/>
      <c r="DF36" s="337"/>
      <c r="DG36" s="337"/>
      <c r="DH36" s="337"/>
      <c r="DI36" s="337"/>
      <c r="DJ36" s="337"/>
      <c r="DK36" s="337"/>
      <c r="DL36" s="337"/>
      <c r="DM36" s="337"/>
      <c r="DN36" s="337"/>
      <c r="DO36" s="337"/>
      <c r="DP36" s="337"/>
      <c r="DQ36" s="337"/>
      <c r="DR36" s="337"/>
      <c r="DS36" s="337"/>
      <c r="DT36" s="337"/>
      <c r="DU36" s="337"/>
      <c r="DV36" s="337"/>
      <c r="DW36" s="337"/>
      <c r="DX36" s="337"/>
      <c r="DY36" s="337"/>
      <c r="DZ36" s="337"/>
      <c r="EA36" s="337"/>
      <c r="EB36" s="337"/>
      <c r="EC36" s="337"/>
      <c r="ED36" s="337"/>
      <c r="EE36" s="337"/>
      <c r="EF36" s="337"/>
      <c r="EG36" s="337"/>
      <c r="EH36" s="337"/>
      <c r="EI36" s="337"/>
      <c r="EJ36" s="337"/>
      <c r="EK36" s="337"/>
      <c r="EL36" s="337"/>
      <c r="EM36" s="337"/>
      <c r="EN36" s="337"/>
      <c r="EO36" s="337"/>
      <c r="EP36" s="337"/>
      <c r="EQ36" s="337"/>
      <c r="ER36" s="337"/>
      <c r="ES36" s="337"/>
      <c r="ET36" s="337"/>
      <c r="EU36" s="337"/>
      <c r="EV36" s="337"/>
      <c r="EW36" s="337"/>
      <c r="EX36" s="337"/>
      <c r="EY36" s="337"/>
      <c r="EZ36" s="337"/>
      <c r="FA36" s="337"/>
      <c r="FB36" s="337"/>
      <c r="FC36" s="337"/>
      <c r="FD36" s="337"/>
      <c r="FE36" s="337"/>
      <c r="FF36" s="337"/>
      <c r="FG36" s="337"/>
      <c r="FH36" s="337"/>
      <c r="FI36" s="337"/>
      <c r="FJ36" s="337"/>
      <c r="FK36" s="337"/>
      <c r="FL36" s="337"/>
      <c r="FM36" s="337"/>
      <c r="FN36" s="337"/>
      <c r="FO36" s="337"/>
      <c r="FP36" s="337"/>
      <c r="FQ36" s="337"/>
      <c r="FR36" s="337"/>
      <c r="FS36" s="337"/>
      <c r="FT36" s="337"/>
      <c r="FU36" s="337"/>
      <c r="FV36" s="337"/>
      <c r="FW36" s="337"/>
      <c r="FX36" s="337"/>
      <c r="FY36" s="337"/>
      <c r="FZ36" s="337"/>
      <c r="GA36" s="337"/>
      <c r="GB36" s="337"/>
      <c r="GC36" s="337"/>
      <c r="GD36" s="337"/>
      <c r="GE36" s="337"/>
      <c r="GF36" s="337"/>
      <c r="GG36" s="337"/>
      <c r="GH36" s="337"/>
      <c r="GI36" s="337"/>
      <c r="GJ36" s="337"/>
      <c r="GK36" s="337"/>
      <c r="GL36" s="337"/>
      <c r="GM36" s="337"/>
      <c r="GN36" s="337"/>
      <c r="GO36" s="337"/>
      <c r="GP36" s="337"/>
      <c r="GQ36" s="337"/>
      <c r="GR36" s="337"/>
      <c r="GS36" s="337"/>
      <c r="GT36" s="337"/>
      <c r="GU36" s="337"/>
      <c r="GV36" s="337"/>
      <c r="GW36" s="337"/>
      <c r="GX36" s="337"/>
      <c r="GY36" s="337"/>
      <c r="GZ36" s="337"/>
      <c r="HA36" s="337"/>
      <c r="HB36" s="337"/>
      <c r="HC36" s="337"/>
      <c r="HD36" s="337"/>
      <c r="HE36" s="337"/>
      <c r="HF36" s="337"/>
      <c r="HG36" s="337"/>
      <c r="HH36" s="337"/>
      <c r="HI36" s="337"/>
      <c r="HJ36" s="337"/>
      <c r="HK36" s="337"/>
      <c r="HL36" s="337"/>
      <c r="HM36" s="337"/>
      <c r="HN36" s="337"/>
      <c r="HO36" s="337"/>
      <c r="HP36" s="337"/>
      <c r="HQ36" s="337"/>
      <c r="HR36" s="337"/>
      <c r="HS36" s="337"/>
      <c r="HT36" s="337"/>
      <c r="HU36" s="337"/>
      <c r="HV36" s="337"/>
      <c r="HW36" s="337"/>
      <c r="HX36" s="337"/>
      <c r="HY36" s="337"/>
      <c r="HZ36" s="337"/>
      <c r="IA36" s="337"/>
      <c r="IB36" s="337"/>
      <c r="IC36" s="337"/>
      <c r="ID36" s="337"/>
      <c r="IE36" s="337"/>
      <c r="IF36" s="337"/>
      <c r="IG36" s="337"/>
      <c r="IH36" s="337"/>
      <c r="II36" s="337"/>
      <c r="IJ36" s="337"/>
      <c r="IK36" s="337"/>
      <c r="IL36" s="337"/>
      <c r="IM36" s="337"/>
      <c r="IN36" s="337"/>
      <c r="IO36" s="337"/>
      <c r="IP36" s="337"/>
      <c r="IQ36" s="337"/>
      <c r="IR36" s="337"/>
      <c r="IS36" s="337"/>
      <c r="IT36" s="337"/>
      <c r="IU36" s="337"/>
      <c r="IV36" s="337"/>
      <c r="IW36" s="337"/>
      <c r="IX36" s="337"/>
      <c r="IY36" s="337"/>
      <c r="IZ36" s="337"/>
      <c r="JA36" s="337"/>
      <c r="JB36" s="337"/>
      <c r="JC36" s="337"/>
      <c r="JD36" s="337"/>
      <c r="JE36" s="337"/>
      <c r="JF36" s="337"/>
      <c r="JG36" s="337"/>
      <c r="JH36" s="337"/>
      <c r="JI36" s="337"/>
      <c r="JJ36" s="337"/>
      <c r="JK36" s="337"/>
      <c r="JL36" s="337"/>
      <c r="JM36" s="337"/>
      <c r="JN36" s="337"/>
      <c r="JO36" s="337"/>
      <c r="JP36" s="337"/>
      <c r="JQ36" s="337"/>
      <c r="JR36" s="337"/>
      <c r="JS36" s="337"/>
      <c r="JT36" s="337"/>
      <c r="JU36" s="337"/>
      <c r="JV36" s="337"/>
      <c r="JW36" s="337"/>
      <c r="JX36" s="337"/>
      <c r="JY36" s="337"/>
      <c r="JZ36" s="337"/>
      <c r="KA36" s="337"/>
      <c r="KB36" s="337"/>
      <c r="KC36" s="337"/>
      <c r="KD36" s="337"/>
      <c r="KE36" s="337"/>
      <c r="KF36" s="337"/>
      <c r="KG36" s="337"/>
      <c r="KH36" s="337"/>
      <c r="KI36" s="337"/>
      <c r="KJ36" s="337"/>
      <c r="KK36" s="337"/>
      <c r="KL36" s="337"/>
      <c r="KM36" s="337"/>
      <c r="KN36" s="337"/>
      <c r="KO36" s="337"/>
      <c r="KP36" s="337"/>
      <c r="KQ36" s="337"/>
      <c r="KR36" s="337"/>
      <c r="KS36" s="337"/>
      <c r="KT36" s="337"/>
      <c r="KU36" s="337"/>
      <c r="KV36" s="337"/>
      <c r="KW36" s="337"/>
      <c r="KX36" s="337"/>
      <c r="KY36" s="337"/>
      <c r="KZ36" s="337"/>
      <c r="LA36" s="337"/>
      <c r="LB36" s="337"/>
      <c r="LC36" s="337"/>
      <c r="LD36" s="337"/>
      <c r="LE36" s="337"/>
      <c r="LF36" s="337"/>
      <c r="LG36" s="337"/>
      <c r="LH36" s="337"/>
      <c r="LI36" s="337"/>
      <c r="LJ36" s="337"/>
      <c r="LK36" s="337"/>
      <c r="LL36" s="337"/>
      <c r="LM36" s="337"/>
      <c r="LN36" s="337"/>
      <c r="LO36" s="337"/>
      <c r="LP36" s="337"/>
      <c r="LQ36" s="337"/>
      <c r="LR36" s="337"/>
      <c r="LS36" s="337"/>
      <c r="LT36" s="337"/>
      <c r="LU36" s="337"/>
      <c r="LV36" s="337"/>
      <c r="LW36" s="337"/>
      <c r="LX36" s="337"/>
      <c r="LY36" s="337"/>
      <c r="LZ36" s="337"/>
      <c r="MA36" s="337"/>
      <c r="MB36" s="337"/>
      <c r="MC36" s="337"/>
      <c r="MD36" s="337"/>
      <c r="ME36" s="337"/>
      <c r="MF36" s="337"/>
      <c r="MG36" s="337"/>
      <c r="MH36" s="337"/>
      <c r="MI36" s="337"/>
      <c r="MJ36" s="337"/>
      <c r="MK36" s="337"/>
      <c r="ML36" s="337"/>
      <c r="MM36" s="337"/>
      <c r="MN36" s="337"/>
      <c r="MO36" s="337"/>
      <c r="MP36" s="337"/>
      <c r="MQ36" s="337"/>
      <c r="MR36" s="337"/>
      <c r="MS36" s="337"/>
      <c r="MT36" s="337"/>
      <c r="MU36" s="337"/>
      <c r="MV36" s="337"/>
      <c r="MW36" s="337"/>
      <c r="MX36" s="337"/>
      <c r="MY36" s="337"/>
      <c r="MZ36" s="337"/>
      <c r="NA36" s="337"/>
      <c r="NB36" s="337"/>
      <c r="NC36" s="337"/>
      <c r="ND36" s="337"/>
      <c r="NE36" s="337"/>
      <c r="NF36" s="337"/>
      <c r="NG36" s="337"/>
      <c r="NH36" s="337"/>
      <c r="NI36" s="337"/>
      <c r="NJ36" s="337"/>
      <c r="NK36" s="337"/>
      <c r="NL36" s="337"/>
      <c r="NM36" s="337"/>
      <c r="NN36" s="337"/>
      <c r="NO36" s="337"/>
      <c r="NP36" s="337"/>
      <c r="NQ36" s="337"/>
      <c r="NR36" s="337"/>
      <c r="NS36" s="337"/>
      <c r="NT36" s="337"/>
      <c r="NU36" s="337"/>
      <c r="NV36" s="337"/>
      <c r="NW36" s="337"/>
      <c r="NX36" s="337"/>
      <c r="NY36" s="337"/>
      <c r="NZ36" s="337"/>
      <c r="OA36" s="337"/>
      <c r="OB36" s="337"/>
      <c r="OC36" s="337"/>
      <c r="OD36" s="337"/>
      <c r="OE36" s="337"/>
      <c r="OF36" s="337"/>
      <c r="OG36" s="337"/>
      <c r="OH36" s="337"/>
      <c r="OI36" s="337"/>
      <c r="OJ36" s="337"/>
      <c r="OK36" s="337"/>
      <c r="OL36" s="337"/>
      <c r="OM36" s="337"/>
      <c r="ON36" s="337"/>
      <c r="OO36" s="337"/>
      <c r="OP36" s="337"/>
      <c r="OQ36" s="337"/>
      <c r="OR36" s="337"/>
      <c r="OS36" s="337"/>
      <c r="OT36" s="337"/>
      <c r="OU36" s="337"/>
      <c r="OV36" s="337"/>
      <c r="OW36" s="337"/>
      <c r="OX36" s="337"/>
      <c r="OY36" s="337"/>
      <c r="OZ36" s="337"/>
      <c r="PA36" s="337"/>
      <c r="PB36" s="337"/>
      <c r="PC36" s="337"/>
      <c r="PD36" s="337"/>
      <c r="PE36" s="337"/>
      <c r="PF36" s="337"/>
      <c r="PG36" s="337"/>
      <c r="PH36" s="337"/>
      <c r="PI36" s="337"/>
      <c r="PJ36" s="337"/>
      <c r="PK36" s="337"/>
      <c r="PL36" s="337"/>
      <c r="PM36" s="337"/>
      <c r="PN36" s="337"/>
      <c r="PO36" s="337"/>
      <c r="PP36" s="337"/>
      <c r="PQ36" s="337"/>
      <c r="PR36" s="337"/>
      <c r="PS36" s="337"/>
      <c r="PT36" s="337"/>
      <c r="PU36" s="337"/>
      <c r="PV36" s="337"/>
      <c r="PW36" s="337"/>
      <c r="PX36" s="337"/>
      <c r="PY36" s="337"/>
      <c r="PZ36" s="337"/>
      <c r="QA36" s="337"/>
      <c r="QB36" s="337"/>
      <c r="QC36" s="337"/>
      <c r="QD36" s="337"/>
      <c r="QE36" s="337"/>
      <c r="QF36" s="337"/>
      <c r="QG36" s="337"/>
      <c r="QH36" s="337"/>
      <c r="QI36" s="337"/>
      <c r="QJ36" s="337"/>
      <c r="QK36" s="337"/>
      <c r="QL36" s="337"/>
      <c r="QM36" s="337"/>
      <c r="QN36" s="337"/>
      <c r="QO36" s="337"/>
      <c r="QP36" s="337"/>
      <c r="QQ36" s="337"/>
      <c r="QR36" s="337"/>
      <c r="QS36" s="337"/>
      <c r="QT36" s="337"/>
      <c r="QU36" s="337"/>
      <c r="QV36" s="337"/>
      <c r="QW36" s="337"/>
      <c r="QX36" s="337"/>
      <c r="QY36" s="337"/>
      <c r="QZ36" s="337"/>
      <c r="RA36" s="337"/>
      <c r="RB36" s="337"/>
      <c r="RC36" s="337"/>
      <c r="RD36" s="337"/>
      <c r="RE36" s="337"/>
      <c r="RF36" s="337"/>
      <c r="RG36" s="337"/>
      <c r="RH36" s="337"/>
      <c r="RI36" s="337"/>
      <c r="RJ36" s="337"/>
      <c r="RK36" s="337"/>
      <c r="RL36" s="337"/>
      <c r="RM36" s="337"/>
      <c r="RN36" s="337"/>
      <c r="RO36" s="337"/>
      <c r="RP36" s="337"/>
      <c r="RQ36" s="337"/>
      <c r="RR36" s="337"/>
      <c r="RS36" s="337"/>
      <c r="RT36" s="337"/>
      <c r="RU36" s="337"/>
      <c r="RV36" s="337"/>
      <c r="RW36" s="337"/>
      <c r="RX36" s="337"/>
      <c r="RY36" s="337"/>
      <c r="RZ36" s="337"/>
      <c r="SA36" s="337"/>
      <c r="SB36" s="337"/>
      <c r="SC36" s="337"/>
      <c r="SD36" s="337"/>
      <c r="SE36" s="337"/>
      <c r="SF36" s="337"/>
      <c r="SG36" s="337"/>
      <c r="SH36" s="337"/>
      <c r="SI36" s="337"/>
      <c r="SJ36" s="337"/>
      <c r="SK36" s="337"/>
      <c r="SL36" s="337"/>
      <c r="SM36" s="337"/>
      <c r="SN36" s="337"/>
      <c r="SO36" s="337"/>
      <c r="SP36" s="337"/>
      <c r="SQ36" s="337"/>
      <c r="SR36" s="337"/>
      <c r="SS36" s="337"/>
      <c r="ST36" s="337"/>
      <c r="SU36" s="337"/>
      <c r="SV36" s="337"/>
      <c r="SW36" s="337"/>
      <c r="SX36" s="337"/>
      <c r="SY36" s="337"/>
      <c r="SZ36" s="337"/>
      <c r="TA36" s="337"/>
      <c r="TB36" s="337"/>
      <c r="TC36" s="337"/>
      <c r="TD36" s="337"/>
      <c r="TE36" s="337"/>
      <c r="TF36" s="337"/>
      <c r="TG36" s="337"/>
      <c r="TH36" s="337"/>
      <c r="TI36" s="337"/>
      <c r="TJ36" s="337"/>
      <c r="TK36" s="337"/>
      <c r="TL36" s="337"/>
      <c r="TM36" s="337"/>
      <c r="TN36" s="337"/>
      <c r="TO36" s="337"/>
      <c r="TP36" s="337"/>
      <c r="TQ36" s="337"/>
      <c r="TR36" s="337"/>
      <c r="TS36" s="337"/>
      <c r="TT36" s="337"/>
      <c r="TU36" s="337"/>
      <c r="TV36" s="337"/>
      <c r="TW36" s="337"/>
      <c r="TX36" s="337"/>
      <c r="TY36" s="337"/>
      <c r="TZ36" s="337"/>
      <c r="UA36" s="337"/>
      <c r="UB36" s="337"/>
      <c r="UC36" s="337"/>
      <c r="UD36" s="337"/>
      <c r="UE36" s="337"/>
      <c r="UF36" s="337"/>
      <c r="UG36" s="337"/>
      <c r="UH36" s="337"/>
      <c r="UI36" s="337"/>
      <c r="UJ36" s="337"/>
      <c r="UK36" s="337"/>
      <c r="UL36" s="337"/>
      <c r="UM36" s="337"/>
      <c r="UN36" s="337"/>
      <c r="UO36" s="337"/>
      <c r="UP36" s="337"/>
      <c r="UQ36" s="337"/>
      <c r="UR36" s="337"/>
      <c r="US36" s="337"/>
      <c r="UT36" s="337"/>
      <c r="UU36" s="337"/>
      <c r="UV36" s="337"/>
      <c r="UW36" s="337"/>
      <c r="UX36" s="337"/>
      <c r="UY36" s="337"/>
      <c r="UZ36" s="337"/>
      <c r="VA36" s="337"/>
      <c r="VB36" s="337"/>
      <c r="VC36" s="337"/>
      <c r="VD36" s="337"/>
      <c r="VE36" s="337"/>
      <c r="VF36" s="337"/>
      <c r="VG36" s="337"/>
      <c r="VH36" s="337"/>
      <c r="VI36" s="337"/>
      <c r="VJ36" s="337"/>
      <c r="VK36" s="337"/>
      <c r="VL36" s="337"/>
      <c r="VM36" s="337"/>
      <c r="VN36" s="337"/>
      <c r="VO36" s="337"/>
      <c r="VP36" s="337"/>
      <c r="VQ36" s="337"/>
      <c r="VR36" s="337"/>
      <c r="VS36" s="337"/>
      <c r="VT36" s="337"/>
      <c r="VU36" s="337"/>
      <c r="VV36" s="337"/>
      <c r="VW36" s="337"/>
      <c r="VX36" s="337"/>
      <c r="VY36" s="337"/>
      <c r="VZ36" s="337"/>
      <c r="WA36" s="337"/>
      <c r="WB36" s="337"/>
      <c r="WC36" s="337"/>
      <c r="WD36" s="337"/>
      <c r="WE36" s="337"/>
      <c r="WF36" s="337"/>
      <c r="WG36" s="337"/>
      <c r="WH36" s="337"/>
      <c r="WI36" s="337"/>
      <c r="WJ36" s="337"/>
      <c r="WK36" s="337"/>
      <c r="WL36" s="337"/>
      <c r="WM36" s="337"/>
      <c r="WN36" s="337"/>
      <c r="WO36" s="337"/>
      <c r="WP36" s="337"/>
      <c r="WQ36" s="337"/>
      <c r="WR36" s="337"/>
      <c r="WS36" s="337"/>
      <c r="WT36" s="337"/>
      <c r="WU36" s="337"/>
      <c r="WV36" s="337"/>
      <c r="WW36" s="337"/>
      <c r="WX36" s="337"/>
      <c r="WY36" s="337"/>
      <c r="WZ36" s="337"/>
      <c r="XA36" s="337"/>
      <c r="XB36" s="337"/>
      <c r="XC36" s="337"/>
      <c r="XD36" s="337"/>
      <c r="XE36" s="337"/>
      <c r="XF36" s="337"/>
      <c r="XG36" s="337"/>
      <c r="XH36" s="337"/>
      <c r="XI36" s="337"/>
      <c r="XJ36" s="337"/>
      <c r="XK36" s="337"/>
      <c r="XL36" s="337"/>
      <c r="XM36" s="337"/>
      <c r="XN36" s="337"/>
      <c r="XO36" s="337"/>
      <c r="XP36" s="337"/>
      <c r="XQ36" s="337"/>
      <c r="XR36" s="337"/>
      <c r="XS36" s="337"/>
      <c r="XT36" s="337"/>
      <c r="XU36" s="337"/>
      <c r="XV36" s="337"/>
      <c r="XW36" s="337"/>
      <c r="XX36" s="337"/>
      <c r="XY36" s="337"/>
      <c r="XZ36" s="337"/>
      <c r="YA36" s="337"/>
      <c r="YB36" s="337"/>
      <c r="YC36" s="337"/>
      <c r="YD36" s="337"/>
      <c r="YE36" s="337"/>
      <c r="YF36" s="337"/>
      <c r="YG36" s="337"/>
      <c r="YH36" s="337"/>
      <c r="YI36" s="337"/>
      <c r="YJ36" s="337"/>
      <c r="YK36" s="337"/>
      <c r="YL36" s="337"/>
      <c r="YM36" s="337"/>
      <c r="YN36" s="337"/>
      <c r="YO36" s="337"/>
      <c r="YP36" s="337"/>
      <c r="YQ36" s="337"/>
      <c r="YR36" s="337"/>
      <c r="YS36" s="337"/>
      <c r="YT36" s="337"/>
      <c r="YU36" s="337"/>
      <c r="YV36" s="337"/>
      <c r="YW36" s="337"/>
      <c r="YX36" s="337"/>
      <c r="YY36" s="337"/>
      <c r="YZ36" s="337"/>
      <c r="ZA36" s="337"/>
      <c r="ZB36" s="337"/>
      <c r="ZC36" s="337"/>
      <c r="ZD36" s="337"/>
      <c r="ZE36" s="337"/>
      <c r="ZF36" s="337"/>
      <c r="ZG36" s="337"/>
      <c r="ZH36" s="337"/>
      <c r="ZI36" s="337"/>
      <c r="ZJ36" s="337"/>
      <c r="ZK36" s="337"/>
      <c r="ZL36" s="337"/>
      <c r="ZM36" s="337"/>
      <c r="ZN36" s="337"/>
      <c r="ZO36" s="337"/>
      <c r="ZP36" s="337"/>
      <c r="ZQ36" s="337"/>
      <c r="ZR36" s="337"/>
      <c r="ZS36" s="337"/>
      <c r="ZT36" s="337"/>
      <c r="ZU36" s="337"/>
      <c r="ZV36" s="337"/>
      <c r="ZW36" s="337"/>
      <c r="ZX36" s="337"/>
      <c r="ZY36" s="337"/>
      <c r="ZZ36" s="337"/>
      <c r="AAA36" s="337"/>
      <c r="AAB36" s="337"/>
      <c r="AAC36" s="337"/>
      <c r="AAD36" s="337"/>
      <c r="AAE36" s="337"/>
      <c r="AAF36" s="337"/>
      <c r="AAG36" s="337"/>
      <c r="AAH36" s="337"/>
      <c r="AAI36" s="337"/>
      <c r="AAJ36" s="337"/>
      <c r="AAK36" s="337"/>
      <c r="AAL36" s="337"/>
      <c r="AAM36" s="337"/>
      <c r="AAN36" s="337"/>
      <c r="AAO36" s="337"/>
      <c r="AAP36" s="337"/>
      <c r="AAQ36" s="337"/>
      <c r="AAR36" s="337"/>
      <c r="AAS36" s="337"/>
      <c r="AAT36" s="337"/>
      <c r="AAU36" s="337"/>
      <c r="AAV36" s="337"/>
      <c r="AAW36" s="337"/>
      <c r="AAX36" s="337"/>
      <c r="AAY36" s="337"/>
      <c r="AAZ36" s="337"/>
      <c r="ABA36" s="337"/>
      <c r="ABB36" s="337"/>
      <c r="ABC36" s="337"/>
      <c r="ABD36" s="337"/>
      <c r="ABE36" s="337"/>
      <c r="ABF36" s="337"/>
      <c r="ABG36" s="337"/>
      <c r="ABH36" s="337"/>
      <c r="ABI36" s="337"/>
      <c r="ABJ36" s="337"/>
      <c r="ABK36" s="337"/>
      <c r="ABL36" s="337"/>
      <c r="ABM36" s="337"/>
      <c r="ABN36" s="337"/>
      <c r="ABO36" s="337"/>
      <c r="ABP36" s="337"/>
      <c r="ABQ36" s="337"/>
      <c r="ABR36" s="337"/>
      <c r="ABS36" s="337"/>
      <c r="ABT36" s="337"/>
      <c r="ABU36" s="337"/>
      <c r="ABV36" s="337"/>
      <c r="ABW36" s="337"/>
      <c r="ABX36" s="337"/>
      <c r="ABY36" s="337"/>
      <c r="ABZ36" s="337"/>
      <c r="ACA36" s="337"/>
      <c r="ACB36" s="337"/>
      <c r="ACC36" s="337"/>
      <c r="ACD36" s="337"/>
      <c r="ACE36" s="337"/>
      <c r="ACF36" s="337"/>
      <c r="ACG36" s="337"/>
      <c r="ACH36" s="337"/>
      <c r="ACI36" s="337"/>
      <c r="ACJ36" s="337"/>
      <c r="ACK36" s="337"/>
      <c r="ACL36" s="337"/>
      <c r="ACM36" s="337"/>
      <c r="ACN36" s="337"/>
      <c r="ACO36" s="337"/>
      <c r="ACP36" s="337"/>
      <c r="ACQ36" s="337"/>
      <c r="ACR36" s="337"/>
      <c r="ACS36" s="337"/>
      <c r="ACT36" s="337"/>
      <c r="ACU36" s="337"/>
      <c r="ACV36" s="337"/>
      <c r="ACW36" s="337"/>
      <c r="ACX36" s="337"/>
      <c r="ACY36" s="337"/>
      <c r="ACZ36" s="337"/>
      <c r="ADA36" s="337"/>
      <c r="ADB36" s="337"/>
      <c r="ADC36" s="337"/>
      <c r="ADD36" s="337"/>
      <c r="ADE36" s="337"/>
      <c r="ADF36" s="337"/>
      <c r="ADG36" s="337"/>
      <c r="ADH36" s="337"/>
      <c r="ADI36" s="337"/>
      <c r="ADJ36" s="337"/>
      <c r="ADK36" s="337"/>
      <c r="ADL36" s="337"/>
      <c r="ADM36" s="337"/>
      <c r="ADN36" s="337"/>
      <c r="ADO36" s="337"/>
      <c r="ADP36" s="337"/>
      <c r="ADQ36" s="337"/>
      <c r="ADR36" s="337"/>
      <c r="ADS36" s="337"/>
      <c r="ADT36" s="337"/>
      <c r="ADU36" s="337"/>
      <c r="ADV36" s="337"/>
      <c r="ADW36" s="337"/>
      <c r="ADX36" s="337"/>
      <c r="ADY36" s="337"/>
      <c r="ADZ36" s="337"/>
      <c r="AEA36" s="337"/>
      <c r="AEB36" s="337"/>
      <c r="AEC36" s="337"/>
      <c r="AED36" s="337"/>
      <c r="AEE36" s="337"/>
      <c r="AEF36" s="337"/>
      <c r="AEG36" s="337"/>
      <c r="AEH36" s="337"/>
      <c r="AEI36" s="337"/>
      <c r="AEJ36" s="337"/>
      <c r="AEK36" s="337"/>
      <c r="AEL36" s="337"/>
      <c r="AEM36" s="337"/>
      <c r="AEN36" s="337"/>
      <c r="AEO36" s="337"/>
      <c r="AEP36" s="337"/>
      <c r="AEQ36" s="337"/>
      <c r="AER36" s="337"/>
      <c r="AES36" s="337"/>
      <c r="AET36" s="337"/>
      <c r="AEU36" s="337"/>
      <c r="AEV36" s="337"/>
      <c r="AEW36" s="337"/>
      <c r="AEX36" s="337"/>
      <c r="AEY36" s="337"/>
      <c r="AEZ36" s="337"/>
      <c r="AFA36" s="337"/>
      <c r="AFB36" s="337"/>
      <c r="AFC36" s="337"/>
      <c r="AFD36" s="337"/>
      <c r="AFE36" s="337"/>
      <c r="AFF36" s="337"/>
      <c r="AFG36" s="337"/>
      <c r="AFH36" s="337"/>
      <c r="AFI36" s="337"/>
      <c r="AFJ36" s="337"/>
      <c r="AFK36" s="337"/>
      <c r="AFL36" s="337"/>
      <c r="AFM36" s="337"/>
      <c r="AFN36" s="337"/>
      <c r="AFO36" s="337"/>
      <c r="AFP36" s="337"/>
      <c r="AFQ36" s="337"/>
      <c r="AFR36" s="337"/>
      <c r="AFS36" s="337"/>
      <c r="AFT36" s="337"/>
      <c r="AFU36" s="337"/>
      <c r="AFV36" s="337"/>
      <c r="AFW36" s="337"/>
      <c r="AFX36" s="337"/>
      <c r="AFY36" s="337"/>
      <c r="AFZ36" s="337"/>
      <c r="AGA36" s="337"/>
      <c r="AGB36" s="337"/>
      <c r="AGC36" s="337"/>
      <c r="AGD36" s="337"/>
      <c r="AGE36" s="337"/>
      <c r="AGF36" s="337"/>
      <c r="AGG36" s="337"/>
      <c r="AGH36" s="337"/>
      <c r="AGI36" s="337"/>
      <c r="AGJ36" s="337"/>
      <c r="AGK36" s="337"/>
      <c r="AGL36" s="337"/>
      <c r="AGM36" s="337"/>
      <c r="AGN36" s="337"/>
      <c r="AGO36" s="337"/>
      <c r="AGP36" s="337"/>
      <c r="AGQ36" s="337"/>
      <c r="AGR36" s="337"/>
      <c r="AGS36" s="337"/>
      <c r="AGT36" s="337"/>
      <c r="AGU36" s="337"/>
      <c r="AGV36" s="337"/>
      <c r="AGW36" s="337"/>
      <c r="AGX36" s="337"/>
      <c r="AGY36" s="337"/>
      <c r="AGZ36" s="337"/>
    </row>
    <row r="37" ht="24" customHeight="1" spans="1:884">
      <c r="A37" s="349">
        <v>33</v>
      </c>
      <c r="B37" s="350"/>
      <c r="C37" s="351" t="s">
        <v>120</v>
      </c>
      <c r="D37" s="358"/>
      <c r="E37" s="358"/>
      <c r="F37" s="81">
        <v>12</v>
      </c>
      <c r="G37" s="356" t="s">
        <v>502</v>
      </c>
      <c r="H37" s="357" t="s">
        <v>503</v>
      </c>
      <c r="I37" s="100" t="s">
        <v>124</v>
      </c>
      <c r="J37" s="100" t="s">
        <v>124</v>
      </c>
      <c r="K37" s="100"/>
      <c r="L37" s="100" t="s">
        <v>124</v>
      </c>
      <c r="M37" s="100" t="s">
        <v>124</v>
      </c>
      <c r="N37" s="373" t="s">
        <v>504</v>
      </c>
      <c r="O37" s="374"/>
      <c r="P37" s="375" t="str">
        <f>CONCATENATE(RemovePunctuation(H37),"_CA","_","i4K","_",C37,"_",AE37,"_",PROPER(R37),IF(S37="",PROPER(R37),PROPER(S37)),PROPER(T37),PROPER(U37),PROPER(V37),IF(V37&lt;&gt;"","SUB",""),PROPER(W37),IF(W37&lt;&gt;"","SUB",""),"_","Ed","_","M1",".mpg")</f>
        <v>SandstormEp01_CA_i4K_0825_43_ZhoZhoZhoSUB_Ed_M1.mpg</v>
      </c>
      <c r="Q37" s="375" t="str">
        <f>CONCATENATE(RemovePunctuation(H37),"_CA","_","i5K","_",C37,"_",AD37,"_",PROPER(R37),IF(S37="",PROPER(R37),PROPER(S37)),PROPER(T37),PROPER(U37),PROPER(V37),IF(V37&lt;&gt;"","SUB",""),PROPER(W37),IF(W37&lt;&gt;"","SUB",""),"_","Ed","_","M4",".mpg")</f>
        <v>SandstormEp01_CA_i5K_0825_169_ZhoZhoZhoSUB_Ed_M4.mpg</v>
      </c>
      <c r="R37" s="382" t="s">
        <v>130</v>
      </c>
      <c r="S37" s="385"/>
      <c r="T37" s="384"/>
      <c r="U37" s="384"/>
      <c r="V37" s="382" t="s">
        <v>130</v>
      </c>
      <c r="W37" s="386"/>
      <c r="X37" s="349" t="s">
        <v>129</v>
      </c>
      <c r="Y37" s="349" t="s">
        <v>129</v>
      </c>
      <c r="Z37" s="120">
        <f t="shared" si="6"/>
        <v>45</v>
      </c>
      <c r="AA37" s="304" t="str">
        <f t="shared" si="7"/>
        <v>00:45:00</v>
      </c>
      <c r="AB37" s="120">
        <f t="shared" si="8"/>
        <v>2700</v>
      </c>
      <c r="AC37" s="399">
        <v>0.0313078703703704</v>
      </c>
      <c r="AD37" s="400">
        <v>169</v>
      </c>
      <c r="AE37" s="400">
        <v>43</v>
      </c>
      <c r="AF37" s="349" t="s">
        <v>132</v>
      </c>
      <c r="AP37" s="337"/>
      <c r="AQ37" s="337"/>
      <c r="AR37" s="337"/>
      <c r="AS37" s="337"/>
      <c r="AT37" s="337"/>
      <c r="AU37" s="337"/>
      <c r="AV37" s="337"/>
      <c r="AW37" s="337"/>
      <c r="AX37" s="337"/>
      <c r="AY37" s="337"/>
      <c r="AZ37" s="337"/>
      <c r="BA37" s="337"/>
      <c r="BB37" s="337"/>
      <c r="BC37" s="337"/>
      <c r="BD37" s="337"/>
      <c r="BE37" s="337"/>
      <c r="BF37" s="337"/>
      <c r="BG37" s="337"/>
      <c r="BH37" s="337"/>
      <c r="BI37" s="337"/>
      <c r="BJ37" s="337"/>
      <c r="BK37" s="337"/>
      <c r="BL37" s="337"/>
      <c r="BM37" s="337"/>
      <c r="BN37" s="337"/>
      <c r="BO37" s="337"/>
      <c r="BP37" s="337"/>
      <c r="BQ37" s="337"/>
      <c r="BR37" s="337"/>
      <c r="BS37" s="337"/>
      <c r="BT37" s="337"/>
      <c r="BU37" s="337"/>
      <c r="BV37" s="337"/>
      <c r="BW37" s="337"/>
      <c r="BX37" s="337"/>
      <c r="BY37" s="337"/>
      <c r="BZ37" s="337"/>
      <c r="CA37" s="337"/>
      <c r="CB37" s="337"/>
      <c r="CC37" s="337"/>
      <c r="CD37" s="337"/>
      <c r="CE37" s="337"/>
      <c r="CF37" s="337"/>
      <c r="CG37" s="337"/>
      <c r="CH37" s="337"/>
      <c r="CI37" s="337"/>
      <c r="CJ37" s="337"/>
      <c r="CK37" s="337"/>
      <c r="CL37" s="337"/>
      <c r="CM37" s="337"/>
      <c r="CN37" s="337"/>
      <c r="CO37" s="337"/>
      <c r="CP37" s="337"/>
      <c r="CQ37" s="337"/>
      <c r="CR37" s="337"/>
      <c r="CS37" s="337"/>
      <c r="CT37" s="337"/>
      <c r="CU37" s="337"/>
      <c r="CV37" s="337"/>
      <c r="CW37" s="337"/>
      <c r="CX37" s="337"/>
      <c r="CY37" s="337"/>
      <c r="CZ37" s="337"/>
      <c r="DA37" s="337"/>
      <c r="DB37" s="337"/>
      <c r="DC37" s="337"/>
      <c r="DD37" s="337"/>
      <c r="DE37" s="337"/>
      <c r="DF37" s="337"/>
      <c r="DG37" s="337"/>
      <c r="DH37" s="337"/>
      <c r="DI37" s="337"/>
      <c r="DJ37" s="337"/>
      <c r="DK37" s="337"/>
      <c r="DL37" s="337"/>
      <c r="DM37" s="337"/>
      <c r="DN37" s="337"/>
      <c r="DO37" s="337"/>
      <c r="DP37" s="337"/>
      <c r="DQ37" s="337"/>
      <c r="DR37" s="337"/>
      <c r="DS37" s="337"/>
      <c r="DT37" s="337"/>
      <c r="DU37" s="337"/>
      <c r="DV37" s="337"/>
      <c r="DW37" s="337"/>
      <c r="DX37" s="337"/>
      <c r="DY37" s="337"/>
      <c r="DZ37" s="337"/>
      <c r="EA37" s="337"/>
      <c r="EB37" s="337"/>
      <c r="EC37" s="337"/>
      <c r="ED37" s="337"/>
      <c r="EE37" s="337"/>
      <c r="EF37" s="337"/>
      <c r="EG37" s="337"/>
      <c r="EH37" s="337"/>
      <c r="EI37" s="337"/>
      <c r="EJ37" s="337"/>
      <c r="EK37" s="337"/>
      <c r="EL37" s="337"/>
      <c r="EM37" s="337"/>
      <c r="EN37" s="337"/>
      <c r="EO37" s="337"/>
      <c r="EP37" s="337"/>
      <c r="EQ37" s="337"/>
      <c r="ER37" s="337"/>
      <c r="ES37" s="337"/>
      <c r="ET37" s="337"/>
      <c r="EU37" s="337"/>
      <c r="EV37" s="337"/>
      <c r="EW37" s="337"/>
      <c r="EX37" s="337"/>
      <c r="EY37" s="337"/>
      <c r="EZ37" s="337"/>
      <c r="FA37" s="337"/>
      <c r="FB37" s="337"/>
      <c r="FC37" s="337"/>
      <c r="FD37" s="337"/>
      <c r="FE37" s="337"/>
      <c r="FF37" s="337"/>
      <c r="FG37" s="337"/>
      <c r="FH37" s="337"/>
      <c r="FI37" s="337"/>
      <c r="FJ37" s="337"/>
      <c r="FK37" s="337"/>
      <c r="FL37" s="337"/>
      <c r="FM37" s="337"/>
      <c r="FN37" s="337"/>
      <c r="FO37" s="337"/>
      <c r="FP37" s="337"/>
      <c r="FQ37" s="337"/>
      <c r="FR37" s="337"/>
      <c r="FS37" s="337"/>
      <c r="FT37" s="337"/>
      <c r="FU37" s="337"/>
      <c r="FV37" s="337"/>
      <c r="FW37" s="337"/>
      <c r="FX37" s="337"/>
      <c r="FY37" s="337"/>
      <c r="FZ37" s="337"/>
      <c r="GA37" s="337"/>
      <c r="GB37" s="337"/>
      <c r="GC37" s="337"/>
      <c r="GD37" s="337"/>
      <c r="GE37" s="337"/>
      <c r="GF37" s="337"/>
      <c r="GG37" s="337"/>
      <c r="GH37" s="337"/>
      <c r="GI37" s="337"/>
      <c r="GJ37" s="337"/>
      <c r="GK37" s="337"/>
      <c r="GL37" s="337"/>
      <c r="GM37" s="337"/>
      <c r="GN37" s="337"/>
      <c r="GO37" s="337"/>
      <c r="GP37" s="337"/>
      <c r="GQ37" s="337"/>
      <c r="GR37" s="337"/>
      <c r="GS37" s="337"/>
      <c r="GT37" s="337"/>
      <c r="GU37" s="337"/>
      <c r="GV37" s="337"/>
      <c r="GW37" s="337"/>
      <c r="GX37" s="337"/>
      <c r="GY37" s="337"/>
      <c r="GZ37" s="337"/>
      <c r="HA37" s="337"/>
      <c r="HB37" s="337"/>
      <c r="HC37" s="337"/>
      <c r="HD37" s="337"/>
      <c r="HE37" s="337"/>
      <c r="HF37" s="337"/>
      <c r="HG37" s="337"/>
      <c r="HH37" s="337"/>
      <c r="HI37" s="337"/>
      <c r="HJ37" s="337"/>
      <c r="HK37" s="337"/>
      <c r="HL37" s="337"/>
      <c r="HM37" s="337"/>
      <c r="HN37" s="337"/>
      <c r="HO37" s="337"/>
      <c r="HP37" s="337"/>
      <c r="HQ37" s="337"/>
      <c r="HR37" s="337"/>
      <c r="HS37" s="337"/>
      <c r="HT37" s="337"/>
      <c r="HU37" s="337"/>
      <c r="HV37" s="337"/>
      <c r="HW37" s="337"/>
      <c r="HX37" s="337"/>
      <c r="HY37" s="337"/>
      <c r="HZ37" s="337"/>
      <c r="IA37" s="337"/>
      <c r="IB37" s="337"/>
      <c r="IC37" s="337"/>
      <c r="ID37" s="337"/>
      <c r="IE37" s="337"/>
      <c r="IF37" s="337"/>
      <c r="IG37" s="337"/>
      <c r="IH37" s="337"/>
      <c r="II37" s="337"/>
      <c r="IJ37" s="337"/>
      <c r="IK37" s="337"/>
      <c r="IL37" s="337"/>
      <c r="IM37" s="337"/>
      <c r="IN37" s="337"/>
      <c r="IO37" s="337"/>
      <c r="IP37" s="337"/>
      <c r="IQ37" s="337"/>
      <c r="IR37" s="337"/>
      <c r="IS37" s="337"/>
      <c r="IT37" s="337"/>
      <c r="IU37" s="337"/>
      <c r="IV37" s="337"/>
      <c r="IW37" s="337"/>
      <c r="IX37" s="337"/>
      <c r="IY37" s="337"/>
      <c r="IZ37" s="337"/>
      <c r="JA37" s="337"/>
      <c r="JB37" s="337"/>
      <c r="JC37" s="337"/>
      <c r="JD37" s="337"/>
      <c r="JE37" s="337"/>
      <c r="JF37" s="337"/>
      <c r="JG37" s="337"/>
      <c r="JH37" s="337"/>
      <c r="JI37" s="337"/>
      <c r="JJ37" s="337"/>
      <c r="JK37" s="337"/>
      <c r="JL37" s="337"/>
      <c r="JM37" s="337"/>
      <c r="JN37" s="337"/>
      <c r="JO37" s="337"/>
      <c r="JP37" s="337"/>
      <c r="JQ37" s="337"/>
      <c r="JR37" s="337"/>
      <c r="JS37" s="337"/>
      <c r="JT37" s="337"/>
      <c r="JU37" s="337"/>
      <c r="JV37" s="337"/>
      <c r="JW37" s="337"/>
      <c r="JX37" s="337"/>
      <c r="JY37" s="337"/>
      <c r="JZ37" s="337"/>
      <c r="KA37" s="337"/>
      <c r="KB37" s="337"/>
      <c r="KC37" s="337"/>
      <c r="KD37" s="337"/>
      <c r="KE37" s="337"/>
      <c r="KF37" s="337"/>
      <c r="KG37" s="337"/>
      <c r="KH37" s="337"/>
      <c r="KI37" s="337"/>
      <c r="KJ37" s="337"/>
      <c r="KK37" s="337"/>
      <c r="KL37" s="337"/>
      <c r="KM37" s="337"/>
      <c r="KN37" s="337"/>
      <c r="KO37" s="337"/>
      <c r="KP37" s="337"/>
      <c r="KQ37" s="337"/>
      <c r="KR37" s="337"/>
      <c r="KS37" s="337"/>
      <c r="KT37" s="337"/>
      <c r="KU37" s="337"/>
      <c r="KV37" s="337"/>
      <c r="KW37" s="337"/>
      <c r="KX37" s="337"/>
      <c r="KY37" s="337"/>
      <c r="KZ37" s="337"/>
      <c r="LA37" s="337"/>
      <c r="LB37" s="337"/>
      <c r="LC37" s="337"/>
      <c r="LD37" s="337"/>
      <c r="LE37" s="337"/>
      <c r="LF37" s="337"/>
      <c r="LG37" s="337"/>
      <c r="LH37" s="337"/>
      <c r="LI37" s="337"/>
      <c r="LJ37" s="337"/>
      <c r="LK37" s="337"/>
      <c r="LL37" s="337"/>
      <c r="LM37" s="337"/>
      <c r="LN37" s="337"/>
      <c r="LO37" s="337"/>
      <c r="LP37" s="337"/>
      <c r="LQ37" s="337"/>
      <c r="LR37" s="337"/>
      <c r="LS37" s="337"/>
      <c r="LT37" s="337"/>
      <c r="LU37" s="337"/>
      <c r="LV37" s="337"/>
      <c r="LW37" s="337"/>
      <c r="LX37" s="337"/>
      <c r="LY37" s="337"/>
      <c r="LZ37" s="337"/>
      <c r="MA37" s="337"/>
      <c r="MB37" s="337"/>
      <c r="MC37" s="337"/>
      <c r="MD37" s="337"/>
      <c r="ME37" s="337"/>
      <c r="MF37" s="337"/>
      <c r="MG37" s="337"/>
      <c r="MH37" s="337"/>
      <c r="MI37" s="337"/>
      <c r="MJ37" s="337"/>
      <c r="MK37" s="337"/>
      <c r="ML37" s="337"/>
      <c r="MM37" s="337"/>
      <c r="MN37" s="337"/>
      <c r="MO37" s="337"/>
      <c r="MP37" s="337"/>
      <c r="MQ37" s="337"/>
      <c r="MR37" s="337"/>
      <c r="MS37" s="337"/>
      <c r="MT37" s="337"/>
      <c r="MU37" s="337"/>
      <c r="MV37" s="337"/>
      <c r="MW37" s="337"/>
      <c r="MX37" s="337"/>
      <c r="MY37" s="337"/>
      <c r="MZ37" s="337"/>
      <c r="NA37" s="337"/>
      <c r="NB37" s="337"/>
      <c r="NC37" s="337"/>
      <c r="ND37" s="337"/>
      <c r="NE37" s="337"/>
      <c r="NF37" s="337"/>
      <c r="NG37" s="337"/>
      <c r="NH37" s="337"/>
      <c r="NI37" s="337"/>
      <c r="NJ37" s="337"/>
      <c r="NK37" s="337"/>
      <c r="NL37" s="337"/>
      <c r="NM37" s="337"/>
      <c r="NN37" s="337"/>
      <c r="NO37" s="337"/>
      <c r="NP37" s="337"/>
      <c r="NQ37" s="337"/>
      <c r="NR37" s="337"/>
      <c r="NS37" s="337"/>
      <c r="NT37" s="337"/>
      <c r="NU37" s="337"/>
      <c r="NV37" s="337"/>
      <c r="NW37" s="337"/>
      <c r="NX37" s="337"/>
      <c r="NY37" s="337"/>
      <c r="NZ37" s="337"/>
      <c r="OA37" s="337"/>
      <c r="OB37" s="337"/>
      <c r="OC37" s="337"/>
      <c r="OD37" s="337"/>
      <c r="OE37" s="337"/>
      <c r="OF37" s="337"/>
      <c r="OG37" s="337"/>
      <c r="OH37" s="337"/>
      <c r="OI37" s="337"/>
      <c r="OJ37" s="337"/>
      <c r="OK37" s="337"/>
      <c r="OL37" s="337"/>
      <c r="OM37" s="337"/>
      <c r="ON37" s="337"/>
      <c r="OO37" s="337"/>
      <c r="OP37" s="337"/>
      <c r="OQ37" s="337"/>
      <c r="OR37" s="337"/>
      <c r="OS37" s="337"/>
      <c r="OT37" s="337"/>
      <c r="OU37" s="337"/>
      <c r="OV37" s="337"/>
      <c r="OW37" s="337"/>
      <c r="OX37" s="337"/>
      <c r="OY37" s="337"/>
      <c r="OZ37" s="337"/>
      <c r="PA37" s="337"/>
      <c r="PB37" s="337"/>
      <c r="PC37" s="337"/>
      <c r="PD37" s="337"/>
      <c r="PE37" s="337"/>
      <c r="PF37" s="337"/>
      <c r="PG37" s="337"/>
      <c r="PH37" s="337"/>
      <c r="PI37" s="337"/>
      <c r="PJ37" s="337"/>
      <c r="PK37" s="337"/>
      <c r="PL37" s="337"/>
      <c r="PM37" s="337"/>
      <c r="PN37" s="337"/>
      <c r="PO37" s="337"/>
      <c r="PP37" s="337"/>
      <c r="PQ37" s="337"/>
      <c r="PR37" s="337"/>
      <c r="PS37" s="337"/>
      <c r="PT37" s="337"/>
      <c r="PU37" s="337"/>
      <c r="PV37" s="337"/>
      <c r="PW37" s="337"/>
      <c r="PX37" s="337"/>
      <c r="PY37" s="337"/>
      <c r="PZ37" s="337"/>
      <c r="QA37" s="337"/>
      <c r="QB37" s="337"/>
      <c r="QC37" s="337"/>
      <c r="QD37" s="337"/>
      <c r="QE37" s="337"/>
      <c r="QF37" s="337"/>
      <c r="QG37" s="337"/>
      <c r="QH37" s="337"/>
      <c r="QI37" s="337"/>
      <c r="QJ37" s="337"/>
      <c r="QK37" s="337"/>
      <c r="QL37" s="337"/>
      <c r="QM37" s="337"/>
      <c r="QN37" s="337"/>
      <c r="QO37" s="337"/>
      <c r="QP37" s="337"/>
      <c r="QQ37" s="337"/>
      <c r="QR37" s="337"/>
      <c r="QS37" s="337"/>
      <c r="QT37" s="337"/>
      <c r="QU37" s="337"/>
      <c r="QV37" s="337"/>
      <c r="QW37" s="337"/>
      <c r="QX37" s="337"/>
      <c r="QY37" s="337"/>
      <c r="QZ37" s="337"/>
      <c r="RA37" s="337"/>
      <c r="RB37" s="337"/>
      <c r="RC37" s="337"/>
      <c r="RD37" s="337"/>
      <c r="RE37" s="337"/>
      <c r="RF37" s="337"/>
      <c r="RG37" s="337"/>
      <c r="RH37" s="337"/>
      <c r="RI37" s="337"/>
      <c r="RJ37" s="337"/>
      <c r="RK37" s="337"/>
      <c r="RL37" s="337"/>
      <c r="RM37" s="337"/>
      <c r="RN37" s="337"/>
      <c r="RO37" s="337"/>
      <c r="RP37" s="337"/>
      <c r="RQ37" s="337"/>
      <c r="RR37" s="337"/>
      <c r="RS37" s="337"/>
      <c r="RT37" s="337"/>
      <c r="RU37" s="337"/>
      <c r="RV37" s="337"/>
      <c r="RW37" s="337"/>
      <c r="RX37" s="337"/>
      <c r="RY37" s="337"/>
      <c r="RZ37" s="337"/>
      <c r="SA37" s="337"/>
      <c r="SB37" s="337"/>
      <c r="SC37" s="337"/>
      <c r="SD37" s="337"/>
      <c r="SE37" s="337"/>
      <c r="SF37" s="337"/>
      <c r="SG37" s="337"/>
      <c r="SH37" s="337"/>
      <c r="SI37" s="337"/>
      <c r="SJ37" s="337"/>
      <c r="SK37" s="337"/>
      <c r="SL37" s="337"/>
      <c r="SM37" s="337"/>
      <c r="SN37" s="337"/>
      <c r="SO37" s="337"/>
      <c r="SP37" s="337"/>
      <c r="SQ37" s="337"/>
      <c r="SR37" s="337"/>
      <c r="SS37" s="337"/>
      <c r="ST37" s="337"/>
      <c r="SU37" s="337"/>
      <c r="SV37" s="337"/>
      <c r="SW37" s="337"/>
      <c r="SX37" s="337"/>
      <c r="SY37" s="337"/>
      <c r="SZ37" s="337"/>
      <c r="TA37" s="337"/>
      <c r="TB37" s="337"/>
      <c r="TC37" s="337"/>
      <c r="TD37" s="337"/>
      <c r="TE37" s="337"/>
      <c r="TF37" s="337"/>
      <c r="TG37" s="337"/>
      <c r="TH37" s="337"/>
      <c r="TI37" s="337"/>
      <c r="TJ37" s="337"/>
      <c r="TK37" s="337"/>
      <c r="TL37" s="337"/>
      <c r="TM37" s="337"/>
      <c r="TN37" s="337"/>
      <c r="TO37" s="337"/>
      <c r="TP37" s="337"/>
      <c r="TQ37" s="337"/>
      <c r="TR37" s="337"/>
      <c r="TS37" s="337"/>
      <c r="TT37" s="337"/>
      <c r="TU37" s="337"/>
      <c r="TV37" s="337"/>
      <c r="TW37" s="337"/>
      <c r="TX37" s="337"/>
      <c r="TY37" s="337"/>
      <c r="TZ37" s="337"/>
      <c r="UA37" s="337"/>
      <c r="UB37" s="337"/>
      <c r="UC37" s="337"/>
      <c r="UD37" s="337"/>
      <c r="UE37" s="337"/>
      <c r="UF37" s="337"/>
      <c r="UG37" s="337"/>
      <c r="UH37" s="337"/>
      <c r="UI37" s="337"/>
      <c r="UJ37" s="337"/>
      <c r="UK37" s="337"/>
      <c r="UL37" s="337"/>
      <c r="UM37" s="337"/>
      <c r="UN37" s="337"/>
      <c r="UO37" s="337"/>
      <c r="UP37" s="337"/>
      <c r="UQ37" s="337"/>
      <c r="UR37" s="337"/>
      <c r="US37" s="337"/>
      <c r="UT37" s="337"/>
      <c r="UU37" s="337"/>
      <c r="UV37" s="337"/>
      <c r="UW37" s="337"/>
      <c r="UX37" s="337"/>
      <c r="UY37" s="337"/>
      <c r="UZ37" s="337"/>
      <c r="VA37" s="337"/>
      <c r="VB37" s="337"/>
      <c r="VC37" s="337"/>
      <c r="VD37" s="337"/>
      <c r="VE37" s="337"/>
      <c r="VF37" s="337"/>
      <c r="VG37" s="337"/>
      <c r="VH37" s="337"/>
      <c r="VI37" s="337"/>
      <c r="VJ37" s="337"/>
      <c r="VK37" s="337"/>
      <c r="VL37" s="337"/>
      <c r="VM37" s="337"/>
      <c r="VN37" s="337"/>
      <c r="VO37" s="337"/>
      <c r="VP37" s="337"/>
      <c r="VQ37" s="337"/>
      <c r="VR37" s="337"/>
      <c r="VS37" s="337"/>
      <c r="VT37" s="337"/>
      <c r="VU37" s="337"/>
      <c r="VV37" s="337"/>
      <c r="VW37" s="337"/>
      <c r="VX37" s="337"/>
      <c r="VY37" s="337"/>
      <c r="VZ37" s="337"/>
      <c r="WA37" s="337"/>
      <c r="WB37" s="337"/>
      <c r="WC37" s="337"/>
      <c r="WD37" s="337"/>
      <c r="WE37" s="337"/>
      <c r="WF37" s="337"/>
      <c r="WG37" s="337"/>
      <c r="WH37" s="337"/>
      <c r="WI37" s="337"/>
      <c r="WJ37" s="337"/>
      <c r="WK37" s="337"/>
      <c r="WL37" s="337"/>
      <c r="WM37" s="337"/>
      <c r="WN37" s="337"/>
      <c r="WO37" s="337"/>
      <c r="WP37" s="337"/>
      <c r="WQ37" s="337"/>
      <c r="WR37" s="337"/>
      <c r="WS37" s="337"/>
      <c r="WT37" s="337"/>
      <c r="WU37" s="337"/>
      <c r="WV37" s="337"/>
      <c r="WW37" s="337"/>
      <c r="WX37" s="337"/>
      <c r="WY37" s="337"/>
      <c r="WZ37" s="337"/>
      <c r="XA37" s="337"/>
      <c r="XB37" s="337"/>
      <c r="XC37" s="337"/>
      <c r="XD37" s="337"/>
      <c r="XE37" s="337"/>
      <c r="XF37" s="337"/>
      <c r="XG37" s="337"/>
      <c r="XH37" s="337"/>
      <c r="XI37" s="337"/>
      <c r="XJ37" s="337"/>
      <c r="XK37" s="337"/>
      <c r="XL37" s="337"/>
      <c r="XM37" s="337"/>
      <c r="XN37" s="337"/>
      <c r="XO37" s="337"/>
      <c r="XP37" s="337"/>
      <c r="XQ37" s="337"/>
      <c r="XR37" s="337"/>
      <c r="XS37" s="337"/>
      <c r="XT37" s="337"/>
      <c r="XU37" s="337"/>
      <c r="XV37" s="337"/>
      <c r="XW37" s="337"/>
      <c r="XX37" s="337"/>
      <c r="XY37" s="337"/>
      <c r="XZ37" s="337"/>
      <c r="YA37" s="337"/>
      <c r="YB37" s="337"/>
      <c r="YC37" s="337"/>
      <c r="YD37" s="337"/>
      <c r="YE37" s="337"/>
      <c r="YF37" s="337"/>
      <c r="YG37" s="337"/>
      <c r="YH37" s="337"/>
      <c r="YI37" s="337"/>
      <c r="YJ37" s="337"/>
      <c r="YK37" s="337"/>
      <c r="YL37" s="337"/>
      <c r="YM37" s="337"/>
      <c r="YN37" s="337"/>
      <c r="YO37" s="337"/>
      <c r="YP37" s="337"/>
      <c r="YQ37" s="337"/>
      <c r="YR37" s="337"/>
      <c r="YS37" s="337"/>
      <c r="YT37" s="337"/>
      <c r="YU37" s="337"/>
      <c r="YV37" s="337"/>
      <c r="YW37" s="337"/>
      <c r="YX37" s="337"/>
      <c r="YY37" s="337"/>
      <c r="YZ37" s="337"/>
      <c r="ZA37" s="337"/>
      <c r="ZB37" s="337"/>
      <c r="ZC37" s="337"/>
      <c r="ZD37" s="337"/>
      <c r="ZE37" s="337"/>
      <c r="ZF37" s="337"/>
      <c r="ZG37" s="337"/>
      <c r="ZH37" s="337"/>
      <c r="ZI37" s="337"/>
      <c r="ZJ37" s="337"/>
      <c r="ZK37" s="337"/>
      <c r="ZL37" s="337"/>
      <c r="ZM37" s="337"/>
      <c r="ZN37" s="337"/>
      <c r="ZO37" s="337"/>
      <c r="ZP37" s="337"/>
      <c r="ZQ37" s="337"/>
      <c r="ZR37" s="337"/>
      <c r="ZS37" s="337"/>
      <c r="ZT37" s="337"/>
      <c r="ZU37" s="337"/>
      <c r="ZV37" s="337"/>
      <c r="ZW37" s="337"/>
      <c r="ZX37" s="337"/>
      <c r="ZY37" s="337"/>
      <c r="ZZ37" s="337"/>
      <c r="AAA37" s="337"/>
      <c r="AAB37" s="337"/>
      <c r="AAC37" s="337"/>
      <c r="AAD37" s="337"/>
      <c r="AAE37" s="337"/>
      <c r="AAF37" s="337"/>
      <c r="AAG37" s="337"/>
      <c r="AAH37" s="337"/>
      <c r="AAI37" s="337"/>
      <c r="AAJ37" s="337"/>
      <c r="AAK37" s="337"/>
      <c r="AAL37" s="337"/>
      <c r="AAM37" s="337"/>
      <c r="AAN37" s="337"/>
      <c r="AAO37" s="337"/>
      <c r="AAP37" s="337"/>
      <c r="AAQ37" s="337"/>
      <c r="AAR37" s="337"/>
      <c r="AAS37" s="337"/>
      <c r="AAT37" s="337"/>
      <c r="AAU37" s="337"/>
      <c r="AAV37" s="337"/>
      <c r="AAW37" s="337"/>
      <c r="AAX37" s="337"/>
      <c r="AAY37" s="337"/>
      <c r="AAZ37" s="337"/>
      <c r="ABA37" s="337"/>
      <c r="ABB37" s="337"/>
      <c r="ABC37" s="337"/>
      <c r="ABD37" s="337"/>
      <c r="ABE37" s="337"/>
      <c r="ABF37" s="337"/>
      <c r="ABG37" s="337"/>
      <c r="ABH37" s="337"/>
      <c r="ABI37" s="337"/>
      <c r="ABJ37" s="337"/>
      <c r="ABK37" s="337"/>
      <c r="ABL37" s="337"/>
      <c r="ABM37" s="337"/>
      <c r="ABN37" s="337"/>
      <c r="ABO37" s="337"/>
      <c r="ABP37" s="337"/>
      <c r="ABQ37" s="337"/>
      <c r="ABR37" s="337"/>
      <c r="ABS37" s="337"/>
      <c r="ABT37" s="337"/>
      <c r="ABU37" s="337"/>
      <c r="ABV37" s="337"/>
      <c r="ABW37" s="337"/>
      <c r="ABX37" s="337"/>
      <c r="ABY37" s="337"/>
      <c r="ABZ37" s="337"/>
      <c r="ACA37" s="337"/>
      <c r="ACB37" s="337"/>
      <c r="ACC37" s="337"/>
      <c r="ACD37" s="337"/>
      <c r="ACE37" s="337"/>
      <c r="ACF37" s="337"/>
      <c r="ACG37" s="337"/>
      <c r="ACH37" s="337"/>
      <c r="ACI37" s="337"/>
      <c r="ACJ37" s="337"/>
      <c r="ACK37" s="337"/>
      <c r="ACL37" s="337"/>
      <c r="ACM37" s="337"/>
      <c r="ACN37" s="337"/>
      <c r="ACO37" s="337"/>
      <c r="ACP37" s="337"/>
      <c r="ACQ37" s="337"/>
      <c r="ACR37" s="337"/>
      <c r="ACS37" s="337"/>
      <c r="ACT37" s="337"/>
      <c r="ACU37" s="337"/>
      <c r="ACV37" s="337"/>
      <c r="ACW37" s="337"/>
      <c r="ACX37" s="337"/>
      <c r="ACY37" s="337"/>
      <c r="ACZ37" s="337"/>
      <c r="ADA37" s="337"/>
      <c r="ADB37" s="337"/>
      <c r="ADC37" s="337"/>
      <c r="ADD37" s="337"/>
      <c r="ADE37" s="337"/>
      <c r="ADF37" s="337"/>
      <c r="ADG37" s="337"/>
      <c r="ADH37" s="337"/>
      <c r="ADI37" s="337"/>
      <c r="ADJ37" s="337"/>
      <c r="ADK37" s="337"/>
      <c r="ADL37" s="337"/>
      <c r="ADM37" s="337"/>
      <c r="ADN37" s="337"/>
      <c r="ADO37" s="337"/>
      <c r="ADP37" s="337"/>
      <c r="ADQ37" s="337"/>
      <c r="ADR37" s="337"/>
      <c r="ADS37" s="337"/>
      <c r="ADT37" s="337"/>
      <c r="ADU37" s="337"/>
      <c r="ADV37" s="337"/>
      <c r="ADW37" s="337"/>
      <c r="ADX37" s="337"/>
      <c r="ADY37" s="337"/>
      <c r="ADZ37" s="337"/>
      <c r="AEA37" s="337"/>
      <c r="AEB37" s="337"/>
      <c r="AEC37" s="337"/>
      <c r="AED37" s="337"/>
      <c r="AEE37" s="337"/>
      <c r="AEF37" s="337"/>
      <c r="AEG37" s="337"/>
      <c r="AEH37" s="337"/>
      <c r="AEI37" s="337"/>
      <c r="AEJ37" s="337"/>
      <c r="AEK37" s="337"/>
      <c r="AEL37" s="337"/>
      <c r="AEM37" s="337"/>
      <c r="AEN37" s="337"/>
      <c r="AEO37" s="337"/>
      <c r="AEP37" s="337"/>
      <c r="AEQ37" s="337"/>
      <c r="AER37" s="337"/>
      <c r="AES37" s="337"/>
      <c r="AET37" s="337"/>
      <c r="AEU37" s="337"/>
      <c r="AEV37" s="337"/>
      <c r="AEW37" s="337"/>
      <c r="AEX37" s="337"/>
      <c r="AEY37" s="337"/>
      <c r="AEZ37" s="337"/>
      <c r="AFA37" s="337"/>
      <c r="AFB37" s="337"/>
      <c r="AFC37" s="337"/>
      <c r="AFD37" s="337"/>
      <c r="AFE37" s="337"/>
      <c r="AFF37" s="337"/>
      <c r="AFG37" s="337"/>
      <c r="AFH37" s="337"/>
      <c r="AFI37" s="337"/>
      <c r="AFJ37" s="337"/>
      <c r="AFK37" s="337"/>
      <c r="AFL37" s="337"/>
      <c r="AFM37" s="337"/>
      <c r="AFN37" s="337"/>
      <c r="AFO37" s="337"/>
      <c r="AFP37" s="337"/>
      <c r="AFQ37" s="337"/>
      <c r="AFR37" s="337"/>
      <c r="AFS37" s="337"/>
      <c r="AFT37" s="337"/>
      <c r="AFU37" s="337"/>
      <c r="AFV37" s="337"/>
      <c r="AFW37" s="337"/>
      <c r="AFX37" s="337"/>
      <c r="AFY37" s="337"/>
      <c r="AFZ37" s="337"/>
      <c r="AGA37" s="337"/>
      <c r="AGB37" s="337"/>
      <c r="AGC37" s="337"/>
      <c r="AGD37" s="337"/>
      <c r="AGE37" s="337"/>
      <c r="AGF37" s="337"/>
      <c r="AGG37" s="337"/>
      <c r="AGH37" s="337"/>
      <c r="AGI37" s="337"/>
      <c r="AGJ37" s="337"/>
      <c r="AGK37" s="337"/>
      <c r="AGL37" s="337"/>
      <c r="AGM37" s="337"/>
      <c r="AGN37" s="337"/>
      <c r="AGO37" s="337"/>
      <c r="AGP37" s="337"/>
      <c r="AGQ37" s="337"/>
      <c r="AGR37" s="337"/>
      <c r="AGS37" s="337"/>
      <c r="AGT37" s="337"/>
      <c r="AGU37" s="337"/>
      <c r="AGV37" s="337"/>
      <c r="AGW37" s="337"/>
      <c r="AGX37" s="337"/>
      <c r="AGY37" s="337"/>
      <c r="AGZ37" s="337"/>
    </row>
    <row r="38" ht="24" customHeight="1" spans="1:884">
      <c r="A38" s="349">
        <v>34</v>
      </c>
      <c r="B38" s="350"/>
      <c r="C38" s="351" t="s">
        <v>120</v>
      </c>
      <c r="D38" s="358"/>
      <c r="E38" s="358"/>
      <c r="F38" s="81">
        <v>13</v>
      </c>
      <c r="G38" s="356" t="s">
        <v>505</v>
      </c>
      <c r="H38" s="357" t="s">
        <v>506</v>
      </c>
      <c r="I38" s="100" t="s">
        <v>124</v>
      </c>
      <c r="J38" s="100"/>
      <c r="K38" s="100"/>
      <c r="L38" s="100" t="s">
        <v>124</v>
      </c>
      <c r="M38" s="100"/>
      <c r="N38" s="373" t="s">
        <v>507</v>
      </c>
      <c r="O38" s="374"/>
      <c r="P38" s="376"/>
      <c r="Q38" s="375" t="str">
        <f>CONCATENATE(RemovePunctuation(H38),"_CA","_","i5K","_",C38,"_",AD38,"_",PROPER(R38),IF(S38="",PROPER(R38),PROPER(S38)),PROPER(T38),PROPER(U38),PROPER(V38),IF(V38&lt;&gt;"","SUB",""),PROPER(W38),IF(W38&lt;&gt;"","SUB",""),"_","Ed","_","M4",".mpg")</f>
        <v>LudwigS01E06_CA_i5K_0825_169_EngEngZhoSUB_Ed_M4.mpg</v>
      </c>
      <c r="R38" s="382" t="s">
        <v>131</v>
      </c>
      <c r="S38" s="385"/>
      <c r="T38" s="384"/>
      <c r="U38" s="384"/>
      <c r="V38" s="382" t="s">
        <v>130</v>
      </c>
      <c r="W38" s="386"/>
      <c r="X38" s="349" t="s">
        <v>129</v>
      </c>
      <c r="Y38" s="349" t="s">
        <v>129</v>
      </c>
      <c r="Z38" s="120">
        <f t="shared" si="6"/>
        <v>57</v>
      </c>
      <c r="AA38" s="304" t="str">
        <f t="shared" si="7"/>
        <v>00:57:00</v>
      </c>
      <c r="AB38" s="120">
        <f t="shared" si="8"/>
        <v>3420</v>
      </c>
      <c r="AC38" s="399">
        <v>0.0397106481481481</v>
      </c>
      <c r="AD38" s="400">
        <v>169</v>
      </c>
      <c r="AE38" s="400">
        <v>43</v>
      </c>
      <c r="AF38" s="349" t="s">
        <v>132</v>
      </c>
      <c r="AP38" s="337"/>
      <c r="AQ38" s="337"/>
      <c r="AR38" s="337"/>
      <c r="AS38" s="337"/>
      <c r="AT38" s="337"/>
      <c r="AU38" s="337"/>
      <c r="AV38" s="337"/>
      <c r="AW38" s="337"/>
      <c r="AX38" s="337"/>
      <c r="AY38" s="337"/>
      <c r="AZ38" s="337"/>
      <c r="BA38" s="337"/>
      <c r="BB38" s="337"/>
      <c r="BC38" s="337"/>
      <c r="BD38" s="337"/>
      <c r="BE38" s="337"/>
      <c r="BF38" s="337"/>
      <c r="BG38" s="337"/>
      <c r="BH38" s="337"/>
      <c r="BI38" s="337"/>
      <c r="BJ38" s="337"/>
      <c r="BK38" s="337"/>
      <c r="BL38" s="337"/>
      <c r="BM38" s="337"/>
      <c r="BN38" s="337"/>
      <c r="BO38" s="337"/>
      <c r="BP38" s="337"/>
      <c r="BQ38" s="337"/>
      <c r="BR38" s="337"/>
      <c r="BS38" s="337"/>
      <c r="BT38" s="337"/>
      <c r="BU38" s="337"/>
      <c r="BV38" s="337"/>
      <c r="BW38" s="337"/>
      <c r="BX38" s="337"/>
      <c r="BY38" s="337"/>
      <c r="BZ38" s="337"/>
      <c r="CA38" s="337"/>
      <c r="CB38" s="337"/>
      <c r="CC38" s="337"/>
      <c r="CD38" s="337"/>
      <c r="CE38" s="337"/>
      <c r="CF38" s="337"/>
      <c r="CG38" s="337"/>
      <c r="CH38" s="337"/>
      <c r="CI38" s="337"/>
      <c r="CJ38" s="337"/>
      <c r="CK38" s="337"/>
      <c r="CL38" s="337"/>
      <c r="CM38" s="337"/>
      <c r="CN38" s="337"/>
      <c r="CO38" s="337"/>
      <c r="CP38" s="337"/>
      <c r="CQ38" s="337"/>
      <c r="CR38" s="337"/>
      <c r="CS38" s="337"/>
      <c r="CT38" s="337"/>
      <c r="CU38" s="337"/>
      <c r="CV38" s="337"/>
      <c r="CW38" s="337"/>
      <c r="CX38" s="337"/>
      <c r="CY38" s="337"/>
      <c r="CZ38" s="337"/>
      <c r="DA38" s="337"/>
      <c r="DB38" s="337"/>
      <c r="DC38" s="337"/>
      <c r="DD38" s="337"/>
      <c r="DE38" s="337"/>
      <c r="DF38" s="337"/>
      <c r="DG38" s="337"/>
      <c r="DH38" s="337"/>
      <c r="DI38" s="337"/>
      <c r="DJ38" s="337"/>
      <c r="DK38" s="337"/>
      <c r="DL38" s="337"/>
      <c r="DM38" s="337"/>
      <c r="DN38" s="337"/>
      <c r="DO38" s="337"/>
      <c r="DP38" s="337"/>
      <c r="DQ38" s="337"/>
      <c r="DR38" s="337"/>
      <c r="DS38" s="337"/>
      <c r="DT38" s="337"/>
      <c r="DU38" s="337"/>
      <c r="DV38" s="337"/>
      <c r="DW38" s="337"/>
      <c r="DX38" s="337"/>
      <c r="DY38" s="337"/>
      <c r="DZ38" s="337"/>
      <c r="EA38" s="337"/>
      <c r="EB38" s="337"/>
      <c r="EC38" s="337"/>
      <c r="ED38" s="337"/>
      <c r="EE38" s="337"/>
      <c r="EF38" s="337"/>
      <c r="EG38" s="337"/>
      <c r="EH38" s="337"/>
      <c r="EI38" s="337"/>
      <c r="EJ38" s="337"/>
      <c r="EK38" s="337"/>
      <c r="EL38" s="337"/>
      <c r="EM38" s="337"/>
      <c r="EN38" s="337"/>
      <c r="EO38" s="337"/>
      <c r="EP38" s="337"/>
      <c r="EQ38" s="337"/>
      <c r="ER38" s="337"/>
      <c r="ES38" s="337"/>
      <c r="ET38" s="337"/>
      <c r="EU38" s="337"/>
      <c r="EV38" s="337"/>
      <c r="EW38" s="337"/>
      <c r="EX38" s="337"/>
      <c r="EY38" s="337"/>
      <c r="EZ38" s="337"/>
      <c r="FA38" s="337"/>
      <c r="FB38" s="337"/>
      <c r="FC38" s="337"/>
      <c r="FD38" s="337"/>
      <c r="FE38" s="337"/>
      <c r="FF38" s="337"/>
      <c r="FG38" s="337"/>
      <c r="FH38" s="337"/>
      <c r="FI38" s="337"/>
      <c r="FJ38" s="337"/>
      <c r="FK38" s="337"/>
      <c r="FL38" s="337"/>
      <c r="FM38" s="337"/>
      <c r="FN38" s="337"/>
      <c r="FO38" s="337"/>
      <c r="FP38" s="337"/>
      <c r="FQ38" s="337"/>
      <c r="FR38" s="337"/>
      <c r="FS38" s="337"/>
      <c r="FT38" s="337"/>
      <c r="FU38" s="337"/>
      <c r="FV38" s="337"/>
      <c r="FW38" s="337"/>
      <c r="FX38" s="337"/>
      <c r="FY38" s="337"/>
      <c r="FZ38" s="337"/>
      <c r="GA38" s="337"/>
      <c r="GB38" s="337"/>
      <c r="GC38" s="337"/>
      <c r="GD38" s="337"/>
      <c r="GE38" s="337"/>
      <c r="GF38" s="337"/>
      <c r="GG38" s="337"/>
      <c r="GH38" s="337"/>
      <c r="GI38" s="337"/>
      <c r="GJ38" s="337"/>
      <c r="GK38" s="337"/>
      <c r="GL38" s="337"/>
      <c r="GM38" s="337"/>
      <c r="GN38" s="337"/>
      <c r="GO38" s="337"/>
      <c r="GP38" s="337"/>
      <c r="GQ38" s="337"/>
      <c r="GR38" s="337"/>
      <c r="GS38" s="337"/>
      <c r="GT38" s="337"/>
      <c r="GU38" s="337"/>
      <c r="GV38" s="337"/>
      <c r="GW38" s="337"/>
      <c r="GX38" s="337"/>
      <c r="GY38" s="337"/>
      <c r="GZ38" s="337"/>
      <c r="HA38" s="337"/>
      <c r="HB38" s="337"/>
      <c r="HC38" s="337"/>
      <c r="HD38" s="337"/>
      <c r="HE38" s="337"/>
      <c r="HF38" s="337"/>
      <c r="HG38" s="337"/>
      <c r="HH38" s="337"/>
      <c r="HI38" s="337"/>
      <c r="HJ38" s="337"/>
      <c r="HK38" s="337"/>
      <c r="HL38" s="337"/>
      <c r="HM38" s="337"/>
      <c r="HN38" s="337"/>
      <c r="HO38" s="337"/>
      <c r="HP38" s="337"/>
      <c r="HQ38" s="337"/>
      <c r="HR38" s="337"/>
      <c r="HS38" s="337"/>
      <c r="HT38" s="337"/>
      <c r="HU38" s="337"/>
      <c r="HV38" s="337"/>
      <c r="HW38" s="337"/>
      <c r="HX38" s="337"/>
      <c r="HY38" s="337"/>
      <c r="HZ38" s="337"/>
      <c r="IA38" s="337"/>
      <c r="IB38" s="337"/>
      <c r="IC38" s="337"/>
      <c r="ID38" s="337"/>
      <c r="IE38" s="337"/>
      <c r="IF38" s="337"/>
      <c r="IG38" s="337"/>
      <c r="IH38" s="337"/>
      <c r="II38" s="337"/>
      <c r="IJ38" s="337"/>
      <c r="IK38" s="337"/>
      <c r="IL38" s="337"/>
      <c r="IM38" s="337"/>
      <c r="IN38" s="337"/>
      <c r="IO38" s="337"/>
      <c r="IP38" s="337"/>
      <c r="IQ38" s="337"/>
      <c r="IR38" s="337"/>
      <c r="IS38" s="337"/>
      <c r="IT38" s="337"/>
      <c r="IU38" s="337"/>
      <c r="IV38" s="337"/>
      <c r="IW38" s="337"/>
      <c r="IX38" s="337"/>
      <c r="IY38" s="337"/>
      <c r="IZ38" s="337"/>
      <c r="JA38" s="337"/>
      <c r="JB38" s="337"/>
      <c r="JC38" s="337"/>
      <c r="JD38" s="337"/>
      <c r="JE38" s="337"/>
      <c r="JF38" s="337"/>
      <c r="JG38" s="337"/>
      <c r="JH38" s="337"/>
      <c r="JI38" s="337"/>
      <c r="JJ38" s="337"/>
      <c r="JK38" s="337"/>
      <c r="JL38" s="337"/>
      <c r="JM38" s="337"/>
      <c r="JN38" s="337"/>
      <c r="JO38" s="337"/>
      <c r="JP38" s="337"/>
      <c r="JQ38" s="337"/>
      <c r="JR38" s="337"/>
      <c r="JS38" s="337"/>
      <c r="JT38" s="337"/>
      <c r="JU38" s="337"/>
      <c r="JV38" s="337"/>
      <c r="JW38" s="337"/>
      <c r="JX38" s="337"/>
      <c r="JY38" s="337"/>
      <c r="JZ38" s="337"/>
      <c r="KA38" s="337"/>
      <c r="KB38" s="337"/>
      <c r="KC38" s="337"/>
      <c r="KD38" s="337"/>
      <c r="KE38" s="337"/>
      <c r="KF38" s="337"/>
      <c r="KG38" s="337"/>
      <c r="KH38" s="337"/>
      <c r="KI38" s="337"/>
      <c r="KJ38" s="337"/>
      <c r="KK38" s="337"/>
      <c r="KL38" s="337"/>
      <c r="KM38" s="337"/>
      <c r="KN38" s="337"/>
      <c r="KO38" s="337"/>
      <c r="KP38" s="337"/>
      <c r="KQ38" s="337"/>
      <c r="KR38" s="337"/>
      <c r="KS38" s="337"/>
      <c r="KT38" s="337"/>
      <c r="KU38" s="337"/>
      <c r="KV38" s="337"/>
      <c r="KW38" s="337"/>
      <c r="KX38" s="337"/>
      <c r="KY38" s="337"/>
      <c r="KZ38" s="337"/>
      <c r="LA38" s="337"/>
      <c r="LB38" s="337"/>
      <c r="LC38" s="337"/>
      <c r="LD38" s="337"/>
      <c r="LE38" s="337"/>
      <c r="LF38" s="337"/>
      <c r="LG38" s="337"/>
      <c r="LH38" s="337"/>
      <c r="LI38" s="337"/>
      <c r="LJ38" s="337"/>
      <c r="LK38" s="337"/>
      <c r="LL38" s="337"/>
      <c r="LM38" s="337"/>
      <c r="LN38" s="337"/>
      <c r="LO38" s="337"/>
      <c r="LP38" s="337"/>
      <c r="LQ38" s="337"/>
      <c r="LR38" s="337"/>
      <c r="LS38" s="337"/>
      <c r="LT38" s="337"/>
      <c r="LU38" s="337"/>
      <c r="LV38" s="337"/>
      <c r="LW38" s="337"/>
      <c r="LX38" s="337"/>
      <c r="LY38" s="337"/>
      <c r="LZ38" s="337"/>
      <c r="MA38" s="337"/>
      <c r="MB38" s="337"/>
      <c r="MC38" s="337"/>
      <c r="MD38" s="337"/>
      <c r="ME38" s="337"/>
      <c r="MF38" s="337"/>
      <c r="MG38" s="337"/>
      <c r="MH38" s="337"/>
      <c r="MI38" s="337"/>
      <c r="MJ38" s="337"/>
      <c r="MK38" s="337"/>
      <c r="ML38" s="337"/>
      <c r="MM38" s="337"/>
      <c r="MN38" s="337"/>
      <c r="MO38" s="337"/>
      <c r="MP38" s="337"/>
      <c r="MQ38" s="337"/>
      <c r="MR38" s="337"/>
      <c r="MS38" s="337"/>
      <c r="MT38" s="337"/>
      <c r="MU38" s="337"/>
      <c r="MV38" s="337"/>
      <c r="MW38" s="337"/>
      <c r="MX38" s="337"/>
      <c r="MY38" s="337"/>
      <c r="MZ38" s="337"/>
      <c r="NA38" s="337"/>
      <c r="NB38" s="337"/>
      <c r="NC38" s="337"/>
      <c r="ND38" s="337"/>
      <c r="NE38" s="337"/>
      <c r="NF38" s="337"/>
      <c r="NG38" s="337"/>
      <c r="NH38" s="337"/>
      <c r="NI38" s="337"/>
      <c r="NJ38" s="337"/>
      <c r="NK38" s="337"/>
      <c r="NL38" s="337"/>
      <c r="NM38" s="337"/>
      <c r="NN38" s="337"/>
      <c r="NO38" s="337"/>
      <c r="NP38" s="337"/>
      <c r="NQ38" s="337"/>
      <c r="NR38" s="337"/>
      <c r="NS38" s="337"/>
      <c r="NT38" s="337"/>
      <c r="NU38" s="337"/>
      <c r="NV38" s="337"/>
      <c r="NW38" s="337"/>
      <c r="NX38" s="337"/>
      <c r="NY38" s="337"/>
      <c r="NZ38" s="337"/>
      <c r="OA38" s="337"/>
      <c r="OB38" s="337"/>
      <c r="OC38" s="337"/>
      <c r="OD38" s="337"/>
      <c r="OE38" s="337"/>
      <c r="OF38" s="337"/>
      <c r="OG38" s="337"/>
      <c r="OH38" s="337"/>
      <c r="OI38" s="337"/>
      <c r="OJ38" s="337"/>
      <c r="OK38" s="337"/>
      <c r="OL38" s="337"/>
      <c r="OM38" s="337"/>
      <c r="ON38" s="337"/>
      <c r="OO38" s="337"/>
      <c r="OP38" s="337"/>
      <c r="OQ38" s="337"/>
      <c r="OR38" s="337"/>
      <c r="OS38" s="337"/>
      <c r="OT38" s="337"/>
      <c r="OU38" s="337"/>
      <c r="OV38" s="337"/>
      <c r="OW38" s="337"/>
      <c r="OX38" s="337"/>
      <c r="OY38" s="337"/>
      <c r="OZ38" s="337"/>
      <c r="PA38" s="337"/>
      <c r="PB38" s="337"/>
      <c r="PC38" s="337"/>
      <c r="PD38" s="337"/>
      <c r="PE38" s="337"/>
      <c r="PF38" s="337"/>
      <c r="PG38" s="337"/>
      <c r="PH38" s="337"/>
      <c r="PI38" s="337"/>
      <c r="PJ38" s="337"/>
      <c r="PK38" s="337"/>
      <c r="PL38" s="337"/>
      <c r="PM38" s="337"/>
      <c r="PN38" s="337"/>
      <c r="PO38" s="337"/>
      <c r="PP38" s="337"/>
      <c r="PQ38" s="337"/>
      <c r="PR38" s="337"/>
      <c r="PS38" s="337"/>
      <c r="PT38" s="337"/>
      <c r="PU38" s="337"/>
      <c r="PV38" s="337"/>
      <c r="PW38" s="337"/>
      <c r="PX38" s="337"/>
      <c r="PY38" s="337"/>
      <c r="PZ38" s="337"/>
      <c r="QA38" s="337"/>
      <c r="QB38" s="337"/>
      <c r="QC38" s="337"/>
      <c r="QD38" s="337"/>
      <c r="QE38" s="337"/>
      <c r="QF38" s="337"/>
      <c r="QG38" s="337"/>
      <c r="QH38" s="337"/>
      <c r="QI38" s="337"/>
      <c r="QJ38" s="337"/>
      <c r="QK38" s="337"/>
      <c r="QL38" s="337"/>
      <c r="QM38" s="337"/>
      <c r="QN38" s="337"/>
      <c r="QO38" s="337"/>
      <c r="QP38" s="337"/>
      <c r="QQ38" s="337"/>
      <c r="QR38" s="337"/>
      <c r="QS38" s="337"/>
      <c r="QT38" s="337"/>
      <c r="QU38" s="337"/>
      <c r="QV38" s="337"/>
      <c r="QW38" s="337"/>
      <c r="QX38" s="337"/>
      <c r="QY38" s="337"/>
      <c r="QZ38" s="337"/>
      <c r="RA38" s="337"/>
      <c r="RB38" s="337"/>
      <c r="RC38" s="337"/>
      <c r="RD38" s="337"/>
      <c r="RE38" s="337"/>
      <c r="RF38" s="337"/>
      <c r="RG38" s="337"/>
      <c r="RH38" s="337"/>
      <c r="RI38" s="337"/>
      <c r="RJ38" s="337"/>
      <c r="RK38" s="337"/>
      <c r="RL38" s="337"/>
      <c r="RM38" s="337"/>
      <c r="RN38" s="337"/>
      <c r="RO38" s="337"/>
      <c r="RP38" s="337"/>
      <c r="RQ38" s="337"/>
      <c r="RR38" s="337"/>
      <c r="RS38" s="337"/>
      <c r="RT38" s="337"/>
      <c r="RU38" s="337"/>
      <c r="RV38" s="337"/>
      <c r="RW38" s="337"/>
      <c r="RX38" s="337"/>
      <c r="RY38" s="337"/>
      <c r="RZ38" s="337"/>
      <c r="SA38" s="337"/>
      <c r="SB38" s="337"/>
      <c r="SC38" s="337"/>
      <c r="SD38" s="337"/>
      <c r="SE38" s="337"/>
      <c r="SF38" s="337"/>
      <c r="SG38" s="337"/>
      <c r="SH38" s="337"/>
      <c r="SI38" s="337"/>
      <c r="SJ38" s="337"/>
      <c r="SK38" s="337"/>
      <c r="SL38" s="337"/>
      <c r="SM38" s="337"/>
      <c r="SN38" s="337"/>
      <c r="SO38" s="337"/>
      <c r="SP38" s="337"/>
      <c r="SQ38" s="337"/>
      <c r="SR38" s="337"/>
      <c r="SS38" s="337"/>
      <c r="ST38" s="337"/>
      <c r="SU38" s="337"/>
      <c r="SV38" s="337"/>
      <c r="SW38" s="337"/>
      <c r="SX38" s="337"/>
      <c r="SY38" s="337"/>
      <c r="SZ38" s="337"/>
      <c r="TA38" s="337"/>
      <c r="TB38" s="337"/>
      <c r="TC38" s="337"/>
      <c r="TD38" s="337"/>
      <c r="TE38" s="337"/>
      <c r="TF38" s="337"/>
      <c r="TG38" s="337"/>
      <c r="TH38" s="337"/>
      <c r="TI38" s="337"/>
      <c r="TJ38" s="337"/>
      <c r="TK38" s="337"/>
      <c r="TL38" s="337"/>
      <c r="TM38" s="337"/>
      <c r="TN38" s="337"/>
      <c r="TO38" s="337"/>
      <c r="TP38" s="337"/>
      <c r="TQ38" s="337"/>
      <c r="TR38" s="337"/>
      <c r="TS38" s="337"/>
      <c r="TT38" s="337"/>
      <c r="TU38" s="337"/>
      <c r="TV38" s="337"/>
      <c r="TW38" s="337"/>
      <c r="TX38" s="337"/>
      <c r="TY38" s="337"/>
      <c r="TZ38" s="337"/>
      <c r="UA38" s="337"/>
      <c r="UB38" s="337"/>
      <c r="UC38" s="337"/>
      <c r="UD38" s="337"/>
      <c r="UE38" s="337"/>
      <c r="UF38" s="337"/>
      <c r="UG38" s="337"/>
      <c r="UH38" s="337"/>
      <c r="UI38" s="337"/>
      <c r="UJ38" s="337"/>
      <c r="UK38" s="337"/>
      <c r="UL38" s="337"/>
      <c r="UM38" s="337"/>
      <c r="UN38" s="337"/>
      <c r="UO38" s="337"/>
      <c r="UP38" s="337"/>
      <c r="UQ38" s="337"/>
      <c r="UR38" s="337"/>
      <c r="US38" s="337"/>
      <c r="UT38" s="337"/>
      <c r="UU38" s="337"/>
      <c r="UV38" s="337"/>
      <c r="UW38" s="337"/>
      <c r="UX38" s="337"/>
      <c r="UY38" s="337"/>
      <c r="UZ38" s="337"/>
      <c r="VA38" s="337"/>
      <c r="VB38" s="337"/>
      <c r="VC38" s="337"/>
      <c r="VD38" s="337"/>
      <c r="VE38" s="337"/>
      <c r="VF38" s="337"/>
      <c r="VG38" s="337"/>
      <c r="VH38" s="337"/>
      <c r="VI38" s="337"/>
      <c r="VJ38" s="337"/>
      <c r="VK38" s="337"/>
      <c r="VL38" s="337"/>
      <c r="VM38" s="337"/>
      <c r="VN38" s="337"/>
      <c r="VO38" s="337"/>
      <c r="VP38" s="337"/>
      <c r="VQ38" s="337"/>
      <c r="VR38" s="337"/>
      <c r="VS38" s="337"/>
      <c r="VT38" s="337"/>
      <c r="VU38" s="337"/>
      <c r="VV38" s="337"/>
      <c r="VW38" s="337"/>
      <c r="VX38" s="337"/>
      <c r="VY38" s="337"/>
      <c r="VZ38" s="337"/>
      <c r="WA38" s="337"/>
      <c r="WB38" s="337"/>
      <c r="WC38" s="337"/>
      <c r="WD38" s="337"/>
      <c r="WE38" s="337"/>
      <c r="WF38" s="337"/>
      <c r="WG38" s="337"/>
      <c r="WH38" s="337"/>
      <c r="WI38" s="337"/>
      <c r="WJ38" s="337"/>
      <c r="WK38" s="337"/>
      <c r="WL38" s="337"/>
      <c r="WM38" s="337"/>
      <c r="WN38" s="337"/>
      <c r="WO38" s="337"/>
      <c r="WP38" s="337"/>
      <c r="WQ38" s="337"/>
      <c r="WR38" s="337"/>
      <c r="WS38" s="337"/>
      <c r="WT38" s="337"/>
      <c r="WU38" s="337"/>
      <c r="WV38" s="337"/>
      <c r="WW38" s="337"/>
      <c r="WX38" s="337"/>
      <c r="WY38" s="337"/>
      <c r="WZ38" s="337"/>
      <c r="XA38" s="337"/>
      <c r="XB38" s="337"/>
      <c r="XC38" s="337"/>
      <c r="XD38" s="337"/>
      <c r="XE38" s="337"/>
      <c r="XF38" s="337"/>
      <c r="XG38" s="337"/>
      <c r="XH38" s="337"/>
      <c r="XI38" s="337"/>
      <c r="XJ38" s="337"/>
      <c r="XK38" s="337"/>
      <c r="XL38" s="337"/>
      <c r="XM38" s="337"/>
      <c r="XN38" s="337"/>
      <c r="XO38" s="337"/>
      <c r="XP38" s="337"/>
      <c r="XQ38" s="337"/>
      <c r="XR38" s="337"/>
      <c r="XS38" s="337"/>
      <c r="XT38" s="337"/>
      <c r="XU38" s="337"/>
      <c r="XV38" s="337"/>
      <c r="XW38" s="337"/>
      <c r="XX38" s="337"/>
      <c r="XY38" s="337"/>
      <c r="XZ38" s="337"/>
      <c r="YA38" s="337"/>
      <c r="YB38" s="337"/>
      <c r="YC38" s="337"/>
      <c r="YD38" s="337"/>
      <c r="YE38" s="337"/>
      <c r="YF38" s="337"/>
      <c r="YG38" s="337"/>
      <c r="YH38" s="337"/>
      <c r="YI38" s="337"/>
      <c r="YJ38" s="337"/>
      <c r="YK38" s="337"/>
      <c r="YL38" s="337"/>
      <c r="YM38" s="337"/>
      <c r="YN38" s="337"/>
      <c r="YO38" s="337"/>
      <c r="YP38" s="337"/>
      <c r="YQ38" s="337"/>
      <c r="YR38" s="337"/>
      <c r="YS38" s="337"/>
      <c r="YT38" s="337"/>
      <c r="YU38" s="337"/>
      <c r="YV38" s="337"/>
      <c r="YW38" s="337"/>
      <c r="YX38" s="337"/>
      <c r="YY38" s="337"/>
      <c r="YZ38" s="337"/>
      <c r="ZA38" s="337"/>
      <c r="ZB38" s="337"/>
      <c r="ZC38" s="337"/>
      <c r="ZD38" s="337"/>
      <c r="ZE38" s="337"/>
      <c r="ZF38" s="337"/>
      <c r="ZG38" s="337"/>
      <c r="ZH38" s="337"/>
      <c r="ZI38" s="337"/>
      <c r="ZJ38" s="337"/>
      <c r="ZK38" s="337"/>
      <c r="ZL38" s="337"/>
      <c r="ZM38" s="337"/>
      <c r="ZN38" s="337"/>
      <c r="ZO38" s="337"/>
      <c r="ZP38" s="337"/>
      <c r="ZQ38" s="337"/>
      <c r="ZR38" s="337"/>
      <c r="ZS38" s="337"/>
      <c r="ZT38" s="337"/>
      <c r="ZU38" s="337"/>
      <c r="ZV38" s="337"/>
      <c r="ZW38" s="337"/>
      <c r="ZX38" s="337"/>
      <c r="ZY38" s="337"/>
      <c r="ZZ38" s="337"/>
      <c r="AAA38" s="337"/>
      <c r="AAB38" s="337"/>
      <c r="AAC38" s="337"/>
      <c r="AAD38" s="337"/>
      <c r="AAE38" s="337"/>
      <c r="AAF38" s="337"/>
      <c r="AAG38" s="337"/>
      <c r="AAH38" s="337"/>
      <c r="AAI38" s="337"/>
      <c r="AAJ38" s="337"/>
      <c r="AAK38" s="337"/>
      <c r="AAL38" s="337"/>
      <c r="AAM38" s="337"/>
      <c r="AAN38" s="337"/>
      <c r="AAO38" s="337"/>
      <c r="AAP38" s="337"/>
      <c r="AAQ38" s="337"/>
      <c r="AAR38" s="337"/>
      <c r="AAS38" s="337"/>
      <c r="AAT38" s="337"/>
      <c r="AAU38" s="337"/>
      <c r="AAV38" s="337"/>
      <c r="AAW38" s="337"/>
      <c r="AAX38" s="337"/>
      <c r="AAY38" s="337"/>
      <c r="AAZ38" s="337"/>
      <c r="ABA38" s="337"/>
      <c r="ABB38" s="337"/>
      <c r="ABC38" s="337"/>
      <c r="ABD38" s="337"/>
      <c r="ABE38" s="337"/>
      <c r="ABF38" s="337"/>
      <c r="ABG38" s="337"/>
      <c r="ABH38" s="337"/>
      <c r="ABI38" s="337"/>
      <c r="ABJ38" s="337"/>
      <c r="ABK38" s="337"/>
      <c r="ABL38" s="337"/>
      <c r="ABM38" s="337"/>
      <c r="ABN38" s="337"/>
      <c r="ABO38" s="337"/>
      <c r="ABP38" s="337"/>
      <c r="ABQ38" s="337"/>
      <c r="ABR38" s="337"/>
      <c r="ABS38" s="337"/>
      <c r="ABT38" s="337"/>
      <c r="ABU38" s="337"/>
      <c r="ABV38" s="337"/>
      <c r="ABW38" s="337"/>
      <c r="ABX38" s="337"/>
      <c r="ABY38" s="337"/>
      <c r="ABZ38" s="337"/>
      <c r="ACA38" s="337"/>
      <c r="ACB38" s="337"/>
      <c r="ACC38" s="337"/>
      <c r="ACD38" s="337"/>
      <c r="ACE38" s="337"/>
      <c r="ACF38" s="337"/>
      <c r="ACG38" s="337"/>
      <c r="ACH38" s="337"/>
      <c r="ACI38" s="337"/>
      <c r="ACJ38" s="337"/>
      <c r="ACK38" s="337"/>
      <c r="ACL38" s="337"/>
      <c r="ACM38" s="337"/>
      <c r="ACN38" s="337"/>
      <c r="ACO38" s="337"/>
      <c r="ACP38" s="337"/>
      <c r="ACQ38" s="337"/>
      <c r="ACR38" s="337"/>
      <c r="ACS38" s="337"/>
      <c r="ACT38" s="337"/>
      <c r="ACU38" s="337"/>
      <c r="ACV38" s="337"/>
      <c r="ACW38" s="337"/>
      <c r="ACX38" s="337"/>
      <c r="ACY38" s="337"/>
      <c r="ACZ38" s="337"/>
      <c r="ADA38" s="337"/>
      <c r="ADB38" s="337"/>
      <c r="ADC38" s="337"/>
      <c r="ADD38" s="337"/>
      <c r="ADE38" s="337"/>
      <c r="ADF38" s="337"/>
      <c r="ADG38" s="337"/>
      <c r="ADH38" s="337"/>
      <c r="ADI38" s="337"/>
      <c r="ADJ38" s="337"/>
      <c r="ADK38" s="337"/>
      <c r="ADL38" s="337"/>
      <c r="ADM38" s="337"/>
      <c r="ADN38" s="337"/>
      <c r="ADO38" s="337"/>
      <c r="ADP38" s="337"/>
      <c r="ADQ38" s="337"/>
      <c r="ADR38" s="337"/>
      <c r="ADS38" s="337"/>
      <c r="ADT38" s="337"/>
      <c r="ADU38" s="337"/>
      <c r="ADV38" s="337"/>
      <c r="ADW38" s="337"/>
      <c r="ADX38" s="337"/>
      <c r="ADY38" s="337"/>
      <c r="ADZ38" s="337"/>
      <c r="AEA38" s="337"/>
      <c r="AEB38" s="337"/>
      <c r="AEC38" s="337"/>
      <c r="AED38" s="337"/>
      <c r="AEE38" s="337"/>
      <c r="AEF38" s="337"/>
      <c r="AEG38" s="337"/>
      <c r="AEH38" s="337"/>
      <c r="AEI38" s="337"/>
      <c r="AEJ38" s="337"/>
      <c r="AEK38" s="337"/>
      <c r="AEL38" s="337"/>
      <c r="AEM38" s="337"/>
      <c r="AEN38" s="337"/>
      <c r="AEO38" s="337"/>
      <c r="AEP38" s="337"/>
      <c r="AEQ38" s="337"/>
      <c r="AER38" s="337"/>
      <c r="AES38" s="337"/>
      <c r="AET38" s="337"/>
      <c r="AEU38" s="337"/>
      <c r="AEV38" s="337"/>
      <c r="AEW38" s="337"/>
      <c r="AEX38" s="337"/>
      <c r="AEY38" s="337"/>
      <c r="AEZ38" s="337"/>
      <c r="AFA38" s="337"/>
      <c r="AFB38" s="337"/>
      <c r="AFC38" s="337"/>
      <c r="AFD38" s="337"/>
      <c r="AFE38" s="337"/>
      <c r="AFF38" s="337"/>
      <c r="AFG38" s="337"/>
      <c r="AFH38" s="337"/>
      <c r="AFI38" s="337"/>
      <c r="AFJ38" s="337"/>
      <c r="AFK38" s="337"/>
      <c r="AFL38" s="337"/>
      <c r="AFM38" s="337"/>
      <c r="AFN38" s="337"/>
      <c r="AFO38" s="337"/>
      <c r="AFP38" s="337"/>
      <c r="AFQ38" s="337"/>
      <c r="AFR38" s="337"/>
      <c r="AFS38" s="337"/>
      <c r="AFT38" s="337"/>
      <c r="AFU38" s="337"/>
      <c r="AFV38" s="337"/>
      <c r="AFW38" s="337"/>
      <c r="AFX38" s="337"/>
      <c r="AFY38" s="337"/>
      <c r="AFZ38" s="337"/>
      <c r="AGA38" s="337"/>
      <c r="AGB38" s="337"/>
      <c r="AGC38" s="337"/>
      <c r="AGD38" s="337"/>
      <c r="AGE38" s="337"/>
      <c r="AGF38" s="337"/>
      <c r="AGG38" s="337"/>
      <c r="AGH38" s="337"/>
      <c r="AGI38" s="337"/>
      <c r="AGJ38" s="337"/>
      <c r="AGK38" s="337"/>
      <c r="AGL38" s="337"/>
      <c r="AGM38" s="337"/>
      <c r="AGN38" s="337"/>
      <c r="AGO38" s="337"/>
      <c r="AGP38" s="337"/>
      <c r="AGQ38" s="337"/>
      <c r="AGR38" s="337"/>
      <c r="AGS38" s="337"/>
      <c r="AGT38" s="337"/>
      <c r="AGU38" s="337"/>
      <c r="AGV38" s="337"/>
      <c r="AGW38" s="337"/>
      <c r="AGX38" s="337"/>
      <c r="AGY38" s="337"/>
      <c r="AGZ38" s="337"/>
    </row>
    <row r="39" ht="24" customHeight="1" spans="1:884">
      <c r="A39" s="349">
        <v>35</v>
      </c>
      <c r="B39" s="350"/>
      <c r="C39" s="351" t="s">
        <v>120</v>
      </c>
      <c r="D39" s="358"/>
      <c r="E39" s="358"/>
      <c r="F39" s="81">
        <v>14</v>
      </c>
      <c r="G39" s="356" t="s">
        <v>508</v>
      </c>
      <c r="H39" s="357" t="s">
        <v>509</v>
      </c>
      <c r="I39" s="100" t="s">
        <v>124</v>
      </c>
      <c r="J39" s="100"/>
      <c r="K39" s="100"/>
      <c r="L39" s="100" t="s">
        <v>124</v>
      </c>
      <c r="M39" s="100"/>
      <c r="N39" s="373" t="s">
        <v>510</v>
      </c>
      <c r="O39" s="374"/>
      <c r="P39" s="376"/>
      <c r="Q39" s="375" t="str">
        <f>CONCATENATE(RemovePunctuation(H39),"_CA","_","i5K","_",C39,"_",AD39,"_",PROPER(R39),IF(S39="",PROPER(R39),PROPER(S39)),PROPER(T39),PROPER(U39),PROPER(V39),IF(V39&lt;&gt;"","SUB",""),PROPER(W39),IF(W39&lt;&gt;"","SUB",""),"_","Ed","_","M4",".mpg")</f>
        <v>LudwigS01E05_CA_i5K_0825_169_EngEngZhoSUB_Ed_M4.mpg</v>
      </c>
      <c r="R39" s="382" t="s">
        <v>131</v>
      </c>
      <c r="S39" s="385"/>
      <c r="T39" s="384"/>
      <c r="U39" s="384"/>
      <c r="V39" s="382" t="s">
        <v>130</v>
      </c>
      <c r="W39" s="386"/>
      <c r="X39" s="349" t="s">
        <v>129</v>
      </c>
      <c r="Y39" s="349" t="s">
        <v>129</v>
      </c>
      <c r="Z39" s="120">
        <f t="shared" si="6"/>
        <v>56</v>
      </c>
      <c r="AA39" s="304" t="str">
        <f t="shared" si="7"/>
        <v>00:56:00</v>
      </c>
      <c r="AB39" s="120">
        <f t="shared" si="8"/>
        <v>3360</v>
      </c>
      <c r="AC39" s="399">
        <v>0.0390509259259259</v>
      </c>
      <c r="AD39" s="400">
        <v>169</v>
      </c>
      <c r="AE39" s="400">
        <v>43</v>
      </c>
      <c r="AF39" s="349" t="s">
        <v>132</v>
      </c>
      <c r="AP39" s="337"/>
      <c r="AQ39" s="337"/>
      <c r="AR39" s="337"/>
      <c r="AS39" s="337"/>
      <c r="AT39" s="337"/>
      <c r="AU39" s="337"/>
      <c r="AV39" s="337"/>
      <c r="AW39" s="337"/>
      <c r="AX39" s="337"/>
      <c r="AY39" s="337"/>
      <c r="AZ39" s="337"/>
      <c r="BA39" s="337"/>
      <c r="BB39" s="337"/>
      <c r="BC39" s="337"/>
      <c r="BD39" s="337"/>
      <c r="BE39" s="337"/>
      <c r="BF39" s="337"/>
      <c r="BG39" s="337"/>
      <c r="BH39" s="337"/>
      <c r="BI39" s="337"/>
      <c r="BJ39" s="337"/>
      <c r="BK39" s="337"/>
      <c r="BL39" s="337"/>
      <c r="BM39" s="337"/>
      <c r="BN39" s="337"/>
      <c r="BO39" s="337"/>
      <c r="BP39" s="337"/>
      <c r="BQ39" s="337"/>
      <c r="BR39" s="337"/>
      <c r="BS39" s="337"/>
      <c r="BT39" s="337"/>
      <c r="BU39" s="337"/>
      <c r="BV39" s="337"/>
      <c r="BW39" s="337"/>
      <c r="BX39" s="337"/>
      <c r="BY39" s="337"/>
      <c r="BZ39" s="337"/>
      <c r="CA39" s="337"/>
      <c r="CB39" s="337"/>
      <c r="CC39" s="337"/>
      <c r="CD39" s="337"/>
      <c r="CE39" s="337"/>
      <c r="CF39" s="337"/>
      <c r="CG39" s="337"/>
      <c r="CH39" s="337"/>
      <c r="CI39" s="337"/>
      <c r="CJ39" s="337"/>
      <c r="CK39" s="337"/>
      <c r="CL39" s="337"/>
      <c r="CM39" s="337"/>
      <c r="CN39" s="337"/>
      <c r="CO39" s="337"/>
      <c r="CP39" s="337"/>
      <c r="CQ39" s="337"/>
      <c r="CR39" s="337"/>
      <c r="CS39" s="337"/>
      <c r="CT39" s="337"/>
      <c r="CU39" s="337"/>
      <c r="CV39" s="337"/>
      <c r="CW39" s="337"/>
      <c r="CX39" s="337"/>
      <c r="CY39" s="337"/>
      <c r="CZ39" s="337"/>
      <c r="DA39" s="337"/>
      <c r="DB39" s="337"/>
      <c r="DC39" s="337"/>
      <c r="DD39" s="337"/>
      <c r="DE39" s="337"/>
      <c r="DF39" s="337"/>
      <c r="DG39" s="337"/>
      <c r="DH39" s="337"/>
      <c r="DI39" s="337"/>
      <c r="DJ39" s="337"/>
      <c r="DK39" s="337"/>
      <c r="DL39" s="337"/>
      <c r="DM39" s="337"/>
      <c r="DN39" s="337"/>
      <c r="DO39" s="337"/>
      <c r="DP39" s="337"/>
      <c r="DQ39" s="337"/>
      <c r="DR39" s="337"/>
      <c r="DS39" s="337"/>
      <c r="DT39" s="337"/>
      <c r="DU39" s="337"/>
      <c r="DV39" s="337"/>
      <c r="DW39" s="337"/>
      <c r="DX39" s="337"/>
      <c r="DY39" s="337"/>
      <c r="DZ39" s="337"/>
      <c r="EA39" s="337"/>
      <c r="EB39" s="337"/>
      <c r="EC39" s="337"/>
      <c r="ED39" s="337"/>
      <c r="EE39" s="337"/>
      <c r="EF39" s="337"/>
      <c r="EG39" s="337"/>
      <c r="EH39" s="337"/>
      <c r="EI39" s="337"/>
      <c r="EJ39" s="337"/>
      <c r="EK39" s="337"/>
      <c r="EL39" s="337"/>
      <c r="EM39" s="337"/>
      <c r="EN39" s="337"/>
      <c r="EO39" s="337"/>
      <c r="EP39" s="337"/>
      <c r="EQ39" s="337"/>
      <c r="ER39" s="337"/>
      <c r="ES39" s="337"/>
      <c r="ET39" s="337"/>
      <c r="EU39" s="337"/>
      <c r="EV39" s="337"/>
      <c r="EW39" s="337"/>
      <c r="EX39" s="337"/>
      <c r="EY39" s="337"/>
      <c r="EZ39" s="337"/>
      <c r="FA39" s="337"/>
      <c r="FB39" s="337"/>
      <c r="FC39" s="337"/>
      <c r="FD39" s="337"/>
      <c r="FE39" s="337"/>
      <c r="FF39" s="337"/>
      <c r="FG39" s="337"/>
      <c r="FH39" s="337"/>
      <c r="FI39" s="337"/>
      <c r="FJ39" s="337"/>
      <c r="FK39" s="337"/>
      <c r="FL39" s="337"/>
      <c r="FM39" s="337"/>
      <c r="FN39" s="337"/>
      <c r="FO39" s="337"/>
      <c r="FP39" s="337"/>
      <c r="FQ39" s="337"/>
      <c r="FR39" s="337"/>
      <c r="FS39" s="337"/>
      <c r="FT39" s="337"/>
      <c r="FU39" s="337"/>
      <c r="FV39" s="337"/>
      <c r="FW39" s="337"/>
      <c r="FX39" s="337"/>
      <c r="FY39" s="337"/>
      <c r="FZ39" s="337"/>
      <c r="GA39" s="337"/>
      <c r="GB39" s="337"/>
      <c r="GC39" s="337"/>
      <c r="GD39" s="337"/>
      <c r="GE39" s="337"/>
      <c r="GF39" s="337"/>
      <c r="GG39" s="337"/>
      <c r="GH39" s="337"/>
      <c r="GI39" s="337"/>
      <c r="GJ39" s="337"/>
      <c r="GK39" s="337"/>
      <c r="GL39" s="337"/>
      <c r="GM39" s="337"/>
      <c r="GN39" s="337"/>
      <c r="GO39" s="337"/>
      <c r="GP39" s="337"/>
      <c r="GQ39" s="337"/>
      <c r="GR39" s="337"/>
      <c r="GS39" s="337"/>
      <c r="GT39" s="337"/>
      <c r="GU39" s="337"/>
      <c r="GV39" s="337"/>
      <c r="GW39" s="337"/>
      <c r="GX39" s="337"/>
      <c r="GY39" s="337"/>
      <c r="GZ39" s="337"/>
      <c r="HA39" s="337"/>
      <c r="HB39" s="337"/>
      <c r="HC39" s="337"/>
      <c r="HD39" s="337"/>
      <c r="HE39" s="337"/>
      <c r="HF39" s="337"/>
      <c r="HG39" s="337"/>
      <c r="HH39" s="337"/>
      <c r="HI39" s="337"/>
      <c r="HJ39" s="337"/>
      <c r="HK39" s="337"/>
      <c r="HL39" s="337"/>
      <c r="HM39" s="337"/>
      <c r="HN39" s="337"/>
      <c r="HO39" s="337"/>
      <c r="HP39" s="337"/>
      <c r="HQ39" s="337"/>
      <c r="HR39" s="337"/>
      <c r="HS39" s="337"/>
      <c r="HT39" s="337"/>
      <c r="HU39" s="337"/>
      <c r="HV39" s="337"/>
      <c r="HW39" s="337"/>
      <c r="HX39" s="337"/>
      <c r="HY39" s="337"/>
      <c r="HZ39" s="337"/>
      <c r="IA39" s="337"/>
      <c r="IB39" s="337"/>
      <c r="IC39" s="337"/>
      <c r="ID39" s="337"/>
      <c r="IE39" s="337"/>
      <c r="IF39" s="337"/>
      <c r="IG39" s="337"/>
      <c r="IH39" s="337"/>
      <c r="II39" s="337"/>
      <c r="IJ39" s="337"/>
      <c r="IK39" s="337"/>
      <c r="IL39" s="337"/>
      <c r="IM39" s="337"/>
      <c r="IN39" s="337"/>
      <c r="IO39" s="337"/>
      <c r="IP39" s="337"/>
      <c r="IQ39" s="337"/>
      <c r="IR39" s="337"/>
      <c r="IS39" s="337"/>
      <c r="IT39" s="337"/>
      <c r="IU39" s="337"/>
      <c r="IV39" s="337"/>
      <c r="IW39" s="337"/>
      <c r="IX39" s="337"/>
      <c r="IY39" s="337"/>
      <c r="IZ39" s="337"/>
      <c r="JA39" s="337"/>
      <c r="JB39" s="337"/>
      <c r="JC39" s="337"/>
      <c r="JD39" s="337"/>
      <c r="JE39" s="337"/>
      <c r="JF39" s="337"/>
      <c r="JG39" s="337"/>
      <c r="JH39" s="337"/>
      <c r="JI39" s="337"/>
      <c r="JJ39" s="337"/>
      <c r="JK39" s="337"/>
      <c r="JL39" s="337"/>
      <c r="JM39" s="337"/>
      <c r="JN39" s="337"/>
      <c r="JO39" s="337"/>
      <c r="JP39" s="337"/>
      <c r="JQ39" s="337"/>
      <c r="JR39" s="337"/>
      <c r="JS39" s="337"/>
      <c r="JT39" s="337"/>
      <c r="JU39" s="337"/>
      <c r="JV39" s="337"/>
      <c r="JW39" s="337"/>
      <c r="JX39" s="337"/>
      <c r="JY39" s="337"/>
      <c r="JZ39" s="337"/>
      <c r="KA39" s="337"/>
      <c r="KB39" s="337"/>
      <c r="KC39" s="337"/>
      <c r="KD39" s="337"/>
      <c r="KE39" s="337"/>
      <c r="KF39" s="337"/>
      <c r="KG39" s="337"/>
      <c r="KH39" s="337"/>
      <c r="KI39" s="337"/>
      <c r="KJ39" s="337"/>
      <c r="KK39" s="337"/>
      <c r="KL39" s="337"/>
      <c r="KM39" s="337"/>
      <c r="KN39" s="337"/>
      <c r="KO39" s="337"/>
      <c r="KP39" s="337"/>
      <c r="KQ39" s="337"/>
      <c r="KR39" s="337"/>
      <c r="KS39" s="337"/>
      <c r="KT39" s="337"/>
      <c r="KU39" s="337"/>
      <c r="KV39" s="337"/>
      <c r="KW39" s="337"/>
      <c r="KX39" s="337"/>
      <c r="KY39" s="337"/>
      <c r="KZ39" s="337"/>
      <c r="LA39" s="337"/>
      <c r="LB39" s="337"/>
      <c r="LC39" s="337"/>
      <c r="LD39" s="337"/>
      <c r="LE39" s="337"/>
      <c r="LF39" s="337"/>
      <c r="LG39" s="337"/>
      <c r="LH39" s="337"/>
      <c r="LI39" s="337"/>
      <c r="LJ39" s="337"/>
      <c r="LK39" s="337"/>
      <c r="LL39" s="337"/>
      <c r="LM39" s="337"/>
      <c r="LN39" s="337"/>
      <c r="LO39" s="337"/>
      <c r="LP39" s="337"/>
      <c r="LQ39" s="337"/>
      <c r="LR39" s="337"/>
      <c r="LS39" s="337"/>
      <c r="LT39" s="337"/>
      <c r="LU39" s="337"/>
      <c r="LV39" s="337"/>
      <c r="LW39" s="337"/>
      <c r="LX39" s="337"/>
      <c r="LY39" s="337"/>
      <c r="LZ39" s="337"/>
      <c r="MA39" s="337"/>
      <c r="MB39" s="337"/>
      <c r="MC39" s="337"/>
      <c r="MD39" s="337"/>
      <c r="ME39" s="337"/>
      <c r="MF39" s="337"/>
      <c r="MG39" s="337"/>
      <c r="MH39" s="337"/>
      <c r="MI39" s="337"/>
      <c r="MJ39" s="337"/>
      <c r="MK39" s="337"/>
      <c r="ML39" s="337"/>
      <c r="MM39" s="337"/>
      <c r="MN39" s="337"/>
      <c r="MO39" s="337"/>
      <c r="MP39" s="337"/>
      <c r="MQ39" s="337"/>
      <c r="MR39" s="337"/>
      <c r="MS39" s="337"/>
      <c r="MT39" s="337"/>
      <c r="MU39" s="337"/>
      <c r="MV39" s="337"/>
      <c r="MW39" s="337"/>
      <c r="MX39" s="337"/>
      <c r="MY39" s="337"/>
      <c r="MZ39" s="337"/>
      <c r="NA39" s="337"/>
      <c r="NB39" s="337"/>
      <c r="NC39" s="337"/>
      <c r="ND39" s="337"/>
      <c r="NE39" s="337"/>
      <c r="NF39" s="337"/>
      <c r="NG39" s="337"/>
      <c r="NH39" s="337"/>
      <c r="NI39" s="337"/>
      <c r="NJ39" s="337"/>
      <c r="NK39" s="337"/>
      <c r="NL39" s="337"/>
      <c r="NM39" s="337"/>
      <c r="NN39" s="337"/>
      <c r="NO39" s="337"/>
      <c r="NP39" s="337"/>
      <c r="NQ39" s="337"/>
      <c r="NR39" s="337"/>
      <c r="NS39" s="337"/>
      <c r="NT39" s="337"/>
      <c r="NU39" s="337"/>
      <c r="NV39" s="337"/>
      <c r="NW39" s="337"/>
      <c r="NX39" s="337"/>
      <c r="NY39" s="337"/>
      <c r="NZ39" s="337"/>
      <c r="OA39" s="337"/>
      <c r="OB39" s="337"/>
      <c r="OC39" s="337"/>
      <c r="OD39" s="337"/>
      <c r="OE39" s="337"/>
      <c r="OF39" s="337"/>
      <c r="OG39" s="337"/>
      <c r="OH39" s="337"/>
      <c r="OI39" s="337"/>
      <c r="OJ39" s="337"/>
      <c r="OK39" s="337"/>
      <c r="OL39" s="337"/>
      <c r="OM39" s="337"/>
      <c r="ON39" s="337"/>
      <c r="OO39" s="337"/>
      <c r="OP39" s="337"/>
      <c r="OQ39" s="337"/>
      <c r="OR39" s="337"/>
      <c r="OS39" s="337"/>
      <c r="OT39" s="337"/>
      <c r="OU39" s="337"/>
      <c r="OV39" s="337"/>
      <c r="OW39" s="337"/>
      <c r="OX39" s="337"/>
      <c r="OY39" s="337"/>
      <c r="OZ39" s="337"/>
      <c r="PA39" s="337"/>
      <c r="PB39" s="337"/>
      <c r="PC39" s="337"/>
      <c r="PD39" s="337"/>
      <c r="PE39" s="337"/>
      <c r="PF39" s="337"/>
      <c r="PG39" s="337"/>
      <c r="PH39" s="337"/>
      <c r="PI39" s="337"/>
      <c r="PJ39" s="337"/>
      <c r="PK39" s="337"/>
      <c r="PL39" s="337"/>
      <c r="PM39" s="337"/>
      <c r="PN39" s="337"/>
      <c r="PO39" s="337"/>
      <c r="PP39" s="337"/>
      <c r="PQ39" s="337"/>
      <c r="PR39" s="337"/>
      <c r="PS39" s="337"/>
      <c r="PT39" s="337"/>
      <c r="PU39" s="337"/>
      <c r="PV39" s="337"/>
      <c r="PW39" s="337"/>
      <c r="PX39" s="337"/>
      <c r="PY39" s="337"/>
      <c r="PZ39" s="337"/>
      <c r="QA39" s="337"/>
      <c r="QB39" s="337"/>
      <c r="QC39" s="337"/>
      <c r="QD39" s="337"/>
      <c r="QE39" s="337"/>
      <c r="QF39" s="337"/>
      <c r="QG39" s="337"/>
      <c r="QH39" s="337"/>
      <c r="QI39" s="337"/>
      <c r="QJ39" s="337"/>
      <c r="QK39" s="337"/>
      <c r="QL39" s="337"/>
      <c r="QM39" s="337"/>
      <c r="QN39" s="337"/>
      <c r="QO39" s="337"/>
      <c r="QP39" s="337"/>
      <c r="QQ39" s="337"/>
      <c r="QR39" s="337"/>
      <c r="QS39" s="337"/>
      <c r="QT39" s="337"/>
      <c r="QU39" s="337"/>
      <c r="QV39" s="337"/>
      <c r="QW39" s="337"/>
      <c r="QX39" s="337"/>
      <c r="QY39" s="337"/>
      <c r="QZ39" s="337"/>
      <c r="RA39" s="337"/>
      <c r="RB39" s="337"/>
      <c r="RC39" s="337"/>
      <c r="RD39" s="337"/>
      <c r="RE39" s="337"/>
      <c r="RF39" s="337"/>
      <c r="RG39" s="337"/>
      <c r="RH39" s="337"/>
      <c r="RI39" s="337"/>
      <c r="RJ39" s="337"/>
      <c r="RK39" s="337"/>
      <c r="RL39" s="337"/>
      <c r="RM39" s="337"/>
      <c r="RN39" s="337"/>
      <c r="RO39" s="337"/>
      <c r="RP39" s="337"/>
      <c r="RQ39" s="337"/>
      <c r="RR39" s="337"/>
      <c r="RS39" s="337"/>
      <c r="RT39" s="337"/>
      <c r="RU39" s="337"/>
      <c r="RV39" s="337"/>
      <c r="RW39" s="337"/>
      <c r="RX39" s="337"/>
      <c r="RY39" s="337"/>
      <c r="RZ39" s="337"/>
      <c r="SA39" s="337"/>
      <c r="SB39" s="337"/>
      <c r="SC39" s="337"/>
      <c r="SD39" s="337"/>
      <c r="SE39" s="337"/>
      <c r="SF39" s="337"/>
      <c r="SG39" s="337"/>
      <c r="SH39" s="337"/>
      <c r="SI39" s="337"/>
      <c r="SJ39" s="337"/>
      <c r="SK39" s="337"/>
      <c r="SL39" s="337"/>
      <c r="SM39" s="337"/>
      <c r="SN39" s="337"/>
      <c r="SO39" s="337"/>
      <c r="SP39" s="337"/>
      <c r="SQ39" s="337"/>
      <c r="SR39" s="337"/>
      <c r="SS39" s="337"/>
      <c r="ST39" s="337"/>
      <c r="SU39" s="337"/>
      <c r="SV39" s="337"/>
      <c r="SW39" s="337"/>
      <c r="SX39" s="337"/>
      <c r="SY39" s="337"/>
      <c r="SZ39" s="337"/>
      <c r="TA39" s="337"/>
      <c r="TB39" s="337"/>
      <c r="TC39" s="337"/>
      <c r="TD39" s="337"/>
      <c r="TE39" s="337"/>
      <c r="TF39" s="337"/>
      <c r="TG39" s="337"/>
      <c r="TH39" s="337"/>
      <c r="TI39" s="337"/>
      <c r="TJ39" s="337"/>
      <c r="TK39" s="337"/>
      <c r="TL39" s="337"/>
      <c r="TM39" s="337"/>
      <c r="TN39" s="337"/>
      <c r="TO39" s="337"/>
      <c r="TP39" s="337"/>
      <c r="TQ39" s="337"/>
      <c r="TR39" s="337"/>
      <c r="TS39" s="337"/>
      <c r="TT39" s="337"/>
      <c r="TU39" s="337"/>
      <c r="TV39" s="337"/>
      <c r="TW39" s="337"/>
      <c r="TX39" s="337"/>
      <c r="TY39" s="337"/>
      <c r="TZ39" s="337"/>
      <c r="UA39" s="337"/>
      <c r="UB39" s="337"/>
      <c r="UC39" s="337"/>
      <c r="UD39" s="337"/>
      <c r="UE39" s="337"/>
      <c r="UF39" s="337"/>
      <c r="UG39" s="337"/>
      <c r="UH39" s="337"/>
      <c r="UI39" s="337"/>
      <c r="UJ39" s="337"/>
      <c r="UK39" s="337"/>
      <c r="UL39" s="337"/>
      <c r="UM39" s="337"/>
      <c r="UN39" s="337"/>
      <c r="UO39" s="337"/>
      <c r="UP39" s="337"/>
      <c r="UQ39" s="337"/>
      <c r="UR39" s="337"/>
      <c r="US39" s="337"/>
      <c r="UT39" s="337"/>
      <c r="UU39" s="337"/>
      <c r="UV39" s="337"/>
      <c r="UW39" s="337"/>
      <c r="UX39" s="337"/>
      <c r="UY39" s="337"/>
      <c r="UZ39" s="337"/>
      <c r="VA39" s="337"/>
      <c r="VB39" s="337"/>
      <c r="VC39" s="337"/>
      <c r="VD39" s="337"/>
      <c r="VE39" s="337"/>
      <c r="VF39" s="337"/>
      <c r="VG39" s="337"/>
      <c r="VH39" s="337"/>
      <c r="VI39" s="337"/>
      <c r="VJ39" s="337"/>
      <c r="VK39" s="337"/>
      <c r="VL39" s="337"/>
      <c r="VM39" s="337"/>
      <c r="VN39" s="337"/>
      <c r="VO39" s="337"/>
      <c r="VP39" s="337"/>
      <c r="VQ39" s="337"/>
      <c r="VR39" s="337"/>
      <c r="VS39" s="337"/>
      <c r="VT39" s="337"/>
      <c r="VU39" s="337"/>
      <c r="VV39" s="337"/>
      <c r="VW39" s="337"/>
      <c r="VX39" s="337"/>
      <c r="VY39" s="337"/>
      <c r="VZ39" s="337"/>
      <c r="WA39" s="337"/>
      <c r="WB39" s="337"/>
      <c r="WC39" s="337"/>
      <c r="WD39" s="337"/>
      <c r="WE39" s="337"/>
      <c r="WF39" s="337"/>
      <c r="WG39" s="337"/>
      <c r="WH39" s="337"/>
      <c r="WI39" s="337"/>
      <c r="WJ39" s="337"/>
      <c r="WK39" s="337"/>
      <c r="WL39" s="337"/>
      <c r="WM39" s="337"/>
      <c r="WN39" s="337"/>
      <c r="WO39" s="337"/>
      <c r="WP39" s="337"/>
      <c r="WQ39" s="337"/>
      <c r="WR39" s="337"/>
      <c r="WS39" s="337"/>
      <c r="WT39" s="337"/>
      <c r="WU39" s="337"/>
      <c r="WV39" s="337"/>
      <c r="WW39" s="337"/>
      <c r="WX39" s="337"/>
      <c r="WY39" s="337"/>
      <c r="WZ39" s="337"/>
      <c r="XA39" s="337"/>
      <c r="XB39" s="337"/>
      <c r="XC39" s="337"/>
      <c r="XD39" s="337"/>
      <c r="XE39" s="337"/>
      <c r="XF39" s="337"/>
      <c r="XG39" s="337"/>
      <c r="XH39" s="337"/>
      <c r="XI39" s="337"/>
      <c r="XJ39" s="337"/>
      <c r="XK39" s="337"/>
      <c r="XL39" s="337"/>
      <c r="XM39" s="337"/>
      <c r="XN39" s="337"/>
      <c r="XO39" s="337"/>
      <c r="XP39" s="337"/>
      <c r="XQ39" s="337"/>
      <c r="XR39" s="337"/>
      <c r="XS39" s="337"/>
      <c r="XT39" s="337"/>
      <c r="XU39" s="337"/>
      <c r="XV39" s="337"/>
      <c r="XW39" s="337"/>
      <c r="XX39" s="337"/>
      <c r="XY39" s="337"/>
      <c r="XZ39" s="337"/>
      <c r="YA39" s="337"/>
      <c r="YB39" s="337"/>
      <c r="YC39" s="337"/>
      <c r="YD39" s="337"/>
      <c r="YE39" s="337"/>
      <c r="YF39" s="337"/>
      <c r="YG39" s="337"/>
      <c r="YH39" s="337"/>
      <c r="YI39" s="337"/>
      <c r="YJ39" s="337"/>
      <c r="YK39" s="337"/>
      <c r="YL39" s="337"/>
      <c r="YM39" s="337"/>
      <c r="YN39" s="337"/>
      <c r="YO39" s="337"/>
      <c r="YP39" s="337"/>
      <c r="YQ39" s="337"/>
      <c r="YR39" s="337"/>
      <c r="YS39" s="337"/>
      <c r="YT39" s="337"/>
      <c r="YU39" s="337"/>
      <c r="YV39" s="337"/>
      <c r="YW39" s="337"/>
      <c r="YX39" s="337"/>
      <c r="YY39" s="337"/>
      <c r="YZ39" s="337"/>
      <c r="ZA39" s="337"/>
      <c r="ZB39" s="337"/>
      <c r="ZC39" s="337"/>
      <c r="ZD39" s="337"/>
      <c r="ZE39" s="337"/>
      <c r="ZF39" s="337"/>
      <c r="ZG39" s="337"/>
      <c r="ZH39" s="337"/>
      <c r="ZI39" s="337"/>
      <c r="ZJ39" s="337"/>
      <c r="ZK39" s="337"/>
      <c r="ZL39" s="337"/>
      <c r="ZM39" s="337"/>
      <c r="ZN39" s="337"/>
      <c r="ZO39" s="337"/>
      <c r="ZP39" s="337"/>
      <c r="ZQ39" s="337"/>
      <c r="ZR39" s="337"/>
      <c r="ZS39" s="337"/>
      <c r="ZT39" s="337"/>
      <c r="ZU39" s="337"/>
      <c r="ZV39" s="337"/>
      <c r="ZW39" s="337"/>
      <c r="ZX39" s="337"/>
      <c r="ZY39" s="337"/>
      <c r="ZZ39" s="337"/>
      <c r="AAA39" s="337"/>
      <c r="AAB39" s="337"/>
      <c r="AAC39" s="337"/>
      <c r="AAD39" s="337"/>
      <c r="AAE39" s="337"/>
      <c r="AAF39" s="337"/>
      <c r="AAG39" s="337"/>
      <c r="AAH39" s="337"/>
      <c r="AAI39" s="337"/>
      <c r="AAJ39" s="337"/>
      <c r="AAK39" s="337"/>
      <c r="AAL39" s="337"/>
      <c r="AAM39" s="337"/>
      <c r="AAN39" s="337"/>
      <c r="AAO39" s="337"/>
      <c r="AAP39" s="337"/>
      <c r="AAQ39" s="337"/>
      <c r="AAR39" s="337"/>
      <c r="AAS39" s="337"/>
      <c r="AAT39" s="337"/>
      <c r="AAU39" s="337"/>
      <c r="AAV39" s="337"/>
      <c r="AAW39" s="337"/>
      <c r="AAX39" s="337"/>
      <c r="AAY39" s="337"/>
      <c r="AAZ39" s="337"/>
      <c r="ABA39" s="337"/>
      <c r="ABB39" s="337"/>
      <c r="ABC39" s="337"/>
      <c r="ABD39" s="337"/>
      <c r="ABE39" s="337"/>
      <c r="ABF39" s="337"/>
      <c r="ABG39" s="337"/>
      <c r="ABH39" s="337"/>
      <c r="ABI39" s="337"/>
      <c r="ABJ39" s="337"/>
      <c r="ABK39" s="337"/>
      <c r="ABL39" s="337"/>
      <c r="ABM39" s="337"/>
      <c r="ABN39" s="337"/>
      <c r="ABO39" s="337"/>
      <c r="ABP39" s="337"/>
      <c r="ABQ39" s="337"/>
      <c r="ABR39" s="337"/>
      <c r="ABS39" s="337"/>
      <c r="ABT39" s="337"/>
      <c r="ABU39" s="337"/>
      <c r="ABV39" s="337"/>
      <c r="ABW39" s="337"/>
      <c r="ABX39" s="337"/>
      <c r="ABY39" s="337"/>
      <c r="ABZ39" s="337"/>
      <c r="ACA39" s="337"/>
      <c r="ACB39" s="337"/>
      <c r="ACC39" s="337"/>
      <c r="ACD39" s="337"/>
      <c r="ACE39" s="337"/>
      <c r="ACF39" s="337"/>
      <c r="ACG39" s="337"/>
      <c r="ACH39" s="337"/>
      <c r="ACI39" s="337"/>
      <c r="ACJ39" s="337"/>
      <c r="ACK39" s="337"/>
      <c r="ACL39" s="337"/>
      <c r="ACM39" s="337"/>
      <c r="ACN39" s="337"/>
      <c r="ACO39" s="337"/>
      <c r="ACP39" s="337"/>
      <c r="ACQ39" s="337"/>
      <c r="ACR39" s="337"/>
      <c r="ACS39" s="337"/>
      <c r="ACT39" s="337"/>
      <c r="ACU39" s="337"/>
      <c r="ACV39" s="337"/>
      <c r="ACW39" s="337"/>
      <c r="ACX39" s="337"/>
      <c r="ACY39" s="337"/>
      <c r="ACZ39" s="337"/>
      <c r="ADA39" s="337"/>
      <c r="ADB39" s="337"/>
      <c r="ADC39" s="337"/>
      <c r="ADD39" s="337"/>
      <c r="ADE39" s="337"/>
      <c r="ADF39" s="337"/>
      <c r="ADG39" s="337"/>
      <c r="ADH39" s="337"/>
      <c r="ADI39" s="337"/>
      <c r="ADJ39" s="337"/>
      <c r="ADK39" s="337"/>
      <c r="ADL39" s="337"/>
      <c r="ADM39" s="337"/>
      <c r="ADN39" s="337"/>
      <c r="ADO39" s="337"/>
      <c r="ADP39" s="337"/>
      <c r="ADQ39" s="337"/>
      <c r="ADR39" s="337"/>
      <c r="ADS39" s="337"/>
      <c r="ADT39" s="337"/>
      <c r="ADU39" s="337"/>
      <c r="ADV39" s="337"/>
      <c r="ADW39" s="337"/>
      <c r="ADX39" s="337"/>
      <c r="ADY39" s="337"/>
      <c r="ADZ39" s="337"/>
      <c r="AEA39" s="337"/>
      <c r="AEB39" s="337"/>
      <c r="AEC39" s="337"/>
      <c r="AED39" s="337"/>
      <c r="AEE39" s="337"/>
      <c r="AEF39" s="337"/>
      <c r="AEG39" s="337"/>
      <c r="AEH39" s="337"/>
      <c r="AEI39" s="337"/>
      <c r="AEJ39" s="337"/>
      <c r="AEK39" s="337"/>
      <c r="AEL39" s="337"/>
      <c r="AEM39" s="337"/>
      <c r="AEN39" s="337"/>
      <c r="AEO39" s="337"/>
      <c r="AEP39" s="337"/>
      <c r="AEQ39" s="337"/>
      <c r="AER39" s="337"/>
      <c r="AES39" s="337"/>
      <c r="AET39" s="337"/>
      <c r="AEU39" s="337"/>
      <c r="AEV39" s="337"/>
      <c r="AEW39" s="337"/>
      <c r="AEX39" s="337"/>
      <c r="AEY39" s="337"/>
      <c r="AEZ39" s="337"/>
      <c r="AFA39" s="337"/>
      <c r="AFB39" s="337"/>
      <c r="AFC39" s="337"/>
      <c r="AFD39" s="337"/>
      <c r="AFE39" s="337"/>
      <c r="AFF39" s="337"/>
      <c r="AFG39" s="337"/>
      <c r="AFH39" s="337"/>
      <c r="AFI39" s="337"/>
      <c r="AFJ39" s="337"/>
      <c r="AFK39" s="337"/>
      <c r="AFL39" s="337"/>
      <c r="AFM39" s="337"/>
      <c r="AFN39" s="337"/>
      <c r="AFO39" s="337"/>
      <c r="AFP39" s="337"/>
      <c r="AFQ39" s="337"/>
      <c r="AFR39" s="337"/>
      <c r="AFS39" s="337"/>
      <c r="AFT39" s="337"/>
      <c r="AFU39" s="337"/>
      <c r="AFV39" s="337"/>
      <c r="AFW39" s="337"/>
      <c r="AFX39" s="337"/>
      <c r="AFY39" s="337"/>
      <c r="AFZ39" s="337"/>
      <c r="AGA39" s="337"/>
      <c r="AGB39" s="337"/>
      <c r="AGC39" s="337"/>
      <c r="AGD39" s="337"/>
      <c r="AGE39" s="337"/>
      <c r="AGF39" s="337"/>
      <c r="AGG39" s="337"/>
      <c r="AGH39" s="337"/>
      <c r="AGI39" s="337"/>
      <c r="AGJ39" s="337"/>
      <c r="AGK39" s="337"/>
      <c r="AGL39" s="337"/>
      <c r="AGM39" s="337"/>
      <c r="AGN39" s="337"/>
      <c r="AGO39" s="337"/>
      <c r="AGP39" s="337"/>
      <c r="AGQ39" s="337"/>
      <c r="AGR39" s="337"/>
      <c r="AGS39" s="337"/>
      <c r="AGT39" s="337"/>
      <c r="AGU39" s="337"/>
      <c r="AGV39" s="337"/>
      <c r="AGW39" s="337"/>
      <c r="AGX39" s="337"/>
      <c r="AGY39" s="337"/>
      <c r="AGZ39" s="337"/>
    </row>
    <row r="40" ht="24" customHeight="1" spans="1:884">
      <c r="A40" s="349">
        <v>36</v>
      </c>
      <c r="B40" s="350"/>
      <c r="C40" s="351" t="s">
        <v>120</v>
      </c>
      <c r="D40" s="358"/>
      <c r="E40" s="358"/>
      <c r="F40" s="81">
        <v>15</v>
      </c>
      <c r="G40" s="356" t="s">
        <v>511</v>
      </c>
      <c r="H40" s="357" t="s">
        <v>512</v>
      </c>
      <c r="I40" s="100" t="s">
        <v>124</v>
      </c>
      <c r="J40" s="100"/>
      <c r="K40" s="100"/>
      <c r="L40" s="100" t="s">
        <v>124</v>
      </c>
      <c r="M40" s="100"/>
      <c r="N40" s="373" t="s">
        <v>513</v>
      </c>
      <c r="O40" s="374"/>
      <c r="P40" s="376"/>
      <c r="Q40" s="375" t="str">
        <f>CONCATENATE(RemovePunctuation(H40),"_CA","_","i5K","_",C40,"_",AD40,"_",PROPER(R40),IF(S40="",PROPER(R40),PROPER(S40)),PROPER(T40),PROPER(U40),PROPER(V40),IF(V40&lt;&gt;"","SUB",""),PROPER(W40),IF(W40&lt;&gt;"","SUB",""),"_","Ed","_","M4",".mpg")</f>
        <v>LudwigS01E04_CA_i5K_0825_169_EngEngZhoSUB_Ed_M4.mpg</v>
      </c>
      <c r="R40" s="382" t="s">
        <v>131</v>
      </c>
      <c r="S40" s="385"/>
      <c r="T40" s="384"/>
      <c r="U40" s="384"/>
      <c r="V40" s="382" t="s">
        <v>130</v>
      </c>
      <c r="W40" s="386"/>
      <c r="X40" s="349" t="s">
        <v>129</v>
      </c>
      <c r="Y40" s="349" t="s">
        <v>129</v>
      </c>
      <c r="Z40" s="120">
        <f t="shared" si="6"/>
        <v>51</v>
      </c>
      <c r="AA40" s="304" t="str">
        <f t="shared" si="7"/>
        <v>00:51:00</v>
      </c>
      <c r="AB40" s="120">
        <f t="shared" si="8"/>
        <v>3060</v>
      </c>
      <c r="AC40" s="399">
        <v>0.0356712962962963</v>
      </c>
      <c r="AD40" s="400">
        <v>169</v>
      </c>
      <c r="AE40" s="400">
        <v>43</v>
      </c>
      <c r="AF40" s="349" t="s">
        <v>132</v>
      </c>
      <c r="AP40" s="337"/>
      <c r="AQ40" s="337"/>
      <c r="AR40" s="337"/>
      <c r="AS40" s="337"/>
      <c r="AT40" s="337"/>
      <c r="AU40" s="337"/>
      <c r="AV40" s="337"/>
      <c r="AW40" s="337"/>
      <c r="AX40" s="337"/>
      <c r="AY40" s="337"/>
      <c r="AZ40" s="337"/>
      <c r="BA40" s="337"/>
      <c r="BB40" s="337"/>
      <c r="BC40" s="337"/>
      <c r="BD40" s="337"/>
      <c r="BE40" s="337"/>
      <c r="BF40" s="337"/>
      <c r="BG40" s="337"/>
      <c r="BH40" s="337"/>
      <c r="BI40" s="337"/>
      <c r="BJ40" s="337"/>
      <c r="BK40" s="337"/>
      <c r="BL40" s="337"/>
      <c r="BM40" s="337"/>
      <c r="BN40" s="337"/>
      <c r="BO40" s="337"/>
      <c r="BP40" s="337"/>
      <c r="BQ40" s="337"/>
      <c r="BR40" s="337"/>
      <c r="BS40" s="337"/>
      <c r="BT40" s="337"/>
      <c r="BU40" s="337"/>
      <c r="BV40" s="337"/>
      <c r="BW40" s="337"/>
      <c r="BX40" s="337"/>
      <c r="BY40" s="337"/>
      <c r="BZ40" s="337"/>
      <c r="CA40" s="337"/>
      <c r="CB40" s="337"/>
      <c r="CC40" s="337"/>
      <c r="CD40" s="337"/>
      <c r="CE40" s="337"/>
      <c r="CF40" s="337"/>
      <c r="CG40" s="337"/>
      <c r="CH40" s="337"/>
      <c r="CI40" s="337"/>
      <c r="CJ40" s="337"/>
      <c r="CK40" s="337"/>
      <c r="CL40" s="337"/>
      <c r="CM40" s="337"/>
      <c r="CN40" s="337"/>
      <c r="CO40" s="337"/>
      <c r="CP40" s="337"/>
      <c r="CQ40" s="337"/>
      <c r="CR40" s="337"/>
      <c r="CS40" s="337"/>
      <c r="CT40" s="337"/>
      <c r="CU40" s="337"/>
      <c r="CV40" s="337"/>
      <c r="CW40" s="337"/>
      <c r="CX40" s="337"/>
      <c r="CY40" s="337"/>
      <c r="CZ40" s="337"/>
      <c r="DA40" s="337"/>
      <c r="DB40" s="337"/>
      <c r="DC40" s="337"/>
      <c r="DD40" s="337"/>
      <c r="DE40" s="337"/>
      <c r="DF40" s="337"/>
      <c r="DG40" s="337"/>
      <c r="DH40" s="337"/>
      <c r="DI40" s="337"/>
      <c r="DJ40" s="337"/>
      <c r="DK40" s="337"/>
      <c r="DL40" s="337"/>
      <c r="DM40" s="337"/>
      <c r="DN40" s="337"/>
      <c r="DO40" s="337"/>
      <c r="DP40" s="337"/>
      <c r="DQ40" s="337"/>
      <c r="DR40" s="337"/>
      <c r="DS40" s="337"/>
      <c r="DT40" s="337"/>
      <c r="DU40" s="337"/>
      <c r="DV40" s="337"/>
      <c r="DW40" s="337"/>
      <c r="DX40" s="337"/>
      <c r="DY40" s="337"/>
      <c r="DZ40" s="337"/>
      <c r="EA40" s="337"/>
      <c r="EB40" s="337"/>
      <c r="EC40" s="337"/>
      <c r="ED40" s="337"/>
      <c r="EE40" s="337"/>
      <c r="EF40" s="337"/>
      <c r="EG40" s="337"/>
      <c r="EH40" s="337"/>
      <c r="EI40" s="337"/>
      <c r="EJ40" s="337"/>
      <c r="EK40" s="337"/>
      <c r="EL40" s="337"/>
      <c r="EM40" s="337"/>
      <c r="EN40" s="337"/>
      <c r="EO40" s="337"/>
      <c r="EP40" s="337"/>
      <c r="EQ40" s="337"/>
      <c r="ER40" s="337"/>
      <c r="ES40" s="337"/>
      <c r="ET40" s="337"/>
      <c r="EU40" s="337"/>
      <c r="EV40" s="337"/>
      <c r="EW40" s="337"/>
      <c r="EX40" s="337"/>
      <c r="EY40" s="337"/>
      <c r="EZ40" s="337"/>
      <c r="FA40" s="337"/>
      <c r="FB40" s="337"/>
      <c r="FC40" s="337"/>
      <c r="FD40" s="337"/>
      <c r="FE40" s="337"/>
      <c r="FF40" s="337"/>
      <c r="FG40" s="337"/>
      <c r="FH40" s="337"/>
      <c r="FI40" s="337"/>
      <c r="FJ40" s="337"/>
      <c r="FK40" s="337"/>
      <c r="FL40" s="337"/>
      <c r="FM40" s="337"/>
      <c r="FN40" s="337"/>
      <c r="FO40" s="337"/>
      <c r="FP40" s="337"/>
      <c r="FQ40" s="337"/>
      <c r="FR40" s="337"/>
      <c r="FS40" s="337"/>
      <c r="FT40" s="337"/>
      <c r="FU40" s="337"/>
      <c r="FV40" s="337"/>
      <c r="FW40" s="337"/>
      <c r="FX40" s="337"/>
      <c r="FY40" s="337"/>
      <c r="FZ40" s="337"/>
      <c r="GA40" s="337"/>
      <c r="GB40" s="337"/>
      <c r="GC40" s="337"/>
      <c r="GD40" s="337"/>
      <c r="GE40" s="337"/>
      <c r="GF40" s="337"/>
      <c r="GG40" s="337"/>
      <c r="GH40" s="337"/>
      <c r="GI40" s="337"/>
      <c r="GJ40" s="337"/>
      <c r="GK40" s="337"/>
      <c r="GL40" s="337"/>
      <c r="GM40" s="337"/>
      <c r="GN40" s="337"/>
      <c r="GO40" s="337"/>
      <c r="GP40" s="337"/>
      <c r="GQ40" s="337"/>
      <c r="GR40" s="337"/>
      <c r="GS40" s="337"/>
      <c r="GT40" s="337"/>
      <c r="GU40" s="337"/>
      <c r="GV40" s="337"/>
      <c r="GW40" s="337"/>
      <c r="GX40" s="337"/>
      <c r="GY40" s="337"/>
      <c r="GZ40" s="337"/>
      <c r="HA40" s="337"/>
      <c r="HB40" s="337"/>
      <c r="HC40" s="337"/>
      <c r="HD40" s="337"/>
      <c r="HE40" s="337"/>
      <c r="HF40" s="337"/>
      <c r="HG40" s="337"/>
      <c r="HH40" s="337"/>
      <c r="HI40" s="337"/>
      <c r="HJ40" s="337"/>
      <c r="HK40" s="337"/>
      <c r="HL40" s="337"/>
      <c r="HM40" s="337"/>
      <c r="HN40" s="337"/>
      <c r="HO40" s="337"/>
      <c r="HP40" s="337"/>
      <c r="HQ40" s="337"/>
      <c r="HR40" s="337"/>
      <c r="HS40" s="337"/>
      <c r="HT40" s="337"/>
      <c r="HU40" s="337"/>
      <c r="HV40" s="337"/>
      <c r="HW40" s="337"/>
      <c r="HX40" s="337"/>
      <c r="HY40" s="337"/>
      <c r="HZ40" s="337"/>
      <c r="IA40" s="337"/>
      <c r="IB40" s="337"/>
      <c r="IC40" s="337"/>
      <c r="ID40" s="337"/>
      <c r="IE40" s="337"/>
      <c r="IF40" s="337"/>
      <c r="IG40" s="337"/>
      <c r="IH40" s="337"/>
      <c r="II40" s="337"/>
      <c r="IJ40" s="337"/>
      <c r="IK40" s="337"/>
      <c r="IL40" s="337"/>
      <c r="IM40" s="337"/>
      <c r="IN40" s="337"/>
      <c r="IO40" s="337"/>
      <c r="IP40" s="337"/>
      <c r="IQ40" s="337"/>
      <c r="IR40" s="337"/>
      <c r="IS40" s="337"/>
      <c r="IT40" s="337"/>
      <c r="IU40" s="337"/>
      <c r="IV40" s="337"/>
      <c r="IW40" s="337"/>
      <c r="IX40" s="337"/>
      <c r="IY40" s="337"/>
      <c r="IZ40" s="337"/>
      <c r="JA40" s="337"/>
      <c r="JB40" s="337"/>
      <c r="JC40" s="337"/>
      <c r="JD40" s="337"/>
      <c r="JE40" s="337"/>
      <c r="JF40" s="337"/>
      <c r="JG40" s="337"/>
      <c r="JH40" s="337"/>
      <c r="JI40" s="337"/>
      <c r="JJ40" s="337"/>
      <c r="JK40" s="337"/>
      <c r="JL40" s="337"/>
      <c r="JM40" s="337"/>
      <c r="JN40" s="337"/>
      <c r="JO40" s="337"/>
      <c r="JP40" s="337"/>
      <c r="JQ40" s="337"/>
      <c r="JR40" s="337"/>
      <c r="JS40" s="337"/>
      <c r="JT40" s="337"/>
      <c r="JU40" s="337"/>
      <c r="JV40" s="337"/>
      <c r="JW40" s="337"/>
      <c r="JX40" s="337"/>
      <c r="JY40" s="337"/>
      <c r="JZ40" s="337"/>
      <c r="KA40" s="337"/>
      <c r="KB40" s="337"/>
      <c r="KC40" s="337"/>
      <c r="KD40" s="337"/>
      <c r="KE40" s="337"/>
      <c r="KF40" s="337"/>
      <c r="KG40" s="337"/>
      <c r="KH40" s="337"/>
      <c r="KI40" s="337"/>
      <c r="KJ40" s="337"/>
      <c r="KK40" s="337"/>
      <c r="KL40" s="337"/>
      <c r="KM40" s="337"/>
      <c r="KN40" s="337"/>
      <c r="KO40" s="337"/>
      <c r="KP40" s="337"/>
      <c r="KQ40" s="337"/>
      <c r="KR40" s="337"/>
      <c r="KS40" s="337"/>
      <c r="KT40" s="337"/>
      <c r="KU40" s="337"/>
      <c r="KV40" s="337"/>
      <c r="KW40" s="337"/>
      <c r="KX40" s="337"/>
      <c r="KY40" s="337"/>
      <c r="KZ40" s="337"/>
      <c r="LA40" s="337"/>
      <c r="LB40" s="337"/>
      <c r="LC40" s="337"/>
      <c r="LD40" s="337"/>
      <c r="LE40" s="337"/>
      <c r="LF40" s="337"/>
      <c r="LG40" s="337"/>
      <c r="LH40" s="337"/>
      <c r="LI40" s="337"/>
      <c r="LJ40" s="337"/>
      <c r="LK40" s="337"/>
      <c r="LL40" s="337"/>
      <c r="LM40" s="337"/>
      <c r="LN40" s="337"/>
      <c r="LO40" s="337"/>
      <c r="LP40" s="337"/>
      <c r="LQ40" s="337"/>
      <c r="LR40" s="337"/>
      <c r="LS40" s="337"/>
      <c r="LT40" s="337"/>
      <c r="LU40" s="337"/>
      <c r="LV40" s="337"/>
      <c r="LW40" s="337"/>
      <c r="LX40" s="337"/>
      <c r="LY40" s="337"/>
      <c r="LZ40" s="337"/>
      <c r="MA40" s="337"/>
      <c r="MB40" s="337"/>
      <c r="MC40" s="337"/>
      <c r="MD40" s="337"/>
      <c r="ME40" s="337"/>
      <c r="MF40" s="337"/>
      <c r="MG40" s="337"/>
      <c r="MH40" s="337"/>
      <c r="MI40" s="337"/>
      <c r="MJ40" s="337"/>
      <c r="MK40" s="337"/>
      <c r="ML40" s="337"/>
      <c r="MM40" s="337"/>
      <c r="MN40" s="337"/>
      <c r="MO40" s="337"/>
      <c r="MP40" s="337"/>
      <c r="MQ40" s="337"/>
      <c r="MR40" s="337"/>
      <c r="MS40" s="337"/>
      <c r="MT40" s="337"/>
      <c r="MU40" s="337"/>
      <c r="MV40" s="337"/>
      <c r="MW40" s="337"/>
      <c r="MX40" s="337"/>
      <c r="MY40" s="337"/>
      <c r="MZ40" s="337"/>
      <c r="NA40" s="337"/>
      <c r="NB40" s="337"/>
      <c r="NC40" s="337"/>
      <c r="ND40" s="337"/>
      <c r="NE40" s="337"/>
      <c r="NF40" s="337"/>
      <c r="NG40" s="337"/>
      <c r="NH40" s="337"/>
      <c r="NI40" s="337"/>
      <c r="NJ40" s="337"/>
      <c r="NK40" s="337"/>
      <c r="NL40" s="337"/>
      <c r="NM40" s="337"/>
      <c r="NN40" s="337"/>
      <c r="NO40" s="337"/>
      <c r="NP40" s="337"/>
      <c r="NQ40" s="337"/>
      <c r="NR40" s="337"/>
      <c r="NS40" s="337"/>
      <c r="NT40" s="337"/>
      <c r="NU40" s="337"/>
      <c r="NV40" s="337"/>
      <c r="NW40" s="337"/>
      <c r="NX40" s="337"/>
      <c r="NY40" s="337"/>
      <c r="NZ40" s="337"/>
      <c r="OA40" s="337"/>
      <c r="OB40" s="337"/>
      <c r="OC40" s="337"/>
      <c r="OD40" s="337"/>
      <c r="OE40" s="337"/>
      <c r="OF40" s="337"/>
      <c r="OG40" s="337"/>
      <c r="OH40" s="337"/>
      <c r="OI40" s="337"/>
      <c r="OJ40" s="337"/>
      <c r="OK40" s="337"/>
      <c r="OL40" s="337"/>
      <c r="OM40" s="337"/>
      <c r="ON40" s="337"/>
      <c r="OO40" s="337"/>
      <c r="OP40" s="337"/>
      <c r="OQ40" s="337"/>
      <c r="OR40" s="337"/>
      <c r="OS40" s="337"/>
      <c r="OT40" s="337"/>
      <c r="OU40" s="337"/>
      <c r="OV40" s="337"/>
      <c r="OW40" s="337"/>
      <c r="OX40" s="337"/>
      <c r="OY40" s="337"/>
      <c r="OZ40" s="337"/>
      <c r="PA40" s="337"/>
      <c r="PB40" s="337"/>
      <c r="PC40" s="337"/>
      <c r="PD40" s="337"/>
      <c r="PE40" s="337"/>
      <c r="PF40" s="337"/>
      <c r="PG40" s="337"/>
      <c r="PH40" s="337"/>
      <c r="PI40" s="337"/>
      <c r="PJ40" s="337"/>
      <c r="PK40" s="337"/>
      <c r="PL40" s="337"/>
      <c r="PM40" s="337"/>
      <c r="PN40" s="337"/>
      <c r="PO40" s="337"/>
      <c r="PP40" s="337"/>
      <c r="PQ40" s="337"/>
      <c r="PR40" s="337"/>
      <c r="PS40" s="337"/>
      <c r="PT40" s="337"/>
      <c r="PU40" s="337"/>
      <c r="PV40" s="337"/>
      <c r="PW40" s="337"/>
      <c r="PX40" s="337"/>
      <c r="PY40" s="337"/>
      <c r="PZ40" s="337"/>
      <c r="QA40" s="337"/>
      <c r="QB40" s="337"/>
      <c r="QC40" s="337"/>
      <c r="QD40" s="337"/>
      <c r="QE40" s="337"/>
      <c r="QF40" s="337"/>
      <c r="QG40" s="337"/>
      <c r="QH40" s="337"/>
      <c r="QI40" s="337"/>
      <c r="QJ40" s="337"/>
      <c r="QK40" s="337"/>
      <c r="QL40" s="337"/>
      <c r="QM40" s="337"/>
      <c r="QN40" s="337"/>
      <c r="QO40" s="337"/>
      <c r="QP40" s="337"/>
      <c r="QQ40" s="337"/>
      <c r="QR40" s="337"/>
      <c r="QS40" s="337"/>
      <c r="QT40" s="337"/>
      <c r="QU40" s="337"/>
      <c r="QV40" s="337"/>
      <c r="QW40" s="337"/>
      <c r="QX40" s="337"/>
      <c r="QY40" s="337"/>
      <c r="QZ40" s="337"/>
      <c r="RA40" s="337"/>
      <c r="RB40" s="337"/>
      <c r="RC40" s="337"/>
      <c r="RD40" s="337"/>
      <c r="RE40" s="337"/>
      <c r="RF40" s="337"/>
      <c r="RG40" s="337"/>
      <c r="RH40" s="337"/>
      <c r="RI40" s="337"/>
      <c r="RJ40" s="337"/>
      <c r="RK40" s="337"/>
      <c r="RL40" s="337"/>
      <c r="RM40" s="337"/>
      <c r="RN40" s="337"/>
      <c r="RO40" s="337"/>
      <c r="RP40" s="337"/>
      <c r="RQ40" s="337"/>
      <c r="RR40" s="337"/>
      <c r="RS40" s="337"/>
      <c r="RT40" s="337"/>
      <c r="RU40" s="337"/>
      <c r="RV40" s="337"/>
      <c r="RW40" s="337"/>
      <c r="RX40" s="337"/>
      <c r="RY40" s="337"/>
      <c r="RZ40" s="337"/>
      <c r="SA40" s="337"/>
      <c r="SB40" s="337"/>
      <c r="SC40" s="337"/>
      <c r="SD40" s="337"/>
      <c r="SE40" s="337"/>
      <c r="SF40" s="337"/>
      <c r="SG40" s="337"/>
      <c r="SH40" s="337"/>
      <c r="SI40" s="337"/>
      <c r="SJ40" s="337"/>
      <c r="SK40" s="337"/>
      <c r="SL40" s="337"/>
      <c r="SM40" s="337"/>
      <c r="SN40" s="337"/>
      <c r="SO40" s="337"/>
      <c r="SP40" s="337"/>
      <c r="SQ40" s="337"/>
      <c r="SR40" s="337"/>
      <c r="SS40" s="337"/>
      <c r="ST40" s="337"/>
      <c r="SU40" s="337"/>
      <c r="SV40" s="337"/>
      <c r="SW40" s="337"/>
      <c r="SX40" s="337"/>
      <c r="SY40" s="337"/>
      <c r="SZ40" s="337"/>
      <c r="TA40" s="337"/>
      <c r="TB40" s="337"/>
      <c r="TC40" s="337"/>
      <c r="TD40" s="337"/>
      <c r="TE40" s="337"/>
      <c r="TF40" s="337"/>
      <c r="TG40" s="337"/>
      <c r="TH40" s="337"/>
      <c r="TI40" s="337"/>
      <c r="TJ40" s="337"/>
      <c r="TK40" s="337"/>
      <c r="TL40" s="337"/>
      <c r="TM40" s="337"/>
      <c r="TN40" s="337"/>
      <c r="TO40" s="337"/>
      <c r="TP40" s="337"/>
      <c r="TQ40" s="337"/>
      <c r="TR40" s="337"/>
      <c r="TS40" s="337"/>
      <c r="TT40" s="337"/>
      <c r="TU40" s="337"/>
      <c r="TV40" s="337"/>
      <c r="TW40" s="337"/>
      <c r="TX40" s="337"/>
      <c r="TY40" s="337"/>
      <c r="TZ40" s="337"/>
      <c r="UA40" s="337"/>
      <c r="UB40" s="337"/>
      <c r="UC40" s="337"/>
      <c r="UD40" s="337"/>
      <c r="UE40" s="337"/>
      <c r="UF40" s="337"/>
      <c r="UG40" s="337"/>
      <c r="UH40" s="337"/>
      <c r="UI40" s="337"/>
      <c r="UJ40" s="337"/>
      <c r="UK40" s="337"/>
      <c r="UL40" s="337"/>
      <c r="UM40" s="337"/>
      <c r="UN40" s="337"/>
      <c r="UO40" s="337"/>
      <c r="UP40" s="337"/>
      <c r="UQ40" s="337"/>
      <c r="UR40" s="337"/>
      <c r="US40" s="337"/>
      <c r="UT40" s="337"/>
      <c r="UU40" s="337"/>
      <c r="UV40" s="337"/>
      <c r="UW40" s="337"/>
      <c r="UX40" s="337"/>
      <c r="UY40" s="337"/>
      <c r="UZ40" s="337"/>
      <c r="VA40" s="337"/>
      <c r="VB40" s="337"/>
      <c r="VC40" s="337"/>
      <c r="VD40" s="337"/>
      <c r="VE40" s="337"/>
      <c r="VF40" s="337"/>
      <c r="VG40" s="337"/>
      <c r="VH40" s="337"/>
      <c r="VI40" s="337"/>
      <c r="VJ40" s="337"/>
      <c r="VK40" s="337"/>
      <c r="VL40" s="337"/>
      <c r="VM40" s="337"/>
      <c r="VN40" s="337"/>
      <c r="VO40" s="337"/>
      <c r="VP40" s="337"/>
      <c r="VQ40" s="337"/>
      <c r="VR40" s="337"/>
      <c r="VS40" s="337"/>
      <c r="VT40" s="337"/>
      <c r="VU40" s="337"/>
      <c r="VV40" s="337"/>
      <c r="VW40" s="337"/>
      <c r="VX40" s="337"/>
      <c r="VY40" s="337"/>
      <c r="VZ40" s="337"/>
      <c r="WA40" s="337"/>
      <c r="WB40" s="337"/>
      <c r="WC40" s="337"/>
      <c r="WD40" s="337"/>
      <c r="WE40" s="337"/>
      <c r="WF40" s="337"/>
      <c r="WG40" s="337"/>
      <c r="WH40" s="337"/>
      <c r="WI40" s="337"/>
      <c r="WJ40" s="337"/>
      <c r="WK40" s="337"/>
      <c r="WL40" s="337"/>
      <c r="WM40" s="337"/>
      <c r="WN40" s="337"/>
      <c r="WO40" s="337"/>
      <c r="WP40" s="337"/>
      <c r="WQ40" s="337"/>
      <c r="WR40" s="337"/>
      <c r="WS40" s="337"/>
      <c r="WT40" s="337"/>
      <c r="WU40" s="337"/>
      <c r="WV40" s="337"/>
      <c r="WW40" s="337"/>
      <c r="WX40" s="337"/>
      <c r="WY40" s="337"/>
      <c r="WZ40" s="337"/>
      <c r="XA40" s="337"/>
      <c r="XB40" s="337"/>
      <c r="XC40" s="337"/>
      <c r="XD40" s="337"/>
      <c r="XE40" s="337"/>
      <c r="XF40" s="337"/>
      <c r="XG40" s="337"/>
      <c r="XH40" s="337"/>
      <c r="XI40" s="337"/>
      <c r="XJ40" s="337"/>
      <c r="XK40" s="337"/>
      <c r="XL40" s="337"/>
      <c r="XM40" s="337"/>
      <c r="XN40" s="337"/>
      <c r="XO40" s="337"/>
      <c r="XP40" s="337"/>
      <c r="XQ40" s="337"/>
      <c r="XR40" s="337"/>
      <c r="XS40" s="337"/>
      <c r="XT40" s="337"/>
      <c r="XU40" s="337"/>
      <c r="XV40" s="337"/>
      <c r="XW40" s="337"/>
      <c r="XX40" s="337"/>
      <c r="XY40" s="337"/>
      <c r="XZ40" s="337"/>
      <c r="YA40" s="337"/>
      <c r="YB40" s="337"/>
      <c r="YC40" s="337"/>
      <c r="YD40" s="337"/>
      <c r="YE40" s="337"/>
      <c r="YF40" s="337"/>
      <c r="YG40" s="337"/>
      <c r="YH40" s="337"/>
      <c r="YI40" s="337"/>
      <c r="YJ40" s="337"/>
      <c r="YK40" s="337"/>
      <c r="YL40" s="337"/>
      <c r="YM40" s="337"/>
      <c r="YN40" s="337"/>
      <c r="YO40" s="337"/>
      <c r="YP40" s="337"/>
      <c r="YQ40" s="337"/>
      <c r="YR40" s="337"/>
      <c r="YS40" s="337"/>
      <c r="YT40" s="337"/>
      <c r="YU40" s="337"/>
      <c r="YV40" s="337"/>
      <c r="YW40" s="337"/>
      <c r="YX40" s="337"/>
      <c r="YY40" s="337"/>
      <c r="YZ40" s="337"/>
      <c r="ZA40" s="337"/>
      <c r="ZB40" s="337"/>
      <c r="ZC40" s="337"/>
      <c r="ZD40" s="337"/>
      <c r="ZE40" s="337"/>
      <c r="ZF40" s="337"/>
      <c r="ZG40" s="337"/>
      <c r="ZH40" s="337"/>
      <c r="ZI40" s="337"/>
      <c r="ZJ40" s="337"/>
      <c r="ZK40" s="337"/>
      <c r="ZL40" s="337"/>
      <c r="ZM40" s="337"/>
      <c r="ZN40" s="337"/>
      <c r="ZO40" s="337"/>
      <c r="ZP40" s="337"/>
      <c r="ZQ40" s="337"/>
      <c r="ZR40" s="337"/>
      <c r="ZS40" s="337"/>
      <c r="ZT40" s="337"/>
      <c r="ZU40" s="337"/>
      <c r="ZV40" s="337"/>
      <c r="ZW40" s="337"/>
      <c r="ZX40" s="337"/>
      <c r="ZY40" s="337"/>
      <c r="ZZ40" s="337"/>
      <c r="AAA40" s="337"/>
      <c r="AAB40" s="337"/>
      <c r="AAC40" s="337"/>
      <c r="AAD40" s="337"/>
      <c r="AAE40" s="337"/>
      <c r="AAF40" s="337"/>
      <c r="AAG40" s="337"/>
      <c r="AAH40" s="337"/>
      <c r="AAI40" s="337"/>
      <c r="AAJ40" s="337"/>
      <c r="AAK40" s="337"/>
      <c r="AAL40" s="337"/>
      <c r="AAM40" s="337"/>
      <c r="AAN40" s="337"/>
      <c r="AAO40" s="337"/>
      <c r="AAP40" s="337"/>
      <c r="AAQ40" s="337"/>
      <c r="AAR40" s="337"/>
      <c r="AAS40" s="337"/>
      <c r="AAT40" s="337"/>
      <c r="AAU40" s="337"/>
      <c r="AAV40" s="337"/>
      <c r="AAW40" s="337"/>
      <c r="AAX40" s="337"/>
      <c r="AAY40" s="337"/>
      <c r="AAZ40" s="337"/>
      <c r="ABA40" s="337"/>
      <c r="ABB40" s="337"/>
      <c r="ABC40" s="337"/>
      <c r="ABD40" s="337"/>
      <c r="ABE40" s="337"/>
      <c r="ABF40" s="337"/>
      <c r="ABG40" s="337"/>
      <c r="ABH40" s="337"/>
      <c r="ABI40" s="337"/>
      <c r="ABJ40" s="337"/>
      <c r="ABK40" s="337"/>
      <c r="ABL40" s="337"/>
      <c r="ABM40" s="337"/>
      <c r="ABN40" s="337"/>
      <c r="ABO40" s="337"/>
      <c r="ABP40" s="337"/>
      <c r="ABQ40" s="337"/>
      <c r="ABR40" s="337"/>
      <c r="ABS40" s="337"/>
      <c r="ABT40" s="337"/>
      <c r="ABU40" s="337"/>
      <c r="ABV40" s="337"/>
      <c r="ABW40" s="337"/>
      <c r="ABX40" s="337"/>
      <c r="ABY40" s="337"/>
      <c r="ABZ40" s="337"/>
      <c r="ACA40" s="337"/>
      <c r="ACB40" s="337"/>
      <c r="ACC40" s="337"/>
      <c r="ACD40" s="337"/>
      <c r="ACE40" s="337"/>
      <c r="ACF40" s="337"/>
      <c r="ACG40" s="337"/>
      <c r="ACH40" s="337"/>
      <c r="ACI40" s="337"/>
      <c r="ACJ40" s="337"/>
      <c r="ACK40" s="337"/>
      <c r="ACL40" s="337"/>
      <c r="ACM40" s="337"/>
      <c r="ACN40" s="337"/>
      <c r="ACO40" s="337"/>
      <c r="ACP40" s="337"/>
      <c r="ACQ40" s="337"/>
      <c r="ACR40" s="337"/>
      <c r="ACS40" s="337"/>
      <c r="ACT40" s="337"/>
      <c r="ACU40" s="337"/>
      <c r="ACV40" s="337"/>
      <c r="ACW40" s="337"/>
      <c r="ACX40" s="337"/>
      <c r="ACY40" s="337"/>
      <c r="ACZ40" s="337"/>
      <c r="ADA40" s="337"/>
      <c r="ADB40" s="337"/>
      <c r="ADC40" s="337"/>
      <c r="ADD40" s="337"/>
      <c r="ADE40" s="337"/>
      <c r="ADF40" s="337"/>
      <c r="ADG40" s="337"/>
      <c r="ADH40" s="337"/>
      <c r="ADI40" s="337"/>
      <c r="ADJ40" s="337"/>
      <c r="ADK40" s="337"/>
      <c r="ADL40" s="337"/>
      <c r="ADM40" s="337"/>
      <c r="ADN40" s="337"/>
      <c r="ADO40" s="337"/>
      <c r="ADP40" s="337"/>
      <c r="ADQ40" s="337"/>
      <c r="ADR40" s="337"/>
      <c r="ADS40" s="337"/>
      <c r="ADT40" s="337"/>
      <c r="ADU40" s="337"/>
      <c r="ADV40" s="337"/>
      <c r="ADW40" s="337"/>
      <c r="ADX40" s="337"/>
      <c r="ADY40" s="337"/>
      <c r="ADZ40" s="337"/>
      <c r="AEA40" s="337"/>
      <c r="AEB40" s="337"/>
      <c r="AEC40" s="337"/>
      <c r="AED40" s="337"/>
      <c r="AEE40" s="337"/>
      <c r="AEF40" s="337"/>
      <c r="AEG40" s="337"/>
      <c r="AEH40" s="337"/>
      <c r="AEI40" s="337"/>
      <c r="AEJ40" s="337"/>
      <c r="AEK40" s="337"/>
      <c r="AEL40" s="337"/>
      <c r="AEM40" s="337"/>
      <c r="AEN40" s="337"/>
      <c r="AEO40" s="337"/>
      <c r="AEP40" s="337"/>
      <c r="AEQ40" s="337"/>
      <c r="AER40" s="337"/>
      <c r="AES40" s="337"/>
      <c r="AET40" s="337"/>
      <c r="AEU40" s="337"/>
      <c r="AEV40" s="337"/>
      <c r="AEW40" s="337"/>
      <c r="AEX40" s="337"/>
      <c r="AEY40" s="337"/>
      <c r="AEZ40" s="337"/>
      <c r="AFA40" s="337"/>
      <c r="AFB40" s="337"/>
      <c r="AFC40" s="337"/>
      <c r="AFD40" s="337"/>
      <c r="AFE40" s="337"/>
      <c r="AFF40" s="337"/>
      <c r="AFG40" s="337"/>
      <c r="AFH40" s="337"/>
      <c r="AFI40" s="337"/>
      <c r="AFJ40" s="337"/>
      <c r="AFK40" s="337"/>
      <c r="AFL40" s="337"/>
      <c r="AFM40" s="337"/>
      <c r="AFN40" s="337"/>
      <c r="AFO40" s="337"/>
      <c r="AFP40" s="337"/>
      <c r="AFQ40" s="337"/>
      <c r="AFR40" s="337"/>
      <c r="AFS40" s="337"/>
      <c r="AFT40" s="337"/>
      <c r="AFU40" s="337"/>
      <c r="AFV40" s="337"/>
      <c r="AFW40" s="337"/>
      <c r="AFX40" s="337"/>
      <c r="AFY40" s="337"/>
      <c r="AFZ40" s="337"/>
      <c r="AGA40" s="337"/>
      <c r="AGB40" s="337"/>
      <c r="AGC40" s="337"/>
      <c r="AGD40" s="337"/>
      <c r="AGE40" s="337"/>
      <c r="AGF40" s="337"/>
      <c r="AGG40" s="337"/>
      <c r="AGH40" s="337"/>
      <c r="AGI40" s="337"/>
      <c r="AGJ40" s="337"/>
      <c r="AGK40" s="337"/>
      <c r="AGL40" s="337"/>
      <c r="AGM40" s="337"/>
      <c r="AGN40" s="337"/>
      <c r="AGO40" s="337"/>
      <c r="AGP40" s="337"/>
      <c r="AGQ40" s="337"/>
      <c r="AGR40" s="337"/>
      <c r="AGS40" s="337"/>
      <c r="AGT40" s="337"/>
      <c r="AGU40" s="337"/>
      <c r="AGV40" s="337"/>
      <c r="AGW40" s="337"/>
      <c r="AGX40" s="337"/>
      <c r="AGY40" s="337"/>
      <c r="AGZ40" s="337"/>
    </row>
    <row r="41" ht="24" customHeight="1" spans="1:884">
      <c r="A41" s="349">
        <v>37</v>
      </c>
      <c r="B41" s="350"/>
      <c r="C41" s="351" t="s">
        <v>120</v>
      </c>
      <c r="D41" s="358"/>
      <c r="E41" s="358"/>
      <c r="F41" s="81">
        <v>16</v>
      </c>
      <c r="G41" s="356" t="s">
        <v>514</v>
      </c>
      <c r="H41" s="357" t="s">
        <v>515</v>
      </c>
      <c r="I41" s="100" t="s">
        <v>124</v>
      </c>
      <c r="J41" s="100" t="s">
        <v>124</v>
      </c>
      <c r="K41" s="100"/>
      <c r="L41" s="100" t="s">
        <v>124</v>
      </c>
      <c r="M41" s="100" t="s">
        <v>124</v>
      </c>
      <c r="N41" s="373" t="s">
        <v>516</v>
      </c>
      <c r="O41" s="374"/>
      <c r="P41" s="375" t="str">
        <f>CONCATENATE(RemovePunctuation(H41),"_CA","_","i4K","_",C41,"_",AE41,"_",PROPER(R41),IF(S41="",PROPER(R41),PROPER(S41)),PROPER(T41),PROPER(U41),PROPER(V41),IF(V41&lt;&gt;"","SUB",""),PROPER(W41),IF(W41&lt;&gt;"","SUB",""),"_","Ed","_","M1",".mpg")</f>
        <v>LudwigS01E03_CA_i4K_0825_43_EngEngZhoSUB_Ed_M1.mpg</v>
      </c>
      <c r="Q41" s="375" t="str">
        <f>CONCATENATE(RemovePunctuation(H41),"_CA","_","i5K","_",C41,"_",AD41,"_",PROPER(R41),IF(S41="",PROPER(R41),PROPER(S41)),PROPER(T41),PROPER(U41),PROPER(V41),IF(V41&lt;&gt;"","SUB",""),PROPER(W41),IF(W41&lt;&gt;"","SUB",""),"_","Ed","_","M4",".mpg")</f>
        <v>LudwigS01E03_CA_i5K_0825_169_EngEngZhoSUB_Ed_M4.mpg</v>
      </c>
      <c r="R41" s="382" t="s">
        <v>131</v>
      </c>
      <c r="S41" s="385"/>
      <c r="T41" s="384"/>
      <c r="U41" s="384"/>
      <c r="V41" s="382" t="s">
        <v>130</v>
      </c>
      <c r="W41" s="386"/>
      <c r="X41" s="349" t="s">
        <v>129</v>
      </c>
      <c r="Y41" s="349" t="s">
        <v>129</v>
      </c>
      <c r="Z41" s="120">
        <f t="shared" si="6"/>
        <v>56</v>
      </c>
      <c r="AA41" s="304" t="str">
        <f t="shared" si="7"/>
        <v>00:56:00</v>
      </c>
      <c r="AB41" s="120">
        <f t="shared" si="8"/>
        <v>3360</v>
      </c>
      <c r="AC41" s="399">
        <v>0.0391666666666667</v>
      </c>
      <c r="AD41" s="400">
        <v>169</v>
      </c>
      <c r="AE41" s="400">
        <v>43</v>
      </c>
      <c r="AF41" s="349" t="s">
        <v>132</v>
      </c>
      <c r="AP41" s="337"/>
      <c r="AQ41" s="337"/>
      <c r="AR41" s="337"/>
      <c r="AS41" s="337"/>
      <c r="AT41" s="337"/>
      <c r="AU41" s="337"/>
      <c r="AV41" s="337"/>
      <c r="AW41" s="337"/>
      <c r="AX41" s="337"/>
      <c r="AY41" s="337"/>
      <c r="AZ41" s="337"/>
      <c r="BA41" s="337"/>
      <c r="BB41" s="337"/>
      <c r="BC41" s="337"/>
      <c r="BD41" s="337"/>
      <c r="BE41" s="337"/>
      <c r="BF41" s="337"/>
      <c r="BG41" s="337"/>
      <c r="BH41" s="337"/>
      <c r="BI41" s="337"/>
      <c r="BJ41" s="337"/>
      <c r="BK41" s="337"/>
      <c r="BL41" s="337"/>
      <c r="BM41" s="337"/>
      <c r="BN41" s="337"/>
      <c r="BO41" s="337"/>
      <c r="BP41" s="337"/>
      <c r="BQ41" s="337"/>
      <c r="BR41" s="337"/>
      <c r="BS41" s="337"/>
      <c r="BT41" s="337"/>
      <c r="BU41" s="337"/>
      <c r="BV41" s="337"/>
      <c r="BW41" s="337"/>
      <c r="BX41" s="337"/>
      <c r="BY41" s="337"/>
      <c r="BZ41" s="337"/>
      <c r="CA41" s="337"/>
      <c r="CB41" s="337"/>
      <c r="CC41" s="337"/>
      <c r="CD41" s="337"/>
      <c r="CE41" s="337"/>
      <c r="CF41" s="337"/>
      <c r="CG41" s="337"/>
      <c r="CH41" s="337"/>
      <c r="CI41" s="337"/>
      <c r="CJ41" s="337"/>
      <c r="CK41" s="337"/>
      <c r="CL41" s="337"/>
      <c r="CM41" s="337"/>
      <c r="CN41" s="337"/>
      <c r="CO41" s="337"/>
      <c r="CP41" s="337"/>
      <c r="CQ41" s="337"/>
      <c r="CR41" s="337"/>
      <c r="CS41" s="337"/>
      <c r="CT41" s="337"/>
      <c r="CU41" s="337"/>
      <c r="CV41" s="337"/>
      <c r="CW41" s="337"/>
      <c r="CX41" s="337"/>
      <c r="CY41" s="337"/>
      <c r="CZ41" s="337"/>
      <c r="DA41" s="337"/>
      <c r="DB41" s="337"/>
      <c r="DC41" s="337"/>
      <c r="DD41" s="337"/>
      <c r="DE41" s="337"/>
      <c r="DF41" s="337"/>
      <c r="DG41" s="337"/>
      <c r="DH41" s="337"/>
      <c r="DI41" s="337"/>
      <c r="DJ41" s="337"/>
      <c r="DK41" s="337"/>
      <c r="DL41" s="337"/>
      <c r="DM41" s="337"/>
      <c r="DN41" s="337"/>
      <c r="DO41" s="337"/>
      <c r="DP41" s="337"/>
      <c r="DQ41" s="337"/>
      <c r="DR41" s="337"/>
      <c r="DS41" s="337"/>
      <c r="DT41" s="337"/>
      <c r="DU41" s="337"/>
      <c r="DV41" s="337"/>
      <c r="DW41" s="337"/>
      <c r="DX41" s="337"/>
      <c r="DY41" s="337"/>
      <c r="DZ41" s="337"/>
      <c r="EA41" s="337"/>
      <c r="EB41" s="337"/>
      <c r="EC41" s="337"/>
      <c r="ED41" s="337"/>
      <c r="EE41" s="337"/>
      <c r="EF41" s="337"/>
      <c r="EG41" s="337"/>
      <c r="EH41" s="337"/>
      <c r="EI41" s="337"/>
      <c r="EJ41" s="337"/>
      <c r="EK41" s="337"/>
      <c r="EL41" s="337"/>
      <c r="EM41" s="337"/>
      <c r="EN41" s="337"/>
      <c r="EO41" s="337"/>
      <c r="EP41" s="337"/>
      <c r="EQ41" s="337"/>
      <c r="ER41" s="337"/>
      <c r="ES41" s="337"/>
      <c r="ET41" s="337"/>
      <c r="EU41" s="337"/>
      <c r="EV41" s="337"/>
      <c r="EW41" s="337"/>
      <c r="EX41" s="337"/>
      <c r="EY41" s="337"/>
      <c r="EZ41" s="337"/>
      <c r="FA41" s="337"/>
      <c r="FB41" s="337"/>
      <c r="FC41" s="337"/>
      <c r="FD41" s="337"/>
      <c r="FE41" s="337"/>
      <c r="FF41" s="337"/>
      <c r="FG41" s="337"/>
      <c r="FH41" s="337"/>
      <c r="FI41" s="337"/>
      <c r="FJ41" s="337"/>
      <c r="FK41" s="337"/>
      <c r="FL41" s="337"/>
      <c r="FM41" s="337"/>
      <c r="FN41" s="337"/>
      <c r="FO41" s="337"/>
      <c r="FP41" s="337"/>
      <c r="FQ41" s="337"/>
      <c r="FR41" s="337"/>
      <c r="FS41" s="337"/>
      <c r="FT41" s="337"/>
      <c r="FU41" s="337"/>
      <c r="FV41" s="337"/>
      <c r="FW41" s="337"/>
      <c r="FX41" s="337"/>
      <c r="FY41" s="337"/>
      <c r="FZ41" s="337"/>
      <c r="GA41" s="337"/>
      <c r="GB41" s="337"/>
      <c r="GC41" s="337"/>
      <c r="GD41" s="337"/>
      <c r="GE41" s="337"/>
      <c r="GF41" s="337"/>
      <c r="GG41" s="337"/>
      <c r="GH41" s="337"/>
      <c r="GI41" s="337"/>
      <c r="GJ41" s="337"/>
      <c r="GK41" s="337"/>
      <c r="GL41" s="337"/>
      <c r="GM41" s="337"/>
      <c r="GN41" s="337"/>
      <c r="GO41" s="337"/>
      <c r="GP41" s="337"/>
      <c r="GQ41" s="337"/>
      <c r="GR41" s="337"/>
      <c r="GS41" s="337"/>
      <c r="GT41" s="337"/>
      <c r="GU41" s="337"/>
      <c r="GV41" s="337"/>
      <c r="GW41" s="337"/>
      <c r="GX41" s="337"/>
      <c r="GY41" s="337"/>
      <c r="GZ41" s="337"/>
      <c r="HA41" s="337"/>
      <c r="HB41" s="337"/>
      <c r="HC41" s="337"/>
      <c r="HD41" s="337"/>
      <c r="HE41" s="337"/>
      <c r="HF41" s="337"/>
      <c r="HG41" s="337"/>
      <c r="HH41" s="337"/>
      <c r="HI41" s="337"/>
      <c r="HJ41" s="337"/>
      <c r="HK41" s="337"/>
      <c r="HL41" s="337"/>
      <c r="HM41" s="337"/>
      <c r="HN41" s="337"/>
      <c r="HO41" s="337"/>
      <c r="HP41" s="337"/>
      <c r="HQ41" s="337"/>
      <c r="HR41" s="337"/>
      <c r="HS41" s="337"/>
      <c r="HT41" s="337"/>
      <c r="HU41" s="337"/>
      <c r="HV41" s="337"/>
      <c r="HW41" s="337"/>
      <c r="HX41" s="337"/>
      <c r="HY41" s="337"/>
      <c r="HZ41" s="337"/>
      <c r="IA41" s="337"/>
      <c r="IB41" s="337"/>
      <c r="IC41" s="337"/>
      <c r="ID41" s="337"/>
      <c r="IE41" s="337"/>
      <c r="IF41" s="337"/>
      <c r="IG41" s="337"/>
      <c r="IH41" s="337"/>
      <c r="II41" s="337"/>
      <c r="IJ41" s="337"/>
      <c r="IK41" s="337"/>
      <c r="IL41" s="337"/>
      <c r="IM41" s="337"/>
      <c r="IN41" s="337"/>
      <c r="IO41" s="337"/>
      <c r="IP41" s="337"/>
      <c r="IQ41" s="337"/>
      <c r="IR41" s="337"/>
      <c r="IS41" s="337"/>
      <c r="IT41" s="337"/>
      <c r="IU41" s="337"/>
      <c r="IV41" s="337"/>
      <c r="IW41" s="337"/>
      <c r="IX41" s="337"/>
      <c r="IY41" s="337"/>
      <c r="IZ41" s="337"/>
      <c r="JA41" s="337"/>
      <c r="JB41" s="337"/>
      <c r="JC41" s="337"/>
      <c r="JD41" s="337"/>
      <c r="JE41" s="337"/>
      <c r="JF41" s="337"/>
      <c r="JG41" s="337"/>
      <c r="JH41" s="337"/>
      <c r="JI41" s="337"/>
      <c r="JJ41" s="337"/>
      <c r="JK41" s="337"/>
      <c r="JL41" s="337"/>
      <c r="JM41" s="337"/>
      <c r="JN41" s="337"/>
      <c r="JO41" s="337"/>
      <c r="JP41" s="337"/>
      <c r="JQ41" s="337"/>
      <c r="JR41" s="337"/>
      <c r="JS41" s="337"/>
      <c r="JT41" s="337"/>
      <c r="JU41" s="337"/>
      <c r="JV41" s="337"/>
      <c r="JW41" s="337"/>
      <c r="JX41" s="337"/>
      <c r="JY41" s="337"/>
      <c r="JZ41" s="337"/>
      <c r="KA41" s="337"/>
      <c r="KB41" s="337"/>
      <c r="KC41" s="337"/>
      <c r="KD41" s="337"/>
      <c r="KE41" s="337"/>
      <c r="KF41" s="337"/>
      <c r="KG41" s="337"/>
      <c r="KH41" s="337"/>
      <c r="KI41" s="337"/>
      <c r="KJ41" s="337"/>
      <c r="KK41" s="337"/>
      <c r="KL41" s="337"/>
      <c r="KM41" s="337"/>
      <c r="KN41" s="337"/>
      <c r="KO41" s="337"/>
      <c r="KP41" s="337"/>
      <c r="KQ41" s="337"/>
      <c r="KR41" s="337"/>
      <c r="KS41" s="337"/>
      <c r="KT41" s="337"/>
      <c r="KU41" s="337"/>
      <c r="KV41" s="337"/>
      <c r="KW41" s="337"/>
      <c r="KX41" s="337"/>
      <c r="KY41" s="337"/>
      <c r="KZ41" s="337"/>
      <c r="LA41" s="337"/>
      <c r="LB41" s="337"/>
      <c r="LC41" s="337"/>
      <c r="LD41" s="337"/>
      <c r="LE41" s="337"/>
      <c r="LF41" s="337"/>
      <c r="LG41" s="337"/>
      <c r="LH41" s="337"/>
      <c r="LI41" s="337"/>
      <c r="LJ41" s="337"/>
      <c r="LK41" s="337"/>
      <c r="LL41" s="337"/>
      <c r="LM41" s="337"/>
      <c r="LN41" s="337"/>
      <c r="LO41" s="337"/>
      <c r="LP41" s="337"/>
      <c r="LQ41" s="337"/>
      <c r="LR41" s="337"/>
      <c r="LS41" s="337"/>
      <c r="LT41" s="337"/>
      <c r="LU41" s="337"/>
      <c r="LV41" s="337"/>
      <c r="LW41" s="337"/>
      <c r="LX41" s="337"/>
      <c r="LY41" s="337"/>
      <c r="LZ41" s="337"/>
      <c r="MA41" s="337"/>
      <c r="MB41" s="337"/>
      <c r="MC41" s="337"/>
      <c r="MD41" s="337"/>
      <c r="ME41" s="337"/>
      <c r="MF41" s="337"/>
      <c r="MG41" s="337"/>
      <c r="MH41" s="337"/>
      <c r="MI41" s="337"/>
      <c r="MJ41" s="337"/>
      <c r="MK41" s="337"/>
      <c r="ML41" s="337"/>
      <c r="MM41" s="337"/>
      <c r="MN41" s="337"/>
      <c r="MO41" s="337"/>
      <c r="MP41" s="337"/>
      <c r="MQ41" s="337"/>
      <c r="MR41" s="337"/>
      <c r="MS41" s="337"/>
      <c r="MT41" s="337"/>
      <c r="MU41" s="337"/>
      <c r="MV41" s="337"/>
      <c r="MW41" s="337"/>
      <c r="MX41" s="337"/>
      <c r="MY41" s="337"/>
      <c r="MZ41" s="337"/>
      <c r="NA41" s="337"/>
      <c r="NB41" s="337"/>
      <c r="NC41" s="337"/>
      <c r="ND41" s="337"/>
      <c r="NE41" s="337"/>
      <c r="NF41" s="337"/>
      <c r="NG41" s="337"/>
      <c r="NH41" s="337"/>
      <c r="NI41" s="337"/>
      <c r="NJ41" s="337"/>
      <c r="NK41" s="337"/>
      <c r="NL41" s="337"/>
      <c r="NM41" s="337"/>
      <c r="NN41" s="337"/>
      <c r="NO41" s="337"/>
      <c r="NP41" s="337"/>
      <c r="NQ41" s="337"/>
      <c r="NR41" s="337"/>
      <c r="NS41" s="337"/>
      <c r="NT41" s="337"/>
      <c r="NU41" s="337"/>
      <c r="NV41" s="337"/>
      <c r="NW41" s="337"/>
      <c r="NX41" s="337"/>
      <c r="NY41" s="337"/>
      <c r="NZ41" s="337"/>
      <c r="OA41" s="337"/>
      <c r="OB41" s="337"/>
      <c r="OC41" s="337"/>
      <c r="OD41" s="337"/>
      <c r="OE41" s="337"/>
      <c r="OF41" s="337"/>
      <c r="OG41" s="337"/>
      <c r="OH41" s="337"/>
      <c r="OI41" s="337"/>
      <c r="OJ41" s="337"/>
      <c r="OK41" s="337"/>
      <c r="OL41" s="337"/>
      <c r="OM41" s="337"/>
      <c r="ON41" s="337"/>
      <c r="OO41" s="337"/>
      <c r="OP41" s="337"/>
      <c r="OQ41" s="337"/>
      <c r="OR41" s="337"/>
      <c r="OS41" s="337"/>
      <c r="OT41" s="337"/>
      <c r="OU41" s="337"/>
      <c r="OV41" s="337"/>
      <c r="OW41" s="337"/>
      <c r="OX41" s="337"/>
      <c r="OY41" s="337"/>
      <c r="OZ41" s="337"/>
      <c r="PA41" s="337"/>
      <c r="PB41" s="337"/>
      <c r="PC41" s="337"/>
      <c r="PD41" s="337"/>
      <c r="PE41" s="337"/>
      <c r="PF41" s="337"/>
      <c r="PG41" s="337"/>
      <c r="PH41" s="337"/>
      <c r="PI41" s="337"/>
      <c r="PJ41" s="337"/>
      <c r="PK41" s="337"/>
      <c r="PL41" s="337"/>
      <c r="PM41" s="337"/>
      <c r="PN41" s="337"/>
      <c r="PO41" s="337"/>
      <c r="PP41" s="337"/>
      <c r="PQ41" s="337"/>
      <c r="PR41" s="337"/>
      <c r="PS41" s="337"/>
      <c r="PT41" s="337"/>
      <c r="PU41" s="337"/>
      <c r="PV41" s="337"/>
      <c r="PW41" s="337"/>
      <c r="PX41" s="337"/>
      <c r="PY41" s="337"/>
      <c r="PZ41" s="337"/>
      <c r="QA41" s="337"/>
      <c r="QB41" s="337"/>
      <c r="QC41" s="337"/>
      <c r="QD41" s="337"/>
      <c r="QE41" s="337"/>
      <c r="QF41" s="337"/>
      <c r="QG41" s="337"/>
      <c r="QH41" s="337"/>
      <c r="QI41" s="337"/>
      <c r="QJ41" s="337"/>
      <c r="QK41" s="337"/>
      <c r="QL41" s="337"/>
      <c r="QM41" s="337"/>
      <c r="QN41" s="337"/>
      <c r="QO41" s="337"/>
      <c r="QP41" s="337"/>
      <c r="QQ41" s="337"/>
      <c r="QR41" s="337"/>
      <c r="QS41" s="337"/>
      <c r="QT41" s="337"/>
      <c r="QU41" s="337"/>
      <c r="QV41" s="337"/>
      <c r="QW41" s="337"/>
      <c r="QX41" s="337"/>
      <c r="QY41" s="337"/>
      <c r="QZ41" s="337"/>
      <c r="RA41" s="337"/>
      <c r="RB41" s="337"/>
      <c r="RC41" s="337"/>
      <c r="RD41" s="337"/>
      <c r="RE41" s="337"/>
      <c r="RF41" s="337"/>
      <c r="RG41" s="337"/>
      <c r="RH41" s="337"/>
      <c r="RI41" s="337"/>
      <c r="RJ41" s="337"/>
      <c r="RK41" s="337"/>
      <c r="RL41" s="337"/>
      <c r="RM41" s="337"/>
      <c r="RN41" s="337"/>
      <c r="RO41" s="337"/>
      <c r="RP41" s="337"/>
      <c r="RQ41" s="337"/>
      <c r="RR41" s="337"/>
      <c r="RS41" s="337"/>
      <c r="RT41" s="337"/>
      <c r="RU41" s="337"/>
      <c r="RV41" s="337"/>
      <c r="RW41" s="337"/>
      <c r="RX41" s="337"/>
      <c r="RY41" s="337"/>
      <c r="RZ41" s="337"/>
      <c r="SA41" s="337"/>
      <c r="SB41" s="337"/>
      <c r="SC41" s="337"/>
      <c r="SD41" s="337"/>
      <c r="SE41" s="337"/>
      <c r="SF41" s="337"/>
      <c r="SG41" s="337"/>
      <c r="SH41" s="337"/>
      <c r="SI41" s="337"/>
      <c r="SJ41" s="337"/>
      <c r="SK41" s="337"/>
      <c r="SL41" s="337"/>
      <c r="SM41" s="337"/>
      <c r="SN41" s="337"/>
      <c r="SO41" s="337"/>
      <c r="SP41" s="337"/>
      <c r="SQ41" s="337"/>
      <c r="SR41" s="337"/>
      <c r="SS41" s="337"/>
      <c r="ST41" s="337"/>
      <c r="SU41" s="337"/>
      <c r="SV41" s="337"/>
      <c r="SW41" s="337"/>
      <c r="SX41" s="337"/>
      <c r="SY41" s="337"/>
      <c r="SZ41" s="337"/>
      <c r="TA41" s="337"/>
      <c r="TB41" s="337"/>
      <c r="TC41" s="337"/>
      <c r="TD41" s="337"/>
      <c r="TE41" s="337"/>
      <c r="TF41" s="337"/>
      <c r="TG41" s="337"/>
      <c r="TH41" s="337"/>
      <c r="TI41" s="337"/>
      <c r="TJ41" s="337"/>
      <c r="TK41" s="337"/>
      <c r="TL41" s="337"/>
      <c r="TM41" s="337"/>
      <c r="TN41" s="337"/>
      <c r="TO41" s="337"/>
      <c r="TP41" s="337"/>
      <c r="TQ41" s="337"/>
      <c r="TR41" s="337"/>
      <c r="TS41" s="337"/>
      <c r="TT41" s="337"/>
      <c r="TU41" s="337"/>
      <c r="TV41" s="337"/>
      <c r="TW41" s="337"/>
      <c r="TX41" s="337"/>
      <c r="TY41" s="337"/>
      <c r="TZ41" s="337"/>
      <c r="UA41" s="337"/>
      <c r="UB41" s="337"/>
      <c r="UC41" s="337"/>
      <c r="UD41" s="337"/>
      <c r="UE41" s="337"/>
      <c r="UF41" s="337"/>
      <c r="UG41" s="337"/>
      <c r="UH41" s="337"/>
      <c r="UI41" s="337"/>
      <c r="UJ41" s="337"/>
      <c r="UK41" s="337"/>
      <c r="UL41" s="337"/>
      <c r="UM41" s="337"/>
      <c r="UN41" s="337"/>
      <c r="UO41" s="337"/>
      <c r="UP41" s="337"/>
      <c r="UQ41" s="337"/>
      <c r="UR41" s="337"/>
      <c r="US41" s="337"/>
      <c r="UT41" s="337"/>
      <c r="UU41" s="337"/>
      <c r="UV41" s="337"/>
      <c r="UW41" s="337"/>
      <c r="UX41" s="337"/>
      <c r="UY41" s="337"/>
      <c r="UZ41" s="337"/>
      <c r="VA41" s="337"/>
      <c r="VB41" s="337"/>
      <c r="VC41" s="337"/>
      <c r="VD41" s="337"/>
      <c r="VE41" s="337"/>
      <c r="VF41" s="337"/>
      <c r="VG41" s="337"/>
      <c r="VH41" s="337"/>
      <c r="VI41" s="337"/>
      <c r="VJ41" s="337"/>
      <c r="VK41" s="337"/>
      <c r="VL41" s="337"/>
      <c r="VM41" s="337"/>
      <c r="VN41" s="337"/>
      <c r="VO41" s="337"/>
      <c r="VP41" s="337"/>
      <c r="VQ41" s="337"/>
      <c r="VR41" s="337"/>
      <c r="VS41" s="337"/>
      <c r="VT41" s="337"/>
      <c r="VU41" s="337"/>
      <c r="VV41" s="337"/>
      <c r="VW41" s="337"/>
      <c r="VX41" s="337"/>
      <c r="VY41" s="337"/>
      <c r="VZ41" s="337"/>
      <c r="WA41" s="337"/>
      <c r="WB41" s="337"/>
      <c r="WC41" s="337"/>
      <c r="WD41" s="337"/>
      <c r="WE41" s="337"/>
      <c r="WF41" s="337"/>
      <c r="WG41" s="337"/>
      <c r="WH41" s="337"/>
      <c r="WI41" s="337"/>
      <c r="WJ41" s="337"/>
      <c r="WK41" s="337"/>
      <c r="WL41" s="337"/>
      <c r="WM41" s="337"/>
      <c r="WN41" s="337"/>
      <c r="WO41" s="337"/>
      <c r="WP41" s="337"/>
      <c r="WQ41" s="337"/>
      <c r="WR41" s="337"/>
      <c r="WS41" s="337"/>
      <c r="WT41" s="337"/>
      <c r="WU41" s="337"/>
      <c r="WV41" s="337"/>
      <c r="WW41" s="337"/>
      <c r="WX41" s="337"/>
      <c r="WY41" s="337"/>
      <c r="WZ41" s="337"/>
      <c r="XA41" s="337"/>
      <c r="XB41" s="337"/>
      <c r="XC41" s="337"/>
      <c r="XD41" s="337"/>
      <c r="XE41" s="337"/>
      <c r="XF41" s="337"/>
      <c r="XG41" s="337"/>
      <c r="XH41" s="337"/>
      <c r="XI41" s="337"/>
      <c r="XJ41" s="337"/>
      <c r="XK41" s="337"/>
      <c r="XL41" s="337"/>
      <c r="XM41" s="337"/>
      <c r="XN41" s="337"/>
      <c r="XO41" s="337"/>
      <c r="XP41" s="337"/>
      <c r="XQ41" s="337"/>
      <c r="XR41" s="337"/>
      <c r="XS41" s="337"/>
      <c r="XT41" s="337"/>
      <c r="XU41" s="337"/>
      <c r="XV41" s="337"/>
      <c r="XW41" s="337"/>
      <c r="XX41" s="337"/>
      <c r="XY41" s="337"/>
      <c r="XZ41" s="337"/>
      <c r="YA41" s="337"/>
      <c r="YB41" s="337"/>
      <c r="YC41" s="337"/>
      <c r="YD41" s="337"/>
      <c r="YE41" s="337"/>
      <c r="YF41" s="337"/>
      <c r="YG41" s="337"/>
      <c r="YH41" s="337"/>
      <c r="YI41" s="337"/>
      <c r="YJ41" s="337"/>
      <c r="YK41" s="337"/>
      <c r="YL41" s="337"/>
      <c r="YM41" s="337"/>
      <c r="YN41" s="337"/>
      <c r="YO41" s="337"/>
      <c r="YP41" s="337"/>
      <c r="YQ41" s="337"/>
      <c r="YR41" s="337"/>
      <c r="YS41" s="337"/>
      <c r="YT41" s="337"/>
      <c r="YU41" s="337"/>
      <c r="YV41" s="337"/>
      <c r="YW41" s="337"/>
      <c r="YX41" s="337"/>
      <c r="YY41" s="337"/>
      <c r="YZ41" s="337"/>
      <c r="ZA41" s="337"/>
      <c r="ZB41" s="337"/>
      <c r="ZC41" s="337"/>
      <c r="ZD41" s="337"/>
      <c r="ZE41" s="337"/>
      <c r="ZF41" s="337"/>
      <c r="ZG41" s="337"/>
      <c r="ZH41" s="337"/>
      <c r="ZI41" s="337"/>
      <c r="ZJ41" s="337"/>
      <c r="ZK41" s="337"/>
      <c r="ZL41" s="337"/>
      <c r="ZM41" s="337"/>
      <c r="ZN41" s="337"/>
      <c r="ZO41" s="337"/>
      <c r="ZP41" s="337"/>
      <c r="ZQ41" s="337"/>
      <c r="ZR41" s="337"/>
      <c r="ZS41" s="337"/>
      <c r="ZT41" s="337"/>
      <c r="ZU41" s="337"/>
      <c r="ZV41" s="337"/>
      <c r="ZW41" s="337"/>
      <c r="ZX41" s="337"/>
      <c r="ZY41" s="337"/>
      <c r="ZZ41" s="337"/>
      <c r="AAA41" s="337"/>
      <c r="AAB41" s="337"/>
      <c r="AAC41" s="337"/>
      <c r="AAD41" s="337"/>
      <c r="AAE41" s="337"/>
      <c r="AAF41" s="337"/>
      <c r="AAG41" s="337"/>
      <c r="AAH41" s="337"/>
      <c r="AAI41" s="337"/>
      <c r="AAJ41" s="337"/>
      <c r="AAK41" s="337"/>
      <c r="AAL41" s="337"/>
      <c r="AAM41" s="337"/>
      <c r="AAN41" s="337"/>
      <c r="AAO41" s="337"/>
      <c r="AAP41" s="337"/>
      <c r="AAQ41" s="337"/>
      <c r="AAR41" s="337"/>
      <c r="AAS41" s="337"/>
      <c r="AAT41" s="337"/>
      <c r="AAU41" s="337"/>
      <c r="AAV41" s="337"/>
      <c r="AAW41" s="337"/>
      <c r="AAX41" s="337"/>
      <c r="AAY41" s="337"/>
      <c r="AAZ41" s="337"/>
      <c r="ABA41" s="337"/>
      <c r="ABB41" s="337"/>
      <c r="ABC41" s="337"/>
      <c r="ABD41" s="337"/>
      <c r="ABE41" s="337"/>
      <c r="ABF41" s="337"/>
      <c r="ABG41" s="337"/>
      <c r="ABH41" s="337"/>
      <c r="ABI41" s="337"/>
      <c r="ABJ41" s="337"/>
      <c r="ABK41" s="337"/>
      <c r="ABL41" s="337"/>
      <c r="ABM41" s="337"/>
      <c r="ABN41" s="337"/>
      <c r="ABO41" s="337"/>
      <c r="ABP41" s="337"/>
      <c r="ABQ41" s="337"/>
      <c r="ABR41" s="337"/>
      <c r="ABS41" s="337"/>
      <c r="ABT41" s="337"/>
      <c r="ABU41" s="337"/>
      <c r="ABV41" s="337"/>
      <c r="ABW41" s="337"/>
      <c r="ABX41" s="337"/>
      <c r="ABY41" s="337"/>
      <c r="ABZ41" s="337"/>
      <c r="ACA41" s="337"/>
      <c r="ACB41" s="337"/>
      <c r="ACC41" s="337"/>
      <c r="ACD41" s="337"/>
      <c r="ACE41" s="337"/>
      <c r="ACF41" s="337"/>
      <c r="ACG41" s="337"/>
      <c r="ACH41" s="337"/>
      <c r="ACI41" s="337"/>
      <c r="ACJ41" s="337"/>
      <c r="ACK41" s="337"/>
      <c r="ACL41" s="337"/>
      <c r="ACM41" s="337"/>
      <c r="ACN41" s="337"/>
      <c r="ACO41" s="337"/>
      <c r="ACP41" s="337"/>
      <c r="ACQ41" s="337"/>
      <c r="ACR41" s="337"/>
      <c r="ACS41" s="337"/>
      <c r="ACT41" s="337"/>
      <c r="ACU41" s="337"/>
      <c r="ACV41" s="337"/>
      <c r="ACW41" s="337"/>
      <c r="ACX41" s="337"/>
      <c r="ACY41" s="337"/>
      <c r="ACZ41" s="337"/>
      <c r="ADA41" s="337"/>
      <c r="ADB41" s="337"/>
      <c r="ADC41" s="337"/>
      <c r="ADD41" s="337"/>
      <c r="ADE41" s="337"/>
      <c r="ADF41" s="337"/>
      <c r="ADG41" s="337"/>
      <c r="ADH41" s="337"/>
      <c r="ADI41" s="337"/>
      <c r="ADJ41" s="337"/>
      <c r="ADK41" s="337"/>
      <c r="ADL41" s="337"/>
      <c r="ADM41" s="337"/>
      <c r="ADN41" s="337"/>
      <c r="ADO41" s="337"/>
      <c r="ADP41" s="337"/>
      <c r="ADQ41" s="337"/>
      <c r="ADR41" s="337"/>
      <c r="ADS41" s="337"/>
      <c r="ADT41" s="337"/>
      <c r="ADU41" s="337"/>
      <c r="ADV41" s="337"/>
      <c r="ADW41" s="337"/>
      <c r="ADX41" s="337"/>
      <c r="ADY41" s="337"/>
      <c r="ADZ41" s="337"/>
      <c r="AEA41" s="337"/>
      <c r="AEB41" s="337"/>
      <c r="AEC41" s="337"/>
      <c r="AED41" s="337"/>
      <c r="AEE41" s="337"/>
      <c r="AEF41" s="337"/>
      <c r="AEG41" s="337"/>
      <c r="AEH41" s="337"/>
      <c r="AEI41" s="337"/>
      <c r="AEJ41" s="337"/>
      <c r="AEK41" s="337"/>
      <c r="AEL41" s="337"/>
      <c r="AEM41" s="337"/>
      <c r="AEN41" s="337"/>
      <c r="AEO41" s="337"/>
      <c r="AEP41" s="337"/>
      <c r="AEQ41" s="337"/>
      <c r="AER41" s="337"/>
      <c r="AES41" s="337"/>
      <c r="AET41" s="337"/>
      <c r="AEU41" s="337"/>
      <c r="AEV41" s="337"/>
      <c r="AEW41" s="337"/>
      <c r="AEX41" s="337"/>
      <c r="AEY41" s="337"/>
      <c r="AEZ41" s="337"/>
      <c r="AFA41" s="337"/>
      <c r="AFB41" s="337"/>
      <c r="AFC41" s="337"/>
      <c r="AFD41" s="337"/>
      <c r="AFE41" s="337"/>
      <c r="AFF41" s="337"/>
      <c r="AFG41" s="337"/>
      <c r="AFH41" s="337"/>
      <c r="AFI41" s="337"/>
      <c r="AFJ41" s="337"/>
      <c r="AFK41" s="337"/>
      <c r="AFL41" s="337"/>
      <c r="AFM41" s="337"/>
      <c r="AFN41" s="337"/>
      <c r="AFO41" s="337"/>
      <c r="AFP41" s="337"/>
      <c r="AFQ41" s="337"/>
      <c r="AFR41" s="337"/>
      <c r="AFS41" s="337"/>
      <c r="AFT41" s="337"/>
      <c r="AFU41" s="337"/>
      <c r="AFV41" s="337"/>
      <c r="AFW41" s="337"/>
      <c r="AFX41" s="337"/>
      <c r="AFY41" s="337"/>
      <c r="AFZ41" s="337"/>
      <c r="AGA41" s="337"/>
      <c r="AGB41" s="337"/>
      <c r="AGC41" s="337"/>
      <c r="AGD41" s="337"/>
      <c r="AGE41" s="337"/>
      <c r="AGF41" s="337"/>
      <c r="AGG41" s="337"/>
      <c r="AGH41" s="337"/>
      <c r="AGI41" s="337"/>
      <c r="AGJ41" s="337"/>
      <c r="AGK41" s="337"/>
      <c r="AGL41" s="337"/>
      <c r="AGM41" s="337"/>
      <c r="AGN41" s="337"/>
      <c r="AGO41" s="337"/>
      <c r="AGP41" s="337"/>
      <c r="AGQ41" s="337"/>
      <c r="AGR41" s="337"/>
      <c r="AGS41" s="337"/>
      <c r="AGT41" s="337"/>
      <c r="AGU41" s="337"/>
      <c r="AGV41" s="337"/>
      <c r="AGW41" s="337"/>
      <c r="AGX41" s="337"/>
      <c r="AGY41" s="337"/>
      <c r="AGZ41" s="337"/>
    </row>
    <row r="42" ht="24" customHeight="1" spans="1:884">
      <c r="A42" s="349">
        <v>38</v>
      </c>
      <c r="B42" s="350"/>
      <c r="C42" s="351" t="s">
        <v>120</v>
      </c>
      <c r="D42" s="358"/>
      <c r="E42" s="358"/>
      <c r="F42" s="81">
        <v>17</v>
      </c>
      <c r="G42" s="356" t="s">
        <v>517</v>
      </c>
      <c r="H42" s="357" t="s">
        <v>518</v>
      </c>
      <c r="I42" s="100" t="s">
        <v>124</v>
      </c>
      <c r="J42" s="100" t="s">
        <v>124</v>
      </c>
      <c r="K42" s="100"/>
      <c r="L42" s="100" t="s">
        <v>124</v>
      </c>
      <c r="M42" s="100" t="s">
        <v>124</v>
      </c>
      <c r="N42" s="373" t="s">
        <v>519</v>
      </c>
      <c r="O42" s="374"/>
      <c r="P42" s="375" t="str">
        <f>CONCATENATE(RemovePunctuation(H42),"_CA","_","i4K","_",C42,"_",AE42,"_",PROPER(R42),IF(S42="",PROPER(R42),PROPER(S42)),PROPER(T42),PROPER(U42),PROPER(V42),IF(V42&lt;&gt;"","SUB",""),PROPER(W42),IF(W42&lt;&gt;"","SUB",""),"_","Ed","_","M1",".mpg")</f>
        <v>LudwigS01E02_CA_i4K_0825_43_EngEngZhoSUB_Ed_M1.mpg</v>
      </c>
      <c r="Q42" s="375" t="str">
        <f>CONCATENATE(RemovePunctuation(H42),"_CA","_","i5K","_",C42,"_",AD42,"_",PROPER(R42),IF(S42="",PROPER(R42),PROPER(S42)),PROPER(T42),PROPER(U42),PROPER(V42),IF(V42&lt;&gt;"","SUB",""),PROPER(W42),IF(W42&lt;&gt;"","SUB",""),"_","Ed","_","M4",".mpg")</f>
        <v>LudwigS01E02_CA_i5K_0825_169_EngEngZhoSUB_Ed_M4.mpg</v>
      </c>
      <c r="R42" s="382" t="s">
        <v>131</v>
      </c>
      <c r="S42" s="385"/>
      <c r="T42" s="384"/>
      <c r="U42" s="384"/>
      <c r="V42" s="382" t="s">
        <v>130</v>
      </c>
      <c r="W42" s="386"/>
      <c r="X42" s="349" t="s">
        <v>129</v>
      </c>
      <c r="Y42" s="349" t="s">
        <v>129</v>
      </c>
      <c r="Z42" s="120">
        <f t="shared" si="6"/>
        <v>55</v>
      </c>
      <c r="AA42" s="304" t="str">
        <f t="shared" si="7"/>
        <v>00:55:00</v>
      </c>
      <c r="AB42" s="120">
        <f t="shared" si="8"/>
        <v>3300</v>
      </c>
      <c r="AC42" s="399">
        <v>0.0384490740740741</v>
      </c>
      <c r="AD42" s="400">
        <v>169</v>
      </c>
      <c r="AE42" s="400">
        <v>43</v>
      </c>
      <c r="AF42" s="349" t="s">
        <v>132</v>
      </c>
      <c r="AP42" s="337"/>
      <c r="AQ42" s="337"/>
      <c r="AR42" s="337"/>
      <c r="AS42" s="337"/>
      <c r="AT42" s="337"/>
      <c r="AU42" s="337"/>
      <c r="AV42" s="337"/>
      <c r="AW42" s="337"/>
      <c r="AX42" s="337"/>
      <c r="AY42" s="337"/>
      <c r="AZ42" s="337"/>
      <c r="BA42" s="337"/>
      <c r="BB42" s="337"/>
      <c r="BC42" s="337"/>
      <c r="BD42" s="337"/>
      <c r="BE42" s="337"/>
      <c r="BF42" s="337"/>
      <c r="BG42" s="337"/>
      <c r="BH42" s="337"/>
      <c r="BI42" s="337"/>
      <c r="BJ42" s="337"/>
      <c r="BK42" s="337"/>
      <c r="BL42" s="337"/>
      <c r="BM42" s="337"/>
      <c r="BN42" s="337"/>
      <c r="BO42" s="337"/>
      <c r="BP42" s="337"/>
      <c r="BQ42" s="337"/>
      <c r="BR42" s="337"/>
      <c r="BS42" s="337"/>
      <c r="BT42" s="337"/>
      <c r="BU42" s="337"/>
      <c r="BV42" s="337"/>
      <c r="BW42" s="337"/>
      <c r="BX42" s="337"/>
      <c r="BY42" s="337"/>
      <c r="BZ42" s="337"/>
      <c r="CA42" s="337"/>
      <c r="CB42" s="337"/>
      <c r="CC42" s="337"/>
      <c r="CD42" s="337"/>
      <c r="CE42" s="337"/>
      <c r="CF42" s="337"/>
      <c r="CG42" s="337"/>
      <c r="CH42" s="337"/>
      <c r="CI42" s="337"/>
      <c r="CJ42" s="337"/>
      <c r="CK42" s="337"/>
      <c r="CL42" s="337"/>
      <c r="CM42" s="337"/>
      <c r="CN42" s="337"/>
      <c r="CO42" s="337"/>
      <c r="CP42" s="337"/>
      <c r="CQ42" s="337"/>
      <c r="CR42" s="337"/>
      <c r="CS42" s="337"/>
      <c r="CT42" s="337"/>
      <c r="CU42" s="337"/>
      <c r="CV42" s="337"/>
      <c r="CW42" s="337"/>
      <c r="CX42" s="337"/>
      <c r="CY42" s="337"/>
      <c r="CZ42" s="337"/>
      <c r="DA42" s="337"/>
      <c r="DB42" s="337"/>
      <c r="DC42" s="337"/>
      <c r="DD42" s="337"/>
      <c r="DE42" s="337"/>
      <c r="DF42" s="337"/>
      <c r="DG42" s="337"/>
      <c r="DH42" s="337"/>
      <c r="DI42" s="337"/>
      <c r="DJ42" s="337"/>
      <c r="DK42" s="337"/>
      <c r="DL42" s="337"/>
      <c r="DM42" s="337"/>
      <c r="DN42" s="337"/>
      <c r="DO42" s="337"/>
      <c r="DP42" s="337"/>
      <c r="DQ42" s="337"/>
      <c r="DR42" s="337"/>
      <c r="DS42" s="337"/>
      <c r="DT42" s="337"/>
      <c r="DU42" s="337"/>
      <c r="DV42" s="337"/>
      <c r="DW42" s="337"/>
      <c r="DX42" s="337"/>
      <c r="DY42" s="337"/>
      <c r="DZ42" s="337"/>
      <c r="EA42" s="337"/>
      <c r="EB42" s="337"/>
      <c r="EC42" s="337"/>
      <c r="ED42" s="337"/>
      <c r="EE42" s="337"/>
      <c r="EF42" s="337"/>
      <c r="EG42" s="337"/>
      <c r="EH42" s="337"/>
      <c r="EI42" s="337"/>
      <c r="EJ42" s="337"/>
      <c r="EK42" s="337"/>
      <c r="EL42" s="337"/>
      <c r="EM42" s="337"/>
      <c r="EN42" s="337"/>
      <c r="EO42" s="337"/>
      <c r="EP42" s="337"/>
      <c r="EQ42" s="337"/>
      <c r="ER42" s="337"/>
      <c r="ES42" s="337"/>
      <c r="ET42" s="337"/>
      <c r="EU42" s="337"/>
      <c r="EV42" s="337"/>
      <c r="EW42" s="337"/>
      <c r="EX42" s="337"/>
      <c r="EY42" s="337"/>
      <c r="EZ42" s="337"/>
      <c r="FA42" s="337"/>
      <c r="FB42" s="337"/>
      <c r="FC42" s="337"/>
      <c r="FD42" s="337"/>
      <c r="FE42" s="337"/>
      <c r="FF42" s="337"/>
      <c r="FG42" s="337"/>
      <c r="FH42" s="337"/>
      <c r="FI42" s="337"/>
      <c r="FJ42" s="337"/>
      <c r="FK42" s="337"/>
      <c r="FL42" s="337"/>
      <c r="FM42" s="337"/>
      <c r="FN42" s="337"/>
      <c r="FO42" s="337"/>
      <c r="FP42" s="337"/>
      <c r="FQ42" s="337"/>
      <c r="FR42" s="337"/>
      <c r="FS42" s="337"/>
      <c r="FT42" s="337"/>
      <c r="FU42" s="337"/>
      <c r="FV42" s="337"/>
      <c r="FW42" s="337"/>
      <c r="FX42" s="337"/>
      <c r="FY42" s="337"/>
      <c r="FZ42" s="337"/>
      <c r="GA42" s="337"/>
      <c r="GB42" s="337"/>
      <c r="GC42" s="337"/>
      <c r="GD42" s="337"/>
      <c r="GE42" s="337"/>
      <c r="GF42" s="337"/>
      <c r="GG42" s="337"/>
      <c r="GH42" s="337"/>
      <c r="GI42" s="337"/>
      <c r="GJ42" s="337"/>
      <c r="GK42" s="337"/>
      <c r="GL42" s="337"/>
      <c r="GM42" s="337"/>
      <c r="GN42" s="337"/>
      <c r="GO42" s="337"/>
      <c r="GP42" s="337"/>
      <c r="GQ42" s="337"/>
      <c r="GR42" s="337"/>
      <c r="GS42" s="337"/>
      <c r="GT42" s="337"/>
      <c r="GU42" s="337"/>
      <c r="GV42" s="337"/>
      <c r="GW42" s="337"/>
      <c r="GX42" s="337"/>
      <c r="GY42" s="337"/>
      <c r="GZ42" s="337"/>
      <c r="HA42" s="337"/>
      <c r="HB42" s="337"/>
      <c r="HC42" s="337"/>
      <c r="HD42" s="337"/>
      <c r="HE42" s="337"/>
      <c r="HF42" s="337"/>
      <c r="HG42" s="337"/>
      <c r="HH42" s="337"/>
      <c r="HI42" s="337"/>
      <c r="HJ42" s="337"/>
      <c r="HK42" s="337"/>
      <c r="HL42" s="337"/>
      <c r="HM42" s="337"/>
      <c r="HN42" s="337"/>
      <c r="HO42" s="337"/>
      <c r="HP42" s="337"/>
      <c r="HQ42" s="337"/>
      <c r="HR42" s="337"/>
      <c r="HS42" s="337"/>
      <c r="HT42" s="337"/>
      <c r="HU42" s="337"/>
      <c r="HV42" s="337"/>
      <c r="HW42" s="337"/>
      <c r="HX42" s="337"/>
      <c r="HY42" s="337"/>
      <c r="HZ42" s="337"/>
      <c r="IA42" s="337"/>
      <c r="IB42" s="337"/>
      <c r="IC42" s="337"/>
      <c r="ID42" s="337"/>
      <c r="IE42" s="337"/>
      <c r="IF42" s="337"/>
      <c r="IG42" s="337"/>
      <c r="IH42" s="337"/>
      <c r="II42" s="337"/>
      <c r="IJ42" s="337"/>
      <c r="IK42" s="337"/>
      <c r="IL42" s="337"/>
      <c r="IM42" s="337"/>
      <c r="IN42" s="337"/>
      <c r="IO42" s="337"/>
      <c r="IP42" s="337"/>
      <c r="IQ42" s="337"/>
      <c r="IR42" s="337"/>
      <c r="IS42" s="337"/>
      <c r="IT42" s="337"/>
      <c r="IU42" s="337"/>
      <c r="IV42" s="337"/>
      <c r="IW42" s="337"/>
      <c r="IX42" s="337"/>
      <c r="IY42" s="337"/>
      <c r="IZ42" s="337"/>
      <c r="JA42" s="337"/>
      <c r="JB42" s="337"/>
      <c r="JC42" s="337"/>
      <c r="JD42" s="337"/>
      <c r="JE42" s="337"/>
      <c r="JF42" s="337"/>
      <c r="JG42" s="337"/>
      <c r="JH42" s="337"/>
      <c r="JI42" s="337"/>
      <c r="JJ42" s="337"/>
      <c r="JK42" s="337"/>
      <c r="JL42" s="337"/>
      <c r="JM42" s="337"/>
      <c r="JN42" s="337"/>
      <c r="JO42" s="337"/>
      <c r="JP42" s="337"/>
      <c r="JQ42" s="337"/>
      <c r="JR42" s="337"/>
      <c r="JS42" s="337"/>
      <c r="JT42" s="337"/>
      <c r="JU42" s="337"/>
      <c r="JV42" s="337"/>
      <c r="JW42" s="337"/>
      <c r="JX42" s="337"/>
      <c r="JY42" s="337"/>
      <c r="JZ42" s="337"/>
      <c r="KA42" s="337"/>
      <c r="KB42" s="337"/>
      <c r="KC42" s="337"/>
      <c r="KD42" s="337"/>
      <c r="KE42" s="337"/>
      <c r="KF42" s="337"/>
      <c r="KG42" s="337"/>
      <c r="KH42" s="337"/>
      <c r="KI42" s="337"/>
      <c r="KJ42" s="337"/>
      <c r="KK42" s="337"/>
      <c r="KL42" s="337"/>
      <c r="KM42" s="337"/>
      <c r="KN42" s="337"/>
      <c r="KO42" s="337"/>
      <c r="KP42" s="337"/>
      <c r="KQ42" s="337"/>
      <c r="KR42" s="337"/>
      <c r="KS42" s="337"/>
      <c r="KT42" s="337"/>
      <c r="KU42" s="337"/>
      <c r="KV42" s="337"/>
      <c r="KW42" s="337"/>
      <c r="KX42" s="337"/>
      <c r="KY42" s="337"/>
      <c r="KZ42" s="337"/>
      <c r="LA42" s="337"/>
      <c r="LB42" s="337"/>
      <c r="LC42" s="337"/>
      <c r="LD42" s="337"/>
      <c r="LE42" s="337"/>
      <c r="LF42" s="337"/>
      <c r="LG42" s="337"/>
      <c r="LH42" s="337"/>
      <c r="LI42" s="337"/>
      <c r="LJ42" s="337"/>
      <c r="LK42" s="337"/>
      <c r="LL42" s="337"/>
      <c r="LM42" s="337"/>
      <c r="LN42" s="337"/>
      <c r="LO42" s="337"/>
      <c r="LP42" s="337"/>
      <c r="LQ42" s="337"/>
      <c r="LR42" s="337"/>
      <c r="LS42" s="337"/>
      <c r="LT42" s="337"/>
      <c r="LU42" s="337"/>
      <c r="LV42" s="337"/>
      <c r="LW42" s="337"/>
      <c r="LX42" s="337"/>
      <c r="LY42" s="337"/>
      <c r="LZ42" s="337"/>
      <c r="MA42" s="337"/>
      <c r="MB42" s="337"/>
      <c r="MC42" s="337"/>
      <c r="MD42" s="337"/>
      <c r="ME42" s="337"/>
      <c r="MF42" s="337"/>
      <c r="MG42" s="337"/>
      <c r="MH42" s="337"/>
      <c r="MI42" s="337"/>
      <c r="MJ42" s="337"/>
      <c r="MK42" s="337"/>
      <c r="ML42" s="337"/>
      <c r="MM42" s="337"/>
      <c r="MN42" s="337"/>
      <c r="MO42" s="337"/>
      <c r="MP42" s="337"/>
      <c r="MQ42" s="337"/>
      <c r="MR42" s="337"/>
      <c r="MS42" s="337"/>
      <c r="MT42" s="337"/>
      <c r="MU42" s="337"/>
      <c r="MV42" s="337"/>
      <c r="MW42" s="337"/>
      <c r="MX42" s="337"/>
      <c r="MY42" s="337"/>
      <c r="MZ42" s="337"/>
      <c r="NA42" s="337"/>
      <c r="NB42" s="337"/>
      <c r="NC42" s="337"/>
      <c r="ND42" s="337"/>
      <c r="NE42" s="337"/>
      <c r="NF42" s="337"/>
      <c r="NG42" s="337"/>
      <c r="NH42" s="337"/>
      <c r="NI42" s="337"/>
      <c r="NJ42" s="337"/>
      <c r="NK42" s="337"/>
      <c r="NL42" s="337"/>
      <c r="NM42" s="337"/>
      <c r="NN42" s="337"/>
      <c r="NO42" s="337"/>
      <c r="NP42" s="337"/>
      <c r="NQ42" s="337"/>
      <c r="NR42" s="337"/>
      <c r="NS42" s="337"/>
      <c r="NT42" s="337"/>
      <c r="NU42" s="337"/>
      <c r="NV42" s="337"/>
      <c r="NW42" s="337"/>
      <c r="NX42" s="337"/>
      <c r="NY42" s="337"/>
      <c r="NZ42" s="337"/>
      <c r="OA42" s="337"/>
      <c r="OB42" s="337"/>
      <c r="OC42" s="337"/>
      <c r="OD42" s="337"/>
      <c r="OE42" s="337"/>
      <c r="OF42" s="337"/>
      <c r="OG42" s="337"/>
      <c r="OH42" s="337"/>
      <c r="OI42" s="337"/>
      <c r="OJ42" s="337"/>
      <c r="OK42" s="337"/>
      <c r="OL42" s="337"/>
      <c r="OM42" s="337"/>
      <c r="ON42" s="337"/>
      <c r="OO42" s="337"/>
      <c r="OP42" s="337"/>
      <c r="OQ42" s="337"/>
      <c r="OR42" s="337"/>
      <c r="OS42" s="337"/>
      <c r="OT42" s="337"/>
      <c r="OU42" s="337"/>
      <c r="OV42" s="337"/>
      <c r="OW42" s="337"/>
      <c r="OX42" s="337"/>
      <c r="OY42" s="337"/>
      <c r="OZ42" s="337"/>
      <c r="PA42" s="337"/>
      <c r="PB42" s="337"/>
      <c r="PC42" s="337"/>
      <c r="PD42" s="337"/>
      <c r="PE42" s="337"/>
      <c r="PF42" s="337"/>
      <c r="PG42" s="337"/>
      <c r="PH42" s="337"/>
      <c r="PI42" s="337"/>
      <c r="PJ42" s="337"/>
      <c r="PK42" s="337"/>
      <c r="PL42" s="337"/>
      <c r="PM42" s="337"/>
      <c r="PN42" s="337"/>
      <c r="PO42" s="337"/>
      <c r="PP42" s="337"/>
      <c r="PQ42" s="337"/>
      <c r="PR42" s="337"/>
      <c r="PS42" s="337"/>
      <c r="PT42" s="337"/>
      <c r="PU42" s="337"/>
      <c r="PV42" s="337"/>
      <c r="PW42" s="337"/>
      <c r="PX42" s="337"/>
      <c r="PY42" s="337"/>
      <c r="PZ42" s="337"/>
      <c r="QA42" s="337"/>
      <c r="QB42" s="337"/>
      <c r="QC42" s="337"/>
      <c r="QD42" s="337"/>
      <c r="QE42" s="337"/>
      <c r="QF42" s="337"/>
      <c r="QG42" s="337"/>
      <c r="QH42" s="337"/>
      <c r="QI42" s="337"/>
      <c r="QJ42" s="337"/>
      <c r="QK42" s="337"/>
      <c r="QL42" s="337"/>
      <c r="QM42" s="337"/>
      <c r="QN42" s="337"/>
      <c r="QO42" s="337"/>
      <c r="QP42" s="337"/>
      <c r="QQ42" s="337"/>
      <c r="QR42" s="337"/>
      <c r="QS42" s="337"/>
      <c r="QT42" s="337"/>
      <c r="QU42" s="337"/>
      <c r="QV42" s="337"/>
      <c r="QW42" s="337"/>
      <c r="QX42" s="337"/>
      <c r="QY42" s="337"/>
      <c r="QZ42" s="337"/>
      <c r="RA42" s="337"/>
      <c r="RB42" s="337"/>
      <c r="RC42" s="337"/>
      <c r="RD42" s="337"/>
      <c r="RE42" s="337"/>
      <c r="RF42" s="337"/>
      <c r="RG42" s="337"/>
      <c r="RH42" s="337"/>
      <c r="RI42" s="337"/>
      <c r="RJ42" s="337"/>
      <c r="RK42" s="337"/>
      <c r="RL42" s="337"/>
      <c r="RM42" s="337"/>
      <c r="RN42" s="337"/>
      <c r="RO42" s="337"/>
      <c r="RP42" s="337"/>
      <c r="RQ42" s="337"/>
      <c r="RR42" s="337"/>
      <c r="RS42" s="337"/>
      <c r="RT42" s="337"/>
      <c r="RU42" s="337"/>
      <c r="RV42" s="337"/>
      <c r="RW42" s="337"/>
      <c r="RX42" s="337"/>
      <c r="RY42" s="337"/>
      <c r="RZ42" s="337"/>
      <c r="SA42" s="337"/>
      <c r="SB42" s="337"/>
      <c r="SC42" s="337"/>
      <c r="SD42" s="337"/>
      <c r="SE42" s="337"/>
      <c r="SF42" s="337"/>
      <c r="SG42" s="337"/>
      <c r="SH42" s="337"/>
      <c r="SI42" s="337"/>
      <c r="SJ42" s="337"/>
      <c r="SK42" s="337"/>
      <c r="SL42" s="337"/>
      <c r="SM42" s="337"/>
      <c r="SN42" s="337"/>
      <c r="SO42" s="337"/>
      <c r="SP42" s="337"/>
      <c r="SQ42" s="337"/>
      <c r="SR42" s="337"/>
      <c r="SS42" s="337"/>
      <c r="ST42" s="337"/>
      <c r="SU42" s="337"/>
      <c r="SV42" s="337"/>
      <c r="SW42" s="337"/>
      <c r="SX42" s="337"/>
      <c r="SY42" s="337"/>
      <c r="SZ42" s="337"/>
      <c r="TA42" s="337"/>
      <c r="TB42" s="337"/>
      <c r="TC42" s="337"/>
      <c r="TD42" s="337"/>
      <c r="TE42" s="337"/>
      <c r="TF42" s="337"/>
      <c r="TG42" s="337"/>
      <c r="TH42" s="337"/>
      <c r="TI42" s="337"/>
      <c r="TJ42" s="337"/>
      <c r="TK42" s="337"/>
      <c r="TL42" s="337"/>
      <c r="TM42" s="337"/>
      <c r="TN42" s="337"/>
      <c r="TO42" s="337"/>
      <c r="TP42" s="337"/>
      <c r="TQ42" s="337"/>
      <c r="TR42" s="337"/>
      <c r="TS42" s="337"/>
      <c r="TT42" s="337"/>
      <c r="TU42" s="337"/>
      <c r="TV42" s="337"/>
      <c r="TW42" s="337"/>
      <c r="TX42" s="337"/>
      <c r="TY42" s="337"/>
      <c r="TZ42" s="337"/>
      <c r="UA42" s="337"/>
      <c r="UB42" s="337"/>
      <c r="UC42" s="337"/>
      <c r="UD42" s="337"/>
      <c r="UE42" s="337"/>
      <c r="UF42" s="337"/>
      <c r="UG42" s="337"/>
      <c r="UH42" s="337"/>
      <c r="UI42" s="337"/>
      <c r="UJ42" s="337"/>
      <c r="UK42" s="337"/>
      <c r="UL42" s="337"/>
      <c r="UM42" s="337"/>
      <c r="UN42" s="337"/>
      <c r="UO42" s="337"/>
      <c r="UP42" s="337"/>
      <c r="UQ42" s="337"/>
      <c r="UR42" s="337"/>
      <c r="US42" s="337"/>
      <c r="UT42" s="337"/>
      <c r="UU42" s="337"/>
      <c r="UV42" s="337"/>
      <c r="UW42" s="337"/>
      <c r="UX42" s="337"/>
      <c r="UY42" s="337"/>
      <c r="UZ42" s="337"/>
      <c r="VA42" s="337"/>
      <c r="VB42" s="337"/>
      <c r="VC42" s="337"/>
      <c r="VD42" s="337"/>
      <c r="VE42" s="337"/>
      <c r="VF42" s="337"/>
      <c r="VG42" s="337"/>
      <c r="VH42" s="337"/>
      <c r="VI42" s="337"/>
      <c r="VJ42" s="337"/>
      <c r="VK42" s="337"/>
      <c r="VL42" s="337"/>
      <c r="VM42" s="337"/>
      <c r="VN42" s="337"/>
      <c r="VO42" s="337"/>
      <c r="VP42" s="337"/>
      <c r="VQ42" s="337"/>
      <c r="VR42" s="337"/>
      <c r="VS42" s="337"/>
      <c r="VT42" s="337"/>
      <c r="VU42" s="337"/>
      <c r="VV42" s="337"/>
      <c r="VW42" s="337"/>
      <c r="VX42" s="337"/>
      <c r="VY42" s="337"/>
      <c r="VZ42" s="337"/>
      <c r="WA42" s="337"/>
      <c r="WB42" s="337"/>
      <c r="WC42" s="337"/>
      <c r="WD42" s="337"/>
      <c r="WE42" s="337"/>
      <c r="WF42" s="337"/>
      <c r="WG42" s="337"/>
      <c r="WH42" s="337"/>
      <c r="WI42" s="337"/>
      <c r="WJ42" s="337"/>
      <c r="WK42" s="337"/>
      <c r="WL42" s="337"/>
      <c r="WM42" s="337"/>
      <c r="WN42" s="337"/>
      <c r="WO42" s="337"/>
      <c r="WP42" s="337"/>
      <c r="WQ42" s="337"/>
      <c r="WR42" s="337"/>
      <c r="WS42" s="337"/>
      <c r="WT42" s="337"/>
      <c r="WU42" s="337"/>
      <c r="WV42" s="337"/>
      <c r="WW42" s="337"/>
      <c r="WX42" s="337"/>
      <c r="WY42" s="337"/>
      <c r="WZ42" s="337"/>
      <c r="XA42" s="337"/>
      <c r="XB42" s="337"/>
      <c r="XC42" s="337"/>
      <c r="XD42" s="337"/>
      <c r="XE42" s="337"/>
      <c r="XF42" s="337"/>
      <c r="XG42" s="337"/>
      <c r="XH42" s="337"/>
      <c r="XI42" s="337"/>
      <c r="XJ42" s="337"/>
      <c r="XK42" s="337"/>
      <c r="XL42" s="337"/>
      <c r="XM42" s="337"/>
      <c r="XN42" s="337"/>
      <c r="XO42" s="337"/>
      <c r="XP42" s="337"/>
      <c r="XQ42" s="337"/>
      <c r="XR42" s="337"/>
      <c r="XS42" s="337"/>
      <c r="XT42" s="337"/>
      <c r="XU42" s="337"/>
      <c r="XV42" s="337"/>
      <c r="XW42" s="337"/>
      <c r="XX42" s="337"/>
      <c r="XY42" s="337"/>
      <c r="XZ42" s="337"/>
      <c r="YA42" s="337"/>
      <c r="YB42" s="337"/>
      <c r="YC42" s="337"/>
      <c r="YD42" s="337"/>
      <c r="YE42" s="337"/>
      <c r="YF42" s="337"/>
      <c r="YG42" s="337"/>
      <c r="YH42" s="337"/>
      <c r="YI42" s="337"/>
      <c r="YJ42" s="337"/>
      <c r="YK42" s="337"/>
      <c r="YL42" s="337"/>
      <c r="YM42" s="337"/>
      <c r="YN42" s="337"/>
      <c r="YO42" s="337"/>
      <c r="YP42" s="337"/>
      <c r="YQ42" s="337"/>
      <c r="YR42" s="337"/>
      <c r="YS42" s="337"/>
      <c r="YT42" s="337"/>
      <c r="YU42" s="337"/>
      <c r="YV42" s="337"/>
      <c r="YW42" s="337"/>
      <c r="YX42" s="337"/>
      <c r="YY42" s="337"/>
      <c r="YZ42" s="337"/>
      <c r="ZA42" s="337"/>
      <c r="ZB42" s="337"/>
      <c r="ZC42" s="337"/>
      <c r="ZD42" s="337"/>
      <c r="ZE42" s="337"/>
      <c r="ZF42" s="337"/>
      <c r="ZG42" s="337"/>
      <c r="ZH42" s="337"/>
      <c r="ZI42" s="337"/>
      <c r="ZJ42" s="337"/>
      <c r="ZK42" s="337"/>
      <c r="ZL42" s="337"/>
      <c r="ZM42" s="337"/>
      <c r="ZN42" s="337"/>
      <c r="ZO42" s="337"/>
      <c r="ZP42" s="337"/>
      <c r="ZQ42" s="337"/>
      <c r="ZR42" s="337"/>
      <c r="ZS42" s="337"/>
      <c r="ZT42" s="337"/>
      <c r="ZU42" s="337"/>
      <c r="ZV42" s="337"/>
      <c r="ZW42" s="337"/>
      <c r="ZX42" s="337"/>
      <c r="ZY42" s="337"/>
      <c r="ZZ42" s="337"/>
      <c r="AAA42" s="337"/>
      <c r="AAB42" s="337"/>
      <c r="AAC42" s="337"/>
      <c r="AAD42" s="337"/>
      <c r="AAE42" s="337"/>
      <c r="AAF42" s="337"/>
      <c r="AAG42" s="337"/>
      <c r="AAH42" s="337"/>
      <c r="AAI42" s="337"/>
      <c r="AAJ42" s="337"/>
      <c r="AAK42" s="337"/>
      <c r="AAL42" s="337"/>
      <c r="AAM42" s="337"/>
      <c r="AAN42" s="337"/>
      <c r="AAO42" s="337"/>
      <c r="AAP42" s="337"/>
      <c r="AAQ42" s="337"/>
      <c r="AAR42" s="337"/>
      <c r="AAS42" s="337"/>
      <c r="AAT42" s="337"/>
      <c r="AAU42" s="337"/>
      <c r="AAV42" s="337"/>
      <c r="AAW42" s="337"/>
      <c r="AAX42" s="337"/>
      <c r="AAY42" s="337"/>
      <c r="AAZ42" s="337"/>
      <c r="ABA42" s="337"/>
      <c r="ABB42" s="337"/>
      <c r="ABC42" s="337"/>
      <c r="ABD42" s="337"/>
      <c r="ABE42" s="337"/>
      <c r="ABF42" s="337"/>
      <c r="ABG42" s="337"/>
      <c r="ABH42" s="337"/>
      <c r="ABI42" s="337"/>
      <c r="ABJ42" s="337"/>
      <c r="ABK42" s="337"/>
      <c r="ABL42" s="337"/>
      <c r="ABM42" s="337"/>
      <c r="ABN42" s="337"/>
      <c r="ABO42" s="337"/>
      <c r="ABP42" s="337"/>
      <c r="ABQ42" s="337"/>
      <c r="ABR42" s="337"/>
      <c r="ABS42" s="337"/>
      <c r="ABT42" s="337"/>
      <c r="ABU42" s="337"/>
      <c r="ABV42" s="337"/>
      <c r="ABW42" s="337"/>
      <c r="ABX42" s="337"/>
      <c r="ABY42" s="337"/>
      <c r="ABZ42" s="337"/>
      <c r="ACA42" s="337"/>
      <c r="ACB42" s="337"/>
      <c r="ACC42" s="337"/>
      <c r="ACD42" s="337"/>
      <c r="ACE42" s="337"/>
      <c r="ACF42" s="337"/>
      <c r="ACG42" s="337"/>
      <c r="ACH42" s="337"/>
      <c r="ACI42" s="337"/>
      <c r="ACJ42" s="337"/>
      <c r="ACK42" s="337"/>
      <c r="ACL42" s="337"/>
      <c r="ACM42" s="337"/>
      <c r="ACN42" s="337"/>
      <c r="ACO42" s="337"/>
      <c r="ACP42" s="337"/>
      <c r="ACQ42" s="337"/>
      <c r="ACR42" s="337"/>
      <c r="ACS42" s="337"/>
      <c r="ACT42" s="337"/>
      <c r="ACU42" s="337"/>
      <c r="ACV42" s="337"/>
      <c r="ACW42" s="337"/>
      <c r="ACX42" s="337"/>
      <c r="ACY42" s="337"/>
      <c r="ACZ42" s="337"/>
      <c r="ADA42" s="337"/>
      <c r="ADB42" s="337"/>
      <c r="ADC42" s="337"/>
      <c r="ADD42" s="337"/>
      <c r="ADE42" s="337"/>
      <c r="ADF42" s="337"/>
      <c r="ADG42" s="337"/>
      <c r="ADH42" s="337"/>
      <c r="ADI42" s="337"/>
      <c r="ADJ42" s="337"/>
      <c r="ADK42" s="337"/>
      <c r="ADL42" s="337"/>
      <c r="ADM42" s="337"/>
      <c r="ADN42" s="337"/>
      <c r="ADO42" s="337"/>
      <c r="ADP42" s="337"/>
      <c r="ADQ42" s="337"/>
      <c r="ADR42" s="337"/>
      <c r="ADS42" s="337"/>
      <c r="ADT42" s="337"/>
      <c r="ADU42" s="337"/>
      <c r="ADV42" s="337"/>
      <c r="ADW42" s="337"/>
      <c r="ADX42" s="337"/>
      <c r="ADY42" s="337"/>
      <c r="ADZ42" s="337"/>
      <c r="AEA42" s="337"/>
      <c r="AEB42" s="337"/>
      <c r="AEC42" s="337"/>
      <c r="AED42" s="337"/>
      <c r="AEE42" s="337"/>
      <c r="AEF42" s="337"/>
      <c r="AEG42" s="337"/>
      <c r="AEH42" s="337"/>
      <c r="AEI42" s="337"/>
      <c r="AEJ42" s="337"/>
      <c r="AEK42" s="337"/>
      <c r="AEL42" s="337"/>
      <c r="AEM42" s="337"/>
      <c r="AEN42" s="337"/>
      <c r="AEO42" s="337"/>
      <c r="AEP42" s="337"/>
      <c r="AEQ42" s="337"/>
      <c r="AER42" s="337"/>
      <c r="AES42" s="337"/>
      <c r="AET42" s="337"/>
      <c r="AEU42" s="337"/>
      <c r="AEV42" s="337"/>
      <c r="AEW42" s="337"/>
      <c r="AEX42" s="337"/>
      <c r="AEY42" s="337"/>
      <c r="AEZ42" s="337"/>
      <c r="AFA42" s="337"/>
      <c r="AFB42" s="337"/>
      <c r="AFC42" s="337"/>
      <c r="AFD42" s="337"/>
      <c r="AFE42" s="337"/>
      <c r="AFF42" s="337"/>
      <c r="AFG42" s="337"/>
      <c r="AFH42" s="337"/>
      <c r="AFI42" s="337"/>
      <c r="AFJ42" s="337"/>
      <c r="AFK42" s="337"/>
      <c r="AFL42" s="337"/>
      <c r="AFM42" s="337"/>
      <c r="AFN42" s="337"/>
      <c r="AFO42" s="337"/>
      <c r="AFP42" s="337"/>
      <c r="AFQ42" s="337"/>
      <c r="AFR42" s="337"/>
      <c r="AFS42" s="337"/>
      <c r="AFT42" s="337"/>
      <c r="AFU42" s="337"/>
      <c r="AFV42" s="337"/>
      <c r="AFW42" s="337"/>
      <c r="AFX42" s="337"/>
      <c r="AFY42" s="337"/>
      <c r="AFZ42" s="337"/>
      <c r="AGA42" s="337"/>
      <c r="AGB42" s="337"/>
      <c r="AGC42" s="337"/>
      <c r="AGD42" s="337"/>
      <c r="AGE42" s="337"/>
      <c r="AGF42" s="337"/>
      <c r="AGG42" s="337"/>
      <c r="AGH42" s="337"/>
      <c r="AGI42" s="337"/>
      <c r="AGJ42" s="337"/>
      <c r="AGK42" s="337"/>
      <c r="AGL42" s="337"/>
      <c r="AGM42" s="337"/>
      <c r="AGN42" s="337"/>
      <c r="AGO42" s="337"/>
      <c r="AGP42" s="337"/>
      <c r="AGQ42" s="337"/>
      <c r="AGR42" s="337"/>
      <c r="AGS42" s="337"/>
      <c r="AGT42" s="337"/>
      <c r="AGU42" s="337"/>
      <c r="AGV42" s="337"/>
      <c r="AGW42" s="337"/>
      <c r="AGX42" s="337"/>
      <c r="AGY42" s="337"/>
      <c r="AGZ42" s="337"/>
    </row>
    <row r="43" ht="24" customHeight="1" spans="1:884">
      <c r="A43" s="349">
        <v>39</v>
      </c>
      <c r="B43" s="350"/>
      <c r="C43" s="351" t="s">
        <v>120</v>
      </c>
      <c r="D43" s="358"/>
      <c r="E43" s="358"/>
      <c r="F43" s="81">
        <v>18</v>
      </c>
      <c r="G43" s="356" t="s">
        <v>520</v>
      </c>
      <c r="H43" s="357" t="s">
        <v>521</v>
      </c>
      <c r="I43" s="100" t="s">
        <v>124</v>
      </c>
      <c r="J43" s="100" t="s">
        <v>124</v>
      </c>
      <c r="K43" s="100"/>
      <c r="L43" s="100" t="s">
        <v>124</v>
      </c>
      <c r="M43" s="100" t="s">
        <v>124</v>
      </c>
      <c r="N43" s="373" t="s">
        <v>522</v>
      </c>
      <c r="O43" s="374"/>
      <c r="P43" s="375" t="str">
        <f>CONCATENATE(RemovePunctuation(H43),"_CA","_","i4K","_",C43,"_",AE43,"_",PROPER(R43),IF(S43="",PROPER(R43),PROPER(S43)),PROPER(T43),PROPER(U43),PROPER(V43),IF(V43&lt;&gt;"","SUB",""),PROPER(W43),IF(W43&lt;&gt;"","SUB",""),"_","Ed","_","M1",".mpg")</f>
        <v>LudwigS01E01_CA_i4K_0825_43_EngEngZhoSUB_Ed_M1.mpg</v>
      </c>
      <c r="Q43" s="375" t="str">
        <f>CONCATENATE(RemovePunctuation(H43),"_CA","_","i5K","_",C43,"_",AD43,"_",PROPER(R43),IF(S43="",PROPER(R43),PROPER(S43)),PROPER(T43),PROPER(U43),PROPER(V43),IF(V43&lt;&gt;"","SUB",""),PROPER(W43),IF(W43&lt;&gt;"","SUB",""),"_","Ed","_","M4",".mpg")</f>
        <v>LudwigS01E01_CA_i5K_0825_169_EngEngZhoSUB_Ed_M4.mpg</v>
      </c>
      <c r="R43" s="382" t="s">
        <v>131</v>
      </c>
      <c r="S43" s="385"/>
      <c r="T43" s="384"/>
      <c r="U43" s="384"/>
      <c r="V43" s="382" t="s">
        <v>130</v>
      </c>
      <c r="W43" s="386"/>
      <c r="X43" s="349" t="s">
        <v>129</v>
      </c>
      <c r="Y43" s="349" t="s">
        <v>129</v>
      </c>
      <c r="Z43" s="120">
        <f t="shared" si="6"/>
        <v>55</v>
      </c>
      <c r="AA43" s="304" t="str">
        <f t="shared" si="7"/>
        <v>00:55:00</v>
      </c>
      <c r="AB43" s="120">
        <f t="shared" si="8"/>
        <v>3300</v>
      </c>
      <c r="AC43" s="399">
        <v>0.0380324074074074</v>
      </c>
      <c r="AD43" s="400">
        <v>169</v>
      </c>
      <c r="AE43" s="400">
        <v>43</v>
      </c>
      <c r="AF43" s="349" t="s">
        <v>132</v>
      </c>
      <c r="AP43" s="337"/>
      <c r="AQ43" s="337"/>
      <c r="AR43" s="337"/>
      <c r="AS43" s="337"/>
      <c r="AT43" s="337"/>
      <c r="AU43" s="337"/>
      <c r="AV43" s="337"/>
      <c r="AW43" s="337"/>
      <c r="AX43" s="337"/>
      <c r="AY43" s="337"/>
      <c r="AZ43" s="337"/>
      <c r="BA43" s="337"/>
      <c r="BB43" s="337"/>
      <c r="BC43" s="337"/>
      <c r="BD43" s="337"/>
      <c r="BE43" s="337"/>
      <c r="BF43" s="337"/>
      <c r="BG43" s="337"/>
      <c r="BH43" s="337"/>
      <c r="BI43" s="337"/>
      <c r="BJ43" s="337"/>
      <c r="BK43" s="337"/>
      <c r="BL43" s="337"/>
      <c r="BM43" s="337"/>
      <c r="BN43" s="337"/>
      <c r="BO43" s="337"/>
      <c r="BP43" s="337"/>
      <c r="BQ43" s="337"/>
      <c r="BR43" s="337"/>
      <c r="BS43" s="337"/>
      <c r="BT43" s="337"/>
      <c r="BU43" s="337"/>
      <c r="BV43" s="337"/>
      <c r="BW43" s="337"/>
      <c r="BX43" s="337"/>
      <c r="BY43" s="337"/>
      <c r="BZ43" s="337"/>
      <c r="CA43" s="337"/>
      <c r="CB43" s="337"/>
      <c r="CC43" s="337"/>
      <c r="CD43" s="337"/>
      <c r="CE43" s="337"/>
      <c r="CF43" s="337"/>
      <c r="CG43" s="337"/>
      <c r="CH43" s="337"/>
      <c r="CI43" s="337"/>
      <c r="CJ43" s="337"/>
      <c r="CK43" s="337"/>
      <c r="CL43" s="337"/>
      <c r="CM43" s="337"/>
      <c r="CN43" s="337"/>
      <c r="CO43" s="337"/>
      <c r="CP43" s="337"/>
      <c r="CQ43" s="337"/>
      <c r="CR43" s="337"/>
      <c r="CS43" s="337"/>
      <c r="CT43" s="337"/>
      <c r="CU43" s="337"/>
      <c r="CV43" s="337"/>
      <c r="CW43" s="337"/>
      <c r="CX43" s="337"/>
      <c r="CY43" s="337"/>
      <c r="CZ43" s="337"/>
      <c r="DA43" s="337"/>
      <c r="DB43" s="337"/>
      <c r="DC43" s="337"/>
      <c r="DD43" s="337"/>
      <c r="DE43" s="337"/>
      <c r="DF43" s="337"/>
      <c r="DG43" s="337"/>
      <c r="DH43" s="337"/>
      <c r="DI43" s="337"/>
      <c r="DJ43" s="337"/>
      <c r="DK43" s="337"/>
      <c r="DL43" s="337"/>
      <c r="DM43" s="337"/>
      <c r="DN43" s="337"/>
      <c r="DO43" s="337"/>
      <c r="DP43" s="337"/>
      <c r="DQ43" s="337"/>
      <c r="DR43" s="337"/>
      <c r="DS43" s="337"/>
      <c r="DT43" s="337"/>
      <c r="DU43" s="337"/>
      <c r="DV43" s="337"/>
      <c r="DW43" s="337"/>
      <c r="DX43" s="337"/>
      <c r="DY43" s="337"/>
      <c r="DZ43" s="337"/>
      <c r="EA43" s="337"/>
      <c r="EB43" s="337"/>
      <c r="EC43" s="337"/>
      <c r="ED43" s="337"/>
      <c r="EE43" s="337"/>
      <c r="EF43" s="337"/>
      <c r="EG43" s="337"/>
      <c r="EH43" s="337"/>
      <c r="EI43" s="337"/>
      <c r="EJ43" s="337"/>
      <c r="EK43" s="337"/>
      <c r="EL43" s="337"/>
      <c r="EM43" s="337"/>
      <c r="EN43" s="337"/>
      <c r="EO43" s="337"/>
      <c r="EP43" s="337"/>
      <c r="EQ43" s="337"/>
      <c r="ER43" s="337"/>
      <c r="ES43" s="337"/>
      <c r="ET43" s="337"/>
      <c r="EU43" s="337"/>
      <c r="EV43" s="337"/>
      <c r="EW43" s="337"/>
      <c r="EX43" s="337"/>
      <c r="EY43" s="337"/>
      <c r="EZ43" s="337"/>
      <c r="FA43" s="337"/>
      <c r="FB43" s="337"/>
      <c r="FC43" s="337"/>
      <c r="FD43" s="337"/>
      <c r="FE43" s="337"/>
      <c r="FF43" s="337"/>
      <c r="FG43" s="337"/>
      <c r="FH43" s="337"/>
      <c r="FI43" s="337"/>
      <c r="FJ43" s="337"/>
      <c r="FK43" s="337"/>
      <c r="FL43" s="337"/>
      <c r="FM43" s="337"/>
      <c r="FN43" s="337"/>
      <c r="FO43" s="337"/>
      <c r="FP43" s="337"/>
      <c r="FQ43" s="337"/>
      <c r="FR43" s="337"/>
      <c r="FS43" s="337"/>
      <c r="FT43" s="337"/>
      <c r="FU43" s="337"/>
      <c r="FV43" s="337"/>
      <c r="FW43" s="337"/>
      <c r="FX43" s="337"/>
      <c r="FY43" s="337"/>
      <c r="FZ43" s="337"/>
      <c r="GA43" s="337"/>
      <c r="GB43" s="337"/>
      <c r="GC43" s="337"/>
      <c r="GD43" s="337"/>
      <c r="GE43" s="337"/>
      <c r="GF43" s="337"/>
      <c r="GG43" s="337"/>
      <c r="GH43" s="337"/>
      <c r="GI43" s="337"/>
      <c r="GJ43" s="337"/>
      <c r="GK43" s="337"/>
      <c r="GL43" s="337"/>
      <c r="GM43" s="337"/>
      <c r="GN43" s="337"/>
      <c r="GO43" s="337"/>
      <c r="GP43" s="337"/>
      <c r="GQ43" s="337"/>
      <c r="GR43" s="337"/>
      <c r="GS43" s="337"/>
      <c r="GT43" s="337"/>
      <c r="GU43" s="337"/>
      <c r="GV43" s="337"/>
      <c r="GW43" s="337"/>
      <c r="GX43" s="337"/>
      <c r="GY43" s="337"/>
      <c r="GZ43" s="337"/>
      <c r="HA43" s="337"/>
      <c r="HB43" s="337"/>
      <c r="HC43" s="337"/>
      <c r="HD43" s="337"/>
      <c r="HE43" s="337"/>
      <c r="HF43" s="337"/>
      <c r="HG43" s="337"/>
      <c r="HH43" s="337"/>
      <c r="HI43" s="337"/>
      <c r="HJ43" s="337"/>
      <c r="HK43" s="337"/>
      <c r="HL43" s="337"/>
      <c r="HM43" s="337"/>
      <c r="HN43" s="337"/>
      <c r="HO43" s="337"/>
      <c r="HP43" s="337"/>
      <c r="HQ43" s="337"/>
      <c r="HR43" s="337"/>
      <c r="HS43" s="337"/>
      <c r="HT43" s="337"/>
      <c r="HU43" s="337"/>
      <c r="HV43" s="337"/>
      <c r="HW43" s="337"/>
      <c r="HX43" s="337"/>
      <c r="HY43" s="337"/>
      <c r="HZ43" s="337"/>
      <c r="IA43" s="337"/>
      <c r="IB43" s="337"/>
      <c r="IC43" s="337"/>
      <c r="ID43" s="337"/>
      <c r="IE43" s="337"/>
      <c r="IF43" s="337"/>
      <c r="IG43" s="337"/>
      <c r="IH43" s="337"/>
      <c r="II43" s="337"/>
      <c r="IJ43" s="337"/>
      <c r="IK43" s="337"/>
      <c r="IL43" s="337"/>
      <c r="IM43" s="337"/>
      <c r="IN43" s="337"/>
      <c r="IO43" s="337"/>
      <c r="IP43" s="337"/>
      <c r="IQ43" s="337"/>
      <c r="IR43" s="337"/>
      <c r="IS43" s="337"/>
      <c r="IT43" s="337"/>
      <c r="IU43" s="337"/>
      <c r="IV43" s="337"/>
      <c r="IW43" s="337"/>
      <c r="IX43" s="337"/>
      <c r="IY43" s="337"/>
      <c r="IZ43" s="337"/>
      <c r="JA43" s="337"/>
      <c r="JB43" s="337"/>
      <c r="JC43" s="337"/>
      <c r="JD43" s="337"/>
      <c r="JE43" s="337"/>
      <c r="JF43" s="337"/>
      <c r="JG43" s="337"/>
      <c r="JH43" s="337"/>
      <c r="JI43" s="337"/>
      <c r="JJ43" s="337"/>
      <c r="JK43" s="337"/>
      <c r="JL43" s="337"/>
      <c r="JM43" s="337"/>
      <c r="JN43" s="337"/>
      <c r="JO43" s="337"/>
      <c r="JP43" s="337"/>
      <c r="JQ43" s="337"/>
      <c r="JR43" s="337"/>
      <c r="JS43" s="337"/>
      <c r="JT43" s="337"/>
      <c r="JU43" s="337"/>
      <c r="JV43" s="337"/>
      <c r="JW43" s="337"/>
      <c r="JX43" s="337"/>
      <c r="JY43" s="337"/>
      <c r="JZ43" s="337"/>
      <c r="KA43" s="337"/>
      <c r="KB43" s="337"/>
      <c r="KC43" s="337"/>
      <c r="KD43" s="337"/>
      <c r="KE43" s="337"/>
      <c r="KF43" s="337"/>
      <c r="KG43" s="337"/>
      <c r="KH43" s="337"/>
      <c r="KI43" s="337"/>
      <c r="KJ43" s="337"/>
      <c r="KK43" s="337"/>
      <c r="KL43" s="337"/>
      <c r="KM43" s="337"/>
      <c r="KN43" s="337"/>
      <c r="KO43" s="337"/>
      <c r="KP43" s="337"/>
      <c r="KQ43" s="337"/>
      <c r="KR43" s="337"/>
      <c r="KS43" s="337"/>
      <c r="KT43" s="337"/>
      <c r="KU43" s="337"/>
      <c r="KV43" s="337"/>
      <c r="KW43" s="337"/>
      <c r="KX43" s="337"/>
      <c r="KY43" s="337"/>
      <c r="KZ43" s="337"/>
      <c r="LA43" s="337"/>
      <c r="LB43" s="337"/>
      <c r="LC43" s="337"/>
      <c r="LD43" s="337"/>
      <c r="LE43" s="337"/>
      <c r="LF43" s="337"/>
      <c r="LG43" s="337"/>
      <c r="LH43" s="337"/>
      <c r="LI43" s="337"/>
      <c r="LJ43" s="337"/>
      <c r="LK43" s="337"/>
      <c r="LL43" s="337"/>
      <c r="LM43" s="337"/>
      <c r="LN43" s="337"/>
      <c r="LO43" s="337"/>
      <c r="LP43" s="337"/>
      <c r="LQ43" s="337"/>
      <c r="LR43" s="337"/>
      <c r="LS43" s="337"/>
      <c r="LT43" s="337"/>
      <c r="LU43" s="337"/>
      <c r="LV43" s="337"/>
      <c r="LW43" s="337"/>
      <c r="LX43" s="337"/>
      <c r="LY43" s="337"/>
      <c r="LZ43" s="337"/>
      <c r="MA43" s="337"/>
      <c r="MB43" s="337"/>
      <c r="MC43" s="337"/>
      <c r="MD43" s="337"/>
      <c r="ME43" s="337"/>
      <c r="MF43" s="337"/>
      <c r="MG43" s="337"/>
      <c r="MH43" s="337"/>
      <c r="MI43" s="337"/>
      <c r="MJ43" s="337"/>
      <c r="MK43" s="337"/>
      <c r="ML43" s="337"/>
      <c r="MM43" s="337"/>
      <c r="MN43" s="337"/>
      <c r="MO43" s="337"/>
      <c r="MP43" s="337"/>
      <c r="MQ43" s="337"/>
      <c r="MR43" s="337"/>
      <c r="MS43" s="337"/>
      <c r="MT43" s="337"/>
      <c r="MU43" s="337"/>
      <c r="MV43" s="337"/>
      <c r="MW43" s="337"/>
      <c r="MX43" s="337"/>
      <c r="MY43" s="337"/>
      <c r="MZ43" s="337"/>
      <c r="NA43" s="337"/>
      <c r="NB43" s="337"/>
      <c r="NC43" s="337"/>
      <c r="ND43" s="337"/>
      <c r="NE43" s="337"/>
      <c r="NF43" s="337"/>
      <c r="NG43" s="337"/>
      <c r="NH43" s="337"/>
      <c r="NI43" s="337"/>
      <c r="NJ43" s="337"/>
      <c r="NK43" s="337"/>
      <c r="NL43" s="337"/>
      <c r="NM43" s="337"/>
      <c r="NN43" s="337"/>
      <c r="NO43" s="337"/>
      <c r="NP43" s="337"/>
      <c r="NQ43" s="337"/>
      <c r="NR43" s="337"/>
      <c r="NS43" s="337"/>
      <c r="NT43" s="337"/>
      <c r="NU43" s="337"/>
      <c r="NV43" s="337"/>
      <c r="NW43" s="337"/>
      <c r="NX43" s="337"/>
      <c r="NY43" s="337"/>
      <c r="NZ43" s="337"/>
      <c r="OA43" s="337"/>
      <c r="OB43" s="337"/>
      <c r="OC43" s="337"/>
      <c r="OD43" s="337"/>
      <c r="OE43" s="337"/>
      <c r="OF43" s="337"/>
      <c r="OG43" s="337"/>
      <c r="OH43" s="337"/>
      <c r="OI43" s="337"/>
      <c r="OJ43" s="337"/>
      <c r="OK43" s="337"/>
      <c r="OL43" s="337"/>
      <c r="OM43" s="337"/>
      <c r="ON43" s="337"/>
      <c r="OO43" s="337"/>
      <c r="OP43" s="337"/>
      <c r="OQ43" s="337"/>
      <c r="OR43" s="337"/>
      <c r="OS43" s="337"/>
      <c r="OT43" s="337"/>
      <c r="OU43" s="337"/>
      <c r="OV43" s="337"/>
      <c r="OW43" s="337"/>
      <c r="OX43" s="337"/>
      <c r="OY43" s="337"/>
      <c r="OZ43" s="337"/>
      <c r="PA43" s="337"/>
      <c r="PB43" s="337"/>
      <c r="PC43" s="337"/>
      <c r="PD43" s="337"/>
      <c r="PE43" s="337"/>
      <c r="PF43" s="337"/>
      <c r="PG43" s="337"/>
      <c r="PH43" s="337"/>
      <c r="PI43" s="337"/>
      <c r="PJ43" s="337"/>
      <c r="PK43" s="337"/>
      <c r="PL43" s="337"/>
      <c r="PM43" s="337"/>
      <c r="PN43" s="337"/>
      <c r="PO43" s="337"/>
      <c r="PP43" s="337"/>
      <c r="PQ43" s="337"/>
      <c r="PR43" s="337"/>
      <c r="PS43" s="337"/>
      <c r="PT43" s="337"/>
      <c r="PU43" s="337"/>
      <c r="PV43" s="337"/>
      <c r="PW43" s="337"/>
      <c r="PX43" s="337"/>
      <c r="PY43" s="337"/>
      <c r="PZ43" s="337"/>
      <c r="QA43" s="337"/>
      <c r="QB43" s="337"/>
      <c r="QC43" s="337"/>
      <c r="QD43" s="337"/>
      <c r="QE43" s="337"/>
      <c r="QF43" s="337"/>
      <c r="QG43" s="337"/>
      <c r="QH43" s="337"/>
      <c r="QI43" s="337"/>
      <c r="QJ43" s="337"/>
      <c r="QK43" s="337"/>
      <c r="QL43" s="337"/>
      <c r="QM43" s="337"/>
      <c r="QN43" s="337"/>
      <c r="QO43" s="337"/>
      <c r="QP43" s="337"/>
      <c r="QQ43" s="337"/>
      <c r="QR43" s="337"/>
      <c r="QS43" s="337"/>
      <c r="QT43" s="337"/>
      <c r="QU43" s="337"/>
      <c r="QV43" s="337"/>
      <c r="QW43" s="337"/>
      <c r="QX43" s="337"/>
      <c r="QY43" s="337"/>
      <c r="QZ43" s="337"/>
      <c r="RA43" s="337"/>
      <c r="RB43" s="337"/>
      <c r="RC43" s="337"/>
      <c r="RD43" s="337"/>
      <c r="RE43" s="337"/>
      <c r="RF43" s="337"/>
      <c r="RG43" s="337"/>
      <c r="RH43" s="337"/>
      <c r="RI43" s="337"/>
      <c r="RJ43" s="337"/>
      <c r="RK43" s="337"/>
      <c r="RL43" s="337"/>
      <c r="RM43" s="337"/>
      <c r="RN43" s="337"/>
      <c r="RO43" s="337"/>
      <c r="RP43" s="337"/>
      <c r="RQ43" s="337"/>
      <c r="RR43" s="337"/>
      <c r="RS43" s="337"/>
      <c r="RT43" s="337"/>
      <c r="RU43" s="337"/>
      <c r="RV43" s="337"/>
      <c r="RW43" s="337"/>
      <c r="RX43" s="337"/>
      <c r="RY43" s="337"/>
      <c r="RZ43" s="337"/>
      <c r="SA43" s="337"/>
      <c r="SB43" s="337"/>
      <c r="SC43" s="337"/>
      <c r="SD43" s="337"/>
      <c r="SE43" s="337"/>
      <c r="SF43" s="337"/>
      <c r="SG43" s="337"/>
      <c r="SH43" s="337"/>
      <c r="SI43" s="337"/>
      <c r="SJ43" s="337"/>
      <c r="SK43" s="337"/>
      <c r="SL43" s="337"/>
      <c r="SM43" s="337"/>
      <c r="SN43" s="337"/>
      <c r="SO43" s="337"/>
      <c r="SP43" s="337"/>
      <c r="SQ43" s="337"/>
      <c r="SR43" s="337"/>
      <c r="SS43" s="337"/>
      <c r="ST43" s="337"/>
      <c r="SU43" s="337"/>
      <c r="SV43" s="337"/>
      <c r="SW43" s="337"/>
      <c r="SX43" s="337"/>
      <c r="SY43" s="337"/>
      <c r="SZ43" s="337"/>
      <c r="TA43" s="337"/>
      <c r="TB43" s="337"/>
      <c r="TC43" s="337"/>
      <c r="TD43" s="337"/>
      <c r="TE43" s="337"/>
      <c r="TF43" s="337"/>
      <c r="TG43" s="337"/>
      <c r="TH43" s="337"/>
      <c r="TI43" s="337"/>
      <c r="TJ43" s="337"/>
      <c r="TK43" s="337"/>
      <c r="TL43" s="337"/>
      <c r="TM43" s="337"/>
      <c r="TN43" s="337"/>
      <c r="TO43" s="337"/>
      <c r="TP43" s="337"/>
      <c r="TQ43" s="337"/>
      <c r="TR43" s="337"/>
      <c r="TS43" s="337"/>
      <c r="TT43" s="337"/>
      <c r="TU43" s="337"/>
      <c r="TV43" s="337"/>
      <c r="TW43" s="337"/>
      <c r="TX43" s="337"/>
      <c r="TY43" s="337"/>
      <c r="TZ43" s="337"/>
      <c r="UA43" s="337"/>
      <c r="UB43" s="337"/>
      <c r="UC43" s="337"/>
      <c r="UD43" s="337"/>
      <c r="UE43" s="337"/>
      <c r="UF43" s="337"/>
      <c r="UG43" s="337"/>
      <c r="UH43" s="337"/>
      <c r="UI43" s="337"/>
      <c r="UJ43" s="337"/>
      <c r="UK43" s="337"/>
      <c r="UL43" s="337"/>
      <c r="UM43" s="337"/>
      <c r="UN43" s="337"/>
      <c r="UO43" s="337"/>
      <c r="UP43" s="337"/>
      <c r="UQ43" s="337"/>
      <c r="UR43" s="337"/>
      <c r="US43" s="337"/>
      <c r="UT43" s="337"/>
      <c r="UU43" s="337"/>
      <c r="UV43" s="337"/>
      <c r="UW43" s="337"/>
      <c r="UX43" s="337"/>
      <c r="UY43" s="337"/>
      <c r="UZ43" s="337"/>
      <c r="VA43" s="337"/>
      <c r="VB43" s="337"/>
      <c r="VC43" s="337"/>
      <c r="VD43" s="337"/>
      <c r="VE43" s="337"/>
      <c r="VF43" s="337"/>
      <c r="VG43" s="337"/>
      <c r="VH43" s="337"/>
      <c r="VI43" s="337"/>
      <c r="VJ43" s="337"/>
      <c r="VK43" s="337"/>
      <c r="VL43" s="337"/>
      <c r="VM43" s="337"/>
      <c r="VN43" s="337"/>
      <c r="VO43" s="337"/>
      <c r="VP43" s="337"/>
      <c r="VQ43" s="337"/>
      <c r="VR43" s="337"/>
      <c r="VS43" s="337"/>
      <c r="VT43" s="337"/>
      <c r="VU43" s="337"/>
      <c r="VV43" s="337"/>
      <c r="VW43" s="337"/>
      <c r="VX43" s="337"/>
      <c r="VY43" s="337"/>
      <c r="VZ43" s="337"/>
      <c r="WA43" s="337"/>
      <c r="WB43" s="337"/>
      <c r="WC43" s="337"/>
      <c r="WD43" s="337"/>
      <c r="WE43" s="337"/>
      <c r="WF43" s="337"/>
      <c r="WG43" s="337"/>
      <c r="WH43" s="337"/>
      <c r="WI43" s="337"/>
      <c r="WJ43" s="337"/>
      <c r="WK43" s="337"/>
      <c r="WL43" s="337"/>
      <c r="WM43" s="337"/>
      <c r="WN43" s="337"/>
      <c r="WO43" s="337"/>
      <c r="WP43" s="337"/>
      <c r="WQ43" s="337"/>
      <c r="WR43" s="337"/>
      <c r="WS43" s="337"/>
      <c r="WT43" s="337"/>
      <c r="WU43" s="337"/>
      <c r="WV43" s="337"/>
      <c r="WW43" s="337"/>
      <c r="WX43" s="337"/>
      <c r="WY43" s="337"/>
      <c r="WZ43" s="337"/>
      <c r="XA43" s="337"/>
      <c r="XB43" s="337"/>
      <c r="XC43" s="337"/>
      <c r="XD43" s="337"/>
      <c r="XE43" s="337"/>
      <c r="XF43" s="337"/>
      <c r="XG43" s="337"/>
      <c r="XH43" s="337"/>
      <c r="XI43" s="337"/>
      <c r="XJ43" s="337"/>
      <c r="XK43" s="337"/>
      <c r="XL43" s="337"/>
      <c r="XM43" s="337"/>
      <c r="XN43" s="337"/>
      <c r="XO43" s="337"/>
      <c r="XP43" s="337"/>
      <c r="XQ43" s="337"/>
      <c r="XR43" s="337"/>
      <c r="XS43" s="337"/>
      <c r="XT43" s="337"/>
      <c r="XU43" s="337"/>
      <c r="XV43" s="337"/>
      <c r="XW43" s="337"/>
      <c r="XX43" s="337"/>
      <c r="XY43" s="337"/>
      <c r="XZ43" s="337"/>
      <c r="YA43" s="337"/>
      <c r="YB43" s="337"/>
      <c r="YC43" s="337"/>
      <c r="YD43" s="337"/>
      <c r="YE43" s="337"/>
      <c r="YF43" s="337"/>
      <c r="YG43" s="337"/>
      <c r="YH43" s="337"/>
      <c r="YI43" s="337"/>
      <c r="YJ43" s="337"/>
      <c r="YK43" s="337"/>
      <c r="YL43" s="337"/>
      <c r="YM43" s="337"/>
      <c r="YN43" s="337"/>
      <c r="YO43" s="337"/>
      <c r="YP43" s="337"/>
      <c r="YQ43" s="337"/>
      <c r="YR43" s="337"/>
      <c r="YS43" s="337"/>
      <c r="YT43" s="337"/>
      <c r="YU43" s="337"/>
      <c r="YV43" s="337"/>
      <c r="YW43" s="337"/>
      <c r="YX43" s="337"/>
      <c r="YY43" s="337"/>
      <c r="YZ43" s="337"/>
      <c r="ZA43" s="337"/>
      <c r="ZB43" s="337"/>
      <c r="ZC43" s="337"/>
      <c r="ZD43" s="337"/>
      <c r="ZE43" s="337"/>
      <c r="ZF43" s="337"/>
      <c r="ZG43" s="337"/>
      <c r="ZH43" s="337"/>
      <c r="ZI43" s="337"/>
      <c r="ZJ43" s="337"/>
      <c r="ZK43" s="337"/>
      <c r="ZL43" s="337"/>
      <c r="ZM43" s="337"/>
      <c r="ZN43" s="337"/>
      <c r="ZO43" s="337"/>
      <c r="ZP43" s="337"/>
      <c r="ZQ43" s="337"/>
      <c r="ZR43" s="337"/>
      <c r="ZS43" s="337"/>
      <c r="ZT43" s="337"/>
      <c r="ZU43" s="337"/>
      <c r="ZV43" s="337"/>
      <c r="ZW43" s="337"/>
      <c r="ZX43" s="337"/>
      <c r="ZY43" s="337"/>
      <c r="ZZ43" s="337"/>
      <c r="AAA43" s="337"/>
      <c r="AAB43" s="337"/>
      <c r="AAC43" s="337"/>
      <c r="AAD43" s="337"/>
      <c r="AAE43" s="337"/>
      <c r="AAF43" s="337"/>
      <c r="AAG43" s="337"/>
      <c r="AAH43" s="337"/>
      <c r="AAI43" s="337"/>
      <c r="AAJ43" s="337"/>
      <c r="AAK43" s="337"/>
      <c r="AAL43" s="337"/>
      <c r="AAM43" s="337"/>
      <c r="AAN43" s="337"/>
      <c r="AAO43" s="337"/>
      <c r="AAP43" s="337"/>
      <c r="AAQ43" s="337"/>
      <c r="AAR43" s="337"/>
      <c r="AAS43" s="337"/>
      <c r="AAT43" s="337"/>
      <c r="AAU43" s="337"/>
      <c r="AAV43" s="337"/>
      <c r="AAW43" s="337"/>
      <c r="AAX43" s="337"/>
      <c r="AAY43" s="337"/>
      <c r="AAZ43" s="337"/>
      <c r="ABA43" s="337"/>
      <c r="ABB43" s="337"/>
      <c r="ABC43" s="337"/>
      <c r="ABD43" s="337"/>
      <c r="ABE43" s="337"/>
      <c r="ABF43" s="337"/>
      <c r="ABG43" s="337"/>
      <c r="ABH43" s="337"/>
      <c r="ABI43" s="337"/>
      <c r="ABJ43" s="337"/>
      <c r="ABK43" s="337"/>
      <c r="ABL43" s="337"/>
      <c r="ABM43" s="337"/>
      <c r="ABN43" s="337"/>
      <c r="ABO43" s="337"/>
      <c r="ABP43" s="337"/>
      <c r="ABQ43" s="337"/>
      <c r="ABR43" s="337"/>
      <c r="ABS43" s="337"/>
      <c r="ABT43" s="337"/>
      <c r="ABU43" s="337"/>
      <c r="ABV43" s="337"/>
      <c r="ABW43" s="337"/>
      <c r="ABX43" s="337"/>
      <c r="ABY43" s="337"/>
      <c r="ABZ43" s="337"/>
      <c r="ACA43" s="337"/>
      <c r="ACB43" s="337"/>
      <c r="ACC43" s="337"/>
      <c r="ACD43" s="337"/>
      <c r="ACE43" s="337"/>
      <c r="ACF43" s="337"/>
      <c r="ACG43" s="337"/>
      <c r="ACH43" s="337"/>
      <c r="ACI43" s="337"/>
      <c r="ACJ43" s="337"/>
      <c r="ACK43" s="337"/>
      <c r="ACL43" s="337"/>
      <c r="ACM43" s="337"/>
      <c r="ACN43" s="337"/>
      <c r="ACO43" s="337"/>
      <c r="ACP43" s="337"/>
      <c r="ACQ43" s="337"/>
      <c r="ACR43" s="337"/>
      <c r="ACS43" s="337"/>
      <c r="ACT43" s="337"/>
      <c r="ACU43" s="337"/>
      <c r="ACV43" s="337"/>
      <c r="ACW43" s="337"/>
      <c r="ACX43" s="337"/>
      <c r="ACY43" s="337"/>
      <c r="ACZ43" s="337"/>
      <c r="ADA43" s="337"/>
      <c r="ADB43" s="337"/>
      <c r="ADC43" s="337"/>
      <c r="ADD43" s="337"/>
      <c r="ADE43" s="337"/>
      <c r="ADF43" s="337"/>
      <c r="ADG43" s="337"/>
      <c r="ADH43" s="337"/>
      <c r="ADI43" s="337"/>
      <c r="ADJ43" s="337"/>
      <c r="ADK43" s="337"/>
      <c r="ADL43" s="337"/>
      <c r="ADM43" s="337"/>
      <c r="ADN43" s="337"/>
      <c r="ADO43" s="337"/>
      <c r="ADP43" s="337"/>
      <c r="ADQ43" s="337"/>
      <c r="ADR43" s="337"/>
      <c r="ADS43" s="337"/>
      <c r="ADT43" s="337"/>
      <c r="ADU43" s="337"/>
      <c r="ADV43" s="337"/>
      <c r="ADW43" s="337"/>
      <c r="ADX43" s="337"/>
      <c r="ADY43" s="337"/>
      <c r="ADZ43" s="337"/>
      <c r="AEA43" s="337"/>
      <c r="AEB43" s="337"/>
      <c r="AEC43" s="337"/>
      <c r="AED43" s="337"/>
      <c r="AEE43" s="337"/>
      <c r="AEF43" s="337"/>
      <c r="AEG43" s="337"/>
      <c r="AEH43" s="337"/>
      <c r="AEI43" s="337"/>
      <c r="AEJ43" s="337"/>
      <c r="AEK43" s="337"/>
      <c r="AEL43" s="337"/>
      <c r="AEM43" s="337"/>
      <c r="AEN43" s="337"/>
      <c r="AEO43" s="337"/>
      <c r="AEP43" s="337"/>
      <c r="AEQ43" s="337"/>
      <c r="AER43" s="337"/>
      <c r="AES43" s="337"/>
      <c r="AET43" s="337"/>
      <c r="AEU43" s="337"/>
      <c r="AEV43" s="337"/>
      <c r="AEW43" s="337"/>
      <c r="AEX43" s="337"/>
      <c r="AEY43" s="337"/>
      <c r="AEZ43" s="337"/>
      <c r="AFA43" s="337"/>
      <c r="AFB43" s="337"/>
      <c r="AFC43" s="337"/>
      <c r="AFD43" s="337"/>
      <c r="AFE43" s="337"/>
      <c r="AFF43" s="337"/>
      <c r="AFG43" s="337"/>
      <c r="AFH43" s="337"/>
      <c r="AFI43" s="337"/>
      <c r="AFJ43" s="337"/>
      <c r="AFK43" s="337"/>
      <c r="AFL43" s="337"/>
      <c r="AFM43" s="337"/>
      <c r="AFN43" s="337"/>
      <c r="AFO43" s="337"/>
      <c r="AFP43" s="337"/>
      <c r="AFQ43" s="337"/>
      <c r="AFR43" s="337"/>
      <c r="AFS43" s="337"/>
      <c r="AFT43" s="337"/>
      <c r="AFU43" s="337"/>
      <c r="AFV43" s="337"/>
      <c r="AFW43" s="337"/>
      <c r="AFX43" s="337"/>
      <c r="AFY43" s="337"/>
      <c r="AFZ43" s="337"/>
      <c r="AGA43" s="337"/>
      <c r="AGB43" s="337"/>
      <c r="AGC43" s="337"/>
      <c r="AGD43" s="337"/>
      <c r="AGE43" s="337"/>
      <c r="AGF43" s="337"/>
      <c r="AGG43" s="337"/>
      <c r="AGH43" s="337"/>
      <c r="AGI43" s="337"/>
      <c r="AGJ43" s="337"/>
      <c r="AGK43" s="337"/>
      <c r="AGL43" s="337"/>
      <c r="AGM43" s="337"/>
      <c r="AGN43" s="337"/>
      <c r="AGO43" s="337"/>
      <c r="AGP43" s="337"/>
      <c r="AGQ43" s="337"/>
      <c r="AGR43" s="337"/>
      <c r="AGS43" s="337"/>
      <c r="AGT43" s="337"/>
      <c r="AGU43" s="337"/>
      <c r="AGV43" s="337"/>
      <c r="AGW43" s="337"/>
      <c r="AGX43" s="337"/>
      <c r="AGY43" s="337"/>
      <c r="AGZ43" s="337"/>
    </row>
    <row r="44" ht="24" customHeight="1" spans="1:32">
      <c r="A44" s="349">
        <v>40</v>
      </c>
      <c r="B44" s="350"/>
      <c r="C44" s="351" t="s">
        <v>120</v>
      </c>
      <c r="D44" s="359" t="s">
        <v>523</v>
      </c>
      <c r="E44" s="352"/>
      <c r="F44" s="81">
        <v>1</v>
      </c>
      <c r="G44" s="360" t="s">
        <v>524</v>
      </c>
      <c r="H44" s="361" t="s">
        <v>525</v>
      </c>
      <c r="I44" s="100" t="s">
        <v>124</v>
      </c>
      <c r="J44" s="100" t="s">
        <v>124</v>
      </c>
      <c r="K44" s="100" t="s">
        <v>124</v>
      </c>
      <c r="L44" s="100" t="s">
        <v>124</v>
      </c>
      <c r="M44" s="100" t="s">
        <v>124</v>
      </c>
      <c r="N44" s="373" t="s">
        <v>526</v>
      </c>
      <c r="O44" s="374" t="s">
        <v>527</v>
      </c>
      <c r="P44" s="375" t="str">
        <f>CONCATENATE(RemovePunctuation(H44),"_CA","_","i4K","_",C44,"_",AE44,"_",PROPER(R44),IF(S44="",PROPER(R44),PROPER(S44)),PROPER(T44),PROPER(U44),PROPER(V44),IF(V44&lt;&gt;"","SUB",""),PROPER(W44),IF(W44&lt;&gt;"","SUB",""),"_","Ed","_","M1",".mpg")</f>
        <v>AirPanoramaInternationalOutbound_CA_i4K_0825_43_EngZhoEngSUBZhoSUB_Ed_M1.mpg</v>
      </c>
      <c r="Q44" s="375" t="str">
        <f>CONCATENATE(RemovePunctuation(H44),"_CA","_","i5K","_",C44,"_",AD44,"_",PROPER(R44),IF(S44="",PROPER(R44),PROPER(S44)),PROPER(T44),PROPER(U44),PROPER(V44),IF(V44&lt;&gt;"","SUB",""),PROPER(W44),IF(W44&lt;&gt;"","SUB",""),"_","Ed","_","M4",".mpg")</f>
        <v>AirPanoramaInternationalOutbound_CA_i5K_0825_169_EngZhoEngSUBZhoSUB_Ed_M4.mpg</v>
      </c>
      <c r="R44" s="386" t="s">
        <v>131</v>
      </c>
      <c r="S44" s="382" t="s">
        <v>130</v>
      </c>
      <c r="T44" s="384"/>
      <c r="U44" s="384"/>
      <c r="V44" s="386" t="s">
        <v>131</v>
      </c>
      <c r="W44" s="382" t="s">
        <v>130</v>
      </c>
      <c r="X44" s="349" t="s">
        <v>129</v>
      </c>
      <c r="Y44" s="349" t="s">
        <v>129</v>
      </c>
      <c r="Z44" s="120">
        <f t="shared" ref="Z44:Z60" si="9">ROUNDUP(HOUR(AA44)*60+MINUTE(AA44)+SECOND(AA44)/60,0)</f>
        <v>142</v>
      </c>
      <c r="AA44" s="304" t="str">
        <f t="shared" ref="AA44:AA60" si="10">TEXT((HOUR(AC44)*60+MINUTE(AC44)+IF(SECOND(AC44)&lt;=29,0,1))*60/86400,"hh:mm:ss")</f>
        <v>02:22:00</v>
      </c>
      <c r="AB44" s="120">
        <f t="shared" ref="AB44:AB60" si="11">Z44*60</f>
        <v>8520</v>
      </c>
      <c r="AC44" s="399">
        <v>0.0982638888888889</v>
      </c>
      <c r="AD44" s="400">
        <v>169</v>
      </c>
      <c r="AE44" s="400">
        <v>43</v>
      </c>
      <c r="AF44" s="401"/>
    </row>
    <row r="45" ht="24" customHeight="1" spans="1:32">
      <c r="A45" s="349">
        <v>41</v>
      </c>
      <c r="B45" s="350"/>
      <c r="C45" s="351" t="s">
        <v>120</v>
      </c>
      <c r="D45" s="358"/>
      <c r="E45" s="352"/>
      <c r="F45" s="81">
        <v>2</v>
      </c>
      <c r="G45" s="360" t="s">
        <v>528</v>
      </c>
      <c r="H45" s="361" t="s">
        <v>529</v>
      </c>
      <c r="I45" s="100" t="s">
        <v>124</v>
      </c>
      <c r="J45" s="100" t="s">
        <v>124</v>
      </c>
      <c r="K45" s="100" t="s">
        <v>124</v>
      </c>
      <c r="L45" s="100" t="s">
        <v>124</v>
      </c>
      <c r="M45" s="100" t="s">
        <v>124</v>
      </c>
      <c r="N45" s="373" t="s">
        <v>530</v>
      </c>
      <c r="O45" s="374" t="s">
        <v>531</v>
      </c>
      <c r="P45" s="375" t="str">
        <f>CONCATENATE(RemovePunctuation(H45),"_CA","_","i4K","_",C45,"_",AE45,"_",PROPER(R45),IF(S45="",PROPER(R45),PROPER(S45)),PROPER(T45),PROPER(U45),PROPER(V45),IF(V45&lt;&gt;"","SUB",""),PROPER(W45),IF(W45&lt;&gt;"","SUB",""),"_","Ed","_","M1",".mpg")</f>
        <v>AirPanoramaInternationalInbound_CA_i4K_0825_43_EngZhoEngSUBZhoSUB_Ed_M1.mpg</v>
      </c>
      <c r="Q45" s="375" t="str">
        <f>CONCATENATE(RemovePunctuation(H45),"_CA","_","i5K","_",C45,"_",AD45,"_",PROPER(R45),IF(S45="",PROPER(R45),PROPER(S45)),PROPER(T45),PROPER(U45),PROPER(V45),IF(V45&lt;&gt;"","SUB",""),PROPER(W45),IF(W45&lt;&gt;"","SUB",""),"_","Ed","_","M4",".mpg")</f>
        <v>AirPanoramaInternationalInbound_CA_i5K_0825_169_EngZhoEngSUBZhoSUB_Ed_M4.mpg</v>
      </c>
      <c r="R45" s="386" t="s">
        <v>131</v>
      </c>
      <c r="S45" s="382" t="s">
        <v>130</v>
      </c>
      <c r="T45" s="384"/>
      <c r="U45" s="384"/>
      <c r="V45" s="386" t="s">
        <v>131</v>
      </c>
      <c r="W45" s="382" t="s">
        <v>130</v>
      </c>
      <c r="X45" s="349" t="s">
        <v>129</v>
      </c>
      <c r="Y45" s="349" t="s">
        <v>129</v>
      </c>
      <c r="Z45" s="120">
        <f t="shared" si="9"/>
        <v>141</v>
      </c>
      <c r="AA45" s="304" t="str">
        <f t="shared" si="10"/>
        <v>02:21:00</v>
      </c>
      <c r="AB45" s="120">
        <f t="shared" si="11"/>
        <v>8460</v>
      </c>
      <c r="AC45" s="399">
        <v>0.0981597222222222</v>
      </c>
      <c r="AD45" s="400">
        <v>169</v>
      </c>
      <c r="AE45" s="400">
        <v>43</v>
      </c>
      <c r="AF45" s="401"/>
    </row>
    <row r="46" ht="24" customHeight="1" spans="1:32">
      <c r="A46" s="349">
        <v>42</v>
      </c>
      <c r="B46" s="350"/>
      <c r="C46" s="351" t="s">
        <v>120</v>
      </c>
      <c r="D46" s="358"/>
      <c r="E46" s="352"/>
      <c r="F46" s="81">
        <v>3</v>
      </c>
      <c r="G46" s="360" t="s">
        <v>532</v>
      </c>
      <c r="H46" s="361" t="s">
        <v>533</v>
      </c>
      <c r="I46" s="100" t="s">
        <v>124</v>
      </c>
      <c r="J46" s="100" t="s">
        <v>124</v>
      </c>
      <c r="K46" s="100" t="s">
        <v>124</v>
      </c>
      <c r="L46" s="100" t="s">
        <v>124</v>
      </c>
      <c r="M46" s="100" t="s">
        <v>124</v>
      </c>
      <c r="N46" s="373" t="s">
        <v>534</v>
      </c>
      <c r="O46" s="374" t="s">
        <v>535</v>
      </c>
      <c r="P46" s="375" t="str">
        <f>CONCATENATE(RemovePunctuation(H46),"_CA","_","i4K","_",C46,"_",AE46,"_",PROPER(R46),IF(S46="",PROPER(R46),PROPER(S46)),PROPER(T46),PROPER(U46),PROPER(V46),IF(V46&lt;&gt;"","SUB",""),PROPER(W46),IF(W46&lt;&gt;"","SUB",""),"_","Ed","_","M1",".mpg")</f>
        <v>AirPanoramaDomesticOutbound_CA_i4K_0825_43_ZhoZhoZhoSUB_Ed_M1.mpg</v>
      </c>
      <c r="Q46" s="375" t="str">
        <f>CONCATENATE(RemovePunctuation(H46),"_CA","_","i5K","_",C46,"_",AD46,"_",PROPER(R46),IF(S46="",PROPER(R46),PROPER(S46)),PROPER(T46),PROPER(U46),PROPER(V46),IF(V46&lt;&gt;"","SUB",""),PROPER(W46),IF(W46&lt;&gt;"","SUB",""),"_","Ed","_","M4",".mpg")</f>
        <v>AirPanoramaDomesticOutbound_CA_i5K_0825_169_ZhoZhoZhoSUB_Ed_M4.mpg</v>
      </c>
      <c r="R46" s="386" t="s">
        <v>130</v>
      </c>
      <c r="S46" s="384"/>
      <c r="T46" s="384"/>
      <c r="U46" s="384"/>
      <c r="V46" s="382" t="s">
        <v>130</v>
      </c>
      <c r="W46" s="384"/>
      <c r="X46" s="349" t="s">
        <v>129</v>
      </c>
      <c r="Y46" s="349" t="s">
        <v>129</v>
      </c>
      <c r="Z46" s="120">
        <f t="shared" si="9"/>
        <v>152</v>
      </c>
      <c r="AA46" s="304" t="str">
        <f t="shared" si="10"/>
        <v>02:32:00</v>
      </c>
      <c r="AB46" s="120">
        <f t="shared" si="11"/>
        <v>9120</v>
      </c>
      <c r="AC46" s="399">
        <v>0.105335648148148</v>
      </c>
      <c r="AD46" s="400">
        <v>169</v>
      </c>
      <c r="AE46" s="400">
        <v>43</v>
      </c>
      <c r="AF46" s="401"/>
    </row>
    <row r="47" ht="24" customHeight="1" spans="1:32">
      <c r="A47" s="349">
        <v>43</v>
      </c>
      <c r="B47" s="350"/>
      <c r="C47" s="351" t="s">
        <v>120</v>
      </c>
      <c r="D47" s="358"/>
      <c r="E47" s="352"/>
      <c r="F47" s="81">
        <v>4</v>
      </c>
      <c r="G47" s="360" t="s">
        <v>536</v>
      </c>
      <c r="H47" s="361" t="s">
        <v>537</v>
      </c>
      <c r="I47" s="100" t="s">
        <v>124</v>
      </c>
      <c r="J47" s="100" t="s">
        <v>124</v>
      </c>
      <c r="K47" s="100" t="s">
        <v>124</v>
      </c>
      <c r="L47" s="100" t="s">
        <v>124</v>
      </c>
      <c r="M47" s="100" t="s">
        <v>124</v>
      </c>
      <c r="N47" s="373" t="s">
        <v>538</v>
      </c>
      <c r="O47" s="374" t="s">
        <v>539</v>
      </c>
      <c r="P47" s="375" t="str">
        <f>CONCATENATE(RemovePunctuation(H47),"_CA","_","i4K","_",C47,"_",AE47,"_",PROPER(R47),IF(S47="",PROPER(R47),PROPER(S47)),PROPER(T47),PROPER(U47),PROPER(V47),IF(V47&lt;&gt;"","SUB",""),PROPER(W47),IF(W47&lt;&gt;"","SUB",""),"_","Ed","_","M1",".mpg")</f>
        <v>AirPanoramaDomesticInbound_CA_i4K_0825_43_ZhoZhoZhoSUB_Ed_M1.mpg</v>
      </c>
      <c r="Q47" s="375" t="str">
        <f>CONCATENATE(RemovePunctuation(H47),"_CA","_","i5K","_",C47,"_",AD47,"_",PROPER(R47),IF(S47="",PROPER(R47),PROPER(S47)),PROPER(T47),PROPER(U47),PROPER(V47),IF(V47&lt;&gt;"","SUB",""),PROPER(W47),IF(W47&lt;&gt;"","SUB",""),"_","Ed","_","M4",".mpg")</f>
        <v>AirPanoramaDomesticInbound_CA_i5K_0825_169_ZhoZhoZhoSUB_Ed_M4.mpg</v>
      </c>
      <c r="R47" s="386" t="s">
        <v>130</v>
      </c>
      <c r="S47" s="384"/>
      <c r="T47" s="384"/>
      <c r="U47" s="384"/>
      <c r="V47" s="382" t="s">
        <v>130</v>
      </c>
      <c r="W47" s="384"/>
      <c r="X47" s="349" t="s">
        <v>129</v>
      </c>
      <c r="Y47" s="349" t="s">
        <v>129</v>
      </c>
      <c r="Z47" s="120">
        <f t="shared" si="9"/>
        <v>147</v>
      </c>
      <c r="AA47" s="304" t="str">
        <f t="shared" si="10"/>
        <v>02:27:00</v>
      </c>
      <c r="AB47" s="120">
        <f t="shared" si="11"/>
        <v>8820</v>
      </c>
      <c r="AC47" s="399">
        <v>0.102013888888889</v>
      </c>
      <c r="AD47" s="400">
        <v>169</v>
      </c>
      <c r="AE47" s="400">
        <v>43</v>
      </c>
      <c r="AF47" s="401"/>
    </row>
    <row r="48" ht="24" customHeight="1" spans="1:32">
      <c r="A48" s="349">
        <v>44</v>
      </c>
      <c r="B48" s="350"/>
      <c r="C48" s="351" t="s">
        <v>120</v>
      </c>
      <c r="D48" s="358"/>
      <c r="E48" s="352"/>
      <c r="F48" s="81">
        <v>5</v>
      </c>
      <c r="G48" s="360" t="s">
        <v>540</v>
      </c>
      <c r="H48" s="361" t="s">
        <v>541</v>
      </c>
      <c r="I48" s="100" t="s">
        <v>124</v>
      </c>
      <c r="J48" s="100" t="s">
        <v>124</v>
      </c>
      <c r="K48" s="100" t="s">
        <v>124</v>
      </c>
      <c r="L48" s="100" t="s">
        <v>124</v>
      </c>
      <c r="M48" s="100" t="s">
        <v>124</v>
      </c>
      <c r="N48" s="373" t="s">
        <v>542</v>
      </c>
      <c r="O48" s="374" t="s">
        <v>543</v>
      </c>
      <c r="P48" s="375" t="str">
        <f>CONCATENATE(RemovePunctuation(H48),"_CA","_","i4K","_",C48,"_",AE48,"_",PROPER(R48),IF(S48="",PROPER(R48),PROPER(S48)),PROPER(T48),PROPER(U48),PROPER(V48),IF(V48&lt;&gt;"","SUB",""),PROPER(W48),IF(W48&lt;&gt;"","SUB",""),"_","Ed","_","M1",".mpg")</f>
        <v>AltayinTheLegendofZeldaBreathoftheWild1_CA_i4K_0825_43_ZhoZhoZhoSUB_Ed_M1.mpg</v>
      </c>
      <c r="Q48" s="375" t="str">
        <f>CONCATENATE(RemovePunctuation(H48),"_CA","_","i5K","_",C48,"_",AD48,"_",PROPER(R48),IF(S48="",PROPER(R48),PROPER(S48)),PROPER(T48),PROPER(U48),PROPER(V48),IF(V48&lt;&gt;"","SUB",""),PROPER(W48),IF(W48&lt;&gt;"","SUB",""),"_","Ed","_","M4",".mpg")</f>
        <v>AltayinTheLegendofZeldaBreathoftheWild1_CA_i5K_0825_169_ZhoZhoZhoSUB_Ed_M4.mpg</v>
      </c>
      <c r="R48" s="382" t="s">
        <v>130</v>
      </c>
      <c r="S48" s="384"/>
      <c r="T48" s="384"/>
      <c r="U48" s="384"/>
      <c r="V48" s="382" t="s">
        <v>130</v>
      </c>
      <c r="W48" s="384"/>
      <c r="X48" s="349" t="s">
        <v>129</v>
      </c>
      <c r="Y48" s="349" t="s">
        <v>129</v>
      </c>
      <c r="Z48" s="120">
        <f t="shared" si="9"/>
        <v>8</v>
      </c>
      <c r="AA48" s="304" t="str">
        <f t="shared" si="10"/>
        <v>00:08:00</v>
      </c>
      <c r="AB48" s="120">
        <f t="shared" si="11"/>
        <v>480</v>
      </c>
      <c r="AC48" s="399">
        <v>0.00542824074074074</v>
      </c>
      <c r="AD48" s="400">
        <v>169</v>
      </c>
      <c r="AE48" s="400">
        <v>43</v>
      </c>
      <c r="AF48" s="349" t="s">
        <v>132</v>
      </c>
    </row>
    <row r="49" ht="24" customHeight="1" spans="1:32">
      <c r="A49" s="349">
        <v>45</v>
      </c>
      <c r="B49" s="350"/>
      <c r="C49" s="351" t="s">
        <v>120</v>
      </c>
      <c r="D49" s="358"/>
      <c r="E49" s="352"/>
      <c r="F49" s="81">
        <v>6</v>
      </c>
      <c r="G49" s="360" t="s">
        <v>544</v>
      </c>
      <c r="H49" s="361" t="s">
        <v>545</v>
      </c>
      <c r="I49" s="100" t="s">
        <v>124</v>
      </c>
      <c r="J49" s="100" t="s">
        <v>124</v>
      </c>
      <c r="K49" s="100" t="s">
        <v>124</v>
      </c>
      <c r="L49" s="100" t="s">
        <v>124</v>
      </c>
      <c r="M49" s="100" t="s">
        <v>124</v>
      </c>
      <c r="N49" s="373" t="s">
        <v>546</v>
      </c>
      <c r="O49" s="374" t="s">
        <v>547</v>
      </c>
      <c r="P49" s="375" t="str">
        <f>CONCATENATE(RemovePunctuation(H49),"_CA","_","i4K","_",C49,"_",AE49,"_",PROPER(R49),IF(S49="",PROPER(R49),PROPER(S49)),PROPER(T49),PROPER(U49),PROPER(V49),IF(V49&lt;&gt;"","SUB",""),PROPER(W49),IF(W49&lt;&gt;"","SUB",""),"_","Ed","_","M1",".mpg")</f>
        <v>WhatMakesDujiangyan2300YearsOld1_CA_i4K_0825_43_ZhoZhoEngSUBZhoSUB_Ed_M1.mpg</v>
      </c>
      <c r="Q49" s="375" t="str">
        <f>CONCATENATE(RemovePunctuation(H49),"_CA","_","i5K","_",C49,"_",AD49,"_",PROPER(R49),IF(S49="",PROPER(R49),PROPER(S49)),PROPER(T49),PROPER(U49),PROPER(V49),IF(V49&lt;&gt;"","SUB",""),PROPER(W49),IF(W49&lt;&gt;"","SUB",""),"_","Ed","_","M4",".mpg")</f>
        <v>WhatMakesDujiangyan2300YearsOld1_CA_i5K_0825_169_ZhoZhoEngSUBZhoSUB_Ed_M4.mpg</v>
      </c>
      <c r="R49" s="382" t="s">
        <v>130</v>
      </c>
      <c r="S49" s="384"/>
      <c r="T49" s="384"/>
      <c r="U49" s="384"/>
      <c r="V49" s="382" t="s">
        <v>131</v>
      </c>
      <c r="W49" s="382" t="s">
        <v>130</v>
      </c>
      <c r="X49" s="349" t="s">
        <v>129</v>
      </c>
      <c r="Y49" s="349" t="s">
        <v>129</v>
      </c>
      <c r="Z49" s="120">
        <f t="shared" si="9"/>
        <v>11</v>
      </c>
      <c r="AA49" s="304" t="str">
        <f t="shared" si="10"/>
        <v>00:11:00</v>
      </c>
      <c r="AB49" s="120">
        <f t="shared" si="11"/>
        <v>660</v>
      </c>
      <c r="AC49" s="399">
        <v>0.00769675925925926</v>
      </c>
      <c r="AD49" s="400">
        <v>169</v>
      </c>
      <c r="AE49" s="400">
        <v>43</v>
      </c>
      <c r="AF49" s="349" t="s">
        <v>132</v>
      </c>
    </row>
    <row r="50" ht="24" customHeight="1" spans="1:32">
      <c r="A50" s="349">
        <v>46</v>
      </c>
      <c r="B50" s="350"/>
      <c r="C50" s="351" t="s">
        <v>120</v>
      </c>
      <c r="D50" s="358"/>
      <c r="E50" s="352"/>
      <c r="F50" s="81">
        <v>7</v>
      </c>
      <c r="G50" s="360" t="s">
        <v>548</v>
      </c>
      <c r="H50" s="361" t="s">
        <v>549</v>
      </c>
      <c r="I50" s="100" t="s">
        <v>124</v>
      </c>
      <c r="J50" s="100" t="s">
        <v>124</v>
      </c>
      <c r="K50" s="100" t="s">
        <v>124</v>
      </c>
      <c r="L50" s="100" t="s">
        <v>124</v>
      </c>
      <c r="M50" s="100" t="s">
        <v>124</v>
      </c>
      <c r="N50" s="373" t="s">
        <v>550</v>
      </c>
      <c r="O50" s="374" t="s">
        <v>551</v>
      </c>
      <c r="P50" s="375" t="str">
        <f>CONCATENATE(RemovePunctuation(H50),"_CA","_","i4K","_",C50,"_",AE50,"_",PROPER(R50),IF(S50="",PROPER(R50),PROPER(S50)),PROPER(T50),PROPER(U50),PROPER(V50),IF(V50&lt;&gt;"","SUB",""),PROPER(W50),IF(W50&lt;&gt;"","SUB",""),"_","Ed","_","M1",".mpg")</f>
        <v>Jingdezhen1_CA_i4K_0825_43_ZhoZhoZhoSUB_Ed_M1.mpg</v>
      </c>
      <c r="Q50" s="375" t="str">
        <f>CONCATENATE(RemovePunctuation(H50),"_CA","_","i5K","_",C50,"_",AD50,"_",PROPER(R50),IF(S50="",PROPER(R50),PROPER(S50)),PROPER(T50),PROPER(U50),PROPER(V50),IF(V50&lt;&gt;"","SUB",""),PROPER(W50),IF(W50&lt;&gt;"","SUB",""),"_","Ed","_","M4",".mpg")</f>
        <v>Jingdezhen1_CA_i5K_0825_169_ZhoZhoZhoSUB_Ed_M4.mpg</v>
      </c>
      <c r="R50" s="382" t="s">
        <v>130</v>
      </c>
      <c r="S50" s="384"/>
      <c r="T50" s="384"/>
      <c r="U50" s="384"/>
      <c r="V50" s="382" t="s">
        <v>130</v>
      </c>
      <c r="W50" s="384"/>
      <c r="X50" s="349" t="s">
        <v>129</v>
      </c>
      <c r="Y50" s="349" t="s">
        <v>129</v>
      </c>
      <c r="Z50" s="120">
        <f t="shared" si="9"/>
        <v>20</v>
      </c>
      <c r="AA50" s="304" t="str">
        <f t="shared" si="10"/>
        <v>00:20:00</v>
      </c>
      <c r="AB50" s="120">
        <f t="shared" si="11"/>
        <v>1200</v>
      </c>
      <c r="AC50" s="399">
        <v>0.013587962962963</v>
      </c>
      <c r="AD50" s="400">
        <v>169</v>
      </c>
      <c r="AE50" s="400">
        <v>43</v>
      </c>
      <c r="AF50" s="349" t="s">
        <v>132</v>
      </c>
    </row>
    <row r="51" ht="24" customHeight="1" spans="1:32">
      <c r="A51" s="349">
        <v>47</v>
      </c>
      <c r="B51" s="350"/>
      <c r="C51" s="351" t="s">
        <v>120</v>
      </c>
      <c r="D51" s="358"/>
      <c r="E51" s="352"/>
      <c r="F51" s="81">
        <v>8</v>
      </c>
      <c r="G51" s="360" t="s">
        <v>552</v>
      </c>
      <c r="H51" s="361" t="s">
        <v>553</v>
      </c>
      <c r="I51" s="100" t="s">
        <v>124</v>
      </c>
      <c r="J51" s="100" t="s">
        <v>124</v>
      </c>
      <c r="K51" s="100" t="s">
        <v>124</v>
      </c>
      <c r="L51" s="100" t="s">
        <v>124</v>
      </c>
      <c r="M51" s="100" t="s">
        <v>124</v>
      </c>
      <c r="N51" s="373" t="s">
        <v>554</v>
      </c>
      <c r="O51" s="374" t="s">
        <v>555</v>
      </c>
      <c r="P51" s="375" t="str">
        <f>CONCATENATE(RemovePunctuation(H51),"_CA","_","i4K","_",C51,"_",AE51,"_",PROPER(R51),IF(S51="",PROPER(R51),PROPER(S51)),PROPER(T51),PROPER(U51),PROPER(V51),IF(V51&lt;&gt;"","SUB",""),PROPER(W51),IF(W51&lt;&gt;"","SUB",""),"_","Ed","_","M1",".mpg")</f>
        <v>Wuyuan1_CA_i4K_0825_43_ZhoZhoZhoSUB_Ed_M1.mpg</v>
      </c>
      <c r="Q51" s="375" t="str">
        <f>CONCATENATE(RemovePunctuation(H51),"_CA","_","i5K","_",C51,"_",AD51,"_",PROPER(R51),IF(S51="",PROPER(R51),PROPER(S51)),PROPER(T51),PROPER(U51),PROPER(V51),IF(V51&lt;&gt;"","SUB",""),PROPER(W51),IF(W51&lt;&gt;"","SUB",""),"_","Ed","_","M4",".mpg")</f>
        <v>Wuyuan1_CA_i5K_0825_169_ZhoZhoZhoSUB_Ed_M4.mpg</v>
      </c>
      <c r="R51" s="382" t="s">
        <v>130</v>
      </c>
      <c r="S51" s="384"/>
      <c r="T51" s="384"/>
      <c r="U51" s="384"/>
      <c r="V51" s="382" t="s">
        <v>130</v>
      </c>
      <c r="W51" s="384"/>
      <c r="X51" s="349" t="s">
        <v>129</v>
      </c>
      <c r="Y51" s="349" t="s">
        <v>129</v>
      </c>
      <c r="Z51" s="120">
        <f t="shared" si="9"/>
        <v>5</v>
      </c>
      <c r="AA51" s="304" t="str">
        <f t="shared" si="10"/>
        <v>00:05:00</v>
      </c>
      <c r="AB51" s="120">
        <f t="shared" si="11"/>
        <v>300</v>
      </c>
      <c r="AC51" s="399">
        <v>0.00368055555555556</v>
      </c>
      <c r="AD51" s="400">
        <v>169</v>
      </c>
      <c r="AE51" s="400">
        <v>43</v>
      </c>
      <c r="AF51" s="349" t="s">
        <v>132</v>
      </c>
    </row>
    <row r="52" ht="24" customHeight="1" spans="1:32">
      <c r="A52" s="349">
        <v>48</v>
      </c>
      <c r="B52" s="350"/>
      <c r="C52" s="351" t="s">
        <v>120</v>
      </c>
      <c r="D52" s="358"/>
      <c r="E52" s="352"/>
      <c r="F52" s="81">
        <v>9</v>
      </c>
      <c r="G52" s="360" t="s">
        <v>556</v>
      </c>
      <c r="H52" s="361" t="s">
        <v>557</v>
      </c>
      <c r="I52" s="100" t="s">
        <v>124</v>
      </c>
      <c r="J52" s="100" t="s">
        <v>124</v>
      </c>
      <c r="K52" s="100" t="s">
        <v>124</v>
      </c>
      <c r="L52" s="100" t="s">
        <v>124</v>
      </c>
      <c r="M52" s="100" t="s">
        <v>124</v>
      </c>
      <c r="N52" s="373" t="s">
        <v>558</v>
      </c>
      <c r="O52" s="374" t="s">
        <v>559</v>
      </c>
      <c r="P52" s="375" t="str">
        <f>CONCATENATE(RemovePunctuation(H52),"_CA","_","i4K","_",C52,"_",AE52,"_",PROPER(R52),IF(S52="",PROPER(R52),PROPER(S52)),PROPER(T52),PROPER(U52),PROPER(V52),IF(V52&lt;&gt;"","SUB",""),PROPER(W52),IF(W52&lt;&gt;"","SUB",""),"_","Ed","_","M1",".mpg")</f>
        <v>CairoEgypt1_CA_i4K_0825_43_ZhoZhoZhoSUB_Ed_M1.mpg</v>
      </c>
      <c r="Q52" s="375" t="str">
        <f>CONCATENATE(RemovePunctuation(H52),"_CA","_","i5K","_",C52,"_",AD52,"_",PROPER(R52),IF(S52="",PROPER(R52),PROPER(S52)),PROPER(T52),PROPER(U52),PROPER(V52),IF(V52&lt;&gt;"","SUB",""),PROPER(W52),IF(W52&lt;&gt;"","SUB",""),"_","Ed","_","M4",".mpg")</f>
        <v>CairoEgypt1_CA_i5K_0825_169_ZhoZhoZhoSUB_Ed_M4.mpg</v>
      </c>
      <c r="R52" s="382" t="s">
        <v>130</v>
      </c>
      <c r="S52" s="384"/>
      <c r="T52" s="384"/>
      <c r="U52" s="384"/>
      <c r="V52" s="382" t="s">
        <v>130</v>
      </c>
      <c r="W52" s="384"/>
      <c r="X52" s="349" t="s">
        <v>129</v>
      </c>
      <c r="Y52" s="349" t="s">
        <v>129</v>
      </c>
      <c r="Z52" s="120">
        <f t="shared" si="9"/>
        <v>18</v>
      </c>
      <c r="AA52" s="304" t="str">
        <f t="shared" si="10"/>
        <v>00:18:00</v>
      </c>
      <c r="AB52" s="120">
        <f t="shared" si="11"/>
        <v>1080</v>
      </c>
      <c r="AC52" s="399">
        <v>0.0123263888888889</v>
      </c>
      <c r="AD52" s="400">
        <v>169</v>
      </c>
      <c r="AE52" s="400">
        <v>43</v>
      </c>
      <c r="AF52" s="349" t="s">
        <v>132</v>
      </c>
    </row>
    <row r="53" ht="24" customHeight="1" spans="1:32">
      <c r="A53" s="349">
        <v>49</v>
      </c>
      <c r="B53" s="350"/>
      <c r="C53" s="351" t="s">
        <v>120</v>
      </c>
      <c r="D53" s="358"/>
      <c r="E53" s="352"/>
      <c r="F53" s="81">
        <v>10</v>
      </c>
      <c r="G53" s="360" t="s">
        <v>560</v>
      </c>
      <c r="H53" s="361" t="s">
        <v>561</v>
      </c>
      <c r="I53" s="100" t="s">
        <v>124</v>
      </c>
      <c r="J53" s="100"/>
      <c r="K53" s="100"/>
      <c r="L53" s="100" t="s">
        <v>124</v>
      </c>
      <c r="M53" s="100" t="s">
        <v>124</v>
      </c>
      <c r="N53" s="373" t="s">
        <v>562</v>
      </c>
      <c r="O53" s="374"/>
      <c r="P53" s="375" t="str">
        <f>CONCATENATE(RemovePunctuation(H53),"_CA","_","i4K","_",C53,"_",AE53,"_",PROPER(R53),IF(S53="",PROPER(R53),PROPER(S53)),PROPER(T53),PROPER(U53),PROPER(V53),IF(V53&lt;&gt;"","SUB",""),PROPER(W53),IF(W53&lt;&gt;"","SUB",""),"_","Ed","_","M1",".mpg")</f>
        <v>MianyangofSichuanWhereNatureMeetsLegend1_CA_i4K_0825_43_ZhoZhoEngSUBZhoSUB_Ed_M1.mpg</v>
      </c>
      <c r="Q53" s="375" t="str">
        <f>CONCATENATE(RemovePunctuation(H53),"_CA","_","i5K","_",C53,"_",AD53,"_",PROPER(R53),IF(S53="",PROPER(R53),PROPER(S53)),PROPER(T53),PROPER(U53),PROPER(V53),IF(V53&lt;&gt;"","SUB",""),PROPER(W53),IF(W53&lt;&gt;"","SUB",""),"_","Ed","_","M4",".mpg")</f>
        <v>MianyangofSichuanWhereNatureMeetsLegend1_CA_i5K_0825_169_ZhoZhoEngSUBZhoSUB_Ed_M4.mpg</v>
      </c>
      <c r="R53" s="382" t="s">
        <v>130</v>
      </c>
      <c r="S53" s="384"/>
      <c r="T53" s="384"/>
      <c r="U53" s="384"/>
      <c r="V53" s="382" t="s">
        <v>131</v>
      </c>
      <c r="W53" s="382" t="s">
        <v>130</v>
      </c>
      <c r="X53" s="349" t="s">
        <v>129</v>
      </c>
      <c r="Y53" s="349" t="s">
        <v>129</v>
      </c>
      <c r="Z53" s="120">
        <f t="shared" si="9"/>
        <v>11</v>
      </c>
      <c r="AA53" s="304" t="str">
        <f t="shared" si="10"/>
        <v>00:11:00</v>
      </c>
      <c r="AB53" s="120">
        <f t="shared" si="11"/>
        <v>660</v>
      </c>
      <c r="AC53" s="399">
        <v>0.00732638888888889</v>
      </c>
      <c r="AD53" s="400">
        <v>169</v>
      </c>
      <c r="AE53" s="400">
        <v>43</v>
      </c>
      <c r="AF53" s="349" t="s">
        <v>563</v>
      </c>
    </row>
    <row r="54" ht="24" customHeight="1" spans="1:32">
      <c r="A54" s="349">
        <v>50</v>
      </c>
      <c r="B54" s="350"/>
      <c r="C54" s="351" t="s">
        <v>120</v>
      </c>
      <c r="D54" s="358"/>
      <c r="E54" s="352"/>
      <c r="F54" s="81">
        <v>11</v>
      </c>
      <c r="G54" s="360" t="s">
        <v>564</v>
      </c>
      <c r="H54" s="361" t="s">
        <v>565</v>
      </c>
      <c r="I54" s="100" t="s">
        <v>124</v>
      </c>
      <c r="J54" s="100" t="s">
        <v>124</v>
      </c>
      <c r="K54" s="100" t="s">
        <v>124</v>
      </c>
      <c r="L54" s="100" t="s">
        <v>124</v>
      </c>
      <c r="M54" s="100" t="s">
        <v>124</v>
      </c>
      <c r="N54" s="373" t="s">
        <v>566</v>
      </c>
      <c r="O54" s="374" t="s">
        <v>567</v>
      </c>
      <c r="P54" s="375" t="str">
        <f>CONCATENATE(RemovePunctuation(H54),"_CA","_","i4K","_",C54,"_",AE54,"_",PROPER(R54),IF(S54="",PROPER(R54),PROPER(S54)),PROPER(T54),PROPER(U54),PROPER(V54),IF(V54&lt;&gt;"","SUB",""),PROPER(W54),IF(W54&lt;&gt;"","SUB",""),"_","Ed","_","M1",".mpg")</f>
        <v>HeadingtoAntarcticaIsItDifficult1_CA_i4K_0825_43_ZhoZhoEngSUBZhoSUB_Ed_M1.mpg</v>
      </c>
      <c r="Q54" s="375" t="str">
        <f>CONCATENATE(RemovePunctuation(H54),"_CA","_","i5K","_",C54,"_",AD54,"_",PROPER(R54),IF(S54="",PROPER(R54),PROPER(S54)),PROPER(T54),PROPER(U54),PROPER(V54),IF(V54&lt;&gt;"","SUB",""),PROPER(W54),IF(W54&lt;&gt;"","SUB",""),"_","Ed","_","M4",".mpg")</f>
        <v>HeadingtoAntarcticaIsItDifficult1_CA_i5K_0825_169_ZhoZhoEngSUBZhoSUB_Ed_M4.mpg</v>
      </c>
      <c r="R54" s="382" t="s">
        <v>130</v>
      </c>
      <c r="S54" s="384"/>
      <c r="T54" s="384"/>
      <c r="U54" s="384"/>
      <c r="V54" s="382" t="s">
        <v>131</v>
      </c>
      <c r="W54" s="382" t="s">
        <v>130</v>
      </c>
      <c r="X54" s="349" t="s">
        <v>129</v>
      </c>
      <c r="Y54" s="349" t="s">
        <v>129</v>
      </c>
      <c r="Z54" s="120">
        <f t="shared" si="9"/>
        <v>10</v>
      </c>
      <c r="AA54" s="304" t="str">
        <f t="shared" si="10"/>
        <v>00:10:00</v>
      </c>
      <c r="AB54" s="120">
        <f t="shared" si="11"/>
        <v>600</v>
      </c>
      <c r="AC54" s="399">
        <v>0.00701388888888889</v>
      </c>
      <c r="AD54" s="400">
        <v>169</v>
      </c>
      <c r="AE54" s="400">
        <v>43</v>
      </c>
      <c r="AF54" s="349" t="s">
        <v>132</v>
      </c>
    </row>
    <row r="55" ht="24" customHeight="1" spans="1:32">
      <c r="A55" s="349">
        <v>51</v>
      </c>
      <c r="B55" s="350"/>
      <c r="C55" s="351" t="s">
        <v>120</v>
      </c>
      <c r="D55" s="358"/>
      <c r="E55" s="352"/>
      <c r="F55" s="81">
        <v>12</v>
      </c>
      <c r="G55" s="360" t="s">
        <v>568</v>
      </c>
      <c r="H55" s="361" t="s">
        <v>569</v>
      </c>
      <c r="I55" s="100" t="s">
        <v>124</v>
      </c>
      <c r="J55" s="100" t="s">
        <v>124</v>
      </c>
      <c r="K55" s="100"/>
      <c r="L55" s="100" t="s">
        <v>124</v>
      </c>
      <c r="M55" s="100" t="s">
        <v>124</v>
      </c>
      <c r="N55" s="373" t="s">
        <v>570</v>
      </c>
      <c r="O55" s="374"/>
      <c r="P55" s="375" t="str">
        <f>CONCATENATE(RemovePunctuation(H55),"_CA","_","i4K","_",C55,"_",AE55,"_",PROPER(R55),IF(S55="",PROPER(R55),PROPER(S55)),PROPER(T55),PROPER(U55),PROPER(V55),IF(V55&lt;&gt;"","SUB",""),PROPER(W55),IF(W55&lt;&gt;"","SUB",""),"_","Ed","_","M1",".mpg")</f>
        <v>GoforHappinessMountainsandSeasEp8_CA_i4K_0825_43_ZhoZhoZhoSUB_Ed_M1.mpg</v>
      </c>
      <c r="Q55" s="375" t="str">
        <f>CONCATENATE(RemovePunctuation(H55),"_CA","_","i5K","_",C55,"_",AD55,"_",PROPER(R55),IF(S55="",PROPER(R55),PROPER(S55)),PROPER(T55),PROPER(U55),PROPER(V55),IF(V55&lt;&gt;"","SUB",""),PROPER(W55),IF(W55&lt;&gt;"","SUB",""),"_","Ed","_","M4",".mpg")</f>
        <v>GoforHappinessMountainsandSeasEp8_CA_i5K_0825_169_ZhoZhoZhoSUB_Ed_M4.mpg</v>
      </c>
      <c r="R55" s="382" t="s">
        <v>130</v>
      </c>
      <c r="S55" s="384"/>
      <c r="T55" s="384"/>
      <c r="U55" s="384"/>
      <c r="V55" s="382" t="s">
        <v>130</v>
      </c>
      <c r="W55" s="384"/>
      <c r="X55" s="349" t="s">
        <v>129</v>
      </c>
      <c r="Y55" s="349" t="s">
        <v>129</v>
      </c>
      <c r="Z55" s="120">
        <f t="shared" ref="Z55:Z64" si="12">ROUNDUP(HOUR(AA55)*60+MINUTE(AA55)+SECOND(AA55)/60,0)</f>
        <v>96</v>
      </c>
      <c r="AA55" s="304" t="str">
        <f t="shared" ref="AA55:AA64" si="13">TEXT((HOUR(AC55)*60+MINUTE(AC55)+IF(SECOND(AC55)&lt;=29,0,1))*60/86400,"hh:mm:ss")</f>
        <v>01:36:00</v>
      </c>
      <c r="AB55" s="120">
        <f t="shared" ref="AB55:AB64" si="14">Z55*60</f>
        <v>5760</v>
      </c>
      <c r="AC55" s="399">
        <v>0.0663194444444444</v>
      </c>
      <c r="AD55" s="400">
        <v>169</v>
      </c>
      <c r="AE55" s="400">
        <v>43</v>
      </c>
      <c r="AF55" s="349" t="s">
        <v>132</v>
      </c>
    </row>
    <row r="56" ht="24" customHeight="1" spans="1:32">
      <c r="A56" s="349">
        <v>52</v>
      </c>
      <c r="B56" s="350"/>
      <c r="C56" s="351" t="s">
        <v>120</v>
      </c>
      <c r="D56" s="358"/>
      <c r="E56" s="352"/>
      <c r="F56" s="81">
        <v>13</v>
      </c>
      <c r="G56" s="360" t="s">
        <v>571</v>
      </c>
      <c r="H56" s="361" t="s">
        <v>572</v>
      </c>
      <c r="I56" s="100" t="s">
        <v>124</v>
      </c>
      <c r="J56" s="100" t="s">
        <v>124</v>
      </c>
      <c r="K56" s="100"/>
      <c r="L56" s="100" t="s">
        <v>124</v>
      </c>
      <c r="M56" s="100" t="s">
        <v>124</v>
      </c>
      <c r="N56" s="373" t="s">
        <v>573</v>
      </c>
      <c r="O56" s="374"/>
      <c r="P56" s="375" t="str">
        <f>CONCATENATE(RemovePunctuation(H56),"_CA","_","i4K","_",C56,"_",AE56,"_",PROPER(R56),IF(S56="",PROPER(R56),PROPER(S56)),PROPER(T56),PROPER(U56),PROPER(V56),IF(V56&lt;&gt;"","SUB",""),PROPER(W56),IF(W56&lt;&gt;"","SUB",""),"_","Ed","_","M1",".mpg")</f>
        <v>GoforHappinessMountainsandSeasEp7_CA_i4K_0825_43_ZhoZhoZhoSUB_Ed_M1.mpg</v>
      </c>
      <c r="Q56" s="375" t="str">
        <f>CONCATENATE(RemovePunctuation(H56),"_CA","_","i5K","_",C56,"_",AD56,"_",PROPER(R56),IF(S56="",PROPER(R56),PROPER(S56)),PROPER(T56),PROPER(U56),PROPER(V56),IF(V56&lt;&gt;"","SUB",""),PROPER(W56),IF(W56&lt;&gt;"","SUB",""),"_","Ed","_","M4",".mpg")</f>
        <v>GoforHappinessMountainsandSeasEp7_CA_i5K_0825_169_ZhoZhoZhoSUB_Ed_M4.mpg</v>
      </c>
      <c r="R56" s="382" t="s">
        <v>130</v>
      </c>
      <c r="S56" s="384"/>
      <c r="T56" s="384"/>
      <c r="U56" s="384"/>
      <c r="V56" s="382" t="s">
        <v>130</v>
      </c>
      <c r="W56" s="384"/>
      <c r="X56" s="349" t="s">
        <v>129</v>
      </c>
      <c r="Y56" s="349" t="s">
        <v>129</v>
      </c>
      <c r="Z56" s="120">
        <f t="shared" si="12"/>
        <v>90</v>
      </c>
      <c r="AA56" s="304" t="str">
        <f t="shared" si="13"/>
        <v>01:30:00</v>
      </c>
      <c r="AB56" s="120">
        <f t="shared" si="14"/>
        <v>5400</v>
      </c>
      <c r="AC56" s="399">
        <v>0.0623726851851852</v>
      </c>
      <c r="AD56" s="400">
        <v>169</v>
      </c>
      <c r="AE56" s="400">
        <v>43</v>
      </c>
      <c r="AF56" s="349" t="s">
        <v>132</v>
      </c>
    </row>
    <row r="57" ht="24" customHeight="1" spans="1:32">
      <c r="A57" s="349">
        <v>53</v>
      </c>
      <c r="B57" s="350"/>
      <c r="C57" s="351" t="s">
        <v>120</v>
      </c>
      <c r="D57" s="358"/>
      <c r="E57" s="352"/>
      <c r="F57" s="81">
        <v>14</v>
      </c>
      <c r="G57" s="360" t="s">
        <v>574</v>
      </c>
      <c r="H57" s="361" t="s">
        <v>575</v>
      </c>
      <c r="I57" s="100" t="s">
        <v>124</v>
      </c>
      <c r="J57" s="100"/>
      <c r="K57" s="100"/>
      <c r="L57" s="100" t="s">
        <v>124</v>
      </c>
      <c r="M57" s="100" t="s">
        <v>124</v>
      </c>
      <c r="N57" s="373" t="s">
        <v>576</v>
      </c>
      <c r="O57" s="374"/>
      <c r="P57" s="375" t="str">
        <f>CONCATENATE(RemovePunctuation(H57),"_CA","_","i4K","_",C57,"_",AE57,"_",PROPER(R57),IF(S57="",PROPER(R57),PROPER(S57)),PROPER(T57),PROPER(U57),PROPER(V57),IF(V57&lt;&gt;"","SUB",""),PROPER(W57),IF(W57&lt;&gt;"","SUB",""),"_","Ed","_","M1",".mpg")</f>
        <v>GoforHappinessMountainsandSeasEp6_CA_i4K_0825_43_ZhoZhoZhoSUB_Ed_M1.mpg</v>
      </c>
      <c r="Q57" s="375" t="str">
        <f>CONCATENATE(RemovePunctuation(H57),"_CA","_","i5K","_",C57,"_",AD57,"_",PROPER(R57),IF(S57="",PROPER(R57),PROPER(S57)),PROPER(T57),PROPER(U57),PROPER(V57),IF(V57&lt;&gt;"","SUB",""),PROPER(W57),IF(W57&lt;&gt;"","SUB",""),"_","Ed","_","M4",".mpg")</f>
        <v>GoforHappinessMountainsandSeasEp6_CA_i5K_0825_169_ZhoZhoZhoSUB_Ed_M4.mpg</v>
      </c>
      <c r="R57" s="382" t="s">
        <v>130</v>
      </c>
      <c r="S57" s="384"/>
      <c r="T57" s="384"/>
      <c r="U57" s="384"/>
      <c r="V57" s="382" t="s">
        <v>130</v>
      </c>
      <c r="W57" s="384"/>
      <c r="X57" s="349" t="s">
        <v>129</v>
      </c>
      <c r="Y57" s="349" t="s">
        <v>129</v>
      </c>
      <c r="Z57" s="120">
        <f t="shared" si="12"/>
        <v>92</v>
      </c>
      <c r="AA57" s="304" t="str">
        <f t="shared" si="13"/>
        <v>01:32:00</v>
      </c>
      <c r="AB57" s="120">
        <f t="shared" si="14"/>
        <v>5520</v>
      </c>
      <c r="AC57" s="399">
        <v>0.0639930555555556</v>
      </c>
      <c r="AD57" s="400">
        <v>169</v>
      </c>
      <c r="AE57" s="400">
        <v>43</v>
      </c>
      <c r="AF57" s="349" t="s">
        <v>132</v>
      </c>
    </row>
    <row r="58" ht="24" customHeight="1" spans="1:32">
      <c r="A58" s="349">
        <v>54</v>
      </c>
      <c r="B58" s="350"/>
      <c r="C58" s="351" t="s">
        <v>120</v>
      </c>
      <c r="D58" s="358"/>
      <c r="E58" s="352"/>
      <c r="F58" s="81">
        <v>15</v>
      </c>
      <c r="G58" s="360" t="s">
        <v>577</v>
      </c>
      <c r="H58" s="361" t="s">
        <v>578</v>
      </c>
      <c r="I58" s="100" t="s">
        <v>124</v>
      </c>
      <c r="J58" s="100" t="s">
        <v>124</v>
      </c>
      <c r="K58" s="100"/>
      <c r="L58" s="100" t="s">
        <v>124</v>
      </c>
      <c r="M58" s="100" t="s">
        <v>124</v>
      </c>
      <c r="N58" s="373" t="s">
        <v>579</v>
      </c>
      <c r="O58" s="374"/>
      <c r="P58" s="375" t="str">
        <f>CONCATENATE(RemovePunctuation(H58),"_CA","_","i4K","_",C58,"_",AE58,"_",PROPER(R58),IF(S58="",PROPER(R58),PROPER(S58)),PROPER(T58),PROPER(U58),PROPER(V58),IF(V58&lt;&gt;"","SUB",""),PROPER(W58),IF(W58&lt;&gt;"","SUB",""),"_","Ed","_","M1",".mpg")</f>
        <v>MacauDoubleLineSeason2RidetheWindandWaves_CA_i4K_0825_43_ZhoZhoZhoSUB_Ed_M1.mpg</v>
      </c>
      <c r="Q58" s="375" t="str">
        <f>CONCATENATE(RemovePunctuation(H58),"_CA","_","i5K","_",C58,"_",AD58,"_",PROPER(R58),IF(S58="",PROPER(R58),PROPER(S58)),PROPER(T58),PROPER(U58),PROPER(V58),IF(V58&lt;&gt;"","SUB",""),PROPER(W58),IF(W58&lt;&gt;"","SUB",""),"_","Ed","_","M4",".mpg")</f>
        <v>MacauDoubleLineSeason2RidetheWindandWaves_CA_i5K_0825_169_ZhoZhoZhoSUB_Ed_M4.mpg</v>
      </c>
      <c r="R58" s="382" t="s">
        <v>130</v>
      </c>
      <c r="S58" s="384"/>
      <c r="T58" s="384"/>
      <c r="U58" s="384"/>
      <c r="V58" s="382" t="s">
        <v>130</v>
      </c>
      <c r="W58" s="384"/>
      <c r="X58" s="349" t="s">
        <v>129</v>
      </c>
      <c r="Y58" s="349" t="s">
        <v>129</v>
      </c>
      <c r="Z58" s="120">
        <f t="shared" si="12"/>
        <v>59</v>
      </c>
      <c r="AA58" s="304" t="str">
        <f t="shared" si="13"/>
        <v>00:59:00</v>
      </c>
      <c r="AB58" s="120">
        <f t="shared" si="14"/>
        <v>3540</v>
      </c>
      <c r="AC58" s="399">
        <v>0.041087962962963</v>
      </c>
      <c r="AD58" s="400">
        <v>169</v>
      </c>
      <c r="AE58" s="400">
        <v>43</v>
      </c>
      <c r="AF58" s="349" t="s">
        <v>132</v>
      </c>
    </row>
    <row r="59" ht="24" customHeight="1" spans="1:32">
      <c r="A59" s="349">
        <v>55</v>
      </c>
      <c r="B59" s="350"/>
      <c r="C59" s="351" t="s">
        <v>120</v>
      </c>
      <c r="D59" s="358"/>
      <c r="E59" s="352"/>
      <c r="F59" s="81">
        <v>16</v>
      </c>
      <c r="G59" s="360" t="s">
        <v>580</v>
      </c>
      <c r="H59" s="361" t="s">
        <v>581</v>
      </c>
      <c r="I59" s="100" t="s">
        <v>124</v>
      </c>
      <c r="J59" s="100"/>
      <c r="K59" s="100"/>
      <c r="L59" s="100" t="s">
        <v>124</v>
      </c>
      <c r="M59" s="100"/>
      <c r="N59" s="373" t="s">
        <v>582</v>
      </c>
      <c r="O59" s="374"/>
      <c r="P59" s="375"/>
      <c r="Q59" s="375" t="str">
        <f>CONCATENATE(RemovePunctuation(H59),"_CA","_","i5K","_",C59,"_",AD59,"_",PROPER(R59),IF(S59="",PROPER(R59),PROPER(S59)),PROPER(T59),PROPER(U59),PROPER(V59),IF(V59&lt;&gt;"","SUB",""),PROPER(W59),IF(W59&lt;&gt;"","SUB",""),"_","Ed","_","M4",".mpg")</f>
        <v>MacauDoubleLineSeason2ReluctanttoPart_CA_i5K_0825_169_ZhoZhoZhoSUB_Ed_M4.mpg</v>
      </c>
      <c r="R59" s="382" t="s">
        <v>130</v>
      </c>
      <c r="S59" s="384"/>
      <c r="T59" s="384"/>
      <c r="U59" s="384"/>
      <c r="V59" s="382" t="s">
        <v>130</v>
      </c>
      <c r="W59" s="384"/>
      <c r="X59" s="349" t="s">
        <v>129</v>
      </c>
      <c r="Y59" s="349" t="s">
        <v>129</v>
      </c>
      <c r="Z59" s="120">
        <f t="shared" si="12"/>
        <v>59</v>
      </c>
      <c r="AA59" s="304" t="str">
        <f t="shared" si="13"/>
        <v>00:59:00</v>
      </c>
      <c r="AB59" s="120">
        <f t="shared" si="14"/>
        <v>3540</v>
      </c>
      <c r="AC59" s="399">
        <v>0.0410763888888889</v>
      </c>
      <c r="AD59" s="400">
        <v>169</v>
      </c>
      <c r="AE59" s="400">
        <v>43</v>
      </c>
      <c r="AF59" s="349" t="s">
        <v>132</v>
      </c>
    </row>
    <row r="60" ht="24" customHeight="1" spans="1:32">
      <c r="A60" s="349">
        <v>56</v>
      </c>
      <c r="B60" s="350"/>
      <c r="C60" s="351" t="s">
        <v>120</v>
      </c>
      <c r="D60" s="358"/>
      <c r="E60" s="352"/>
      <c r="F60" s="81">
        <v>17</v>
      </c>
      <c r="G60" s="360" t="s">
        <v>583</v>
      </c>
      <c r="H60" s="362" t="s">
        <v>584</v>
      </c>
      <c r="I60" s="100" t="s">
        <v>124</v>
      </c>
      <c r="J60" s="100"/>
      <c r="K60" s="100"/>
      <c r="L60" s="100" t="s">
        <v>124</v>
      </c>
      <c r="M60" s="100"/>
      <c r="N60" s="373" t="s">
        <v>585</v>
      </c>
      <c r="O60" s="374"/>
      <c r="P60" s="375"/>
      <c r="Q60" s="375" t="str">
        <f>CONCATENATE(RemovePunctuation(H60),"_CA","_","i5K","_",C60,"_",AD60,"_",PROPER(R60),IF(S60="",PROPER(R60),PROPER(S60)),PROPER(T60),PROPER(U60),PROPER(V60),IF(V60&lt;&gt;"","SUB",""),PROPER(W60),IF(W60&lt;&gt;"","SUB",""),"_","Ed","_","M4",".mpg")</f>
        <v>HistoricTownofCulturalSignificance2LiuheJiangsu_CA_i5K_0825_169_ZhoZhoZhoSUB_Ed_M4.mpg</v>
      </c>
      <c r="R60" s="382" t="s">
        <v>130</v>
      </c>
      <c r="S60" s="384"/>
      <c r="T60" s="384"/>
      <c r="U60" s="384"/>
      <c r="V60" s="382" t="s">
        <v>130</v>
      </c>
      <c r="W60" s="384"/>
      <c r="X60" s="349" t="s">
        <v>129</v>
      </c>
      <c r="Y60" s="349" t="s">
        <v>129</v>
      </c>
      <c r="Z60" s="120">
        <f t="shared" si="12"/>
        <v>29</v>
      </c>
      <c r="AA60" s="304" t="str">
        <f t="shared" si="13"/>
        <v>00:29:00</v>
      </c>
      <c r="AB60" s="120">
        <f t="shared" si="14"/>
        <v>1740</v>
      </c>
      <c r="AC60" s="399">
        <v>0.020150462962963</v>
      </c>
      <c r="AD60" s="400">
        <v>169</v>
      </c>
      <c r="AE60" s="400">
        <v>43</v>
      </c>
      <c r="AF60" s="349" t="s">
        <v>132</v>
      </c>
    </row>
    <row r="61" ht="24" customHeight="1" spans="1:32">
      <c r="A61" s="349">
        <v>57</v>
      </c>
      <c r="B61" s="350"/>
      <c r="C61" s="351" t="s">
        <v>120</v>
      </c>
      <c r="D61" s="358"/>
      <c r="E61" s="352"/>
      <c r="F61" s="81">
        <v>18</v>
      </c>
      <c r="G61" s="360" t="s">
        <v>586</v>
      </c>
      <c r="H61" s="361" t="s">
        <v>587</v>
      </c>
      <c r="I61" s="100" t="s">
        <v>124</v>
      </c>
      <c r="J61" s="100" t="s">
        <v>124</v>
      </c>
      <c r="K61" s="100"/>
      <c r="L61" s="100" t="s">
        <v>124</v>
      </c>
      <c r="M61" s="100" t="s">
        <v>124</v>
      </c>
      <c r="N61" s="373" t="s">
        <v>588</v>
      </c>
      <c r="O61" s="374"/>
      <c r="P61" s="375" t="str">
        <f>CONCATENATE(RemovePunctuation(H61),"_CA","_","i4K","_",C61,"_",AE61,"_",PROPER(R61),IF(S61="",PROPER(R61),PROPER(S61)),PROPER(T61),PROPER(U61),PROPER(V61),IF(V61&lt;&gt;"","SUB",""),PROPER(W61),IF(W61&lt;&gt;"","SUB",""),"_","Ed","_","M1",".mpg")</f>
        <v>HistoricTownofCulturalSignificance1NanxunZhejiang_CA_i4K_0825_43_ZhoZhoZhoSUB_Ed_M1.mpg</v>
      </c>
      <c r="Q61" s="375" t="str">
        <f>CONCATENATE(RemovePunctuation(H61),"_CA","_","i5K","_",C61,"_",AD61,"_",PROPER(R61),IF(S61="",PROPER(R61),PROPER(S61)),PROPER(T61),PROPER(U61),PROPER(V61),IF(V61&lt;&gt;"","SUB",""),PROPER(W61),IF(W61&lt;&gt;"","SUB",""),"_","Ed","_","M4",".mpg")</f>
        <v>HistoricTownofCulturalSignificance1NanxunZhejiang_CA_i5K_0825_169_ZhoZhoZhoSUB_Ed_M4.mpg</v>
      </c>
      <c r="R61" s="382" t="s">
        <v>130</v>
      </c>
      <c r="S61" s="384"/>
      <c r="T61" s="384"/>
      <c r="U61" s="384"/>
      <c r="V61" s="382" t="s">
        <v>130</v>
      </c>
      <c r="W61" s="384"/>
      <c r="X61" s="349" t="s">
        <v>129</v>
      </c>
      <c r="Y61" s="349" t="s">
        <v>129</v>
      </c>
      <c r="Z61" s="120">
        <f t="shared" si="12"/>
        <v>29</v>
      </c>
      <c r="AA61" s="304" t="str">
        <f t="shared" si="13"/>
        <v>00:29:00</v>
      </c>
      <c r="AB61" s="120">
        <f t="shared" si="14"/>
        <v>1740</v>
      </c>
      <c r="AC61" s="399">
        <v>0.020162037037037</v>
      </c>
      <c r="AD61" s="400">
        <v>169</v>
      </c>
      <c r="AE61" s="400">
        <v>43</v>
      </c>
      <c r="AF61" s="349" t="s">
        <v>132</v>
      </c>
    </row>
    <row r="62" ht="24" customHeight="1" spans="1:32">
      <c r="A62" s="349">
        <v>58</v>
      </c>
      <c r="B62" s="350"/>
      <c r="C62" s="351" t="s">
        <v>120</v>
      </c>
      <c r="D62" s="358"/>
      <c r="E62" s="352"/>
      <c r="F62" s="81">
        <v>19</v>
      </c>
      <c r="G62" s="360" t="s">
        <v>589</v>
      </c>
      <c r="H62" s="361" t="s">
        <v>590</v>
      </c>
      <c r="I62" s="100" t="s">
        <v>124</v>
      </c>
      <c r="J62" s="100" t="s">
        <v>124</v>
      </c>
      <c r="K62" s="100" t="s">
        <v>124</v>
      </c>
      <c r="L62" s="100" t="s">
        <v>124</v>
      </c>
      <c r="M62" s="100" t="s">
        <v>124</v>
      </c>
      <c r="N62" s="373" t="s">
        <v>591</v>
      </c>
      <c r="O62" s="374" t="s">
        <v>592</v>
      </c>
      <c r="P62" s="375" t="str">
        <f>CONCATENATE(RemovePunctuation(H62),"_CA","_","i4K","_",C62,"_",AE62,"_",PROPER(R62),IF(S62="",PROPER(R62),PROPER(S62)),PROPER(T62),PROPER(U62),PROPER(V62),IF(V62&lt;&gt;"","SUB",""),PROPER(W62),IF(W62&lt;&gt;"","SUB",""),"_","Ed","_","M1",".mpg")</f>
        <v>AncientArchitecturalMasterpieces20250119_CA_i4K_0825_43_ZhoZhoZhoSUB_Ed_M1.mpg</v>
      </c>
      <c r="Q62" s="375" t="str">
        <f>CONCATENATE(RemovePunctuation(H62),"_CA","_","i5K","_",C62,"_",AD62,"_",PROPER(R62),IF(S62="",PROPER(R62),PROPER(S62)),PROPER(T62),PROPER(U62),PROPER(V62),IF(V62&lt;&gt;"","SUB",""),PROPER(W62),IF(W62&lt;&gt;"","SUB",""),"_","Ed","_","M4",".mpg")</f>
        <v>AncientArchitecturalMasterpieces20250119_CA_i5K_0825_169_ZhoZhoZhoSUB_Ed_M4.mpg</v>
      </c>
      <c r="R62" s="382" t="s">
        <v>130</v>
      </c>
      <c r="S62" s="384"/>
      <c r="T62" s="384"/>
      <c r="U62" s="384"/>
      <c r="V62" s="382" t="s">
        <v>130</v>
      </c>
      <c r="W62" s="384"/>
      <c r="X62" s="349" t="s">
        <v>129</v>
      </c>
      <c r="Y62" s="349" t="s">
        <v>129</v>
      </c>
      <c r="Z62" s="120">
        <f t="shared" si="12"/>
        <v>23</v>
      </c>
      <c r="AA62" s="304" t="str">
        <f t="shared" si="13"/>
        <v>00:23:00</v>
      </c>
      <c r="AB62" s="120">
        <f t="shared" si="14"/>
        <v>1380</v>
      </c>
      <c r="AC62" s="399">
        <v>0.0159606481481481</v>
      </c>
      <c r="AD62" s="400">
        <v>169</v>
      </c>
      <c r="AE62" s="400">
        <v>43</v>
      </c>
      <c r="AF62" s="349" t="s">
        <v>132</v>
      </c>
    </row>
    <row r="63" ht="24" customHeight="1" spans="1:32">
      <c r="A63" s="349">
        <v>59</v>
      </c>
      <c r="B63" s="350"/>
      <c r="C63" s="351" t="s">
        <v>120</v>
      </c>
      <c r="D63" s="358"/>
      <c r="E63" s="352"/>
      <c r="F63" s="81">
        <v>20</v>
      </c>
      <c r="G63" s="360" t="s">
        <v>593</v>
      </c>
      <c r="H63" s="361" t="s">
        <v>594</v>
      </c>
      <c r="I63" s="100" t="s">
        <v>124</v>
      </c>
      <c r="J63" s="100" t="s">
        <v>124</v>
      </c>
      <c r="K63" s="100" t="s">
        <v>124</v>
      </c>
      <c r="L63" s="100" t="s">
        <v>124</v>
      </c>
      <c r="M63" s="100" t="s">
        <v>124</v>
      </c>
      <c r="N63" s="373" t="s">
        <v>595</v>
      </c>
      <c r="O63" s="374" t="s">
        <v>596</v>
      </c>
      <c r="P63" s="375" t="str">
        <f>CONCATENATE(RemovePunctuation(H63),"_CA","_","i4K","_",C63,"_",AE63,"_",PROPER(R63),IF(S63="",PROPER(R63),PROPER(S63)),PROPER(T63),PROPER(U63),PROPER(V63),IF(V63&lt;&gt;"","SUB",""),PROPER(W63),IF(W63&lt;&gt;"","SUB",""),"_","Ed","_","M1",".mpg")</f>
        <v>PortillosAndaluciaEp04_CA_i4K_0825_43_EngEngEngSUBZhoSUB_Ed_M1.mpg</v>
      </c>
      <c r="Q63" s="375" t="str">
        <f>CONCATENATE(RemovePunctuation(H63),"_CA","_","i5K","_",C63,"_",AD63,"_",PROPER(R63),IF(S63="",PROPER(R63),PROPER(S63)),PROPER(T63),PROPER(U63),PROPER(V63),IF(V63&lt;&gt;"","SUB",""),PROPER(W63),IF(W63&lt;&gt;"","SUB",""),"_","Ed","_","M4",".mpg")</f>
        <v>PortillosAndaluciaEp04_CA_i5K_0825_169_EngEngEngSUBZhoSUB_Ed_M4.mpg</v>
      </c>
      <c r="R63" s="382" t="s">
        <v>131</v>
      </c>
      <c r="S63" s="384"/>
      <c r="T63" s="384"/>
      <c r="U63" s="384"/>
      <c r="V63" s="382" t="s">
        <v>131</v>
      </c>
      <c r="W63" s="382" t="s">
        <v>130</v>
      </c>
      <c r="X63" s="349" t="s">
        <v>129</v>
      </c>
      <c r="Y63" s="349" t="s">
        <v>129</v>
      </c>
      <c r="Z63" s="120">
        <f t="shared" si="12"/>
        <v>42</v>
      </c>
      <c r="AA63" s="304" t="str">
        <f t="shared" si="13"/>
        <v>00:42:00</v>
      </c>
      <c r="AB63" s="120">
        <f t="shared" si="14"/>
        <v>2520</v>
      </c>
      <c r="AC63" s="399">
        <v>0.0290972222222222</v>
      </c>
      <c r="AD63" s="400">
        <v>169</v>
      </c>
      <c r="AE63" s="400">
        <v>43</v>
      </c>
      <c r="AF63" s="349" t="s">
        <v>132</v>
      </c>
    </row>
    <row r="64" ht="24" customHeight="1" spans="1:32">
      <c r="A64" s="349">
        <v>60</v>
      </c>
      <c r="B64" s="350"/>
      <c r="C64" s="351" t="s">
        <v>120</v>
      </c>
      <c r="D64" s="358"/>
      <c r="E64" s="352"/>
      <c r="F64" s="81">
        <v>21</v>
      </c>
      <c r="G64" s="360" t="s">
        <v>597</v>
      </c>
      <c r="H64" s="361" t="s">
        <v>598</v>
      </c>
      <c r="I64" s="100" t="s">
        <v>124</v>
      </c>
      <c r="J64" s="100"/>
      <c r="K64" s="100" t="s">
        <v>124</v>
      </c>
      <c r="L64" s="100" t="s">
        <v>124</v>
      </c>
      <c r="M64" s="100" t="s">
        <v>124</v>
      </c>
      <c r="N64" s="373" t="s">
        <v>599</v>
      </c>
      <c r="O64" s="374" t="s">
        <v>600</v>
      </c>
      <c r="P64" s="375" t="str">
        <f>CONCATENATE(RemovePunctuation(H64),"_CA","_","i4K","_",C64,"_",AE64,"_",PROPER(R64),IF(S64="",PROPER(R64),PROPER(S64)),PROPER(T64),PROPER(U64),PROPER(V64),IF(V64&lt;&gt;"","SUB",""),PROPER(W64),IF(W64&lt;&gt;"","SUB",""),"_","Ed","_","M1",".mpg")</f>
        <v>PortillosAndaluciaEp03_CA_i4K_0825_43_EngEngEngSUBZhoSUB_Ed_M1.mpg</v>
      </c>
      <c r="Q64" s="375" t="str">
        <f>CONCATENATE(RemovePunctuation(H64),"_CA","_","i5K","_",C64,"_",AD64,"_",PROPER(R64),IF(S64="",PROPER(R64),PROPER(S64)),PROPER(T64),PROPER(U64),PROPER(V64),IF(V64&lt;&gt;"","SUB",""),PROPER(W64),IF(W64&lt;&gt;"","SUB",""),"_","Ed","_","M4",".mpg")</f>
        <v>PortillosAndaluciaEp03_CA_i5K_0825_169_EngEngEngSUBZhoSUB_Ed_M4.mpg</v>
      </c>
      <c r="R64" s="382" t="s">
        <v>131</v>
      </c>
      <c r="S64" s="384"/>
      <c r="T64" s="384"/>
      <c r="U64" s="384"/>
      <c r="V64" s="382" t="s">
        <v>131</v>
      </c>
      <c r="W64" s="382" t="s">
        <v>130</v>
      </c>
      <c r="X64" s="349" t="s">
        <v>129</v>
      </c>
      <c r="Y64" s="349" t="s">
        <v>129</v>
      </c>
      <c r="Z64" s="120">
        <f t="shared" si="12"/>
        <v>41</v>
      </c>
      <c r="AA64" s="304" t="str">
        <f t="shared" si="13"/>
        <v>00:41:00</v>
      </c>
      <c r="AB64" s="120">
        <f t="shared" si="14"/>
        <v>2460</v>
      </c>
      <c r="AC64" s="399">
        <v>0.0286689814814815</v>
      </c>
      <c r="AD64" s="400">
        <v>169</v>
      </c>
      <c r="AE64" s="400">
        <v>43</v>
      </c>
      <c r="AF64" s="349" t="s">
        <v>132</v>
      </c>
    </row>
    <row r="65" ht="24" customHeight="1" spans="1:32">
      <c r="A65" s="349">
        <v>61</v>
      </c>
      <c r="B65" s="350"/>
      <c r="C65" s="351" t="s">
        <v>120</v>
      </c>
      <c r="D65" s="352" t="s">
        <v>601</v>
      </c>
      <c r="E65" s="352"/>
      <c r="F65" s="81">
        <v>1</v>
      </c>
      <c r="G65" s="402" t="s">
        <v>602</v>
      </c>
      <c r="H65" s="361" t="s">
        <v>603</v>
      </c>
      <c r="I65" s="100" t="s">
        <v>124</v>
      </c>
      <c r="J65" s="100" t="s">
        <v>124</v>
      </c>
      <c r="K65" s="100" t="s">
        <v>124</v>
      </c>
      <c r="L65" s="100" t="s">
        <v>124</v>
      </c>
      <c r="M65" s="100" t="s">
        <v>124</v>
      </c>
      <c r="N65" s="373" t="s">
        <v>604</v>
      </c>
      <c r="O65" s="374" t="s">
        <v>605</v>
      </c>
      <c r="P65" s="375" t="str">
        <f>CONCATENATE(RemovePunctuation(H65),"_CA","_","i4K","_",C65,"_",AE65,"_",PROPER(R65),IF(S65="",PROPER(R65),PROPER(S65)),PROPER(T65),PROPER(U65),PROPER(V65),IF(V65&lt;&gt;"","SUB",""),PROPER(W65),IF(W65&lt;&gt;"","SUB",""),"_","Ed","_","M1",".mpg")</f>
        <v>TheGarfieldShowEp20_CA_i4K_0825_43_EngZhoZhoSUB_Ed_M1.mpg</v>
      </c>
      <c r="Q65" s="375" t="str">
        <f>CONCATENATE(RemovePunctuation(H65),"_CA","_","i5K","_",C65,"_",AD65,"_",PROPER(R65),IF(S65="",PROPER(R65),PROPER(S65)),PROPER(T65),PROPER(U65),PROPER(V65),IF(V65&lt;&gt;"","SUB",""),PROPER(W65),IF(W65&lt;&gt;"","SUB",""),"_","Ed","_","M4",".mpg")</f>
        <v>TheGarfieldShowEp20_CA_i5K_0825_169_EngZhoZhoSUB_Ed_M4.mpg</v>
      </c>
      <c r="R65" s="382" t="s">
        <v>131</v>
      </c>
      <c r="S65" s="382" t="s">
        <v>130</v>
      </c>
      <c r="T65" s="384"/>
      <c r="U65" s="384"/>
      <c r="V65" s="382" t="s">
        <v>130</v>
      </c>
      <c r="W65" s="382"/>
      <c r="X65" s="349" t="s">
        <v>129</v>
      </c>
      <c r="Y65" s="349" t="s">
        <v>129</v>
      </c>
      <c r="Z65" s="120">
        <f t="shared" ref="Z65:Z101" si="15">ROUNDUP(HOUR(AA65)*60+MINUTE(AA65)+SECOND(AA65)/60,0)</f>
        <v>12</v>
      </c>
      <c r="AA65" s="304" t="str">
        <f t="shared" ref="AA65:AA101" si="16">TEXT((HOUR(AC65)*60+MINUTE(AC65)+IF(SECOND(AC65)&lt;=29,0,1))*60/86400,"hh:mm:ss")</f>
        <v>00:12:00</v>
      </c>
      <c r="AB65" s="120">
        <f t="shared" ref="AB65:AB101" si="17">Z65*60</f>
        <v>720</v>
      </c>
      <c r="AC65" s="399">
        <v>0.0084837962962963</v>
      </c>
      <c r="AD65" s="400">
        <v>169</v>
      </c>
      <c r="AE65" s="400">
        <v>43</v>
      </c>
      <c r="AF65" s="349" t="s">
        <v>132</v>
      </c>
    </row>
    <row r="66" ht="24" customHeight="1" spans="1:32">
      <c r="A66" s="349">
        <v>62</v>
      </c>
      <c r="B66" s="350"/>
      <c r="C66" s="351" t="s">
        <v>120</v>
      </c>
      <c r="D66" s="352"/>
      <c r="E66" s="352"/>
      <c r="F66" s="81">
        <v>2</v>
      </c>
      <c r="G66" s="402" t="s">
        <v>606</v>
      </c>
      <c r="H66" s="361" t="s">
        <v>607</v>
      </c>
      <c r="I66" s="100" t="s">
        <v>124</v>
      </c>
      <c r="J66" s="100"/>
      <c r="K66" s="100"/>
      <c r="L66" s="100" t="s">
        <v>124</v>
      </c>
      <c r="M66" s="100" t="s">
        <v>124</v>
      </c>
      <c r="N66" s="373" t="s">
        <v>608</v>
      </c>
      <c r="O66" s="374"/>
      <c r="P66" s="375" t="str">
        <f>CONCATENATE(RemovePunctuation(H66),"_CA","_","i4K","_",C66,"_",AE66,"_",PROPER(R66),IF(S66="",PROPER(R66),PROPER(S66)),PROPER(T66),PROPER(U66),PROPER(V66),IF(V66&lt;&gt;"","SUB",""),PROPER(W66),IF(W66&lt;&gt;"","SUB",""),"_","Ed","_","M1",".mpg")</f>
        <v>TheGarfieldShowEp19_CA_i4K_0825_43_EngZhoZhoSUB_Ed_M1.mpg</v>
      </c>
      <c r="Q66" s="375" t="str">
        <f>CONCATENATE(RemovePunctuation(H66),"_CA","_","i5K","_",C66,"_",AD66,"_",PROPER(R66),IF(S66="",PROPER(R66),PROPER(S66)),PROPER(T66),PROPER(U66),PROPER(V66),IF(V66&lt;&gt;"","SUB",""),PROPER(W66),IF(W66&lt;&gt;"","SUB",""),"_","Ed","_","M4",".mpg")</f>
        <v>TheGarfieldShowEp19_CA_i5K_0825_169_EngZhoZhoSUB_Ed_M4.mpg</v>
      </c>
      <c r="R66" s="382" t="s">
        <v>131</v>
      </c>
      <c r="S66" s="382" t="s">
        <v>130</v>
      </c>
      <c r="T66" s="384"/>
      <c r="U66" s="384"/>
      <c r="V66" s="382" t="s">
        <v>130</v>
      </c>
      <c r="W66" s="382"/>
      <c r="X66" s="349" t="s">
        <v>129</v>
      </c>
      <c r="Y66" s="349" t="s">
        <v>129</v>
      </c>
      <c r="Z66" s="120">
        <f t="shared" si="15"/>
        <v>12</v>
      </c>
      <c r="AA66" s="304" t="str">
        <f t="shared" si="16"/>
        <v>00:12:00</v>
      </c>
      <c r="AB66" s="120">
        <f t="shared" si="17"/>
        <v>720</v>
      </c>
      <c r="AC66" s="399">
        <v>0.00855324074074074</v>
      </c>
      <c r="AD66" s="400">
        <v>169</v>
      </c>
      <c r="AE66" s="400">
        <v>43</v>
      </c>
      <c r="AF66" s="349" t="s">
        <v>132</v>
      </c>
    </row>
    <row r="67" ht="24" customHeight="1" spans="1:32">
      <c r="A67" s="349">
        <v>63</v>
      </c>
      <c r="B67" s="350"/>
      <c r="C67" s="351" t="s">
        <v>120</v>
      </c>
      <c r="D67" s="352"/>
      <c r="E67" s="352"/>
      <c r="F67" s="81">
        <v>3</v>
      </c>
      <c r="G67" s="402" t="s">
        <v>609</v>
      </c>
      <c r="H67" s="361" t="s">
        <v>610</v>
      </c>
      <c r="I67" s="100" t="s">
        <v>124</v>
      </c>
      <c r="J67" s="100" t="s">
        <v>124</v>
      </c>
      <c r="K67" s="100"/>
      <c r="L67" s="100" t="s">
        <v>124</v>
      </c>
      <c r="M67" s="100" t="s">
        <v>124</v>
      </c>
      <c r="N67" s="373" t="s">
        <v>611</v>
      </c>
      <c r="O67" s="374"/>
      <c r="P67" s="375" t="str">
        <f>CONCATENATE(RemovePunctuation(H67),"_CA","_","i4K","_",C67,"_",AE67,"_",PROPER(R67),IF(S67="",PROPER(R67),PROPER(S67)),PROPER(T67),PROPER(U67),PROPER(V67),IF(V67&lt;&gt;"","SUB",""),PROPER(W67),IF(W67&lt;&gt;"","SUB",""),"_","Ed","_","M1",".mpg")</f>
        <v>IfHistoryIsaGroupofCatsSeason2TheSpringandAutumnandtheWarringStatesPeriodsEp04StrikeTerrorintheSoutheast_CA_i4K_0825_43_ZhoZhoEngSUBZhoSUB_Ed_M1.mpg</v>
      </c>
      <c r="Q67" s="375" t="str">
        <f>CONCATENATE(RemovePunctuation(H67),"_CA","_","i5K","_",C67,"_",AD67,"_",PROPER(R67),IF(S67="",PROPER(R67),PROPER(S67)),PROPER(T67),PROPER(U67),PROPER(V67),IF(V67&lt;&gt;"","SUB",""),PROPER(W67),IF(W67&lt;&gt;"","SUB",""),"_","Ed","_","M4",".mpg")</f>
        <v>IfHistoryIsaGroupofCatsSeason2TheSpringandAutumnandtheWarringStatesPeriodsEp04StrikeTerrorintheSoutheast_CA_i5K_0825_169_ZhoZhoEngSUBZhoSUB_Ed_M4.mpg</v>
      </c>
      <c r="R67" s="382" t="s">
        <v>130</v>
      </c>
      <c r="S67" s="382"/>
      <c r="T67" s="384"/>
      <c r="U67" s="384"/>
      <c r="V67" s="382" t="s">
        <v>131</v>
      </c>
      <c r="W67" s="382" t="s">
        <v>130</v>
      </c>
      <c r="X67" s="349" t="s">
        <v>129</v>
      </c>
      <c r="Y67" s="349" t="s">
        <v>129</v>
      </c>
      <c r="Z67" s="120">
        <f t="shared" si="15"/>
        <v>6</v>
      </c>
      <c r="AA67" s="304" t="str">
        <f t="shared" si="16"/>
        <v>00:06:00</v>
      </c>
      <c r="AB67" s="120">
        <f t="shared" si="17"/>
        <v>360</v>
      </c>
      <c r="AC67" s="399">
        <v>0.00412037037037037</v>
      </c>
      <c r="AD67" s="400">
        <v>169</v>
      </c>
      <c r="AE67" s="400">
        <v>43</v>
      </c>
      <c r="AF67" s="349" t="s">
        <v>245</v>
      </c>
    </row>
    <row r="68" ht="24" customHeight="1" spans="1:32">
      <c r="A68" s="349">
        <v>64</v>
      </c>
      <c r="B68" s="350"/>
      <c r="C68" s="351" t="s">
        <v>120</v>
      </c>
      <c r="D68" s="352"/>
      <c r="E68" s="352"/>
      <c r="F68" s="81">
        <v>4</v>
      </c>
      <c r="G68" s="402" t="s">
        <v>612</v>
      </c>
      <c r="H68" s="361" t="s">
        <v>613</v>
      </c>
      <c r="I68" s="100" t="s">
        <v>124</v>
      </c>
      <c r="J68" s="100"/>
      <c r="K68" s="100" t="s">
        <v>124</v>
      </c>
      <c r="L68" s="100" t="s">
        <v>124</v>
      </c>
      <c r="M68" s="100" t="s">
        <v>124</v>
      </c>
      <c r="N68" s="373" t="s">
        <v>614</v>
      </c>
      <c r="O68" s="374" t="s">
        <v>615</v>
      </c>
      <c r="P68" s="375" t="str">
        <f>CONCATENATE(RemovePunctuation(H68),"_CA","_","i4K","_",C68,"_",AE68,"_",PROPER(R68),IF(S68="",PROPER(R68),PROPER(S68)),PROPER(T68),PROPER(U68),PROPER(V68),IF(V68&lt;&gt;"","SUB",""),PROPER(W68),IF(W68&lt;&gt;"","SUB",""),"_","Ed","_","M1",".mpg")</f>
        <v>IfHistoryIsaGroupofCatsSeason2TheSpringandAutumnandtheWarringStatesPeriodsEp03AstonishtheWorldwithaSingleBrilliantFeat_CA_i4K_0825_43_ZhoZhoEngSUBZhoSUB_Ed_M1.mpg</v>
      </c>
      <c r="Q68" s="375" t="str">
        <f>CONCATENATE(RemovePunctuation(H68),"_CA","_","i5K","_",C68,"_",AD68,"_",PROPER(R68),IF(S68="",PROPER(R68),PROPER(S68)),PROPER(T68),PROPER(U68),PROPER(V68),IF(V68&lt;&gt;"","SUB",""),PROPER(W68),IF(W68&lt;&gt;"","SUB",""),"_","Ed","_","M4",".mpg")</f>
        <v>IfHistoryIsaGroupofCatsSeason2TheSpringandAutumnandtheWarringStatesPeriodsEp03AstonishtheWorldwithaSingleBrilliantFeat_CA_i5K_0825_169_ZhoZhoEngSUBZhoSUB_Ed_M4.mpg</v>
      </c>
      <c r="R68" s="382" t="s">
        <v>130</v>
      </c>
      <c r="S68" s="382"/>
      <c r="T68" s="384"/>
      <c r="U68" s="384"/>
      <c r="V68" s="382" t="s">
        <v>131</v>
      </c>
      <c r="W68" s="382" t="s">
        <v>130</v>
      </c>
      <c r="X68" s="349" t="s">
        <v>129</v>
      </c>
      <c r="Y68" s="349" t="s">
        <v>129</v>
      </c>
      <c r="Z68" s="120">
        <f t="shared" si="15"/>
        <v>6</v>
      </c>
      <c r="AA68" s="304" t="str">
        <f t="shared" si="16"/>
        <v>00:06:00</v>
      </c>
      <c r="AB68" s="120">
        <f t="shared" si="17"/>
        <v>360</v>
      </c>
      <c r="AC68" s="399">
        <v>0.00416666666666667</v>
      </c>
      <c r="AD68" s="400">
        <v>169</v>
      </c>
      <c r="AE68" s="400">
        <v>43</v>
      </c>
      <c r="AF68" s="349" t="s">
        <v>245</v>
      </c>
    </row>
    <row r="69" ht="24" customHeight="1" spans="1:32">
      <c r="A69" s="349">
        <v>65</v>
      </c>
      <c r="B69" s="350"/>
      <c r="C69" s="351" t="s">
        <v>120</v>
      </c>
      <c r="D69" s="352"/>
      <c r="E69" s="352"/>
      <c r="F69" s="81">
        <v>5</v>
      </c>
      <c r="G69" s="402" t="s">
        <v>616</v>
      </c>
      <c r="H69" s="361" t="s">
        <v>617</v>
      </c>
      <c r="I69" s="100" t="s">
        <v>124</v>
      </c>
      <c r="J69" s="100" t="s">
        <v>124</v>
      </c>
      <c r="K69" s="100"/>
      <c r="L69" s="100" t="s">
        <v>124</v>
      </c>
      <c r="M69" s="100" t="s">
        <v>124</v>
      </c>
      <c r="N69" s="373" t="s">
        <v>618</v>
      </c>
      <c r="O69" s="374"/>
      <c r="P69" s="375" t="str">
        <f>CONCATENATE(RemovePunctuation(H69),"_CA","_","i4K","_",C69,"_",AE69,"_",PROPER(R69),IF(S69="",PROPER(R69),PROPER(S69)),PROPER(T69),PROPER(U69),PROPER(V69),IF(V69&lt;&gt;"","SUB",""),PROPER(W69),IF(W69&lt;&gt;"","SUB",""),"_","Ed","_","M1",".mpg")</f>
        <v>ThePandaandtheGallicRooster4_CA_i4K_0825_43_ZhoZho_Ed_M1.mpg</v>
      </c>
      <c r="Q69" s="375" t="str">
        <f>CONCATENATE(RemovePunctuation(H69),"_CA","_","i5K","_",C69,"_",AD69,"_",PROPER(R69),IF(S69="",PROPER(R69),PROPER(S69)),PROPER(T69),PROPER(U69),PROPER(V69),IF(V69&lt;&gt;"","SUB",""),PROPER(W69),IF(W69&lt;&gt;"","SUB",""),"_","Ed","_","M4",".mpg")</f>
        <v>ThePandaandtheGallicRooster4_CA_i5K_0825_169_ZhoZho_Ed_M4.mpg</v>
      </c>
      <c r="R69" s="382" t="s">
        <v>130</v>
      </c>
      <c r="S69" s="382"/>
      <c r="T69" s="384"/>
      <c r="U69" s="384"/>
      <c r="V69" s="382"/>
      <c r="W69" s="384"/>
      <c r="X69" s="349" t="s">
        <v>129</v>
      </c>
      <c r="Y69" s="349" t="s">
        <v>129</v>
      </c>
      <c r="Z69" s="120">
        <f t="shared" si="15"/>
        <v>10</v>
      </c>
      <c r="AA69" s="304" t="str">
        <f t="shared" si="16"/>
        <v>00:10:00</v>
      </c>
      <c r="AB69" s="120">
        <f t="shared" si="17"/>
        <v>600</v>
      </c>
      <c r="AC69" s="399">
        <v>0.00693287037037037</v>
      </c>
      <c r="AD69" s="400">
        <v>169</v>
      </c>
      <c r="AE69" s="400">
        <v>43</v>
      </c>
      <c r="AF69" s="349" t="s">
        <v>132</v>
      </c>
    </row>
    <row r="70" ht="24" customHeight="1" spans="1:32">
      <c r="A70" s="349">
        <v>66</v>
      </c>
      <c r="B70" s="350"/>
      <c r="C70" s="351" t="s">
        <v>120</v>
      </c>
      <c r="D70" s="352"/>
      <c r="E70" s="352"/>
      <c r="F70" s="81">
        <v>6</v>
      </c>
      <c r="G70" s="402" t="s">
        <v>619</v>
      </c>
      <c r="H70" s="361" t="s">
        <v>620</v>
      </c>
      <c r="I70" s="100" t="s">
        <v>124</v>
      </c>
      <c r="J70" s="100"/>
      <c r="K70" s="100" t="s">
        <v>124</v>
      </c>
      <c r="L70" s="100" t="s">
        <v>124</v>
      </c>
      <c r="M70" s="100"/>
      <c r="N70" s="373" t="s">
        <v>621</v>
      </c>
      <c r="O70" s="374" t="s">
        <v>622</v>
      </c>
      <c r="P70" s="375"/>
      <c r="Q70" s="375" t="str">
        <f>CONCATENATE(RemovePunctuation(H70),"_CA","_","i5K","_",C70,"_",AD70,"_",PROPER(R70),IF(S70="",PROPER(R70),PROPER(S70)),PROPER(T70),PROPER(U70),PROPER(V70),IF(V70&lt;&gt;"","SUB",""),PROPER(W70),IF(W70&lt;&gt;"","SUB",""),"_","Ed","_","M4",".mpg")</f>
        <v>ThePandaandtheGallicRooster3_CA_i5K_0825_169_ZhoZho_Ed_M4.mpg</v>
      </c>
      <c r="R70" s="382" t="s">
        <v>130</v>
      </c>
      <c r="S70" s="382"/>
      <c r="T70" s="384"/>
      <c r="U70" s="384"/>
      <c r="V70" s="382"/>
      <c r="W70" s="384"/>
      <c r="X70" s="349" t="s">
        <v>129</v>
      </c>
      <c r="Y70" s="349" t="s">
        <v>129</v>
      </c>
      <c r="Z70" s="120">
        <f t="shared" si="15"/>
        <v>10</v>
      </c>
      <c r="AA70" s="304" t="str">
        <f t="shared" si="16"/>
        <v>00:10:00</v>
      </c>
      <c r="AB70" s="120">
        <f t="shared" si="17"/>
        <v>600</v>
      </c>
      <c r="AC70" s="399">
        <v>0.00693287037037037</v>
      </c>
      <c r="AD70" s="400">
        <v>169</v>
      </c>
      <c r="AE70" s="400">
        <v>43</v>
      </c>
      <c r="AF70" s="349" t="s">
        <v>132</v>
      </c>
    </row>
    <row r="71" ht="24" customHeight="1" spans="1:32">
      <c r="A71" s="349">
        <v>67</v>
      </c>
      <c r="B71" s="350"/>
      <c r="C71" s="351" t="s">
        <v>120</v>
      </c>
      <c r="D71" s="352"/>
      <c r="E71" s="352"/>
      <c r="F71" s="81">
        <v>7</v>
      </c>
      <c r="G71" s="402" t="s">
        <v>623</v>
      </c>
      <c r="H71" s="361" t="s">
        <v>624</v>
      </c>
      <c r="I71" s="100" t="s">
        <v>124</v>
      </c>
      <c r="J71" s="100" t="s">
        <v>124</v>
      </c>
      <c r="K71" s="100" t="s">
        <v>124</v>
      </c>
      <c r="L71" s="100" t="s">
        <v>124</v>
      </c>
      <c r="M71" s="100" t="s">
        <v>124</v>
      </c>
      <c r="N71" s="373" t="s">
        <v>625</v>
      </c>
      <c r="O71" s="374" t="s">
        <v>626</v>
      </c>
      <c r="P71" s="375" t="str">
        <f>CONCATENATE(RemovePunctuation(H71),"_CA","_","i4K","_",C71,"_",AE71,"_",PROPER(R71),IF(S71="",PROPER(R71),PROPER(S71)),PROPER(T71),PROPER(U71),PROPER(V71),IF(V71&lt;&gt;"","SUB",""),PROPER(W71),IF(W71&lt;&gt;"","SUB",""),"_","Ed","_","M1",".mpg")</f>
        <v>LittleGeniusLuban8_CA_i4K_0825_43_ZhoZho_Ed_M1.mpg</v>
      </c>
      <c r="Q71" s="375" t="str">
        <f>CONCATENATE(RemovePunctuation(H71),"_CA","_","i5K","_",C71,"_",AD71,"_",PROPER(R71),IF(S71="",PROPER(R71),PROPER(S71)),PROPER(T71),PROPER(U71),PROPER(V71),IF(V71&lt;&gt;"","SUB",""),PROPER(W71),IF(W71&lt;&gt;"","SUB",""),"_","Ed","_","M4",".mpg")</f>
        <v>LittleGeniusLuban8_CA_i5K_0825_169_ZhoZho_Ed_M4.mpg</v>
      </c>
      <c r="R71" s="382" t="s">
        <v>130</v>
      </c>
      <c r="S71" s="382"/>
      <c r="T71" s="384"/>
      <c r="U71" s="384"/>
      <c r="V71" s="382"/>
      <c r="W71" s="384"/>
      <c r="X71" s="349" t="s">
        <v>129</v>
      </c>
      <c r="Y71" s="349" t="s">
        <v>129</v>
      </c>
      <c r="Z71" s="120">
        <f t="shared" si="15"/>
        <v>10</v>
      </c>
      <c r="AA71" s="304" t="str">
        <f t="shared" si="16"/>
        <v>00:10:00</v>
      </c>
      <c r="AB71" s="120">
        <f t="shared" si="17"/>
        <v>600</v>
      </c>
      <c r="AC71" s="399">
        <v>0.00699074074074074</v>
      </c>
      <c r="AD71" s="400">
        <v>169</v>
      </c>
      <c r="AE71" s="400">
        <v>43</v>
      </c>
      <c r="AF71" s="349" t="s">
        <v>132</v>
      </c>
    </row>
    <row r="72" ht="24" customHeight="1" spans="1:32">
      <c r="A72" s="349">
        <v>68</v>
      </c>
      <c r="B72" s="350"/>
      <c r="C72" s="351" t="s">
        <v>120</v>
      </c>
      <c r="D72" s="352"/>
      <c r="E72" s="352"/>
      <c r="F72" s="81">
        <v>8</v>
      </c>
      <c r="G72" s="402" t="s">
        <v>627</v>
      </c>
      <c r="H72" s="361" t="s">
        <v>628</v>
      </c>
      <c r="I72" s="100" t="s">
        <v>124</v>
      </c>
      <c r="J72" s="100"/>
      <c r="K72" s="100"/>
      <c r="L72" s="100" t="s">
        <v>124</v>
      </c>
      <c r="M72" s="100"/>
      <c r="N72" s="373" t="s">
        <v>629</v>
      </c>
      <c r="O72" s="374"/>
      <c r="P72" s="375"/>
      <c r="Q72" s="375" t="str">
        <f>CONCATENATE(RemovePunctuation(H72),"_CA","_","i5K","_",C72,"_",AD72,"_",PROPER(R72),IF(S72="",PROPER(R72),PROPER(S72)),PROPER(T72),PROPER(U72),PROPER(V72),IF(V72&lt;&gt;"","SUB",""),PROPER(W72),IF(W72&lt;&gt;"","SUB",""),"_","Ed","_","M4",".mpg")</f>
        <v>LittleGeniusLuban7_CA_i5K_0825_169_ZhoZho_Ed_M4.mpg</v>
      </c>
      <c r="R72" s="382" t="s">
        <v>130</v>
      </c>
      <c r="S72" s="382"/>
      <c r="T72" s="384"/>
      <c r="U72" s="384"/>
      <c r="V72" s="382"/>
      <c r="W72" s="384"/>
      <c r="X72" s="349" t="s">
        <v>129</v>
      </c>
      <c r="Y72" s="349" t="s">
        <v>129</v>
      </c>
      <c r="Z72" s="120">
        <f t="shared" si="15"/>
        <v>10</v>
      </c>
      <c r="AA72" s="304" t="str">
        <f t="shared" si="16"/>
        <v>00:10:00</v>
      </c>
      <c r="AB72" s="120">
        <f t="shared" si="17"/>
        <v>600</v>
      </c>
      <c r="AC72" s="399">
        <v>0.00699074074074074</v>
      </c>
      <c r="AD72" s="400">
        <v>169</v>
      </c>
      <c r="AE72" s="400">
        <v>43</v>
      </c>
      <c r="AF72" s="349" t="s">
        <v>132</v>
      </c>
    </row>
    <row r="73" ht="24" customHeight="1" spans="1:32">
      <c r="A73" s="349">
        <v>69</v>
      </c>
      <c r="B73" s="350"/>
      <c r="C73" s="351" t="s">
        <v>120</v>
      </c>
      <c r="D73" s="352"/>
      <c r="E73" s="352"/>
      <c r="F73" s="81">
        <v>9</v>
      </c>
      <c r="G73" s="402" t="s">
        <v>630</v>
      </c>
      <c r="H73" s="361" t="s">
        <v>631</v>
      </c>
      <c r="I73" s="100" t="s">
        <v>124</v>
      </c>
      <c r="J73" s="100" t="s">
        <v>124</v>
      </c>
      <c r="K73" s="100" t="s">
        <v>124</v>
      </c>
      <c r="L73" s="100" t="s">
        <v>124</v>
      </c>
      <c r="M73" s="100" t="s">
        <v>124</v>
      </c>
      <c r="N73" s="373" t="s">
        <v>632</v>
      </c>
      <c r="O73" s="374" t="s">
        <v>633</v>
      </c>
      <c r="P73" s="375" t="str">
        <f>CONCATENATE(RemovePunctuation(H73),"_CA","_","i4K","_",C73,"_",AE73,"_",PROPER(R73),IF(S73="",PROPER(R73),PROPER(S73)),PROPER(T73),PROPER(U73),PROPER(V73),IF(V73&lt;&gt;"","SUB",""),PROPER(W73),IF(W73&lt;&gt;"","SUB",""),"_","Ed","_","M1",".mpg")</f>
        <v>GGBondDinosaurDiaryS07E08_CA_i4K_0825_43_ZhoZho_Ed_M1.mpg</v>
      </c>
      <c r="Q73" s="375" t="str">
        <f>CONCATENATE(RemovePunctuation(H73),"_CA","_","i5K","_",C73,"_",AD73,"_",PROPER(R73),IF(S73="",PROPER(R73),PROPER(S73)),PROPER(T73),PROPER(U73),PROPER(V73),IF(V73&lt;&gt;"","SUB",""),PROPER(W73),IF(W73&lt;&gt;"","SUB",""),"_","Ed","_","M4",".mpg")</f>
        <v>GGBondDinosaurDiaryS07E08_CA_i5K_0825_169_ZhoZho_Ed_M4.mpg</v>
      </c>
      <c r="R73" s="382" t="s">
        <v>130</v>
      </c>
      <c r="S73" s="382"/>
      <c r="T73" s="384"/>
      <c r="U73" s="384"/>
      <c r="V73" s="382"/>
      <c r="W73" s="384"/>
      <c r="X73" s="349" t="s">
        <v>129</v>
      </c>
      <c r="Y73" s="349" t="s">
        <v>129</v>
      </c>
      <c r="Z73" s="120">
        <f t="shared" si="15"/>
        <v>11</v>
      </c>
      <c r="AA73" s="304" t="str">
        <f t="shared" si="16"/>
        <v>00:11:00</v>
      </c>
      <c r="AB73" s="120">
        <f t="shared" si="17"/>
        <v>660</v>
      </c>
      <c r="AC73" s="399">
        <v>0.0077662037037037</v>
      </c>
      <c r="AD73" s="400">
        <v>169</v>
      </c>
      <c r="AE73" s="400">
        <v>43</v>
      </c>
      <c r="AF73" s="349" t="s">
        <v>132</v>
      </c>
    </row>
    <row r="74" ht="24" customHeight="1" spans="1:32">
      <c r="A74" s="349">
        <v>70</v>
      </c>
      <c r="B74" s="350"/>
      <c r="C74" s="351" t="s">
        <v>120</v>
      </c>
      <c r="D74" s="352"/>
      <c r="E74" s="352"/>
      <c r="F74" s="81">
        <v>10</v>
      </c>
      <c r="G74" s="402" t="s">
        <v>634</v>
      </c>
      <c r="H74" s="361" t="s">
        <v>635</v>
      </c>
      <c r="I74" s="100" t="s">
        <v>124</v>
      </c>
      <c r="J74" s="100"/>
      <c r="K74" s="100"/>
      <c r="L74" s="100" t="s">
        <v>124</v>
      </c>
      <c r="M74" s="100"/>
      <c r="N74" s="373" t="s">
        <v>636</v>
      </c>
      <c r="O74" s="374"/>
      <c r="P74" s="375"/>
      <c r="Q74" s="375" t="str">
        <f>CONCATENATE(RemovePunctuation(H74),"_CA","_","i5K","_",C74,"_",AD74,"_",PROPER(R74),IF(S74="",PROPER(R74),PROPER(S74)),PROPER(T74),PROPER(U74),PROPER(V74),IF(V74&lt;&gt;"","SUB",""),PROPER(W74),IF(W74&lt;&gt;"","SUB",""),"_","Ed","_","M4",".mpg")</f>
        <v>GGBondDinosaurDiaryS07E07_CA_i5K_0825_169_ZhoZho_Ed_M4.mpg</v>
      </c>
      <c r="R74" s="382" t="s">
        <v>130</v>
      </c>
      <c r="S74" s="382"/>
      <c r="T74" s="384"/>
      <c r="U74" s="384"/>
      <c r="V74" s="382"/>
      <c r="W74" s="384"/>
      <c r="X74" s="349" t="s">
        <v>129</v>
      </c>
      <c r="Y74" s="349" t="s">
        <v>129</v>
      </c>
      <c r="Z74" s="120">
        <f t="shared" si="15"/>
        <v>11</v>
      </c>
      <c r="AA74" s="304" t="str">
        <f t="shared" si="16"/>
        <v>00:11:00</v>
      </c>
      <c r="AB74" s="120">
        <f t="shared" si="17"/>
        <v>660</v>
      </c>
      <c r="AC74" s="399">
        <v>0.00775462962962963</v>
      </c>
      <c r="AD74" s="400">
        <v>169</v>
      </c>
      <c r="AE74" s="400">
        <v>43</v>
      </c>
      <c r="AF74" s="349" t="s">
        <v>132</v>
      </c>
    </row>
    <row r="75" ht="24" customHeight="1" spans="1:32">
      <c r="A75" s="349">
        <v>71</v>
      </c>
      <c r="B75" s="350"/>
      <c r="C75" s="351" t="s">
        <v>120</v>
      </c>
      <c r="D75" s="352"/>
      <c r="E75" s="352"/>
      <c r="F75" s="81">
        <v>11</v>
      </c>
      <c r="G75" s="402" t="s">
        <v>637</v>
      </c>
      <c r="H75" s="361" t="s">
        <v>638</v>
      </c>
      <c r="I75" s="100" t="s">
        <v>124</v>
      </c>
      <c r="J75" s="100" t="s">
        <v>124</v>
      </c>
      <c r="K75" s="100" t="s">
        <v>124</v>
      </c>
      <c r="L75" s="100" t="s">
        <v>124</v>
      </c>
      <c r="M75" s="100" t="s">
        <v>124</v>
      </c>
      <c r="N75" s="373" t="s">
        <v>639</v>
      </c>
      <c r="O75" s="374" t="s">
        <v>640</v>
      </c>
      <c r="P75" s="375" t="str">
        <f>CONCATENATE(RemovePunctuation(H75),"_CA","_","i4K","_",C75,"_",AE75,"_",PROPER(R75),IF(S75="",PROPER(R75),PROPER(S75)),PROPER(T75),PROPER(U75),PROPER(V75),IF(V75&lt;&gt;"","SUB",""),PROPER(W75),IF(W75&lt;&gt;"","SUB",""),"_","Ed","_","M1",".mpg")</f>
        <v>TheNewJourneytotheWestAdventure8_CA_i4K_0825_43_ZhoZho_Ed_M1.mpg</v>
      </c>
      <c r="Q75" s="375" t="str">
        <f>CONCATENATE(RemovePunctuation(H75),"_CA","_","i5K","_",C75,"_",AD75,"_",PROPER(R75),IF(S75="",PROPER(R75),PROPER(S75)),PROPER(T75),PROPER(U75),PROPER(V75),IF(V75&lt;&gt;"","SUB",""),PROPER(W75),IF(W75&lt;&gt;"","SUB",""),"_","Ed","_","M4",".mpg")</f>
        <v>TheNewJourneytotheWestAdventure8_CA_i5K_0825_169_ZhoZho_Ed_M4.mpg</v>
      </c>
      <c r="R75" s="382" t="s">
        <v>130</v>
      </c>
      <c r="S75" s="382"/>
      <c r="T75" s="384"/>
      <c r="U75" s="384"/>
      <c r="V75" s="382"/>
      <c r="W75" s="384"/>
      <c r="X75" s="349" t="s">
        <v>129</v>
      </c>
      <c r="Y75" s="349" t="s">
        <v>129</v>
      </c>
      <c r="Z75" s="120">
        <f t="shared" si="15"/>
        <v>10</v>
      </c>
      <c r="AA75" s="304" t="str">
        <f t="shared" si="16"/>
        <v>00:10:00</v>
      </c>
      <c r="AB75" s="120">
        <f t="shared" si="17"/>
        <v>600</v>
      </c>
      <c r="AC75" s="399">
        <v>0.00697916666666667</v>
      </c>
      <c r="AD75" s="400">
        <v>169</v>
      </c>
      <c r="AE75" s="400">
        <v>43</v>
      </c>
      <c r="AF75" s="349" t="s">
        <v>132</v>
      </c>
    </row>
    <row r="76" ht="24" customHeight="1" spans="1:32">
      <c r="A76" s="349">
        <v>72</v>
      </c>
      <c r="B76" s="350"/>
      <c r="C76" s="351" t="s">
        <v>120</v>
      </c>
      <c r="D76" s="352"/>
      <c r="E76" s="352"/>
      <c r="F76" s="81">
        <v>12</v>
      </c>
      <c r="G76" s="402" t="s">
        <v>641</v>
      </c>
      <c r="H76" s="361" t="s">
        <v>642</v>
      </c>
      <c r="I76" s="100" t="s">
        <v>124</v>
      </c>
      <c r="J76" s="100"/>
      <c r="K76" s="100"/>
      <c r="L76" s="100" t="s">
        <v>124</v>
      </c>
      <c r="M76" s="100"/>
      <c r="N76" s="373" t="s">
        <v>643</v>
      </c>
      <c r="O76" s="374"/>
      <c r="P76" s="375"/>
      <c r="Q76" s="375" t="str">
        <f>CONCATENATE(RemovePunctuation(H76),"_CA","_","i5K","_",C76,"_",AD76,"_",PROPER(R76),IF(S76="",PROPER(R76),PROPER(S76)),PROPER(T76),PROPER(U76),PROPER(V76),IF(V76&lt;&gt;"","SUB",""),PROPER(W76),IF(W76&lt;&gt;"","SUB",""),"_","Ed","_","M4",".mpg")</f>
        <v>TheNewJourneytotheWestAdventure7_CA_i5K_0825_169_ZhoZho_Ed_M4.mpg</v>
      </c>
      <c r="R76" s="382" t="s">
        <v>130</v>
      </c>
      <c r="S76" s="382"/>
      <c r="T76" s="384"/>
      <c r="U76" s="384"/>
      <c r="V76" s="382"/>
      <c r="W76" s="384"/>
      <c r="X76" s="349" t="s">
        <v>129</v>
      </c>
      <c r="Y76" s="349" t="s">
        <v>129</v>
      </c>
      <c r="Z76" s="120">
        <f t="shared" si="15"/>
        <v>10</v>
      </c>
      <c r="AA76" s="304" t="str">
        <f t="shared" si="16"/>
        <v>00:10:00</v>
      </c>
      <c r="AB76" s="120">
        <f t="shared" si="17"/>
        <v>600</v>
      </c>
      <c r="AC76" s="399">
        <v>0.00699074074074074</v>
      </c>
      <c r="AD76" s="400">
        <v>169</v>
      </c>
      <c r="AE76" s="400">
        <v>43</v>
      </c>
      <c r="AF76" s="349" t="s">
        <v>132</v>
      </c>
    </row>
    <row r="77" ht="24" customHeight="1" spans="1:32">
      <c r="A77" s="349">
        <v>73</v>
      </c>
      <c r="B77" s="350"/>
      <c r="C77" s="351" t="s">
        <v>120</v>
      </c>
      <c r="D77" s="352"/>
      <c r="E77" s="352"/>
      <c r="F77" s="81">
        <v>13</v>
      </c>
      <c r="G77" s="402" t="s">
        <v>644</v>
      </c>
      <c r="H77" s="361" t="s">
        <v>645</v>
      </c>
      <c r="I77" s="100" t="s">
        <v>124</v>
      </c>
      <c r="J77" s="100" t="s">
        <v>124</v>
      </c>
      <c r="K77" s="100" t="s">
        <v>124</v>
      </c>
      <c r="L77" s="100" t="s">
        <v>124</v>
      </c>
      <c r="M77" s="100" t="s">
        <v>124</v>
      </c>
      <c r="N77" s="373" t="s">
        <v>646</v>
      </c>
      <c r="O77" s="374" t="s">
        <v>647</v>
      </c>
      <c r="P77" s="375" t="str">
        <f>CONCATENATE(RemovePunctuation(H77),"_CA","_","i4K","_",C77,"_",AE77,"_",PROPER(R77),IF(S77="",PROPER(R77),PROPER(S77)),PROPER(T77),PROPER(U77),PROPER(V77),IF(V77&lt;&gt;"","SUB",""),PROPER(W77),IF(W77&lt;&gt;"","SUB",""),"_","Ed","_","M1",".mpg")</f>
        <v>YoungHeroNezha10_CA_i4K_0825_43_ZhoZho_Ed_M1.mpg</v>
      </c>
      <c r="Q77" s="375" t="str">
        <f>CONCATENATE(RemovePunctuation(H77),"_CA","_","i5K","_",C77,"_",AD77,"_",PROPER(R77),IF(S77="",PROPER(R77),PROPER(S77)),PROPER(T77),PROPER(U77),PROPER(V77),IF(V77&lt;&gt;"","SUB",""),PROPER(W77),IF(W77&lt;&gt;"","SUB",""),"_","Ed","_","M4",".mpg")</f>
        <v>YoungHeroNezha10_CA_i5K_0825_169_ZhoZho_Ed_M4.mpg</v>
      </c>
      <c r="R77" s="382" t="s">
        <v>130</v>
      </c>
      <c r="S77" s="382"/>
      <c r="T77" s="384"/>
      <c r="U77" s="384"/>
      <c r="V77" s="382"/>
      <c r="W77" s="384"/>
      <c r="X77" s="349" t="s">
        <v>129</v>
      </c>
      <c r="Y77" s="349" t="s">
        <v>129</v>
      </c>
      <c r="Z77" s="120">
        <f t="shared" si="15"/>
        <v>10</v>
      </c>
      <c r="AA77" s="304" t="str">
        <f t="shared" si="16"/>
        <v>00:10:00</v>
      </c>
      <c r="AB77" s="120">
        <f t="shared" si="17"/>
        <v>600</v>
      </c>
      <c r="AC77" s="399">
        <v>0.00697916666666667</v>
      </c>
      <c r="AD77" s="400">
        <v>169</v>
      </c>
      <c r="AE77" s="400">
        <v>43</v>
      </c>
      <c r="AF77" s="349" t="s">
        <v>563</v>
      </c>
    </row>
    <row r="78" ht="24" customHeight="1" spans="1:32">
      <c r="A78" s="349">
        <v>74</v>
      </c>
      <c r="B78" s="350"/>
      <c r="C78" s="351" t="s">
        <v>120</v>
      </c>
      <c r="D78" s="352"/>
      <c r="E78" s="352"/>
      <c r="F78" s="81">
        <v>14</v>
      </c>
      <c r="G78" s="402" t="s">
        <v>648</v>
      </c>
      <c r="H78" s="361" t="s">
        <v>649</v>
      </c>
      <c r="I78" s="100" t="s">
        <v>124</v>
      </c>
      <c r="J78" s="100"/>
      <c r="K78" s="100"/>
      <c r="L78" s="100" t="s">
        <v>124</v>
      </c>
      <c r="M78" s="100"/>
      <c r="N78" s="373" t="s">
        <v>650</v>
      </c>
      <c r="O78" s="374"/>
      <c r="P78" s="375"/>
      <c r="Q78" s="375" t="str">
        <f>CONCATENATE(RemovePunctuation(H78),"_CA","_","i5K","_",C78,"_",AD78,"_",PROPER(R78),IF(S78="",PROPER(R78),PROPER(S78)),PROPER(T78),PROPER(U78),PROPER(V78),IF(V78&lt;&gt;"","SUB",""),PROPER(W78),IF(W78&lt;&gt;"","SUB",""),"_","Ed","_","M4",".mpg")</f>
        <v>YoungHeroNezha9_CA_i5K_0825_169_ZhoZho_Ed_M4.mpg</v>
      </c>
      <c r="R78" s="382" t="s">
        <v>130</v>
      </c>
      <c r="S78" s="382"/>
      <c r="T78" s="384"/>
      <c r="U78" s="384"/>
      <c r="V78" s="382"/>
      <c r="W78" s="384"/>
      <c r="X78" s="349" t="s">
        <v>129</v>
      </c>
      <c r="Y78" s="349" t="s">
        <v>129</v>
      </c>
      <c r="Z78" s="120">
        <f t="shared" si="15"/>
        <v>10</v>
      </c>
      <c r="AA78" s="304" t="str">
        <f t="shared" si="16"/>
        <v>00:10:00</v>
      </c>
      <c r="AB78" s="120">
        <f t="shared" si="17"/>
        <v>600</v>
      </c>
      <c r="AC78" s="399">
        <v>0.00697916666666667</v>
      </c>
      <c r="AD78" s="400">
        <v>169</v>
      </c>
      <c r="AE78" s="400">
        <v>43</v>
      </c>
      <c r="AF78" s="349" t="s">
        <v>563</v>
      </c>
    </row>
    <row r="79" ht="24" customHeight="1" spans="1:32">
      <c r="A79" s="349">
        <v>75</v>
      </c>
      <c r="B79" s="350"/>
      <c r="C79" s="351" t="s">
        <v>120</v>
      </c>
      <c r="D79" s="352"/>
      <c r="E79" s="352"/>
      <c r="F79" s="81">
        <v>15</v>
      </c>
      <c r="G79" s="402" t="s">
        <v>651</v>
      </c>
      <c r="H79" s="361" t="s">
        <v>652</v>
      </c>
      <c r="I79" s="100" t="s">
        <v>124</v>
      </c>
      <c r="J79" s="100" t="s">
        <v>124</v>
      </c>
      <c r="K79" s="100" t="s">
        <v>124</v>
      </c>
      <c r="L79" s="100" t="s">
        <v>124</v>
      </c>
      <c r="M79" s="100" t="s">
        <v>124</v>
      </c>
      <c r="N79" s="373" t="s">
        <v>653</v>
      </c>
      <c r="O79" s="374" t="s">
        <v>654</v>
      </c>
      <c r="P79" s="375" t="str">
        <f>CONCATENATE(RemovePunctuation(H79),"_CA","_","i4K","_",C79,"_",AE79,"_",PROPER(R79),IF(S79="",PROPER(R79),PROPER(S79)),PROPER(T79),PROPER(U79),PROPER(V79),IF(V79&lt;&gt;"","SUB",""),PROPER(W79),IF(W79&lt;&gt;"","SUB",""),"_","Ed","_","M1",".mpg")</f>
        <v>TheStoryofChineseCharacters6_CA_i4K_0825_43_ZhoZho_Ed_M1.mpg</v>
      </c>
      <c r="Q79" s="375" t="str">
        <f>CONCATENATE(RemovePunctuation(H79),"_CA","_","i5K","_",C79,"_",AD79,"_",PROPER(R79),IF(S79="",PROPER(R79),PROPER(S79)),PROPER(T79),PROPER(U79),PROPER(V79),IF(V79&lt;&gt;"","SUB",""),PROPER(W79),IF(W79&lt;&gt;"","SUB",""),"_","Ed","_","M4",".mpg")</f>
        <v>TheStoryofChineseCharacters6_CA_i5K_0825_169_ZhoZho_Ed_M4.mpg</v>
      </c>
      <c r="R79" s="382" t="s">
        <v>130</v>
      </c>
      <c r="S79" s="382"/>
      <c r="T79" s="384"/>
      <c r="U79" s="384"/>
      <c r="V79" s="382"/>
      <c r="W79" s="384"/>
      <c r="X79" s="349" t="s">
        <v>129</v>
      </c>
      <c r="Y79" s="349" t="s">
        <v>129</v>
      </c>
      <c r="Z79" s="120">
        <f t="shared" si="15"/>
        <v>9</v>
      </c>
      <c r="AA79" s="304" t="str">
        <f t="shared" si="16"/>
        <v>00:09:00</v>
      </c>
      <c r="AB79" s="120">
        <f t="shared" si="17"/>
        <v>540</v>
      </c>
      <c r="AC79" s="399">
        <v>0.0065625</v>
      </c>
      <c r="AD79" s="400">
        <v>169</v>
      </c>
      <c r="AE79" s="400">
        <v>43</v>
      </c>
      <c r="AF79" s="349" t="s">
        <v>132</v>
      </c>
    </row>
    <row r="80" ht="24" customHeight="1" spans="1:32">
      <c r="A80" s="349">
        <v>76</v>
      </c>
      <c r="B80" s="350"/>
      <c r="C80" s="351" t="s">
        <v>120</v>
      </c>
      <c r="D80" s="352"/>
      <c r="E80" s="352"/>
      <c r="F80" s="81">
        <v>16</v>
      </c>
      <c r="G80" s="402" t="s">
        <v>655</v>
      </c>
      <c r="H80" s="361" t="s">
        <v>656</v>
      </c>
      <c r="I80" s="100" t="s">
        <v>124</v>
      </c>
      <c r="J80" s="100"/>
      <c r="K80" s="100"/>
      <c r="L80" s="100" t="s">
        <v>124</v>
      </c>
      <c r="M80" s="100"/>
      <c r="N80" s="373" t="s">
        <v>657</v>
      </c>
      <c r="O80" s="374"/>
      <c r="P80" s="375"/>
      <c r="Q80" s="375" t="str">
        <f>CONCATENATE(RemovePunctuation(H80),"_CA","_","i5K","_",C80,"_",AD80,"_",PROPER(R80),IF(S80="",PROPER(R80),PROPER(S80)),PROPER(T80),PROPER(U80),PROPER(V80),IF(V80&lt;&gt;"","SUB",""),PROPER(W80),IF(W80&lt;&gt;"","SUB",""),"_","Ed","_","M4",".mpg")</f>
        <v>TheStoryofChineseCharacters5_CA_i5K_0825_169_ZhoZho_Ed_M4.mpg</v>
      </c>
      <c r="R80" s="382" t="s">
        <v>130</v>
      </c>
      <c r="S80" s="382"/>
      <c r="T80" s="384"/>
      <c r="U80" s="384"/>
      <c r="V80" s="382"/>
      <c r="W80" s="384"/>
      <c r="X80" s="349" t="s">
        <v>129</v>
      </c>
      <c r="Y80" s="349" t="s">
        <v>129</v>
      </c>
      <c r="Z80" s="120">
        <f t="shared" si="15"/>
        <v>7</v>
      </c>
      <c r="AA80" s="304" t="str">
        <f t="shared" si="16"/>
        <v>00:07:00</v>
      </c>
      <c r="AB80" s="120">
        <f t="shared" si="17"/>
        <v>420</v>
      </c>
      <c r="AC80" s="399">
        <v>0.00502314814814815</v>
      </c>
      <c r="AD80" s="400">
        <v>169</v>
      </c>
      <c r="AE80" s="400">
        <v>43</v>
      </c>
      <c r="AF80" s="349" t="s">
        <v>132</v>
      </c>
    </row>
    <row r="81" ht="24" customHeight="1" spans="1:32">
      <c r="A81" s="349">
        <v>77</v>
      </c>
      <c r="B81" s="350"/>
      <c r="C81" s="351" t="s">
        <v>120</v>
      </c>
      <c r="D81" s="352"/>
      <c r="E81" s="352"/>
      <c r="F81" s="81">
        <v>17</v>
      </c>
      <c r="G81" s="402" t="s">
        <v>658</v>
      </c>
      <c r="H81" s="361" t="s">
        <v>659</v>
      </c>
      <c r="I81" s="100" t="s">
        <v>124</v>
      </c>
      <c r="J81" s="100" t="s">
        <v>124</v>
      </c>
      <c r="K81" s="100" t="s">
        <v>124</v>
      </c>
      <c r="L81" s="100" t="s">
        <v>124</v>
      </c>
      <c r="M81" s="100" t="s">
        <v>124</v>
      </c>
      <c r="N81" s="373" t="s">
        <v>660</v>
      </c>
      <c r="O81" s="374" t="s">
        <v>661</v>
      </c>
      <c r="P81" s="375" t="str">
        <f>CONCATENATE(RemovePunctuation(H81),"_CA","_","i4K","_",C81,"_",AE81,"_",PROPER(R81),IF(S81="",PROPER(R81),PROPER(S81)),PROPER(T81),PROPER(U81),PROPER(V81),IF(V81&lt;&gt;"","SUB",""),PROPER(W81),IF(W81&lt;&gt;"","SUB",""),"_","Ed","_","M1",".mpg")</f>
        <v>HockeyWhirlwindS02E08_CA_i4K_0825_43_ZhoZho_Ed_M1.mpg</v>
      </c>
      <c r="Q81" s="375" t="str">
        <f>CONCATENATE(RemovePunctuation(H81),"_CA","_","i5K","_",C81,"_",AD81,"_",PROPER(R81),IF(S81="",PROPER(R81),PROPER(S81)),PROPER(T81),PROPER(U81),PROPER(V81),IF(V81&lt;&gt;"","SUB",""),PROPER(W81),IF(W81&lt;&gt;"","SUB",""),"_","Ed","_","M4",".mpg")</f>
        <v>HockeyWhirlwindS02E08_CA_i5K_0825_169_ZhoZho_Ed_M4.mpg</v>
      </c>
      <c r="R81" s="382" t="s">
        <v>130</v>
      </c>
      <c r="S81" s="382"/>
      <c r="T81" s="384"/>
      <c r="U81" s="384"/>
      <c r="V81" s="382"/>
      <c r="W81" s="384"/>
      <c r="X81" s="349" t="s">
        <v>129</v>
      </c>
      <c r="Y81" s="349" t="s">
        <v>129</v>
      </c>
      <c r="Z81" s="120">
        <f t="shared" si="15"/>
        <v>19</v>
      </c>
      <c r="AA81" s="304" t="str">
        <f t="shared" si="16"/>
        <v>00:19:00</v>
      </c>
      <c r="AB81" s="120">
        <f t="shared" si="17"/>
        <v>1140</v>
      </c>
      <c r="AC81" s="399">
        <v>0.0135300925925926</v>
      </c>
      <c r="AD81" s="400">
        <v>169</v>
      </c>
      <c r="AE81" s="400">
        <v>43</v>
      </c>
      <c r="AF81" s="349" t="s">
        <v>132</v>
      </c>
    </row>
    <row r="82" ht="24" customHeight="1" spans="1:32">
      <c r="A82" s="349">
        <v>78</v>
      </c>
      <c r="B82" s="350"/>
      <c r="C82" s="351" t="s">
        <v>120</v>
      </c>
      <c r="D82" s="352"/>
      <c r="E82" s="352"/>
      <c r="F82" s="81">
        <v>18</v>
      </c>
      <c r="G82" s="402" t="s">
        <v>662</v>
      </c>
      <c r="H82" s="361" t="s">
        <v>663</v>
      </c>
      <c r="I82" s="100" t="s">
        <v>124</v>
      </c>
      <c r="J82" s="100"/>
      <c r="K82" s="100"/>
      <c r="L82" s="100" t="s">
        <v>124</v>
      </c>
      <c r="M82" s="100"/>
      <c r="N82" s="373" t="s">
        <v>664</v>
      </c>
      <c r="O82" s="374"/>
      <c r="P82" s="375"/>
      <c r="Q82" s="375" t="str">
        <f>CONCATENATE(RemovePunctuation(H82),"_CA","_","i5K","_",C82,"_",AD82,"_",PROPER(R82),IF(S82="",PROPER(R82),PROPER(S82)),PROPER(T82),PROPER(U82),PROPER(V82),IF(V82&lt;&gt;"","SUB",""),PROPER(W82),IF(W82&lt;&gt;"","SUB",""),"_","Ed","_","M4",".mpg")</f>
        <v>HockeyWhirlwindS02E07_CA_i5K_0825_169_ZhoZho_Ed_M4.mpg</v>
      </c>
      <c r="R82" s="382" t="s">
        <v>130</v>
      </c>
      <c r="S82" s="382"/>
      <c r="T82" s="384"/>
      <c r="U82" s="384"/>
      <c r="V82" s="382"/>
      <c r="W82" s="384"/>
      <c r="X82" s="349" t="s">
        <v>129</v>
      </c>
      <c r="Y82" s="349" t="s">
        <v>129</v>
      </c>
      <c r="Z82" s="120">
        <f t="shared" si="15"/>
        <v>19</v>
      </c>
      <c r="AA82" s="304" t="str">
        <f t="shared" si="16"/>
        <v>00:19:00</v>
      </c>
      <c r="AB82" s="120">
        <f t="shared" si="17"/>
        <v>1140</v>
      </c>
      <c r="AC82" s="399">
        <v>0.0135300925925926</v>
      </c>
      <c r="AD82" s="400">
        <v>169</v>
      </c>
      <c r="AE82" s="400">
        <v>43</v>
      </c>
      <c r="AF82" s="349" t="s">
        <v>132</v>
      </c>
    </row>
    <row r="83" ht="24" customHeight="1" spans="1:32">
      <c r="A83" s="349">
        <v>79</v>
      </c>
      <c r="B83" s="350"/>
      <c r="C83" s="351" t="s">
        <v>120</v>
      </c>
      <c r="D83" s="352"/>
      <c r="E83" s="352"/>
      <c r="F83" s="81">
        <v>19</v>
      </c>
      <c r="G83" s="402" t="s">
        <v>665</v>
      </c>
      <c r="H83" s="361" t="s">
        <v>666</v>
      </c>
      <c r="I83" s="100" t="s">
        <v>124</v>
      </c>
      <c r="J83" s="100" t="s">
        <v>124</v>
      </c>
      <c r="K83" s="100" t="s">
        <v>124</v>
      </c>
      <c r="L83" s="100" t="s">
        <v>124</v>
      </c>
      <c r="M83" s="100" t="s">
        <v>124</v>
      </c>
      <c r="N83" s="373" t="s">
        <v>667</v>
      </c>
      <c r="O83" s="374" t="s">
        <v>668</v>
      </c>
      <c r="P83" s="375" t="str">
        <f>CONCATENATE(RemovePunctuation(H83),"_CA","_","i4K","_",C83,"_",AE83,"_",PROPER(R83),IF(S83="",PROPER(R83),PROPER(S83)),PROPER(T83),PROPER(U83),PROPER(V83),IF(V83&lt;&gt;"","SUB",""),PROPER(W83),IF(W83&lt;&gt;"","SUB",""),"_","Ed","_","M1",".mpg")</f>
        <v>MagicSchoolBusS12E08_CA_i4K_0825_43_ZhoZho_Ed_M1.mpg</v>
      </c>
      <c r="Q83" s="375" t="str">
        <f>CONCATENATE(RemovePunctuation(H83),"_CA","_","i5K","_",C83,"_",AD83,"_",PROPER(R83),IF(S83="",PROPER(R83),PROPER(S83)),PROPER(T83),PROPER(U83),PROPER(V83),IF(V83&lt;&gt;"","SUB",""),PROPER(W83),IF(W83&lt;&gt;"","SUB",""),"_","Ed","_","M4",".mpg")</f>
        <v>MagicSchoolBusS12E08_CA_i5K_0825_169_ZhoZho_Ed_M4.mpg</v>
      </c>
      <c r="R83" s="382" t="s">
        <v>130</v>
      </c>
      <c r="S83" s="382"/>
      <c r="T83" s="384"/>
      <c r="U83" s="384"/>
      <c r="V83" s="382"/>
      <c r="W83" s="384"/>
      <c r="X83" s="349" t="s">
        <v>129</v>
      </c>
      <c r="Y83" s="349" t="s">
        <v>129</v>
      </c>
      <c r="Z83" s="120">
        <f t="shared" si="15"/>
        <v>11</v>
      </c>
      <c r="AA83" s="304" t="str">
        <f t="shared" si="16"/>
        <v>00:11:00</v>
      </c>
      <c r="AB83" s="120">
        <f t="shared" si="17"/>
        <v>660</v>
      </c>
      <c r="AC83" s="399">
        <v>0.00768518518518519</v>
      </c>
      <c r="AD83" s="400">
        <v>169</v>
      </c>
      <c r="AE83" s="400">
        <v>43</v>
      </c>
      <c r="AF83" s="349"/>
    </row>
    <row r="84" ht="24" customHeight="1" spans="1:32">
      <c r="A84" s="349">
        <v>80</v>
      </c>
      <c r="B84" s="350"/>
      <c r="C84" s="351" t="s">
        <v>120</v>
      </c>
      <c r="D84" s="352"/>
      <c r="E84" s="352"/>
      <c r="F84" s="81">
        <v>20</v>
      </c>
      <c r="G84" s="402" t="s">
        <v>669</v>
      </c>
      <c r="H84" s="361" t="s">
        <v>670</v>
      </c>
      <c r="I84" s="100" t="s">
        <v>124</v>
      </c>
      <c r="J84" s="100"/>
      <c r="K84" s="100"/>
      <c r="L84" s="100" t="s">
        <v>124</v>
      </c>
      <c r="M84" s="100"/>
      <c r="N84" s="373" t="s">
        <v>671</v>
      </c>
      <c r="O84" s="374"/>
      <c r="P84" s="375"/>
      <c r="Q84" s="375" t="str">
        <f>CONCATENATE(RemovePunctuation(H84),"_CA","_","i5K","_",C84,"_",AD84,"_",PROPER(R84),IF(S84="",PROPER(R84),PROPER(S84)),PROPER(T84),PROPER(U84),PROPER(V84),IF(V84&lt;&gt;"","SUB",""),PROPER(W84),IF(W84&lt;&gt;"","SUB",""),"_","Ed","_","M4",".mpg")</f>
        <v>MagicSchoolBusS12E07_CA_i5K_0825_169_ZhoZho_Ed_M4.mpg</v>
      </c>
      <c r="R84" s="382" t="s">
        <v>130</v>
      </c>
      <c r="S84" s="382"/>
      <c r="T84" s="384"/>
      <c r="U84" s="384"/>
      <c r="V84" s="382"/>
      <c r="W84" s="384"/>
      <c r="X84" s="349" t="s">
        <v>129</v>
      </c>
      <c r="Y84" s="349" t="s">
        <v>129</v>
      </c>
      <c r="Z84" s="120">
        <f t="shared" si="15"/>
        <v>11</v>
      </c>
      <c r="AA84" s="304" t="str">
        <f t="shared" si="16"/>
        <v>00:11:00</v>
      </c>
      <c r="AB84" s="120">
        <f t="shared" si="17"/>
        <v>660</v>
      </c>
      <c r="AC84" s="399">
        <v>0.00763888888888889</v>
      </c>
      <c r="AD84" s="400">
        <v>169</v>
      </c>
      <c r="AE84" s="400">
        <v>43</v>
      </c>
      <c r="AF84" s="349"/>
    </row>
    <row r="85" ht="24" customHeight="1" spans="1:32">
      <c r="A85" s="349">
        <v>81</v>
      </c>
      <c r="B85" s="350"/>
      <c r="C85" s="351" t="s">
        <v>120</v>
      </c>
      <c r="D85" s="352"/>
      <c r="E85" s="352"/>
      <c r="F85" s="81">
        <v>21</v>
      </c>
      <c r="G85" s="402" t="s">
        <v>672</v>
      </c>
      <c r="H85" s="361" t="s">
        <v>673</v>
      </c>
      <c r="I85" s="100" t="s">
        <v>124</v>
      </c>
      <c r="J85" s="100" t="s">
        <v>124</v>
      </c>
      <c r="K85" s="100" t="s">
        <v>124</v>
      </c>
      <c r="L85" s="100" t="s">
        <v>124</v>
      </c>
      <c r="M85" s="100" t="s">
        <v>124</v>
      </c>
      <c r="N85" s="373" t="s">
        <v>674</v>
      </c>
      <c r="O85" s="374" t="s">
        <v>675</v>
      </c>
      <c r="P85" s="375" t="str">
        <f>CONCATENATE(RemovePunctuation(H85),"_CA","_","i4K","_",C85,"_",AE85,"_",PROPER(R85),IF(S85="",PROPER(R85),PROPER(S85)),PROPER(T85),PROPER(U85),PROPER(V85),IF(V85&lt;&gt;"","SUB",""),PROPER(W85),IF(W85&lt;&gt;"","SUB",""),"_","Ed","_","M1",".mpg")</f>
        <v>BoonieBearsProjectMonster21920_CA_i4K_0825_43_ZhoZho_Ed_M1.mpg</v>
      </c>
      <c r="Q85" s="375" t="str">
        <f>CONCATENATE(RemovePunctuation(H85),"_CA","_","i5K","_",C85,"_",AD85,"_",PROPER(R85),IF(S85="",PROPER(R85),PROPER(S85)),PROPER(T85),PROPER(U85),PROPER(V85),IF(V85&lt;&gt;"","SUB",""),PROPER(W85),IF(W85&lt;&gt;"","SUB",""),"_","Ed","_","M4",".mpg")</f>
        <v>BoonieBearsProjectMonster21920_CA_i5K_0825_169_ZhoZho_Ed_M4.mpg</v>
      </c>
      <c r="R85" s="382" t="s">
        <v>130</v>
      </c>
      <c r="S85" s="382"/>
      <c r="T85" s="384"/>
      <c r="U85" s="384"/>
      <c r="V85" s="382"/>
      <c r="W85" s="384"/>
      <c r="X85" s="349" t="s">
        <v>129</v>
      </c>
      <c r="Y85" s="349" t="s">
        <v>129</v>
      </c>
      <c r="Z85" s="120">
        <f t="shared" si="15"/>
        <v>20</v>
      </c>
      <c r="AA85" s="304" t="str">
        <f t="shared" si="16"/>
        <v>00:20:00</v>
      </c>
      <c r="AB85" s="120">
        <f t="shared" si="17"/>
        <v>1200</v>
      </c>
      <c r="AC85" s="399">
        <v>0.0139351851851852</v>
      </c>
      <c r="AD85" s="400">
        <v>169</v>
      </c>
      <c r="AE85" s="400">
        <v>43</v>
      </c>
      <c r="AF85" s="349"/>
    </row>
    <row r="86" ht="24" customHeight="1" spans="1:32">
      <c r="A86" s="349">
        <v>82</v>
      </c>
      <c r="B86" s="350"/>
      <c r="C86" s="351" t="s">
        <v>120</v>
      </c>
      <c r="D86" s="352"/>
      <c r="E86" s="352"/>
      <c r="F86" s="81">
        <v>22</v>
      </c>
      <c r="G86" s="402" t="s">
        <v>676</v>
      </c>
      <c r="H86" s="361" t="s">
        <v>677</v>
      </c>
      <c r="I86" s="100" t="s">
        <v>124</v>
      </c>
      <c r="J86" s="100" t="s">
        <v>124</v>
      </c>
      <c r="K86" s="100" t="s">
        <v>124</v>
      </c>
      <c r="L86" s="100" t="s">
        <v>124</v>
      </c>
      <c r="M86" s="100" t="s">
        <v>124</v>
      </c>
      <c r="N86" s="373" t="s">
        <v>678</v>
      </c>
      <c r="O86" s="374" t="s">
        <v>679</v>
      </c>
      <c r="P86" s="375" t="str">
        <f>CONCATENATE(RemovePunctuation(H86),"_CA","_","i4K","_",C86,"_",AE86,"_",PROPER(R86),IF(S86="",PROPER(R86),PROPER(S86)),PROPER(T86),PROPER(U86),PROPER(V86),IF(V86&lt;&gt;"","SUB",""),PROPER(W86),IF(W86&lt;&gt;"","SUB",""),"_","Ed","_","M1",".mpg")</f>
        <v>LegendsofMountainsandSeas18_CA_i4K_0825_43_ZhoZhoZhoSUB_Ed_M1.mpg</v>
      </c>
      <c r="Q86" s="375" t="str">
        <f>CONCATENATE(RemovePunctuation(H86),"_CA","_","i5K","_",C86,"_",AD86,"_",PROPER(R86),IF(S86="",PROPER(R86),PROPER(S86)),PROPER(T86),PROPER(U86),PROPER(V86),IF(V86&lt;&gt;"","SUB",""),PROPER(W86),IF(W86&lt;&gt;"","SUB",""),"_","Ed","_","M4",".mpg")</f>
        <v>LegendsofMountainsandSeas18_CA_i5K_0825_169_ZhoZhoZhoSUB_Ed_M4.mpg</v>
      </c>
      <c r="R86" s="382" t="s">
        <v>130</v>
      </c>
      <c r="S86" s="382"/>
      <c r="T86" s="384"/>
      <c r="U86" s="384"/>
      <c r="V86" s="382" t="s">
        <v>130</v>
      </c>
      <c r="W86" s="384"/>
      <c r="X86" s="349" t="s">
        <v>129</v>
      </c>
      <c r="Y86" s="349" t="s">
        <v>129</v>
      </c>
      <c r="Z86" s="120">
        <f t="shared" si="15"/>
        <v>9</v>
      </c>
      <c r="AA86" s="304" t="str">
        <f t="shared" si="16"/>
        <v>00:09:00</v>
      </c>
      <c r="AB86" s="120">
        <f t="shared" si="17"/>
        <v>540</v>
      </c>
      <c r="AC86" s="399">
        <v>0.00648148148148148</v>
      </c>
      <c r="AD86" s="400">
        <v>169</v>
      </c>
      <c r="AE86" s="400">
        <v>43</v>
      </c>
      <c r="AF86" s="349"/>
    </row>
    <row r="87" ht="24" customHeight="1" spans="1:32">
      <c r="A87" s="349">
        <v>83</v>
      </c>
      <c r="B87" s="350"/>
      <c r="C87" s="351" t="s">
        <v>120</v>
      </c>
      <c r="D87" s="352"/>
      <c r="E87" s="352"/>
      <c r="F87" s="81">
        <v>23</v>
      </c>
      <c r="G87" s="402" t="s">
        <v>680</v>
      </c>
      <c r="H87" s="361" t="s">
        <v>681</v>
      </c>
      <c r="I87" s="100" t="s">
        <v>124</v>
      </c>
      <c r="J87" s="100"/>
      <c r="K87" s="100"/>
      <c r="L87" s="100" t="s">
        <v>124</v>
      </c>
      <c r="M87" s="100"/>
      <c r="N87" s="373" t="s">
        <v>682</v>
      </c>
      <c r="O87" s="374"/>
      <c r="P87" s="375"/>
      <c r="Q87" s="375" t="str">
        <f>CONCATENATE(RemovePunctuation(H87),"_CA","_","i5K","_",C87,"_",AD87,"_",PROPER(R87),IF(S87="",PROPER(R87),PROPER(S87)),PROPER(T87),PROPER(U87),PROPER(V87),IF(V87&lt;&gt;"","SUB",""),PROPER(W87),IF(W87&lt;&gt;"","SUB",""),"_","Ed","_","M4",".mpg")</f>
        <v>LegendsofMountainsandSeas17_CA_i5K_0825_169_ZhoZhoZhoSUB_Ed_M4.mpg</v>
      </c>
      <c r="R87" s="382" t="s">
        <v>130</v>
      </c>
      <c r="S87" s="382"/>
      <c r="T87" s="384"/>
      <c r="U87" s="384"/>
      <c r="V87" s="382" t="s">
        <v>130</v>
      </c>
      <c r="W87" s="384"/>
      <c r="X87" s="349" t="s">
        <v>129</v>
      </c>
      <c r="Y87" s="349" t="s">
        <v>129</v>
      </c>
      <c r="Z87" s="120">
        <f t="shared" si="15"/>
        <v>9</v>
      </c>
      <c r="AA87" s="304" t="str">
        <f t="shared" si="16"/>
        <v>00:09:00</v>
      </c>
      <c r="AB87" s="120">
        <f t="shared" si="17"/>
        <v>540</v>
      </c>
      <c r="AC87" s="399">
        <v>0.00648148148148148</v>
      </c>
      <c r="AD87" s="400">
        <v>169</v>
      </c>
      <c r="AE87" s="400">
        <v>43</v>
      </c>
      <c r="AF87" s="349"/>
    </row>
    <row r="88" ht="24" customHeight="1" spans="1:32">
      <c r="A88" s="349">
        <v>84</v>
      </c>
      <c r="B88" s="350"/>
      <c r="C88" s="351" t="s">
        <v>120</v>
      </c>
      <c r="D88" s="358" t="s">
        <v>683</v>
      </c>
      <c r="E88" s="358"/>
      <c r="F88" s="81">
        <v>1</v>
      </c>
      <c r="G88" s="402" t="s">
        <v>684</v>
      </c>
      <c r="H88" s="361" t="s">
        <v>685</v>
      </c>
      <c r="I88" s="100" t="s">
        <v>124</v>
      </c>
      <c r="J88" s="100" t="s">
        <v>124</v>
      </c>
      <c r="K88" s="100" t="s">
        <v>124</v>
      </c>
      <c r="L88" s="100" t="s">
        <v>124</v>
      </c>
      <c r="M88" s="100" t="s">
        <v>124</v>
      </c>
      <c r="N88" s="373" t="s">
        <v>686</v>
      </c>
      <c r="O88" s="374" t="s">
        <v>687</v>
      </c>
      <c r="P88" s="375" t="str">
        <f>CONCATENATE(RemovePunctuation(H88),"_CA","_","i4K","_",C88,"_",AE88,"_",PROPER(R88),IF(S88="",PROPER(R88),PROPER(S88)),PROPER(T88),PROPER(U88),PROPER(V88),IF(V88&lt;&gt;"","SUB",""),PROPER(W88),IF(W88&lt;&gt;"","SUB",""),"_","Ed","_","M1",".mpg")</f>
        <v>XunWeiAnHuiEp02_CA_i4K_0825_43_ZhoZhoZhoSUB_Ed_M1.mpg</v>
      </c>
      <c r="Q88" s="375" t="str">
        <f>CONCATENATE(RemovePunctuation(H88),"_CA","_","i5K","_",C88,"_",AD88,"_",PROPER(R88),IF(S88="",PROPER(R88),PROPER(S88)),PROPER(T88),PROPER(U88),PROPER(V88),IF(V88&lt;&gt;"","SUB",""),PROPER(W88),IF(W88&lt;&gt;"","SUB",""),"_","Ed","_","M4",".mpg")</f>
        <v>XunWeiAnHuiEp02_CA_i5K_0825_169_ZhoZhoZhoSUB_Ed_M4.mpg</v>
      </c>
      <c r="R88" s="382" t="s">
        <v>130</v>
      </c>
      <c r="S88" s="385"/>
      <c r="T88" s="384"/>
      <c r="U88" s="384"/>
      <c r="V88" s="382" t="s">
        <v>130</v>
      </c>
      <c r="W88" s="384"/>
      <c r="X88" s="349" t="s">
        <v>129</v>
      </c>
      <c r="Y88" s="349" t="s">
        <v>129</v>
      </c>
      <c r="Z88" s="120">
        <f t="shared" si="15"/>
        <v>15</v>
      </c>
      <c r="AA88" s="304" t="str">
        <f t="shared" si="16"/>
        <v>00:15:00</v>
      </c>
      <c r="AB88" s="120">
        <f t="shared" si="17"/>
        <v>900</v>
      </c>
      <c r="AC88" s="399">
        <v>0.0104050925925926</v>
      </c>
      <c r="AD88" s="400">
        <v>169</v>
      </c>
      <c r="AE88" s="400">
        <v>43</v>
      </c>
      <c r="AF88" s="349" t="s">
        <v>563</v>
      </c>
    </row>
    <row r="89" ht="24" customHeight="1" spans="1:32">
      <c r="A89" s="349">
        <v>85</v>
      </c>
      <c r="B89" s="350"/>
      <c r="C89" s="351" t="s">
        <v>120</v>
      </c>
      <c r="D89" s="358"/>
      <c r="E89" s="358"/>
      <c r="F89" s="81">
        <v>2</v>
      </c>
      <c r="G89" s="402" t="s">
        <v>688</v>
      </c>
      <c r="H89" s="361" t="s">
        <v>689</v>
      </c>
      <c r="I89" s="100" t="s">
        <v>124</v>
      </c>
      <c r="J89" s="100"/>
      <c r="K89" s="100"/>
      <c r="L89" s="100" t="s">
        <v>124</v>
      </c>
      <c r="M89" s="100"/>
      <c r="N89" s="373" t="s">
        <v>690</v>
      </c>
      <c r="O89" s="374"/>
      <c r="P89" s="375"/>
      <c r="Q89" s="375" t="str">
        <f>CONCATENATE(RemovePunctuation(H89),"_CA","_","i5K","_",C89,"_",AD89,"_",PROPER(R89),IF(S89="",PROPER(R89),PROPER(S89)),PROPER(T89),PROPER(U89),PROPER(V89),IF(V89&lt;&gt;"","SUB",""),PROPER(W89),IF(W89&lt;&gt;"","SUB",""),"_","Ed","_","M4",".mpg")</f>
        <v>ThePrideOfHunanCuisineEp01RiceNoodlesPart02_CA_i5K_0825_169_ZhoZhoZhoSUB_Ed_M4.mpg</v>
      </c>
      <c r="R89" s="382" t="s">
        <v>130</v>
      </c>
      <c r="S89" s="385"/>
      <c r="T89" s="384"/>
      <c r="U89" s="384"/>
      <c r="V89" s="382" t="s">
        <v>130</v>
      </c>
      <c r="W89" s="384"/>
      <c r="X89" s="349" t="s">
        <v>129</v>
      </c>
      <c r="Y89" s="349" t="s">
        <v>129</v>
      </c>
      <c r="Z89" s="120">
        <f t="shared" si="15"/>
        <v>15</v>
      </c>
      <c r="AA89" s="304" t="str">
        <f t="shared" si="16"/>
        <v>00:15:00</v>
      </c>
      <c r="AB89" s="120">
        <f t="shared" si="17"/>
        <v>900</v>
      </c>
      <c r="AC89" s="399">
        <v>0.0102083333333333</v>
      </c>
      <c r="AD89" s="400">
        <v>169</v>
      </c>
      <c r="AE89" s="400">
        <v>43</v>
      </c>
      <c r="AF89" s="349"/>
    </row>
    <row r="90" ht="24" customHeight="1" spans="1:32">
      <c r="A90" s="349">
        <v>86</v>
      </c>
      <c r="B90" s="350"/>
      <c r="C90" s="351" t="s">
        <v>120</v>
      </c>
      <c r="D90" s="358"/>
      <c r="E90" s="358"/>
      <c r="F90" s="81">
        <v>3</v>
      </c>
      <c r="G90" s="402" t="s">
        <v>691</v>
      </c>
      <c r="H90" s="361" t="s">
        <v>692</v>
      </c>
      <c r="I90" s="100" t="s">
        <v>124</v>
      </c>
      <c r="J90" s="100" t="s">
        <v>124</v>
      </c>
      <c r="K90" s="100"/>
      <c r="L90" s="100" t="s">
        <v>124</v>
      </c>
      <c r="M90" s="100" t="s">
        <v>124</v>
      </c>
      <c r="N90" s="373" t="s">
        <v>693</v>
      </c>
      <c r="O90" s="374"/>
      <c r="P90" s="375" t="str">
        <f>CONCATENATE(RemovePunctuation(H90),"_CA","_","i4K","_",C90,"_",AE90,"_",PROPER(R90),IF(S90="",PROPER(R90),PROPER(S90)),PROPER(T90),PROPER(U90),PROPER(V90),IF(V90&lt;&gt;"","SUB",""),PROPER(W90),IF(W90&lt;&gt;"","SUB",""),"_","Ed","_","M1",".mpg")</f>
        <v>ThePrideOfHunanCuisineEp01RiceNoodlesPart01_CA_i4K_0825_43_ZhoZhoZhoSUB_Ed_M1.mpg</v>
      </c>
      <c r="Q90" s="375" t="str">
        <f>CONCATENATE(RemovePunctuation(H90),"_CA","_","i5K","_",C90,"_",AD90,"_",PROPER(R90),IF(S90="",PROPER(R90),PROPER(S90)),PROPER(T90),PROPER(U90),PROPER(V90),IF(V90&lt;&gt;"","SUB",""),PROPER(W90),IF(W90&lt;&gt;"","SUB",""),"_","Ed","_","M4",".mpg")</f>
        <v>ThePrideOfHunanCuisineEp01RiceNoodlesPart01_CA_i5K_0825_169_ZhoZhoZhoSUB_Ed_M4.mpg</v>
      </c>
      <c r="R90" s="382" t="s">
        <v>130</v>
      </c>
      <c r="S90" s="385"/>
      <c r="T90" s="384"/>
      <c r="U90" s="384"/>
      <c r="V90" s="382" t="s">
        <v>130</v>
      </c>
      <c r="W90" s="384"/>
      <c r="X90" s="349" t="s">
        <v>129</v>
      </c>
      <c r="Y90" s="349" t="s">
        <v>129</v>
      </c>
      <c r="Z90" s="120">
        <f t="shared" si="15"/>
        <v>16</v>
      </c>
      <c r="AA90" s="304" t="str">
        <f t="shared" si="16"/>
        <v>00:16:00</v>
      </c>
      <c r="AB90" s="120">
        <f t="shared" si="17"/>
        <v>960</v>
      </c>
      <c r="AC90" s="399">
        <v>0.0107638888888889</v>
      </c>
      <c r="AD90" s="400">
        <v>169</v>
      </c>
      <c r="AE90" s="400">
        <v>43</v>
      </c>
      <c r="AF90" s="349"/>
    </row>
    <row r="91" ht="24" customHeight="1" spans="1:32">
      <c r="A91" s="349">
        <v>87</v>
      </c>
      <c r="B91" s="350"/>
      <c r="C91" s="351" t="s">
        <v>120</v>
      </c>
      <c r="D91" s="358"/>
      <c r="E91" s="358"/>
      <c r="F91" s="81">
        <v>4</v>
      </c>
      <c r="G91" s="402" t="s">
        <v>694</v>
      </c>
      <c r="H91" s="361" t="s">
        <v>695</v>
      </c>
      <c r="I91" s="100" t="s">
        <v>124</v>
      </c>
      <c r="J91" s="100" t="s">
        <v>124</v>
      </c>
      <c r="K91" s="100" t="s">
        <v>124</v>
      </c>
      <c r="L91" s="100" t="s">
        <v>124</v>
      </c>
      <c r="M91" s="100" t="s">
        <v>124</v>
      </c>
      <c r="N91" s="373" t="s">
        <v>696</v>
      </c>
      <c r="O91" s="374" t="s">
        <v>697</v>
      </c>
      <c r="P91" s="375" t="str">
        <f>CONCATENATE(RemovePunctuation(H91),"_CA","_","i4K","_",C91,"_",AE91,"_",PROPER(R91),IF(S91="",PROPER(R91),PROPER(S91)),PROPER(T91),PROPER(U91),PROPER(V91),IF(V91&lt;&gt;"","SUB",""),PROPER(W91),IF(W91&lt;&gt;"","SUB",""),"_","Ed","_","M1",".mpg")</f>
        <v>WelcomeToCampEp02_CA_i4K_0825_43_ZhoZhoZhoSUB_Ed_M1.mpg</v>
      </c>
      <c r="Q91" s="375" t="str">
        <f>CONCATENATE(RemovePunctuation(H91),"_CA","_","i5K","_",C91,"_",AD91,"_",PROPER(R91),IF(S91="",PROPER(R91),PROPER(S91)),PROPER(T91),PROPER(U91),PROPER(V91),IF(V91&lt;&gt;"","SUB",""),PROPER(W91),IF(W91&lt;&gt;"","SUB",""),"_","Ed","_","M4",".mpg")</f>
        <v>WelcomeToCampEp02_CA_i5K_0825_169_ZhoZhoZhoSUB_Ed_M4.mpg</v>
      </c>
      <c r="R91" s="382" t="s">
        <v>130</v>
      </c>
      <c r="S91" s="385"/>
      <c r="T91" s="384"/>
      <c r="U91" s="384"/>
      <c r="V91" s="382" t="s">
        <v>130</v>
      </c>
      <c r="W91" s="384"/>
      <c r="X91" s="349" t="s">
        <v>129</v>
      </c>
      <c r="Y91" s="349" t="s">
        <v>129</v>
      </c>
      <c r="Z91" s="120">
        <f t="shared" si="15"/>
        <v>16</v>
      </c>
      <c r="AA91" s="304" t="str">
        <f t="shared" si="16"/>
        <v>00:16:00</v>
      </c>
      <c r="AB91" s="120">
        <f t="shared" si="17"/>
        <v>960</v>
      </c>
      <c r="AC91" s="399">
        <v>0.0108680555555556</v>
      </c>
      <c r="AD91" s="400">
        <v>169</v>
      </c>
      <c r="AE91" s="400">
        <v>43</v>
      </c>
      <c r="AF91" s="349"/>
    </row>
    <row r="92" ht="24" customHeight="1" spans="1:32">
      <c r="A92" s="349">
        <v>88</v>
      </c>
      <c r="B92" s="350"/>
      <c r="C92" s="351" t="s">
        <v>120</v>
      </c>
      <c r="D92" s="358"/>
      <c r="E92" s="358"/>
      <c r="F92" s="81">
        <v>5</v>
      </c>
      <c r="G92" s="402" t="s">
        <v>698</v>
      </c>
      <c r="H92" s="361" t="s">
        <v>699</v>
      </c>
      <c r="I92" s="100" t="s">
        <v>124</v>
      </c>
      <c r="J92" s="100"/>
      <c r="K92" s="100"/>
      <c r="L92" s="100" t="s">
        <v>124</v>
      </c>
      <c r="M92" s="100"/>
      <c r="N92" s="373" t="s">
        <v>700</v>
      </c>
      <c r="O92" s="374"/>
      <c r="P92" s="375"/>
      <c r="Q92" s="375" t="str">
        <f>CONCATENATE(RemovePunctuation(H92),"_CA","_","i5K","_",C92,"_",AD92,"_",PROPER(R92),IF(S92="",PROPER(R92),PROPER(S92)),PROPER(T92),PROPER(U92),PROPER(V92),IF(V92&lt;&gt;"","SUB",""),PROPER(W92),IF(W92&lt;&gt;"","SUB",""),"_","Ed","_","M4",".mpg")</f>
        <v>TasteofHebeiSeason3GrandCanalGastronomy2ThePulseofXingxiang_CA_i5K_0825_169_ZhoZhoZhoSUB_Ed_M4.mpg</v>
      </c>
      <c r="R92" s="382" t="s">
        <v>130</v>
      </c>
      <c r="S92" s="385"/>
      <c r="T92" s="384"/>
      <c r="U92" s="384"/>
      <c r="V92" s="382" t="s">
        <v>130</v>
      </c>
      <c r="W92" s="384"/>
      <c r="X92" s="349" t="s">
        <v>129</v>
      </c>
      <c r="Y92" s="349" t="s">
        <v>129</v>
      </c>
      <c r="Z92" s="120">
        <f t="shared" si="15"/>
        <v>20</v>
      </c>
      <c r="AA92" s="304" t="str">
        <f t="shared" si="16"/>
        <v>00:20:00</v>
      </c>
      <c r="AB92" s="120">
        <f t="shared" si="17"/>
        <v>1200</v>
      </c>
      <c r="AC92" s="399">
        <v>0.0139583333333333</v>
      </c>
      <c r="AD92" s="400">
        <v>169</v>
      </c>
      <c r="AE92" s="400">
        <v>43</v>
      </c>
      <c r="AF92" s="349"/>
    </row>
    <row r="93" ht="24" customHeight="1" spans="1:32">
      <c r="A93" s="349">
        <v>89</v>
      </c>
      <c r="B93" s="350"/>
      <c r="C93" s="351" t="s">
        <v>120</v>
      </c>
      <c r="D93" s="358"/>
      <c r="E93" s="358"/>
      <c r="F93" s="81">
        <v>6</v>
      </c>
      <c r="G93" s="402" t="s">
        <v>701</v>
      </c>
      <c r="H93" s="361" t="s">
        <v>702</v>
      </c>
      <c r="I93" s="100" t="s">
        <v>124</v>
      </c>
      <c r="J93" s="100" t="s">
        <v>124</v>
      </c>
      <c r="K93" s="100"/>
      <c r="L93" s="100" t="s">
        <v>124</v>
      </c>
      <c r="M93" s="100" t="s">
        <v>124</v>
      </c>
      <c r="N93" s="373" t="s">
        <v>703</v>
      </c>
      <c r="O93" s="374"/>
      <c r="P93" s="375" t="str">
        <f>CONCATENATE(RemovePunctuation(H93),"_CA","_","i4K","_",C93,"_",AE93,"_",PROPER(R93),IF(S93="",PROPER(R93),PROPER(S93)),PROPER(T93),PROPER(U93),PROPER(V93),IF(V93&lt;&gt;"","SUB",""),PROPER(W93),IF(W93&lt;&gt;"","SUB",""),"_","Ed","_","M1",".mpg")</f>
        <v>TasteofHebeiSeason3GrandCanalGastronomy1HandansBreadbasketWhereMountainsMeetFertileValleys_CA_i4K_0825_43_ZhoZhoZhoSUB_Ed_M1.mpg</v>
      </c>
      <c r="Q93" s="375" t="str">
        <f>CONCATENATE(RemovePunctuation(H93),"_CA","_","i5K","_",C93,"_",AD93,"_",PROPER(R93),IF(S93="",PROPER(R93),PROPER(S93)),PROPER(T93),PROPER(U93),PROPER(V93),IF(V93&lt;&gt;"","SUB",""),PROPER(W93),IF(W93&lt;&gt;"","SUB",""),"_","Ed","_","M4",".mpg")</f>
        <v>TasteofHebeiSeason3GrandCanalGastronomy1HandansBreadbasketWhereMountainsMeetFertileValleys_CA_i5K_0825_169_ZhoZhoZhoSUB_Ed_M4.mpg</v>
      </c>
      <c r="R93" s="382" t="s">
        <v>130</v>
      </c>
      <c r="S93" s="385"/>
      <c r="T93" s="384"/>
      <c r="U93" s="384"/>
      <c r="V93" s="382" t="s">
        <v>130</v>
      </c>
      <c r="W93" s="384"/>
      <c r="X93" s="349" t="s">
        <v>129</v>
      </c>
      <c r="Y93" s="349" t="s">
        <v>129</v>
      </c>
      <c r="Z93" s="120">
        <f t="shared" si="15"/>
        <v>23</v>
      </c>
      <c r="AA93" s="304" t="str">
        <f t="shared" si="16"/>
        <v>00:23:00</v>
      </c>
      <c r="AB93" s="120">
        <f t="shared" si="17"/>
        <v>1380</v>
      </c>
      <c r="AC93" s="399">
        <v>0.0161574074074074</v>
      </c>
      <c r="AD93" s="400">
        <v>169</v>
      </c>
      <c r="AE93" s="400">
        <v>43</v>
      </c>
      <c r="AF93" s="349"/>
    </row>
    <row r="94" ht="24" customHeight="1" spans="1:32">
      <c r="A94" s="349">
        <v>90</v>
      </c>
      <c r="B94" s="350"/>
      <c r="C94" s="351" t="s">
        <v>120</v>
      </c>
      <c r="D94" s="358"/>
      <c r="E94" s="358"/>
      <c r="F94" s="81">
        <v>7</v>
      </c>
      <c r="G94" s="402" t="s">
        <v>704</v>
      </c>
      <c r="H94" s="361" t="s">
        <v>705</v>
      </c>
      <c r="I94" s="100" t="s">
        <v>124</v>
      </c>
      <c r="J94" s="100" t="s">
        <v>124</v>
      </c>
      <c r="K94" s="100" t="s">
        <v>124</v>
      </c>
      <c r="L94" s="100" t="s">
        <v>124</v>
      </c>
      <c r="M94" s="100" t="s">
        <v>124</v>
      </c>
      <c r="N94" s="373" t="s">
        <v>706</v>
      </c>
      <c r="O94" s="374" t="s">
        <v>707</v>
      </c>
      <c r="P94" s="375" t="str">
        <f>CONCATENATE(RemovePunctuation(H94),"_CA","_","i4K","_",C94,"_",AE94,"_",PROPER(R94),IF(S94="",PROPER(R94),PROPER(S94)),PROPER(T94),PROPER(U94),PROPER(V94),IF(V94&lt;&gt;"","SUB",""),PROPER(W94),IF(W94&lt;&gt;"","SUB",""),"_","Ed","_","M1",".mpg")</f>
        <v>ExploringCivilizationbyFarming7GaolanGansuShichuanAncientPearGarden_CA_i4K_0825_43_ZhoZhoZhoSUB_Ed_M1.mpg</v>
      </c>
      <c r="Q94" s="375" t="str">
        <f>CONCATENATE(RemovePunctuation(H94),"_CA","_","i5K","_",C94,"_",AD94,"_",PROPER(R94),IF(S94="",PROPER(R94),PROPER(S94)),PROPER(T94),PROPER(U94),PROPER(V94),IF(V94&lt;&gt;"","SUB",""),PROPER(W94),IF(W94&lt;&gt;"","SUB",""),"_","Ed","_","M4",".mpg")</f>
        <v>ExploringCivilizationbyFarming7GaolanGansuShichuanAncientPearGarden_CA_i5K_0825_169_ZhoZhoZhoSUB_Ed_M4.mpg</v>
      </c>
      <c r="R94" s="382" t="s">
        <v>130</v>
      </c>
      <c r="S94" s="385"/>
      <c r="T94" s="384"/>
      <c r="U94" s="384"/>
      <c r="V94" s="382" t="s">
        <v>130</v>
      </c>
      <c r="W94" s="384"/>
      <c r="X94" s="349" t="s">
        <v>129</v>
      </c>
      <c r="Y94" s="349" t="s">
        <v>129</v>
      </c>
      <c r="Z94" s="120">
        <f t="shared" si="15"/>
        <v>28</v>
      </c>
      <c r="AA94" s="304" t="str">
        <f t="shared" si="16"/>
        <v>00:28:00</v>
      </c>
      <c r="AB94" s="120">
        <f t="shared" si="17"/>
        <v>1680</v>
      </c>
      <c r="AC94" s="399">
        <v>0.0194328703703704</v>
      </c>
      <c r="AD94" s="400">
        <v>169</v>
      </c>
      <c r="AE94" s="400">
        <v>43</v>
      </c>
      <c r="AF94" s="349" t="s">
        <v>132</v>
      </c>
    </row>
    <row r="95" ht="24" customHeight="1" spans="1:32">
      <c r="A95" s="349">
        <v>91</v>
      </c>
      <c r="B95" s="350"/>
      <c r="C95" s="351" t="s">
        <v>120</v>
      </c>
      <c r="D95" s="358"/>
      <c r="E95" s="358"/>
      <c r="F95" s="81">
        <v>8</v>
      </c>
      <c r="G95" s="402" t="s">
        <v>708</v>
      </c>
      <c r="H95" s="361" t="s">
        <v>709</v>
      </c>
      <c r="I95" s="100" t="s">
        <v>124</v>
      </c>
      <c r="J95" s="100" t="s">
        <v>124</v>
      </c>
      <c r="K95" s="100" t="s">
        <v>124</v>
      </c>
      <c r="L95" s="100" t="s">
        <v>124</v>
      </c>
      <c r="M95" s="100" t="s">
        <v>124</v>
      </c>
      <c r="N95" s="373" t="s">
        <v>710</v>
      </c>
      <c r="O95" s="374" t="s">
        <v>711</v>
      </c>
      <c r="P95" s="375" t="str">
        <f>CONCATENATE(RemovePunctuation(H95),"_CA","_","i4K","_",C95,"_",AE95,"_",PROPER(R95),IF(S95="",PROPER(R95),PROPER(S95)),PROPER(T95),PROPER(U95),PROPER(V95),IF(V95&lt;&gt;"","SUB",""),PROPER(W95),IF(W95&lt;&gt;"","SUB",""),"_","Ed","_","M1",".mpg")</f>
        <v>PeakednessFoodMomentChineseandFrenchChefCompetitionTheLegendaryCharGrilledPork_CA_i4K_0825_43_ZhoZhoZhoSUB_Ed_M1.mpg</v>
      </c>
      <c r="Q95" s="375" t="str">
        <f>CONCATENATE(RemovePunctuation(H95),"_CA","_","i5K","_",C95,"_",AD95,"_",PROPER(R95),IF(S95="",PROPER(R95),PROPER(S95)),PROPER(T95),PROPER(U95),PROPER(V95),IF(V95&lt;&gt;"","SUB",""),PROPER(W95),IF(W95&lt;&gt;"","SUB",""),"_","Ed","_","M4",".mpg")</f>
        <v>PeakednessFoodMomentChineseandFrenchChefCompetitionTheLegendaryCharGrilledPork_CA_i5K_0825_169_ZhoZhoZhoSUB_Ed_M4.mpg</v>
      </c>
      <c r="R95" s="382" t="s">
        <v>130</v>
      </c>
      <c r="S95" s="385"/>
      <c r="T95" s="384"/>
      <c r="U95" s="384"/>
      <c r="V95" s="382" t="s">
        <v>130</v>
      </c>
      <c r="W95" s="384"/>
      <c r="X95" s="349" t="s">
        <v>129</v>
      </c>
      <c r="Y95" s="349" t="s">
        <v>129</v>
      </c>
      <c r="Z95" s="120">
        <f t="shared" si="15"/>
        <v>54</v>
      </c>
      <c r="AA95" s="304" t="str">
        <f t="shared" si="16"/>
        <v>00:54:00</v>
      </c>
      <c r="AB95" s="120">
        <f t="shared" si="17"/>
        <v>3240</v>
      </c>
      <c r="AC95" s="399">
        <v>0.0373726851851852</v>
      </c>
      <c r="AD95" s="400">
        <v>169</v>
      </c>
      <c r="AE95" s="400">
        <v>43</v>
      </c>
      <c r="AF95" s="349" t="s">
        <v>132</v>
      </c>
    </row>
    <row r="96" ht="24" customHeight="1" spans="1:32">
      <c r="A96" s="349">
        <v>92</v>
      </c>
      <c r="B96" s="350"/>
      <c r="C96" s="351" t="s">
        <v>120</v>
      </c>
      <c r="D96" s="358"/>
      <c r="E96" s="358"/>
      <c r="F96" s="81">
        <v>9</v>
      </c>
      <c r="G96" s="402" t="s">
        <v>712</v>
      </c>
      <c r="H96" s="361" t="s">
        <v>713</v>
      </c>
      <c r="I96" s="100" t="s">
        <v>124</v>
      </c>
      <c r="J96" s="100" t="s">
        <v>124</v>
      </c>
      <c r="K96" s="100" t="s">
        <v>124</v>
      </c>
      <c r="L96" s="100" t="s">
        <v>124</v>
      </c>
      <c r="M96" s="100" t="s">
        <v>124</v>
      </c>
      <c r="N96" s="373" t="s">
        <v>714</v>
      </c>
      <c r="O96" s="374" t="s">
        <v>715</v>
      </c>
      <c r="P96" s="375" t="str">
        <f>CONCATENATE(RemovePunctuation(H96),"_CA","_","i4K","_",C96,"_",AE96,"_",PROPER(R96),IF(S96="",PROPER(R96),PROPER(S96)),PROPER(T96),PROPER(U96),PROPER(V96),IF(V96&lt;&gt;"","SUB",""),PROPER(W96),IF(W96&lt;&gt;"","SUB",""),"_","Ed","_","M1",".mpg")</f>
        <v>ThreeMealsandFourSeasonsS02JiangxiChapter_CA_i4K_0825_43_ZhoZhoZhoSUB_Ed_M1.mpg</v>
      </c>
      <c r="Q96" s="375" t="str">
        <f>CONCATENATE(RemovePunctuation(H96),"_CA","_","i5K","_",C96,"_",AD96,"_",PROPER(R96),IF(S96="",PROPER(R96),PROPER(S96)),PROPER(T96),PROPER(U96),PROPER(V96),IF(V96&lt;&gt;"","SUB",""),PROPER(W96),IF(W96&lt;&gt;"","SUB",""),"_","Ed","_","M4",".mpg")</f>
        <v>ThreeMealsandFourSeasonsS02JiangxiChapter_CA_i5K_0825_169_ZhoZhoZhoSUB_Ed_M4.mpg</v>
      </c>
      <c r="R96" s="382" t="s">
        <v>130</v>
      </c>
      <c r="S96" s="384"/>
      <c r="T96" s="384"/>
      <c r="U96" s="384"/>
      <c r="V96" s="382" t="s">
        <v>130</v>
      </c>
      <c r="W96" s="382"/>
      <c r="X96" s="349" t="s">
        <v>129</v>
      </c>
      <c r="Y96" s="349" t="s">
        <v>129</v>
      </c>
      <c r="Z96" s="120">
        <f t="shared" si="15"/>
        <v>89</v>
      </c>
      <c r="AA96" s="304" t="str">
        <f t="shared" si="16"/>
        <v>01:29:00</v>
      </c>
      <c r="AB96" s="120">
        <f t="shared" si="17"/>
        <v>5340</v>
      </c>
      <c r="AC96" s="399">
        <v>0.0618055555555556</v>
      </c>
      <c r="AD96" s="400">
        <v>169</v>
      </c>
      <c r="AE96" s="400">
        <v>43</v>
      </c>
      <c r="AF96" s="349" t="s">
        <v>132</v>
      </c>
    </row>
    <row r="97" ht="24" customHeight="1" spans="1:32">
      <c r="A97" s="349">
        <v>93</v>
      </c>
      <c r="B97" s="350"/>
      <c r="C97" s="351" t="s">
        <v>120</v>
      </c>
      <c r="D97" s="358"/>
      <c r="E97" s="358"/>
      <c r="F97" s="81">
        <v>10</v>
      </c>
      <c r="G97" s="402" t="s">
        <v>716</v>
      </c>
      <c r="H97" s="361" t="s">
        <v>717</v>
      </c>
      <c r="I97" s="100" t="s">
        <v>124</v>
      </c>
      <c r="J97" s="100"/>
      <c r="K97" s="100" t="s">
        <v>124</v>
      </c>
      <c r="L97" s="100" t="s">
        <v>124</v>
      </c>
      <c r="M97" s="100"/>
      <c r="N97" s="373" t="s">
        <v>718</v>
      </c>
      <c r="O97" s="374" t="s">
        <v>719</v>
      </c>
      <c r="P97" s="375"/>
      <c r="Q97" s="375" t="str">
        <f>CONCATENATE(RemovePunctuation(H97),"_CA","_","i5K","_",C97,"_",AD97,"_",PROPER(R97),IF(S97="",PROPER(R97),PROPER(S97)),PROPER(T97),PROPER(U97),PROPER(V97),IF(V97&lt;&gt;"","SUB",""),PROPER(W97),IF(W97&lt;&gt;"","SUB",""),"_","Ed","_","M4",".mpg")</f>
        <v>ThreeMealsandFourSeasonsS02FujianChapter_CA_i5K_0825_169_ZhoZhoZhoSUB_Ed_M4.mpg</v>
      </c>
      <c r="R97" s="382" t="s">
        <v>130</v>
      </c>
      <c r="S97" s="384"/>
      <c r="T97" s="384"/>
      <c r="U97" s="384"/>
      <c r="V97" s="382" t="s">
        <v>130</v>
      </c>
      <c r="W97" s="382"/>
      <c r="X97" s="349" t="s">
        <v>129</v>
      </c>
      <c r="Y97" s="349" t="s">
        <v>129</v>
      </c>
      <c r="Z97" s="120">
        <f t="shared" si="15"/>
        <v>85</v>
      </c>
      <c r="AA97" s="304" t="str">
        <f t="shared" si="16"/>
        <v>01:25:00</v>
      </c>
      <c r="AB97" s="120">
        <f t="shared" si="17"/>
        <v>5100</v>
      </c>
      <c r="AC97" s="399">
        <v>0.0588541666666667</v>
      </c>
      <c r="AD97" s="400">
        <v>169</v>
      </c>
      <c r="AE97" s="400">
        <v>43</v>
      </c>
      <c r="AF97" s="349" t="s">
        <v>132</v>
      </c>
    </row>
    <row r="98" ht="24" customHeight="1" spans="1:32">
      <c r="A98" s="349">
        <v>94</v>
      </c>
      <c r="B98" s="350"/>
      <c r="C98" s="351" t="s">
        <v>120</v>
      </c>
      <c r="D98" s="358"/>
      <c r="E98" s="358"/>
      <c r="F98" s="81">
        <v>11</v>
      </c>
      <c r="G98" s="402" t="s">
        <v>720</v>
      </c>
      <c r="H98" s="361" t="s">
        <v>721</v>
      </c>
      <c r="I98" s="100" t="s">
        <v>124</v>
      </c>
      <c r="J98" s="100" t="s">
        <v>124</v>
      </c>
      <c r="K98" s="100"/>
      <c r="L98" s="100" t="s">
        <v>124</v>
      </c>
      <c r="M98" s="100" t="s">
        <v>124</v>
      </c>
      <c r="N98" s="373" t="s">
        <v>722</v>
      </c>
      <c r="O98" s="374"/>
      <c r="P98" s="375" t="str">
        <f>CONCATENATE(RemovePunctuation(H98),"_CA","_","i4K","_",C98,"_",AE98,"_",PROPER(R98),IF(S98="",PROPER(R98),PROPER(S98)),PROPER(T98),PROPER(U98),PROPER(V98),IF(V98&lt;&gt;"","SUB",""),PROPER(W98),IF(W98&lt;&gt;"","SUB",""),"_","Ed","_","M1",".mpg")</f>
        <v>AHomeamongMountainsandRiversSeason320241110_CA_i4K_0825_43_ZhoZhoZhoSUB_Ed_M1.mpg</v>
      </c>
      <c r="Q98" s="375" t="str">
        <f>CONCATENATE(RemovePunctuation(H98),"_CA","_","i5K","_",C98,"_",AD98,"_",PROPER(R98),IF(S98="",PROPER(R98),PROPER(S98)),PROPER(T98),PROPER(U98),PROPER(V98),IF(V98&lt;&gt;"","SUB",""),PROPER(W98),IF(W98&lt;&gt;"","SUB",""),"_","Ed","_","M4",".mpg")</f>
        <v>AHomeamongMountainsandRiversSeason320241110_CA_i5K_0825_169_ZhoZhoZhoSUB_Ed_M4.mpg</v>
      </c>
      <c r="R98" s="382" t="s">
        <v>130</v>
      </c>
      <c r="S98" s="384"/>
      <c r="T98" s="384"/>
      <c r="U98" s="384"/>
      <c r="V98" s="382" t="s">
        <v>130</v>
      </c>
      <c r="W98" s="382"/>
      <c r="X98" s="349" t="s">
        <v>129</v>
      </c>
      <c r="Y98" s="349" t="s">
        <v>129</v>
      </c>
      <c r="Z98" s="120">
        <f t="shared" si="15"/>
        <v>73</v>
      </c>
      <c r="AA98" s="304" t="str">
        <f t="shared" si="16"/>
        <v>01:13:00</v>
      </c>
      <c r="AB98" s="120">
        <f t="shared" si="17"/>
        <v>4380</v>
      </c>
      <c r="AC98" s="399">
        <v>0.0509375</v>
      </c>
      <c r="AD98" s="400">
        <v>169</v>
      </c>
      <c r="AE98" s="400">
        <v>43</v>
      </c>
      <c r="AF98" s="349" t="s">
        <v>132</v>
      </c>
    </row>
    <row r="99" ht="24" customHeight="1" spans="1:32">
      <c r="A99" s="349">
        <v>95</v>
      </c>
      <c r="B99" s="350"/>
      <c r="C99" s="351" t="s">
        <v>120</v>
      </c>
      <c r="D99" s="358"/>
      <c r="E99" s="358"/>
      <c r="F99" s="81">
        <v>12</v>
      </c>
      <c r="G99" s="402" t="s">
        <v>723</v>
      </c>
      <c r="H99" s="361" t="s">
        <v>724</v>
      </c>
      <c r="I99" s="100" t="s">
        <v>124</v>
      </c>
      <c r="J99" s="100" t="s">
        <v>124</v>
      </c>
      <c r="K99" s="100" t="s">
        <v>124</v>
      </c>
      <c r="L99" s="100" t="s">
        <v>124</v>
      </c>
      <c r="M99" s="100" t="s">
        <v>124</v>
      </c>
      <c r="N99" s="373" t="s">
        <v>725</v>
      </c>
      <c r="O99" s="374" t="s">
        <v>726</v>
      </c>
      <c r="P99" s="375" t="str">
        <f>CONCATENATE(RemovePunctuation(H99),"_CA","_","i4K","_",C99,"_",AE99,"_",PROPER(R99),IF(S99="",PROPER(R99),PROPER(S99)),PROPER(T99),PROPER(U99),PROPER(V99),IF(V99&lt;&gt;"","SUB",""),PROPER(W99),IF(W99&lt;&gt;"","SUB",""),"_","Ed","_","M1",".mpg")</f>
        <v>TakeawayTitans1BeefandChicken_CA_i4K_0825_43_EngEngEngSUBZhoSUB_Ed_M1.mpg</v>
      </c>
      <c r="Q99" s="375" t="str">
        <f>CONCATENATE(RemovePunctuation(H99),"_CA","_","i5K","_",C99,"_",AD99,"_",PROPER(R99),IF(S99="",PROPER(R99),PROPER(S99)),PROPER(T99),PROPER(U99),PROPER(V99),IF(V99&lt;&gt;"","SUB",""),PROPER(W99),IF(W99&lt;&gt;"","SUB",""),"_","Ed","_","M4",".mpg")</f>
        <v>TakeawayTitans1BeefandChicken_CA_i5K_0825_169_EngEngEngSUBZhoSUB_Ed_M4.mpg</v>
      </c>
      <c r="R99" s="382" t="s">
        <v>131</v>
      </c>
      <c r="S99" s="384"/>
      <c r="T99" s="384"/>
      <c r="U99" s="384"/>
      <c r="V99" s="382" t="s">
        <v>131</v>
      </c>
      <c r="W99" s="382" t="s">
        <v>130</v>
      </c>
      <c r="X99" s="349" t="s">
        <v>129</v>
      </c>
      <c r="Y99" s="349" t="s">
        <v>129</v>
      </c>
      <c r="Z99" s="120">
        <f t="shared" si="15"/>
        <v>49</v>
      </c>
      <c r="AA99" s="304" t="str">
        <f t="shared" si="16"/>
        <v>00:49:00</v>
      </c>
      <c r="AB99" s="120">
        <f t="shared" si="17"/>
        <v>2940</v>
      </c>
      <c r="AC99" s="399">
        <v>0.0343402777777778</v>
      </c>
      <c r="AD99" s="400">
        <v>169</v>
      </c>
      <c r="AE99" s="400">
        <v>43</v>
      </c>
      <c r="AF99" s="349" t="s">
        <v>563</v>
      </c>
    </row>
    <row r="100" ht="24" customHeight="1" spans="1:32">
      <c r="A100" s="349">
        <v>96</v>
      </c>
      <c r="B100" s="350"/>
      <c r="C100" s="351" t="s">
        <v>120</v>
      </c>
      <c r="D100" s="358"/>
      <c r="E100" s="358"/>
      <c r="F100" s="81">
        <v>13</v>
      </c>
      <c r="G100" s="402" t="s">
        <v>727</v>
      </c>
      <c r="H100" s="361" t="s">
        <v>728</v>
      </c>
      <c r="I100" s="100" t="s">
        <v>124</v>
      </c>
      <c r="J100" s="100" t="s">
        <v>124</v>
      </c>
      <c r="K100" s="100" t="s">
        <v>124</v>
      </c>
      <c r="L100" s="100" t="s">
        <v>124</v>
      </c>
      <c r="M100" s="100" t="s">
        <v>124</v>
      </c>
      <c r="N100" s="373" t="s">
        <v>729</v>
      </c>
      <c r="O100" s="374" t="s">
        <v>730</v>
      </c>
      <c r="P100" s="375" t="str">
        <f>CONCATENATE(RemovePunctuation(H100),"_CA","_","i4K","_",C100,"_",AE100,"_",PROPER(R100),IF(S100="",PROPER(R100),PROPER(S100)),PROPER(T100),PROPER(U100),PROPER(V100),IF(V100&lt;&gt;"","SUB",""),PROPER(W100),IF(W100&lt;&gt;"","SUB",""),"_","Ed","_","M1",".mpg")</f>
        <v>SortYourLifeOutS04E04_CA_i4K_0825_43_EngEngEngSUBZhoSUB_Ed_M1.mpg</v>
      </c>
      <c r="Q100" s="375" t="str">
        <f>CONCATENATE(RemovePunctuation(H100),"_CA","_","i5K","_",C100,"_",AD100,"_",PROPER(R100),IF(S100="",PROPER(R100),PROPER(S100)),PROPER(T100),PROPER(U100),PROPER(V100),IF(V100&lt;&gt;"","SUB",""),PROPER(W100),IF(W100&lt;&gt;"","SUB",""),"_","Ed","_","M4",".mpg")</f>
        <v>SortYourLifeOutS04E04_CA_i5K_0825_169_EngEngEngSUBZhoSUB_Ed_M4.mpg</v>
      </c>
      <c r="R100" s="382" t="s">
        <v>131</v>
      </c>
      <c r="S100" s="385"/>
      <c r="T100" s="384"/>
      <c r="U100" s="384"/>
      <c r="V100" s="382" t="s">
        <v>131</v>
      </c>
      <c r="W100" s="382" t="s">
        <v>130</v>
      </c>
      <c r="X100" s="349" t="s">
        <v>129</v>
      </c>
      <c r="Y100" s="349" t="s">
        <v>129</v>
      </c>
      <c r="Z100" s="120">
        <f t="shared" si="15"/>
        <v>58</v>
      </c>
      <c r="AA100" s="304" t="str">
        <f t="shared" si="16"/>
        <v>00:58:00</v>
      </c>
      <c r="AB100" s="120">
        <f t="shared" si="17"/>
        <v>3480</v>
      </c>
      <c r="AC100" s="399">
        <v>0.0400925925925926</v>
      </c>
      <c r="AD100" s="400">
        <v>169</v>
      </c>
      <c r="AE100" s="400">
        <v>43</v>
      </c>
      <c r="AF100" s="349" t="s">
        <v>132</v>
      </c>
    </row>
    <row r="101" ht="24" customHeight="1" spans="1:32">
      <c r="A101" s="349">
        <v>97</v>
      </c>
      <c r="B101" s="350"/>
      <c r="C101" s="351" t="s">
        <v>120</v>
      </c>
      <c r="D101" s="358"/>
      <c r="E101" s="358"/>
      <c r="F101" s="81">
        <v>14</v>
      </c>
      <c r="G101" s="402" t="s">
        <v>731</v>
      </c>
      <c r="H101" s="361" t="s">
        <v>732</v>
      </c>
      <c r="I101" s="100" t="s">
        <v>124</v>
      </c>
      <c r="J101" s="100"/>
      <c r="K101" s="100" t="s">
        <v>124</v>
      </c>
      <c r="L101" s="100" t="s">
        <v>124</v>
      </c>
      <c r="M101" s="100"/>
      <c r="N101" s="373" t="s">
        <v>733</v>
      </c>
      <c r="O101" s="374" t="s">
        <v>734</v>
      </c>
      <c r="P101" s="375"/>
      <c r="Q101" s="375" t="str">
        <f>CONCATENATE(RemovePunctuation(H101),"_CA","_","i5K","_",C101,"_",AD101,"_",PROPER(R101),IF(S101="",PROPER(R101),PROPER(S101)),PROPER(T101),PROPER(U101),PROPER(V101),IF(V101&lt;&gt;"","SUB",""),PROPER(W101),IF(W101&lt;&gt;"","SUB",""),"_","Ed","_","M4",".mpg")</f>
        <v>SortYourLifeOutS04E03_CA_i5K_0825_169_EngEngEngSUBZhoSUB_Ed_M4.mpg</v>
      </c>
      <c r="R101" s="382" t="s">
        <v>131</v>
      </c>
      <c r="S101" s="385"/>
      <c r="T101" s="384"/>
      <c r="U101" s="384"/>
      <c r="V101" s="382" t="s">
        <v>131</v>
      </c>
      <c r="W101" s="382" t="s">
        <v>130</v>
      </c>
      <c r="X101" s="349" t="s">
        <v>129</v>
      </c>
      <c r="Y101" s="349" t="s">
        <v>129</v>
      </c>
      <c r="Z101" s="120">
        <f t="shared" si="15"/>
        <v>57</v>
      </c>
      <c r="AA101" s="304" t="str">
        <f t="shared" si="16"/>
        <v>00:57:00</v>
      </c>
      <c r="AB101" s="120">
        <f t="shared" si="17"/>
        <v>3420</v>
      </c>
      <c r="AC101" s="399">
        <v>0.0395023148148148</v>
      </c>
      <c r="AD101" s="400">
        <v>169</v>
      </c>
      <c r="AE101" s="400">
        <v>43</v>
      </c>
      <c r="AF101" s="349" t="s">
        <v>132</v>
      </c>
    </row>
    <row r="102" ht="24" customHeight="1" spans="1:32">
      <c r="A102" s="349">
        <v>98</v>
      </c>
      <c r="B102" s="350"/>
      <c r="C102" s="351" t="s">
        <v>120</v>
      </c>
      <c r="D102" s="359" t="s">
        <v>735</v>
      </c>
      <c r="E102" s="359"/>
      <c r="F102" s="81">
        <v>1</v>
      </c>
      <c r="G102" s="402" t="s">
        <v>736</v>
      </c>
      <c r="H102" s="361" t="s">
        <v>737</v>
      </c>
      <c r="I102" s="100" t="s">
        <v>124</v>
      </c>
      <c r="J102" s="100" t="s">
        <v>124</v>
      </c>
      <c r="K102" s="100"/>
      <c r="L102" s="100" t="s">
        <v>124</v>
      </c>
      <c r="M102" s="100" t="s">
        <v>124</v>
      </c>
      <c r="N102" s="373" t="s">
        <v>738</v>
      </c>
      <c r="O102" s="374"/>
      <c r="P102" s="375" t="str">
        <f>CONCATENATE(RemovePunctuation(H102),"_CA","_","i4K","_",C102,"_",AE102,"_",PROPER(R102),IF(S102="",PROPER(R102),PROPER(S102)),PROPER(T102),PROPER(U102),PROPER(V102),IF(V102&lt;&gt;"","SUB",""),PROPER(W102),IF(W102&lt;&gt;"","SUB",""),"_","Ed","_","M1",".mpg")</f>
        <v>TennisATPMiamiOpenFinalJakubMensikvsNovakDjokovic_CA_i4K_0825_43_ZhoZho_Ed_M1.mpg</v>
      </c>
      <c r="Q102" s="375" t="str">
        <f>CONCATENATE(RemovePunctuation(H102),"_CA","_","i5K","_",C102,"_",AD102,"_",PROPER(R102),IF(S102="",PROPER(R102),PROPER(S102)),PROPER(T102),PROPER(U102),PROPER(V102),IF(V102&lt;&gt;"","SUB",""),PROPER(W102),IF(W102&lt;&gt;"","SUB",""),"_","Ed","_","M4",".mpg")</f>
        <v>TennisATPMiamiOpenFinalJakubMensikvsNovakDjokovic_CA_i5K_0825_169_ZhoZho_Ed_M4.mpg</v>
      </c>
      <c r="R102" s="382" t="s">
        <v>130</v>
      </c>
      <c r="S102" s="385"/>
      <c r="T102" s="384"/>
      <c r="U102" s="384"/>
      <c r="V102" s="382"/>
      <c r="W102" s="384"/>
      <c r="X102" s="349" t="s">
        <v>129</v>
      </c>
      <c r="Y102" s="349" t="s">
        <v>129</v>
      </c>
      <c r="Z102" s="120">
        <f t="shared" ref="Z102:Z119" si="18">ROUNDUP(HOUR(AA102)*60+MINUTE(AA102)+SECOND(AA102)/60,0)</f>
        <v>80</v>
      </c>
      <c r="AA102" s="304" t="str">
        <f t="shared" ref="AA102:AA119" si="19">TEXT((HOUR(AC102)*60+MINUTE(AC102)+IF(SECOND(AC102)&lt;=29,0,1))*60/86400,"hh:mm:ss")</f>
        <v>01:20:00</v>
      </c>
      <c r="AB102" s="120">
        <f t="shared" ref="AB102:AB119" si="20">Z102*60</f>
        <v>4800</v>
      </c>
      <c r="AC102" s="399">
        <v>0.0554050925925926</v>
      </c>
      <c r="AD102" s="400">
        <v>169</v>
      </c>
      <c r="AE102" s="400">
        <v>43</v>
      </c>
      <c r="AF102" s="349" t="s">
        <v>132</v>
      </c>
    </row>
    <row r="103" ht="24" customHeight="1" spans="1:32">
      <c r="A103" s="349">
        <v>99</v>
      </c>
      <c r="B103" s="350"/>
      <c r="C103" s="351" t="s">
        <v>120</v>
      </c>
      <c r="D103" s="358"/>
      <c r="E103" s="358"/>
      <c r="F103" s="81">
        <v>2</v>
      </c>
      <c r="G103" s="402" t="s">
        <v>739</v>
      </c>
      <c r="H103" s="361" t="s">
        <v>740</v>
      </c>
      <c r="I103" s="100" t="s">
        <v>124</v>
      </c>
      <c r="J103" s="100" t="s">
        <v>124</v>
      </c>
      <c r="K103" s="100"/>
      <c r="L103" s="100" t="s">
        <v>124</v>
      </c>
      <c r="M103" s="100" t="s">
        <v>124</v>
      </c>
      <c r="N103" s="373" t="s">
        <v>741</v>
      </c>
      <c r="O103" s="374"/>
      <c r="P103" s="375" t="str">
        <f>CONCATENATE(RemovePunctuation(H103),"_CA","_","i4K","_",C103,"_",AE103,"_",PROPER(R103),IF(S103="",PROPER(R103),PROPER(S103)),PROPER(T103),PROPER(U103),PROPER(V103),IF(V103&lt;&gt;"","SUB",""),PROPER(W103),IF(W103&lt;&gt;"","SUB",""),"_","Ed","_","M1",".mpg")</f>
        <v>BilliardsWorldSnookerChampionshipFinalMarkWilliamsvsZhaoXintong_CA_i4K_0825_43_ZhoZho_Ed_M1.mpg</v>
      </c>
      <c r="Q103" s="375" t="str">
        <f>CONCATENATE(RemovePunctuation(H103),"_CA","_","i5K","_",C103,"_",AD103,"_",PROPER(R103),IF(S103="",PROPER(R103),PROPER(S103)),PROPER(T103),PROPER(U103),PROPER(V103),IF(V103&lt;&gt;"","SUB",""),PROPER(W103),IF(W103&lt;&gt;"","SUB",""),"_","Ed","_","M4",".mpg")</f>
        <v>BilliardsWorldSnookerChampionshipFinalMarkWilliamsvsZhaoXintong_CA_i5K_0825_169_ZhoZho_Ed_M4.mpg</v>
      </c>
      <c r="R103" s="382" t="s">
        <v>130</v>
      </c>
      <c r="S103" s="385"/>
      <c r="T103" s="384"/>
      <c r="U103" s="384"/>
      <c r="V103" s="382"/>
      <c r="W103" s="384"/>
      <c r="X103" s="349" t="s">
        <v>129</v>
      </c>
      <c r="Y103" s="349" t="s">
        <v>129</v>
      </c>
      <c r="Z103" s="120">
        <f t="shared" si="18"/>
        <v>81</v>
      </c>
      <c r="AA103" s="304" t="str">
        <f t="shared" si="19"/>
        <v>01:21:00</v>
      </c>
      <c r="AB103" s="120">
        <f t="shared" si="20"/>
        <v>4860</v>
      </c>
      <c r="AC103" s="399">
        <v>0.0565393518518519</v>
      </c>
      <c r="AD103" s="400">
        <v>169</v>
      </c>
      <c r="AE103" s="400">
        <v>43</v>
      </c>
      <c r="AF103" s="349" t="s">
        <v>132</v>
      </c>
    </row>
    <row r="104" ht="24" customHeight="1" spans="1:32">
      <c r="A104" s="349">
        <v>100</v>
      </c>
      <c r="B104" s="350"/>
      <c r="C104" s="351" t="s">
        <v>120</v>
      </c>
      <c r="D104" s="358"/>
      <c r="E104" s="358"/>
      <c r="F104" s="81">
        <v>3</v>
      </c>
      <c r="G104" s="402" t="s">
        <v>742</v>
      </c>
      <c r="H104" s="361" t="s">
        <v>743</v>
      </c>
      <c r="I104" s="100" t="s">
        <v>124</v>
      </c>
      <c r="J104" s="100" t="s">
        <v>124</v>
      </c>
      <c r="K104" s="100"/>
      <c r="L104" s="100" t="s">
        <v>124</v>
      </c>
      <c r="M104" s="100" t="s">
        <v>124</v>
      </c>
      <c r="N104" s="373" t="s">
        <v>744</v>
      </c>
      <c r="O104" s="374"/>
      <c r="P104" s="375" t="str">
        <f>CONCATENATE(RemovePunctuation(H104),"_CA","_","i4K","_",C104,"_",AE104,"_",PROPER(R104),IF(S104="",PROPER(R104),PROPER(S104)),PROPER(T104),PROPER(U104),PROPER(V104),IF(V104&lt;&gt;"","SUB",""),PROPER(W104),IF(W104&lt;&gt;"","SUB",""),"_","Ed","_","M1",".mpg")</f>
        <v>TotalSoccerTop10WorldClassBraceGoals_CA_i4K_0825_43_ZhoZho_Ed_M1.mpg</v>
      </c>
      <c r="Q104" s="375" t="str">
        <f>CONCATENATE(RemovePunctuation(H104),"_CA","_","i5K","_",C104,"_",AD104,"_",PROPER(R104),IF(S104="",PROPER(R104),PROPER(S104)),PROPER(T104),PROPER(U104),PROPER(V104),IF(V104&lt;&gt;"","SUB",""),PROPER(W104),IF(W104&lt;&gt;"","SUB",""),"_","Ed","_","M4",".mpg")</f>
        <v>TotalSoccerTop10WorldClassBraceGoals_CA_i5K_0825_169_ZhoZho_Ed_M4.mpg</v>
      </c>
      <c r="R104" s="382" t="s">
        <v>130</v>
      </c>
      <c r="S104" s="385"/>
      <c r="T104" s="384"/>
      <c r="U104" s="384"/>
      <c r="V104" s="382"/>
      <c r="W104" s="384"/>
      <c r="X104" s="349" t="s">
        <v>129</v>
      </c>
      <c r="Y104" s="349" t="s">
        <v>129</v>
      </c>
      <c r="Z104" s="120">
        <f t="shared" si="18"/>
        <v>39</v>
      </c>
      <c r="AA104" s="304" t="str">
        <f t="shared" si="19"/>
        <v>00:39:00</v>
      </c>
      <c r="AB104" s="120">
        <f t="shared" si="20"/>
        <v>2340</v>
      </c>
      <c r="AC104" s="399">
        <v>0.0268518518518519</v>
      </c>
      <c r="AD104" s="400">
        <v>169</v>
      </c>
      <c r="AE104" s="400">
        <v>43</v>
      </c>
      <c r="AF104" s="349" t="s">
        <v>132</v>
      </c>
    </row>
    <row r="105" ht="24" customHeight="1" spans="1:32">
      <c r="A105" s="349">
        <v>101</v>
      </c>
      <c r="B105" s="350"/>
      <c r="C105" s="351" t="s">
        <v>120</v>
      </c>
      <c r="D105" s="358"/>
      <c r="E105" s="358"/>
      <c r="F105" s="81">
        <v>4</v>
      </c>
      <c r="G105" s="402" t="s">
        <v>745</v>
      </c>
      <c r="H105" s="361" t="s">
        <v>746</v>
      </c>
      <c r="I105" s="100" t="s">
        <v>124</v>
      </c>
      <c r="J105" s="100" t="s">
        <v>124</v>
      </c>
      <c r="K105" s="100" t="s">
        <v>124</v>
      </c>
      <c r="L105" s="100" t="s">
        <v>124</v>
      </c>
      <c r="M105" s="100" t="s">
        <v>124</v>
      </c>
      <c r="N105" s="373" t="s">
        <v>747</v>
      </c>
      <c r="O105" s="374" t="s">
        <v>748</v>
      </c>
      <c r="P105" s="375" t="str">
        <f>CONCATENATE(RemovePunctuation(H105),"_CA","_","i4K","_",C105,"_",AE105,"_",PROPER(R105),IF(S105="",PROPER(R105),PROPER(S105)),PROPER(T105),PROPER(U105),PROPER(V105),IF(V105&lt;&gt;"","SUB",""),PROPER(W105),IF(W105&lt;&gt;"","SUB",""),"_","Ed","_","M1",".mpg")</f>
        <v>BasketballParkInterviewwithGuoAilun_CA_i4K_0825_43_ZhoZho_Ed_M1.mpg</v>
      </c>
      <c r="Q105" s="375" t="str">
        <f>CONCATENATE(RemovePunctuation(H105),"_CA","_","i5K","_",C105,"_",AD105,"_",PROPER(R105),IF(S105="",PROPER(R105),PROPER(S105)),PROPER(T105),PROPER(U105),PROPER(V105),IF(V105&lt;&gt;"","SUB",""),PROPER(W105),IF(W105&lt;&gt;"","SUB",""),"_","Ed","_","M4",".mpg")</f>
        <v>BasketballParkInterviewwithGuoAilun_CA_i5K_0825_169_ZhoZho_Ed_M4.mpg</v>
      </c>
      <c r="R105" s="382" t="s">
        <v>130</v>
      </c>
      <c r="S105" s="385"/>
      <c r="T105" s="384"/>
      <c r="U105" s="384"/>
      <c r="V105" s="382"/>
      <c r="W105" s="384"/>
      <c r="X105" s="349" t="s">
        <v>129</v>
      </c>
      <c r="Y105" s="349" t="s">
        <v>129</v>
      </c>
      <c r="Z105" s="120">
        <f t="shared" si="18"/>
        <v>41</v>
      </c>
      <c r="AA105" s="304" t="str">
        <f t="shared" si="19"/>
        <v>00:41:00</v>
      </c>
      <c r="AB105" s="120">
        <f t="shared" si="20"/>
        <v>2460</v>
      </c>
      <c r="AC105" s="399">
        <v>0.0282175925925926</v>
      </c>
      <c r="AD105" s="400">
        <v>169</v>
      </c>
      <c r="AE105" s="400">
        <v>43</v>
      </c>
      <c r="AF105" s="349" t="s">
        <v>132</v>
      </c>
    </row>
    <row r="106" ht="24" customHeight="1" spans="1:32">
      <c r="A106" s="349">
        <v>102</v>
      </c>
      <c r="B106" s="350"/>
      <c r="C106" s="351" t="s">
        <v>120</v>
      </c>
      <c r="D106" s="358"/>
      <c r="E106" s="358"/>
      <c r="F106" s="81">
        <v>5</v>
      </c>
      <c r="G106" s="402" t="s">
        <v>749</v>
      </c>
      <c r="H106" s="361" t="s">
        <v>750</v>
      </c>
      <c r="I106" s="100" t="s">
        <v>124</v>
      </c>
      <c r="J106" s="100" t="s">
        <v>124</v>
      </c>
      <c r="K106" s="100" t="s">
        <v>124</v>
      </c>
      <c r="L106" s="100" t="s">
        <v>124</v>
      </c>
      <c r="M106" s="100" t="s">
        <v>124</v>
      </c>
      <c r="N106" s="373" t="s">
        <v>751</v>
      </c>
      <c r="O106" s="374" t="s">
        <v>752</v>
      </c>
      <c r="P106" s="375" t="str">
        <f>CONCATENATE(RemovePunctuation(H106),"_CA","_","i4K","_",C106,"_",AE106,"_",PROPER(R106),IF(S106="",PROPER(R106),PROPER(S106)),PROPER(T106),PROPER(U106),PROPER(V106),IF(V106&lt;&gt;"","SUB",""),PROPER(W106),IF(W106&lt;&gt;"","SUB",""),"_","Ed","_","M1",".mpg")</f>
        <v>TheEvolutionofSportEp02_CA_i4K_0825_43_EngEngEngSUBZhoSUB_Ed_M1.mpg</v>
      </c>
      <c r="Q106" s="375" t="str">
        <f>CONCATENATE(RemovePunctuation(H106),"_CA","_","i5K","_",C106,"_",AD106,"_",PROPER(R106),IF(S106="",PROPER(R106),PROPER(S106)),PROPER(T106),PROPER(U106),PROPER(V106),IF(V106&lt;&gt;"","SUB",""),PROPER(W106),IF(W106&lt;&gt;"","SUB",""),"_","Ed","_","M4",".mpg")</f>
        <v>TheEvolutionofSportEp02_CA_i5K_0825_169_EngEngEngSUBZhoSUB_Ed_M4.mpg</v>
      </c>
      <c r="R106" s="382" t="s">
        <v>131</v>
      </c>
      <c r="S106" s="385"/>
      <c r="T106" s="384"/>
      <c r="U106" s="384"/>
      <c r="V106" s="382" t="s">
        <v>131</v>
      </c>
      <c r="W106" s="382" t="s">
        <v>130</v>
      </c>
      <c r="X106" s="349" t="s">
        <v>129</v>
      </c>
      <c r="Y106" s="349" t="s">
        <v>129</v>
      </c>
      <c r="Z106" s="120">
        <f t="shared" si="18"/>
        <v>24</v>
      </c>
      <c r="AA106" s="304" t="str">
        <f t="shared" si="19"/>
        <v>00:24:00</v>
      </c>
      <c r="AB106" s="120">
        <f t="shared" si="20"/>
        <v>1440</v>
      </c>
      <c r="AC106" s="399">
        <v>0.0165972222222222</v>
      </c>
      <c r="AD106" s="400">
        <v>169</v>
      </c>
      <c r="AE106" s="400">
        <v>43</v>
      </c>
      <c r="AF106" s="349" t="s">
        <v>132</v>
      </c>
    </row>
    <row r="107" ht="24" customHeight="1" spans="1:32">
      <c r="A107" s="349">
        <v>103</v>
      </c>
      <c r="B107" s="350"/>
      <c r="C107" s="351" t="s">
        <v>120</v>
      </c>
      <c r="D107" s="358"/>
      <c r="E107" s="358"/>
      <c r="F107" s="81">
        <v>6</v>
      </c>
      <c r="G107" s="402" t="s">
        <v>753</v>
      </c>
      <c r="H107" s="361" t="s">
        <v>754</v>
      </c>
      <c r="I107" s="100" t="s">
        <v>124</v>
      </c>
      <c r="J107" s="100" t="s">
        <v>124</v>
      </c>
      <c r="K107" s="100" t="s">
        <v>124</v>
      </c>
      <c r="L107" s="100" t="s">
        <v>124</v>
      </c>
      <c r="M107" s="100" t="s">
        <v>124</v>
      </c>
      <c r="N107" s="373" t="s">
        <v>755</v>
      </c>
      <c r="O107" s="374" t="s">
        <v>756</v>
      </c>
      <c r="P107" s="375" t="str">
        <f>CONCATENATE(RemovePunctuation(H107),"_CA","_","i4K","_",C107,"_",AE107,"_",PROPER(R107),IF(S107="",PROPER(R107),PROPER(S107)),PROPER(T107),PROPER(U107),PROPER(V107),IF(V107&lt;&gt;"","SUB",""),PROPER(V118),IF(V118&lt;&gt;"","SUB",""),"_","Ed","_","M1",".mpg")</f>
        <v>TheFrontRowEp02_CA_i4K_0825_43_EngEngEngSUBZhoSUB_Ed_M1.mpg</v>
      </c>
      <c r="Q107" s="375" t="str">
        <f>CONCATENATE(RemovePunctuation(H107),"_CA","_","i5K","_",C107,"_",AD107,"_",PROPER(R107),IF(S107="",PROPER(R107),PROPER(S107)),PROPER(T107),PROPER(U107),PROPER(V107),IF(V107&lt;&gt;"","SUB",""),PROPER(V118),IF(V118&lt;&gt;"","SUB",""),"_","Ed","_","M4",".mpg")</f>
        <v>TheFrontRowEp02_CA_i5K_0825_169_EngEngEngSUBZhoSUB_Ed_M4.mpg</v>
      </c>
      <c r="R107" s="382" t="s">
        <v>131</v>
      </c>
      <c r="S107" s="385"/>
      <c r="T107" s="384"/>
      <c r="U107" s="384"/>
      <c r="V107" s="382" t="s">
        <v>131</v>
      </c>
      <c r="W107" s="382" t="s">
        <v>130</v>
      </c>
      <c r="X107" s="349" t="s">
        <v>129</v>
      </c>
      <c r="Y107" s="349" t="s">
        <v>129</v>
      </c>
      <c r="Z107" s="120">
        <f t="shared" si="18"/>
        <v>24</v>
      </c>
      <c r="AA107" s="304" t="str">
        <f t="shared" si="19"/>
        <v>00:24:00</v>
      </c>
      <c r="AB107" s="120">
        <f t="shared" si="20"/>
        <v>1440</v>
      </c>
      <c r="AC107" s="399">
        <v>0.0166087962962963</v>
      </c>
      <c r="AD107" s="400">
        <v>169</v>
      </c>
      <c r="AE107" s="400">
        <v>43</v>
      </c>
      <c r="AF107" s="349" t="s">
        <v>132</v>
      </c>
    </row>
    <row r="108" ht="24" customHeight="1" spans="1:32">
      <c r="A108" s="349">
        <v>104</v>
      </c>
      <c r="B108" s="350"/>
      <c r="C108" s="351" t="s">
        <v>120</v>
      </c>
      <c r="D108" s="358"/>
      <c r="E108" s="358"/>
      <c r="F108" s="81">
        <v>7</v>
      </c>
      <c r="G108" s="402" t="s">
        <v>757</v>
      </c>
      <c r="H108" s="361" t="s">
        <v>758</v>
      </c>
      <c r="I108" s="100" t="s">
        <v>124</v>
      </c>
      <c r="J108" s="100" t="s">
        <v>124</v>
      </c>
      <c r="K108" s="100"/>
      <c r="L108" s="100" t="s">
        <v>124</v>
      </c>
      <c r="M108" s="100" t="s">
        <v>124</v>
      </c>
      <c r="N108" s="373" t="s">
        <v>759</v>
      </c>
      <c r="O108" s="374"/>
      <c r="P108" s="375" t="str">
        <f>CONCATENATE(RemovePunctuation(H108),"_CA","_","i4K","_",C108,"_",AE108,"_",PROPER(R108),IF(S108="",PROPER(R108),PROPER(S108)),PROPER(T108),PROPER(U108),PROPER(V108),IF(V108&lt;&gt;"","SUB",""),PROPER(W108),IF(W108&lt;&gt;"","SUB",""),"_","Ed","_","M1",".mpg")</f>
        <v>FIBAWorldBasketballEp09_CA_i4K_0825_43_EngEngEngSUBZhoSUB_Ed_M1.mpg</v>
      </c>
      <c r="Q108" s="375" t="str">
        <f>CONCATENATE(RemovePunctuation(H108),"_CA","_","i5K","_",C108,"_",AD108,"_",PROPER(R108),IF(S108="",PROPER(R108),PROPER(S108)),PROPER(T108),PROPER(U108),PROPER(V108),IF(V108&lt;&gt;"","SUB",""),PROPER(W108),IF(W108&lt;&gt;"","SUB",""),"_","Ed","_","M4",".mpg")</f>
        <v>FIBAWorldBasketballEp09_CA_i5K_0825_169_EngEngEngSUBZhoSUB_Ed_M4.mpg</v>
      </c>
      <c r="R108" s="382" t="s">
        <v>131</v>
      </c>
      <c r="S108" s="385"/>
      <c r="T108" s="384"/>
      <c r="U108" s="384"/>
      <c r="V108" s="382" t="s">
        <v>131</v>
      </c>
      <c r="W108" s="382" t="s">
        <v>130</v>
      </c>
      <c r="X108" s="349" t="s">
        <v>129</v>
      </c>
      <c r="Y108" s="349" t="s">
        <v>129</v>
      </c>
      <c r="Z108" s="120">
        <f t="shared" si="18"/>
        <v>23</v>
      </c>
      <c r="AA108" s="304" t="str">
        <f t="shared" si="19"/>
        <v>00:23:00</v>
      </c>
      <c r="AB108" s="120">
        <f t="shared" si="20"/>
        <v>1380</v>
      </c>
      <c r="AC108" s="399">
        <v>0.015787037037037</v>
      </c>
      <c r="AD108" s="400">
        <v>169</v>
      </c>
      <c r="AE108" s="400">
        <v>43</v>
      </c>
      <c r="AF108" s="349" t="s">
        <v>132</v>
      </c>
    </row>
    <row r="109" ht="24" customHeight="1" spans="1:32">
      <c r="A109" s="349">
        <v>105</v>
      </c>
      <c r="B109" s="350"/>
      <c r="C109" s="351" t="s">
        <v>120</v>
      </c>
      <c r="D109" s="359" t="s">
        <v>760</v>
      </c>
      <c r="E109" s="359"/>
      <c r="F109" s="81">
        <v>1</v>
      </c>
      <c r="G109" s="360" t="s">
        <v>761</v>
      </c>
      <c r="H109" s="361" t="s">
        <v>762</v>
      </c>
      <c r="I109" s="100" t="s">
        <v>124</v>
      </c>
      <c r="J109" s="100" t="s">
        <v>124</v>
      </c>
      <c r="K109" s="100" t="s">
        <v>124</v>
      </c>
      <c r="L109" s="100" t="s">
        <v>124</v>
      </c>
      <c r="M109" s="100" t="s">
        <v>124</v>
      </c>
      <c r="N109" s="373" t="s">
        <v>763</v>
      </c>
      <c r="O109" s="374" t="s">
        <v>764</v>
      </c>
      <c r="P109" s="375" t="str">
        <f>CONCATENATE(RemovePunctuation(H109),"_CA","_","i4K","_",C109,"_",AE109,"_",PROPER(R109),IF(S109="",PROPER(R109),PROPER(S109)),PROPER(T109),PROPER(U109),PROPER(V109),IF(V109&lt;&gt;"","SUB",""),PROPER(W109),IF(W109&lt;&gt;"","SUB",""),"_","Ed","_","M1",".mpg")</f>
        <v>DetectivesHolidayEp06_CA_i4K_0825_43_ZhoZhoZhoSUB_Ed_M1.mpg</v>
      </c>
      <c r="Q109" s="375" t="str">
        <f>CONCATENATE(RemovePunctuation(H109),"_CA","_","i5K","_",C109,"_",AD109,"_",PROPER(R109),IF(S109="",PROPER(R109),PROPER(S109)),PROPER(T109),PROPER(U109),PROPER(V109),IF(V109&lt;&gt;"","SUB",""),PROPER(W109),IF(W109&lt;&gt;"","SUB",""),"_","Ed","_","M4",".mpg")</f>
        <v>DetectivesHolidayEp06_CA_i5K_0825_169_ZhoZhoZhoSUB_Ed_M4.mpg</v>
      </c>
      <c r="R109" s="382" t="s">
        <v>130</v>
      </c>
      <c r="S109" s="385"/>
      <c r="T109" s="384"/>
      <c r="U109" s="384"/>
      <c r="V109" s="382" t="s">
        <v>130</v>
      </c>
      <c r="W109" s="382"/>
      <c r="X109" s="349" t="s">
        <v>129</v>
      </c>
      <c r="Y109" s="349" t="s">
        <v>129</v>
      </c>
      <c r="Z109" s="120">
        <f t="shared" si="18"/>
        <v>71</v>
      </c>
      <c r="AA109" s="304" t="str">
        <f t="shared" si="19"/>
        <v>01:11:00</v>
      </c>
      <c r="AB109" s="120">
        <f t="shared" si="20"/>
        <v>4260</v>
      </c>
      <c r="AC109" s="399">
        <v>0.0489930555555556</v>
      </c>
      <c r="AD109" s="400">
        <v>169</v>
      </c>
      <c r="AE109" s="400">
        <v>43</v>
      </c>
      <c r="AF109" s="349" t="s">
        <v>132</v>
      </c>
    </row>
    <row r="110" ht="23.1" customHeight="1" spans="1:32">
      <c r="A110" s="349">
        <v>106</v>
      </c>
      <c r="B110" s="350"/>
      <c r="C110" s="351" t="s">
        <v>120</v>
      </c>
      <c r="D110" s="358"/>
      <c r="E110" s="358"/>
      <c r="F110" s="81">
        <v>2</v>
      </c>
      <c r="G110" s="403" t="s">
        <v>765</v>
      </c>
      <c r="H110" s="362" t="s">
        <v>766</v>
      </c>
      <c r="I110" s="100" t="s">
        <v>124</v>
      </c>
      <c r="J110" s="100" t="s">
        <v>124</v>
      </c>
      <c r="K110" s="100" t="s">
        <v>124</v>
      </c>
      <c r="L110" s="100" t="s">
        <v>124</v>
      </c>
      <c r="M110" s="100" t="s">
        <v>124</v>
      </c>
      <c r="N110" s="373" t="s">
        <v>767</v>
      </c>
      <c r="O110" s="374" t="s">
        <v>768</v>
      </c>
      <c r="P110" s="375" t="str">
        <f>CONCATENATE(RemovePunctuation(H110),"_CA","_","i4K","_",C110,"_",AE110,"_",PROPER(R110),IF(S110="",PROPER(R110),PROPER(S110)),PROPER(T110),PROPER(U110),PROPER(V110),IF(V110&lt;&gt;"","SUB",""),PROPER(W110),IF(W110&lt;&gt;"","SUB",""),"_","Ed","_","M1",".mpg")</f>
        <v>DetectivesHolidayEp05_CA_i4K_0825_43_ZhoZhoZhoSUB_Ed_M1.mpg</v>
      </c>
      <c r="Q110" s="375" t="str">
        <f>CONCATENATE(RemovePunctuation(H110),"_CA","_","i5K","_",C110,"_",AD110,"_",PROPER(R110),IF(S110="",PROPER(R110),PROPER(S110)),PROPER(T110),PROPER(U110),PROPER(V110),IF(V110&lt;&gt;"","SUB",""),PROPER(W110),IF(W110&lt;&gt;"","SUB",""),"_","Ed","_","M4",".mpg")</f>
        <v>DetectivesHolidayEp05_CA_i5K_0825_169_ZhoZhoZhoSUB_Ed_M4.mpg</v>
      </c>
      <c r="R110" s="382" t="s">
        <v>130</v>
      </c>
      <c r="S110" s="385"/>
      <c r="T110" s="384"/>
      <c r="U110" s="384"/>
      <c r="V110" s="382" t="s">
        <v>130</v>
      </c>
      <c r="W110" s="382"/>
      <c r="X110" s="349" t="s">
        <v>129</v>
      </c>
      <c r="Y110" s="349" t="s">
        <v>129</v>
      </c>
      <c r="Z110" s="120">
        <f t="shared" si="18"/>
        <v>79</v>
      </c>
      <c r="AA110" s="304" t="str">
        <f t="shared" si="19"/>
        <v>01:19:00</v>
      </c>
      <c r="AB110" s="120">
        <f t="shared" si="20"/>
        <v>4740</v>
      </c>
      <c r="AC110" s="399">
        <v>0.054837962962963</v>
      </c>
      <c r="AD110" s="400">
        <v>169</v>
      </c>
      <c r="AE110" s="400">
        <v>43</v>
      </c>
      <c r="AF110" s="349" t="s">
        <v>132</v>
      </c>
    </row>
    <row r="111" ht="23.1" customHeight="1" spans="1:32">
      <c r="A111" s="349">
        <v>107</v>
      </c>
      <c r="B111" s="350"/>
      <c r="C111" s="351" t="s">
        <v>120</v>
      </c>
      <c r="D111" s="358"/>
      <c r="E111" s="358"/>
      <c r="F111" s="81">
        <v>3</v>
      </c>
      <c r="G111" s="403" t="s">
        <v>769</v>
      </c>
      <c r="H111" s="362" t="s">
        <v>770</v>
      </c>
      <c r="I111" s="100" t="s">
        <v>124</v>
      </c>
      <c r="J111" s="100"/>
      <c r="K111" s="100" t="s">
        <v>124</v>
      </c>
      <c r="L111" s="100" t="s">
        <v>124</v>
      </c>
      <c r="M111" s="100"/>
      <c r="N111" s="373" t="s">
        <v>771</v>
      </c>
      <c r="O111" s="374" t="s">
        <v>772</v>
      </c>
      <c r="P111" s="375"/>
      <c r="Q111" s="375" t="str">
        <f>CONCATENATE(RemovePunctuation(H111),"_CA","_","i5K","_",C111,"_",AD111,"_",PROPER(R111),IF(S111="",PROPER(R111),PROPER(S111)),PROPER(T111),PROPER(U111),PROPER(V111),IF(V111&lt;&gt;"","SUB",""),PROPER(W111),IF(W111&lt;&gt;"","SUB",""),"_","Ed","_","M4",".mpg")</f>
        <v>DetectivesHolidayEp04_CA_i5K_0825_169_ZhoZhoZhoSUB_Ed_M4.mpg</v>
      </c>
      <c r="R111" s="382" t="s">
        <v>130</v>
      </c>
      <c r="S111" s="385"/>
      <c r="T111" s="384"/>
      <c r="U111" s="384"/>
      <c r="V111" s="382" t="s">
        <v>130</v>
      </c>
      <c r="W111" s="384"/>
      <c r="X111" s="349" t="s">
        <v>129</v>
      </c>
      <c r="Y111" s="349" t="s">
        <v>129</v>
      </c>
      <c r="Z111" s="120">
        <f t="shared" si="18"/>
        <v>79</v>
      </c>
      <c r="AA111" s="304" t="str">
        <f t="shared" si="19"/>
        <v>01:19:00</v>
      </c>
      <c r="AB111" s="120">
        <f t="shared" si="20"/>
        <v>4740</v>
      </c>
      <c r="AC111" s="399">
        <v>0.0546064814814815</v>
      </c>
      <c r="AD111" s="400">
        <v>169</v>
      </c>
      <c r="AE111" s="400">
        <v>43</v>
      </c>
      <c r="AF111" s="349" t="s">
        <v>132</v>
      </c>
    </row>
    <row r="112" ht="23.1" customHeight="1" spans="1:32">
      <c r="A112" s="349">
        <v>108</v>
      </c>
      <c r="B112" s="350"/>
      <c r="C112" s="351" t="s">
        <v>120</v>
      </c>
      <c r="D112" s="358"/>
      <c r="E112" s="358"/>
      <c r="F112" s="81">
        <v>4</v>
      </c>
      <c r="G112" s="403" t="s">
        <v>773</v>
      </c>
      <c r="H112" s="362" t="s">
        <v>774</v>
      </c>
      <c r="I112" s="100" t="s">
        <v>124</v>
      </c>
      <c r="J112" s="100"/>
      <c r="K112" s="100" t="s">
        <v>124</v>
      </c>
      <c r="L112" s="100" t="s">
        <v>124</v>
      </c>
      <c r="M112" s="100"/>
      <c r="N112" s="373" t="s">
        <v>775</v>
      </c>
      <c r="O112" s="374" t="s">
        <v>776</v>
      </c>
      <c r="P112" s="375"/>
      <c r="Q112" s="375" t="str">
        <f>CONCATENATE(RemovePunctuation(H112),"_CA","_","i5K","_",C112,"_",AD112,"_",PROPER(R112),IF(S112="",PROPER(R112),PROPER(S112)),PROPER(T112),PROPER(U112),PROPER(V112),IF(V112&lt;&gt;"","SUB",""),PROPER(W112),IF(W112&lt;&gt;"","SUB",""),"_","Ed","_","M4",".mpg")</f>
        <v>DetectivesHolidayEp03_CA_i5K_0825_169_ZhoZhoZhoSUB_Ed_M4.mpg</v>
      </c>
      <c r="R112" s="382" t="s">
        <v>130</v>
      </c>
      <c r="S112" s="385"/>
      <c r="T112" s="384"/>
      <c r="U112" s="384"/>
      <c r="V112" s="382" t="s">
        <v>130</v>
      </c>
      <c r="W112" s="384"/>
      <c r="X112" s="349" t="s">
        <v>129</v>
      </c>
      <c r="Y112" s="349" t="s">
        <v>129</v>
      </c>
      <c r="Z112" s="120">
        <f t="shared" si="18"/>
        <v>75</v>
      </c>
      <c r="AA112" s="304" t="str">
        <f t="shared" si="19"/>
        <v>01:15:00</v>
      </c>
      <c r="AB112" s="120">
        <f t="shared" si="20"/>
        <v>4500</v>
      </c>
      <c r="AC112" s="399">
        <v>0.0520833333333333</v>
      </c>
      <c r="AD112" s="400">
        <v>169</v>
      </c>
      <c r="AE112" s="400">
        <v>43</v>
      </c>
      <c r="AF112" s="349" t="s">
        <v>132</v>
      </c>
    </row>
    <row r="113" ht="23.1" customHeight="1" spans="1:32">
      <c r="A113" s="349">
        <v>109</v>
      </c>
      <c r="B113" s="350"/>
      <c r="C113" s="351" t="s">
        <v>120</v>
      </c>
      <c r="D113" s="358"/>
      <c r="E113" s="358"/>
      <c r="F113" s="81">
        <v>5</v>
      </c>
      <c r="G113" s="403" t="s">
        <v>777</v>
      </c>
      <c r="H113" s="362" t="s">
        <v>778</v>
      </c>
      <c r="I113" s="100" t="s">
        <v>124</v>
      </c>
      <c r="J113" s="100" t="s">
        <v>124</v>
      </c>
      <c r="K113" s="100" t="s">
        <v>124</v>
      </c>
      <c r="L113" s="100" t="s">
        <v>124</v>
      </c>
      <c r="M113" s="100" t="s">
        <v>124</v>
      </c>
      <c r="N113" s="373" t="s">
        <v>779</v>
      </c>
      <c r="O113" s="374" t="s">
        <v>780</v>
      </c>
      <c r="P113" s="375" t="str">
        <f>CONCATENATE(RemovePunctuation(H113),"_CA","_","i4K","_",C113,"_",AE113,"_",PROPER(R113),IF(S113="",PROPER(R113),PROPER(S113)),PROPER(T113),PROPER(U113),PROPER(V113),IF(V113&lt;&gt;"","SUB",""),PROPER(W113),IF(W113&lt;&gt;"","SUB",""),"_","Ed","_","M1",".mpg")</f>
        <v>KingofComedyEp08_CA_i4K_0825_43_ZhoZhoZhoSUB_Ed_M1.mpg</v>
      </c>
      <c r="Q113" s="375" t="str">
        <f>CONCATENATE(RemovePunctuation(H113),"_CA","_","i5K","_",C113,"_",AD113,"_",PROPER(R113),IF(S113="",PROPER(R113),PROPER(S113)),PROPER(T113),PROPER(U113),PROPER(V113),IF(V113&lt;&gt;"","SUB",""),PROPER(W113),IF(W113&lt;&gt;"","SUB",""),"_","Ed","_","M4",".mpg")</f>
        <v>KingofComedyEp08_CA_i5K_0825_169_ZhoZhoZhoSUB_Ed_M4.mpg</v>
      </c>
      <c r="R113" s="382" t="s">
        <v>130</v>
      </c>
      <c r="S113" s="385"/>
      <c r="T113" s="384"/>
      <c r="U113" s="384"/>
      <c r="V113" s="382" t="s">
        <v>130</v>
      </c>
      <c r="W113" s="384"/>
      <c r="X113" s="349" t="s">
        <v>129</v>
      </c>
      <c r="Y113" s="349" t="s">
        <v>129</v>
      </c>
      <c r="Z113" s="120">
        <f t="shared" ref="Z113:Z134" si="21">ROUNDUP(HOUR(AA113)*60+MINUTE(AA113)+SECOND(AA113)/60,0)</f>
        <v>46</v>
      </c>
      <c r="AA113" s="304" t="str">
        <f t="shared" ref="AA113:AA134" si="22">TEXT((HOUR(AC113)*60+MINUTE(AC113)+IF(SECOND(AC113)&lt;=29,0,1))*60/86400,"hh:mm:ss")</f>
        <v>00:46:00</v>
      </c>
      <c r="AB113" s="120">
        <f t="shared" ref="AB113:AB134" si="23">Z113*60</f>
        <v>2760</v>
      </c>
      <c r="AC113" s="399">
        <v>0.0319328703703704</v>
      </c>
      <c r="AD113" s="400">
        <v>169</v>
      </c>
      <c r="AE113" s="400">
        <v>43</v>
      </c>
      <c r="AF113" s="349" t="s">
        <v>132</v>
      </c>
    </row>
    <row r="114" ht="23.1" customHeight="1" spans="1:32">
      <c r="A114" s="349">
        <v>110</v>
      </c>
      <c r="B114" s="350"/>
      <c r="C114" s="351" t="s">
        <v>120</v>
      </c>
      <c r="D114" s="358"/>
      <c r="E114" s="358"/>
      <c r="F114" s="81">
        <v>6</v>
      </c>
      <c r="G114" s="403" t="s">
        <v>781</v>
      </c>
      <c r="H114" s="362" t="s">
        <v>782</v>
      </c>
      <c r="I114" s="100" t="s">
        <v>124</v>
      </c>
      <c r="J114" s="100"/>
      <c r="K114" s="100" t="s">
        <v>124</v>
      </c>
      <c r="L114" s="100" t="s">
        <v>124</v>
      </c>
      <c r="M114" s="100" t="s">
        <v>124</v>
      </c>
      <c r="N114" s="373" t="s">
        <v>783</v>
      </c>
      <c r="O114" s="374" t="s">
        <v>784</v>
      </c>
      <c r="P114" s="375" t="str">
        <f>CONCATENATE(RemovePunctuation(H114),"_CA","_","i4K","_",C114,"_",AE114,"_",PROPER(R114),IF(S114="",PROPER(R114),PROPER(S114)),PROPER(T114),PROPER(U114),PROPER(V114),IF(V114&lt;&gt;"","SUB",""),PROPER(W114),IF(W114&lt;&gt;"","SUB",""),"_","Ed","_","M1",".mpg")</f>
        <v>KingofComedyEp07_CA_i4K_0825_43_ZhoZhoZhoSUB_Ed_M1.mpg</v>
      </c>
      <c r="Q114" s="375" t="str">
        <f>CONCATENATE(RemovePunctuation(H114),"_CA","_","i5K","_",C114,"_",AD114,"_",PROPER(R114),IF(S114="",PROPER(R114),PROPER(S114)),PROPER(T114),PROPER(U114),PROPER(V114),IF(V114&lt;&gt;"","SUB",""),PROPER(W114),IF(W114&lt;&gt;"","SUB",""),"_","Ed","_","M4",".mpg")</f>
        <v>KingofComedyEp07_CA_i5K_0825_169_ZhoZhoZhoSUB_Ed_M4.mpg</v>
      </c>
      <c r="R114" s="382" t="s">
        <v>130</v>
      </c>
      <c r="S114" s="385"/>
      <c r="T114" s="384"/>
      <c r="U114" s="384"/>
      <c r="V114" s="382" t="s">
        <v>130</v>
      </c>
      <c r="W114" s="384"/>
      <c r="X114" s="349" t="s">
        <v>129</v>
      </c>
      <c r="Y114" s="349" t="s">
        <v>129</v>
      </c>
      <c r="Z114" s="120">
        <f t="shared" si="21"/>
        <v>98</v>
      </c>
      <c r="AA114" s="304" t="str">
        <f t="shared" si="22"/>
        <v>01:38:00</v>
      </c>
      <c r="AB114" s="120">
        <f t="shared" si="23"/>
        <v>5880</v>
      </c>
      <c r="AC114" s="399">
        <v>0.0683101851851852</v>
      </c>
      <c r="AD114" s="400">
        <v>169</v>
      </c>
      <c r="AE114" s="400">
        <v>43</v>
      </c>
      <c r="AF114" s="349" t="s">
        <v>132</v>
      </c>
    </row>
    <row r="115" ht="23.1" customHeight="1" spans="1:32">
      <c r="A115" s="349">
        <v>111</v>
      </c>
      <c r="B115" s="350"/>
      <c r="C115" s="351" t="s">
        <v>120</v>
      </c>
      <c r="D115" s="358"/>
      <c r="E115" s="358"/>
      <c r="F115" s="81">
        <v>7</v>
      </c>
      <c r="G115" s="403" t="s">
        <v>785</v>
      </c>
      <c r="H115" s="362" t="s">
        <v>786</v>
      </c>
      <c r="I115" s="100" t="s">
        <v>124</v>
      </c>
      <c r="J115" s="100" t="s">
        <v>124</v>
      </c>
      <c r="K115" s="100" t="s">
        <v>124</v>
      </c>
      <c r="L115" s="100" t="s">
        <v>124</v>
      </c>
      <c r="M115" s="100" t="s">
        <v>124</v>
      </c>
      <c r="N115" s="373" t="s">
        <v>787</v>
      </c>
      <c r="O115" s="374" t="s">
        <v>788</v>
      </c>
      <c r="P115" s="375" t="str">
        <f>CONCATENATE(RemovePunctuation(H115),"_CA","_","i4K","_",C115,"_",AE115,"_",PROPER(R115),IF(S115="",PROPER(R115),PROPER(S115)),PROPER(T115),PROPER(U115),PROPER(V115),IF(V115&lt;&gt;"","SUB",""),PROPER(W115),IF(W115&lt;&gt;"","SUB",""),"_","Ed","_","M1",".mpg")</f>
        <v>SuperSketchShowS01E16_CA_i4K_0825_43_ZhoZhoZhoSUB_Ed_M1.mpg</v>
      </c>
      <c r="Q115" s="375" t="str">
        <f>CONCATENATE(RemovePunctuation(H115),"_CA","_","i5K","_",C115,"_",AD115,"_",PROPER(R115),IF(S115="",PROPER(R115),PROPER(S115)),PROPER(T115),PROPER(U115),PROPER(V115),IF(V115&lt;&gt;"","SUB",""),PROPER(W115),IF(W115&lt;&gt;"","SUB",""),"_","Ed","_","M4",".mpg")</f>
        <v>SuperSketchShowS01E16_CA_i5K_0825_169_ZhoZhoZhoSUB_Ed_M4.mpg</v>
      </c>
      <c r="R115" s="382" t="s">
        <v>130</v>
      </c>
      <c r="S115" s="385"/>
      <c r="T115" s="384"/>
      <c r="U115" s="384"/>
      <c r="V115" s="382" t="s">
        <v>130</v>
      </c>
      <c r="W115" s="384"/>
      <c r="X115" s="349" t="s">
        <v>129</v>
      </c>
      <c r="Y115" s="349" t="s">
        <v>129</v>
      </c>
      <c r="Z115" s="120">
        <f t="shared" si="21"/>
        <v>47</v>
      </c>
      <c r="AA115" s="304" t="str">
        <f t="shared" si="22"/>
        <v>00:47:00</v>
      </c>
      <c r="AB115" s="120">
        <f t="shared" si="23"/>
        <v>2820</v>
      </c>
      <c r="AC115" s="399">
        <v>0.0328935185185185</v>
      </c>
      <c r="AD115" s="400">
        <v>169</v>
      </c>
      <c r="AE115" s="400">
        <v>43</v>
      </c>
      <c r="AF115" s="349" t="s">
        <v>563</v>
      </c>
    </row>
    <row r="116" ht="23.1" customHeight="1" spans="1:32">
      <c r="A116" s="349">
        <v>112</v>
      </c>
      <c r="B116" s="350"/>
      <c r="C116" s="351" t="s">
        <v>120</v>
      </c>
      <c r="D116" s="358"/>
      <c r="E116" s="358"/>
      <c r="F116" s="81">
        <v>8</v>
      </c>
      <c r="G116" s="403" t="s">
        <v>789</v>
      </c>
      <c r="H116" s="362" t="s">
        <v>790</v>
      </c>
      <c r="I116" s="100" t="s">
        <v>124</v>
      </c>
      <c r="J116" s="100"/>
      <c r="K116" s="100" t="s">
        <v>124</v>
      </c>
      <c r="L116" s="100" t="s">
        <v>124</v>
      </c>
      <c r="M116" s="100" t="s">
        <v>124</v>
      </c>
      <c r="N116" s="373" t="s">
        <v>791</v>
      </c>
      <c r="O116" s="374" t="s">
        <v>792</v>
      </c>
      <c r="P116" s="375" t="str">
        <f>CONCATENATE(RemovePunctuation(H116),"_CA","_","i4K","_",C116,"_",AE116,"_",PROPER(R116),IF(S116="",PROPER(R116),PROPER(S116)),PROPER(T116),PROPER(U116),PROPER(V116),IF(V116&lt;&gt;"","SUB",""),PROPER(W116),IF(W116&lt;&gt;"","SUB",""),"_","Ed","_","M1",".mpg")</f>
        <v>SuperSketchShowS01E15_CA_i4K_0825_43_ZhoZhoZhoSUB_Ed_M1.mpg</v>
      </c>
      <c r="Q116" s="375" t="str">
        <f>CONCATENATE(RemovePunctuation(H116),"_CA","_","i5K","_",C116,"_",AD116,"_",PROPER(R116),IF(S116="",PROPER(R116),PROPER(S116)),PROPER(T116),PROPER(U116),PROPER(V116),IF(V116&lt;&gt;"","SUB",""),PROPER(W116),IF(W116&lt;&gt;"","SUB",""),"_","Ed","_","M4",".mpg")</f>
        <v>SuperSketchShowS01E15_CA_i5K_0825_169_ZhoZhoZhoSUB_Ed_M4.mpg</v>
      </c>
      <c r="R116" s="382" t="s">
        <v>130</v>
      </c>
      <c r="S116" s="385"/>
      <c r="T116" s="384"/>
      <c r="U116" s="384"/>
      <c r="V116" s="382" t="s">
        <v>130</v>
      </c>
      <c r="W116" s="384"/>
      <c r="X116" s="349" t="s">
        <v>129</v>
      </c>
      <c r="Y116" s="349" t="s">
        <v>129</v>
      </c>
      <c r="Z116" s="120">
        <f t="shared" si="21"/>
        <v>57</v>
      </c>
      <c r="AA116" s="304" t="str">
        <f t="shared" si="22"/>
        <v>00:57:00</v>
      </c>
      <c r="AB116" s="120">
        <f t="shared" si="23"/>
        <v>3420</v>
      </c>
      <c r="AC116" s="399">
        <v>0.0397337962962963</v>
      </c>
      <c r="AD116" s="400">
        <v>169</v>
      </c>
      <c r="AE116" s="400">
        <v>43</v>
      </c>
      <c r="AF116" s="349" t="s">
        <v>563</v>
      </c>
    </row>
    <row r="117" ht="23.1" customHeight="1" spans="1:32">
      <c r="A117" s="349">
        <v>113</v>
      </c>
      <c r="B117" s="350"/>
      <c r="C117" s="351" t="s">
        <v>120</v>
      </c>
      <c r="D117" s="358"/>
      <c r="E117" s="358"/>
      <c r="F117" s="81">
        <v>9</v>
      </c>
      <c r="G117" s="403" t="s">
        <v>793</v>
      </c>
      <c r="H117" s="362" t="s">
        <v>794</v>
      </c>
      <c r="I117" s="100" t="s">
        <v>124</v>
      </c>
      <c r="J117" s="100" t="s">
        <v>124</v>
      </c>
      <c r="K117" s="100"/>
      <c r="L117" s="100" t="s">
        <v>124</v>
      </c>
      <c r="M117" s="100" t="s">
        <v>124</v>
      </c>
      <c r="N117" s="373" t="s">
        <v>795</v>
      </c>
      <c r="O117" s="374"/>
      <c r="P117" s="375" t="str">
        <f>CONCATENATE(RemovePunctuation(H117),"_CA","_","i4K","_",C117,"_",AE117,"_",PROPER(R117),IF(S117="",PROPER(R117),PROPER(S117)),PROPER(T117),PROPER(U117),PROPER(V117),IF(V117&lt;&gt;"","SUB",""),PROPER(W117),IF(W117&lt;&gt;"","SUB",""),"_","Ed","_","M1",".mpg")</f>
        <v>OpentheDoorandBeHappy20250414_CA_i4K_0825_43_ZhoZhoZhoSUB_Ed_M1.mpg</v>
      </c>
      <c r="Q117" s="375" t="str">
        <f>CONCATENATE(RemovePunctuation(H117),"_CA","_","i5K","_",C117,"_",AD117,"_",PROPER(R117),IF(S117="",PROPER(R117),PROPER(S117)),PROPER(T117),PROPER(U117),PROPER(V117),IF(V117&lt;&gt;"","SUB",""),PROPER(W117),IF(W117&lt;&gt;"","SUB",""),"_","Ed","_","M4",".mpg")</f>
        <v>OpentheDoorandBeHappy20250414_CA_i5K_0825_169_ZhoZhoZhoSUB_Ed_M4.mpg</v>
      </c>
      <c r="R117" s="382" t="s">
        <v>130</v>
      </c>
      <c r="S117" s="385"/>
      <c r="T117" s="384"/>
      <c r="U117" s="384"/>
      <c r="V117" s="382" t="s">
        <v>130</v>
      </c>
      <c r="W117" s="384"/>
      <c r="X117" s="349" t="s">
        <v>129</v>
      </c>
      <c r="Y117" s="349" t="s">
        <v>129</v>
      </c>
      <c r="Z117" s="120">
        <f t="shared" si="21"/>
        <v>72</v>
      </c>
      <c r="AA117" s="304" t="str">
        <f t="shared" si="22"/>
        <v>01:12:00</v>
      </c>
      <c r="AB117" s="120">
        <f t="shared" si="23"/>
        <v>4320</v>
      </c>
      <c r="AC117" s="399">
        <v>0.0502314814814815</v>
      </c>
      <c r="AD117" s="400">
        <v>169</v>
      </c>
      <c r="AE117" s="400">
        <v>43</v>
      </c>
      <c r="AF117" s="349" t="s">
        <v>132</v>
      </c>
    </row>
    <row r="118" ht="23.1" customHeight="1" spans="1:32">
      <c r="A118" s="349">
        <v>114</v>
      </c>
      <c r="B118" s="350"/>
      <c r="C118" s="351" t="s">
        <v>120</v>
      </c>
      <c r="D118" s="358"/>
      <c r="E118" s="358"/>
      <c r="F118" s="81">
        <v>10</v>
      </c>
      <c r="G118" s="403" t="s">
        <v>796</v>
      </c>
      <c r="H118" s="362" t="s">
        <v>797</v>
      </c>
      <c r="I118" s="100" t="s">
        <v>124</v>
      </c>
      <c r="J118" s="100" t="s">
        <v>124</v>
      </c>
      <c r="K118" s="100"/>
      <c r="L118" s="100" t="s">
        <v>124</v>
      </c>
      <c r="M118" s="100" t="s">
        <v>124</v>
      </c>
      <c r="N118" s="373" t="s">
        <v>798</v>
      </c>
      <c r="O118" s="374"/>
      <c r="P118" s="375" t="str">
        <f>CONCATENATE(RemovePunctuation(H118),"_CA","_","i4K","_",C118,"_",AE118,"_",PROPER(R118),IF(S118="",PROPER(R118),PROPER(S118)),PROPER(T118),PROPER(U118),PROPER(V118),IF(V118&lt;&gt;"","SUB",""),PROPER(W118),IF(W118&lt;&gt;"","SUB",""),"_","Ed","_","M1",".mpg")</f>
        <v>TheTraitorsUKS02E12_CA_i4K_0825_43_EngEngZhoSUB_Ed_M1.mpg</v>
      </c>
      <c r="Q118" s="375" t="str">
        <f>CONCATENATE(RemovePunctuation(H118),"_CA","_","i5K","_",C118,"_",AD118,"_",PROPER(R118),IF(S118="",PROPER(R118),PROPER(S118)),PROPER(T118),PROPER(U118),PROPER(V118),IF(V118&lt;&gt;"","SUB",""),PROPER(W118),IF(W118&lt;&gt;"","SUB",""),"_","Ed","_","M4",".mpg")</f>
        <v>TheTraitorsUKS02E12_CA_i5K_0825_169_EngEngZhoSUB_Ed_M4.mpg</v>
      </c>
      <c r="R118" s="382" t="s">
        <v>131</v>
      </c>
      <c r="S118" s="385"/>
      <c r="T118" s="384"/>
      <c r="U118" s="384"/>
      <c r="V118" s="382" t="s">
        <v>130</v>
      </c>
      <c r="W118" s="384"/>
      <c r="X118" s="349" t="s">
        <v>129</v>
      </c>
      <c r="Y118" s="349" t="s">
        <v>129</v>
      </c>
      <c r="Z118" s="120">
        <f t="shared" si="21"/>
        <v>67</v>
      </c>
      <c r="AA118" s="304" t="str">
        <f t="shared" si="22"/>
        <v>01:07:00</v>
      </c>
      <c r="AB118" s="120">
        <f t="shared" si="23"/>
        <v>4020</v>
      </c>
      <c r="AC118" s="399">
        <v>0.0463194444444444</v>
      </c>
      <c r="AD118" s="400">
        <v>169</v>
      </c>
      <c r="AE118" s="400">
        <v>43</v>
      </c>
      <c r="AF118" s="349" t="s">
        <v>132</v>
      </c>
    </row>
    <row r="119" ht="23.1" customHeight="1" spans="1:32">
      <c r="A119" s="349">
        <v>115</v>
      </c>
      <c r="B119" s="350"/>
      <c r="C119" s="351" t="s">
        <v>120</v>
      </c>
      <c r="D119" s="358"/>
      <c r="E119" s="358"/>
      <c r="F119" s="81">
        <v>11</v>
      </c>
      <c r="G119" s="403" t="s">
        <v>799</v>
      </c>
      <c r="H119" s="362" t="s">
        <v>800</v>
      </c>
      <c r="I119" s="100" t="s">
        <v>124</v>
      </c>
      <c r="J119" s="100" t="s">
        <v>124</v>
      </c>
      <c r="K119" s="100" t="s">
        <v>124</v>
      </c>
      <c r="L119" s="100" t="s">
        <v>124</v>
      </c>
      <c r="M119" s="100" t="s">
        <v>124</v>
      </c>
      <c r="N119" s="373" t="s">
        <v>801</v>
      </c>
      <c r="O119" s="374" t="s">
        <v>802</v>
      </c>
      <c r="P119" s="375" t="str">
        <f>CONCATENATE(RemovePunctuation(H119),"_CA","_","i4K","_",C119,"_",AE119,"_",PROPER(R119),IF(S119="",PROPER(R119),PROPER(S119)),PROPER(T119),PROPER(U119),PROPER(V119),IF(V119&lt;&gt;"","SUB",""),PROPER(W119),IF(W119&lt;&gt;"","SUB",""),"_","Ed","_","M1",".mpg")</f>
        <v>TheTraitorsUKS02E11_CA_i4K_0825_43_EngEngZhoSUB_Ed_M1.mpg</v>
      </c>
      <c r="Q119" s="375" t="str">
        <f>CONCATENATE(RemovePunctuation(H119),"_CA","_","i5K","_",C119,"_",AD119,"_",PROPER(R119),IF(S119="",PROPER(R119),PROPER(S119)),PROPER(T119),PROPER(U119),PROPER(V119),IF(V119&lt;&gt;"","SUB",""),PROPER(W119),IF(W119&lt;&gt;"","SUB",""),"_","Ed","_","M4",".mpg")</f>
        <v>TheTraitorsUKS02E11_CA_i5K_0825_169_EngEngZhoSUB_Ed_M4.mpg</v>
      </c>
      <c r="R119" s="382" t="s">
        <v>131</v>
      </c>
      <c r="S119" s="385"/>
      <c r="T119" s="384"/>
      <c r="U119" s="384"/>
      <c r="V119" s="382" t="s">
        <v>130</v>
      </c>
      <c r="W119" s="384"/>
      <c r="X119" s="349" t="s">
        <v>129</v>
      </c>
      <c r="Y119" s="349" t="s">
        <v>129</v>
      </c>
      <c r="Z119" s="120">
        <f t="shared" si="21"/>
        <v>56</v>
      </c>
      <c r="AA119" s="304" t="str">
        <f t="shared" si="22"/>
        <v>00:56:00</v>
      </c>
      <c r="AB119" s="120">
        <f t="shared" si="23"/>
        <v>3360</v>
      </c>
      <c r="AC119" s="399">
        <v>0.0388425925925926</v>
      </c>
      <c r="AD119" s="400">
        <v>169</v>
      </c>
      <c r="AE119" s="400">
        <v>43</v>
      </c>
      <c r="AF119" s="349" t="s">
        <v>132</v>
      </c>
    </row>
    <row r="120" ht="23.1" customHeight="1" spans="1:32">
      <c r="A120" s="349">
        <v>116</v>
      </c>
      <c r="B120" s="350"/>
      <c r="C120" s="351" t="s">
        <v>120</v>
      </c>
      <c r="D120" s="358"/>
      <c r="E120" s="358"/>
      <c r="F120" s="81">
        <v>12</v>
      </c>
      <c r="G120" s="403" t="s">
        <v>803</v>
      </c>
      <c r="H120" s="362" t="s">
        <v>804</v>
      </c>
      <c r="I120" s="100" t="s">
        <v>124</v>
      </c>
      <c r="J120" s="100"/>
      <c r="K120" s="100" t="s">
        <v>124</v>
      </c>
      <c r="L120" s="100" t="s">
        <v>124</v>
      </c>
      <c r="M120" s="100" t="s">
        <v>124</v>
      </c>
      <c r="N120" s="373" t="s">
        <v>805</v>
      </c>
      <c r="O120" s="374" t="s">
        <v>806</v>
      </c>
      <c r="P120" s="375" t="str">
        <f>CONCATENATE(RemovePunctuation(H120),"_CA","_","i4K","_",C120,"_",AE120,"_",PROPER(R120),IF(S120="",PROPER(R120),PROPER(S120)),PROPER(T120),PROPER(U120),PROPER(V120),IF(V120&lt;&gt;"","SUB",""),PROPER(W120),IF(W120&lt;&gt;"","SUB",""),"_","Ed","_","M1",".mpg")</f>
        <v>TheTraitorsUKS02E10_CA_i4K_0825_43_EngEngZhoSUB_Ed_M1.mpg</v>
      </c>
      <c r="Q120" s="375" t="str">
        <f>CONCATENATE(RemovePunctuation(H120),"_CA","_","i5K","_",C120,"_",AD120,"_",PROPER(R120),IF(S120="",PROPER(R120),PROPER(S120)),PROPER(T120),PROPER(U120),PROPER(V120),IF(V120&lt;&gt;"","SUB",""),PROPER(W120),IF(W120&lt;&gt;"","SUB",""),"_","Ed","_","M4",".mpg")</f>
        <v>TheTraitorsUKS02E10_CA_i5K_0825_169_EngEngZhoSUB_Ed_M4.mpg</v>
      </c>
      <c r="R120" s="382" t="s">
        <v>131</v>
      </c>
      <c r="S120" s="385"/>
      <c r="T120" s="384"/>
      <c r="U120" s="384"/>
      <c r="V120" s="382" t="s">
        <v>130</v>
      </c>
      <c r="W120" s="384"/>
      <c r="X120" s="349" t="s">
        <v>129</v>
      </c>
      <c r="Y120" s="349" t="s">
        <v>129</v>
      </c>
      <c r="Z120" s="120">
        <f t="shared" si="21"/>
        <v>57</v>
      </c>
      <c r="AA120" s="304" t="str">
        <f t="shared" si="22"/>
        <v>00:57:00</v>
      </c>
      <c r="AB120" s="120">
        <f t="shared" si="23"/>
        <v>3420</v>
      </c>
      <c r="AC120" s="399">
        <v>0.0392824074074074</v>
      </c>
      <c r="AD120" s="400">
        <v>169</v>
      </c>
      <c r="AE120" s="400">
        <v>43</v>
      </c>
      <c r="AF120" s="349" t="s">
        <v>132</v>
      </c>
    </row>
    <row r="121" ht="23.1" customHeight="1" spans="1:32">
      <c r="A121" s="349">
        <v>117</v>
      </c>
      <c r="B121" s="350"/>
      <c r="C121" s="351" t="s">
        <v>120</v>
      </c>
      <c r="D121" s="358"/>
      <c r="E121" s="358"/>
      <c r="F121" s="81">
        <v>13</v>
      </c>
      <c r="G121" s="403" t="s">
        <v>807</v>
      </c>
      <c r="H121" s="362" t="s">
        <v>808</v>
      </c>
      <c r="I121" s="100" t="s">
        <v>124</v>
      </c>
      <c r="J121" s="100"/>
      <c r="K121" s="100" t="s">
        <v>124</v>
      </c>
      <c r="L121" s="100" t="s">
        <v>124</v>
      </c>
      <c r="M121" s="100" t="s">
        <v>124</v>
      </c>
      <c r="N121" s="373" t="s">
        <v>809</v>
      </c>
      <c r="O121" s="374" t="s">
        <v>810</v>
      </c>
      <c r="P121" s="375" t="str">
        <f>CONCATENATE(RemovePunctuation(H121),"_CA","_","i4K","_",C121,"_",AE121,"_",PROPER(R121),IF(S121="",PROPER(R121),PROPER(S121)),PROPER(T121),PROPER(U121),PROPER(V121),IF(V121&lt;&gt;"","SUB",""),PROPER(W121),IF(W121&lt;&gt;"","SUB",""),"_","Ed","_","M1",".mpg")</f>
        <v>TheTraitorsUKS02E09_CA_i4K_0825_43_EngEngZhoSUB_Ed_M1.mpg</v>
      </c>
      <c r="Q121" s="375" t="str">
        <f>CONCATENATE(RemovePunctuation(H121),"_CA","_","i5K","_",C121,"_",AD121,"_",PROPER(R121),IF(S121="",PROPER(R121),PROPER(S121)),PROPER(T121),PROPER(U121),PROPER(V121),IF(V121&lt;&gt;"","SUB",""),PROPER(W121),IF(W121&lt;&gt;"","SUB",""),"_","Ed","_","M4",".mpg")</f>
        <v>TheTraitorsUKS02E09_CA_i5K_0825_169_EngEngZhoSUB_Ed_M4.mpg</v>
      </c>
      <c r="R121" s="382" t="s">
        <v>131</v>
      </c>
      <c r="S121" s="385"/>
      <c r="T121" s="384"/>
      <c r="U121" s="384"/>
      <c r="V121" s="382" t="s">
        <v>130</v>
      </c>
      <c r="W121" s="384"/>
      <c r="X121" s="349" t="s">
        <v>129</v>
      </c>
      <c r="Y121" s="349" t="s">
        <v>129</v>
      </c>
      <c r="Z121" s="120">
        <f t="shared" si="21"/>
        <v>57</v>
      </c>
      <c r="AA121" s="304" t="str">
        <f t="shared" si="22"/>
        <v>00:57:00</v>
      </c>
      <c r="AB121" s="120">
        <f t="shared" si="23"/>
        <v>3420</v>
      </c>
      <c r="AC121" s="399">
        <v>0.0392592592592593</v>
      </c>
      <c r="AD121" s="400">
        <v>169</v>
      </c>
      <c r="AE121" s="400">
        <v>43</v>
      </c>
      <c r="AF121" s="349" t="s">
        <v>132</v>
      </c>
    </row>
    <row r="122" ht="23.1" customHeight="1" spans="1:32">
      <c r="A122" s="349">
        <v>118</v>
      </c>
      <c r="B122" s="350"/>
      <c r="C122" s="351" t="s">
        <v>120</v>
      </c>
      <c r="D122" s="352" t="s">
        <v>811</v>
      </c>
      <c r="E122" s="352"/>
      <c r="F122" s="81">
        <v>1</v>
      </c>
      <c r="G122" s="403" t="s">
        <v>812</v>
      </c>
      <c r="H122" s="362" t="s">
        <v>813</v>
      </c>
      <c r="I122" s="100" t="s">
        <v>124</v>
      </c>
      <c r="J122" s="100" t="s">
        <v>124</v>
      </c>
      <c r="K122" s="100"/>
      <c r="L122" s="100" t="s">
        <v>124</v>
      </c>
      <c r="M122" s="100" t="s">
        <v>124</v>
      </c>
      <c r="N122" s="373" t="s">
        <v>814</v>
      </c>
      <c r="O122" s="374"/>
      <c r="P122" s="375" t="str">
        <f>CONCATENATE(RemovePunctuation(H122),"_CA","_","i4K","_",C122,"_",AE122,"_",PROPER(R122),IF(S122="",PROPER(R122),PROPER(S122)),PROPER(T122),PROPER(U122),PROPER(V122),IF(V122&lt;&gt;"","SUB",""),PROPER(W122),IF(W122&lt;&gt;"","SUB",""),"_","Ed","_","M1",".mpg")</f>
        <v>TimeConcertS02E08_CA_i4K_0825_43_ZhoZhoZhoSUB_Ed_M1.mpg</v>
      </c>
      <c r="Q122" s="375" t="str">
        <f>CONCATENATE(RemovePunctuation(H122),"_CA","_","i5K","_",C122,"_",AD122,"_",PROPER(R122),IF(S122="",PROPER(R122),PROPER(S122)),PROPER(T122),PROPER(U122),PROPER(V122),IF(V122&lt;&gt;"","SUB",""),PROPER(W122),IF(W122&lt;&gt;"","SUB",""),"_","Ed","_","M4",".mpg")</f>
        <v>TimeConcertS02E08_CA_i5K_0825_169_ZhoZhoZhoSUB_Ed_M4.mpg</v>
      </c>
      <c r="R122" s="382" t="s">
        <v>130</v>
      </c>
      <c r="S122" s="385"/>
      <c r="T122" s="384"/>
      <c r="U122" s="384"/>
      <c r="V122" s="382" t="s">
        <v>130</v>
      </c>
      <c r="W122" s="382"/>
      <c r="X122" s="349" t="s">
        <v>129</v>
      </c>
      <c r="Y122" s="349" t="s">
        <v>129</v>
      </c>
      <c r="Z122" s="120">
        <f t="shared" si="21"/>
        <v>83</v>
      </c>
      <c r="AA122" s="304" t="str">
        <f t="shared" si="22"/>
        <v>01:23:00</v>
      </c>
      <c r="AB122" s="120">
        <f t="shared" si="23"/>
        <v>4980</v>
      </c>
      <c r="AC122" s="399">
        <v>0.0576736111111111</v>
      </c>
      <c r="AD122" s="400">
        <v>169</v>
      </c>
      <c r="AE122" s="400">
        <v>43</v>
      </c>
      <c r="AF122" s="349" t="s">
        <v>563</v>
      </c>
    </row>
    <row r="123" ht="23.1" customHeight="1" spans="1:32">
      <c r="A123" s="349">
        <v>119</v>
      </c>
      <c r="B123" s="350"/>
      <c r="C123" s="351" t="s">
        <v>120</v>
      </c>
      <c r="D123" s="352"/>
      <c r="E123" s="352"/>
      <c r="F123" s="81">
        <v>2</v>
      </c>
      <c r="G123" s="403" t="s">
        <v>815</v>
      </c>
      <c r="H123" s="362" t="s">
        <v>816</v>
      </c>
      <c r="I123" s="100" t="s">
        <v>124</v>
      </c>
      <c r="J123" s="100" t="s">
        <v>124</v>
      </c>
      <c r="K123" s="100" t="s">
        <v>124</v>
      </c>
      <c r="L123" s="100" t="s">
        <v>124</v>
      </c>
      <c r="M123" s="100" t="s">
        <v>124</v>
      </c>
      <c r="N123" s="373" t="s">
        <v>817</v>
      </c>
      <c r="O123" s="374" t="s">
        <v>818</v>
      </c>
      <c r="P123" s="375" t="str">
        <f>CONCATENATE(RemovePunctuation(H123),"_CA","_","i4K","_",C123,"_",AE123,"_",PROPER(R123),IF(S123="",PROPER(R123),PROPER(S123)),PROPER(T123),PROPER(U123),PROPER(V123),IF(V123&lt;&gt;"","SUB",""),PROPER(W123),IF(W123&lt;&gt;"","SUB",""),"_","Ed","_","M1",".mpg")</f>
        <v>TimeConcertS02E07_CA_i4K_0825_43_ZhoZhoZhoSUB_Ed_M1.mpg</v>
      </c>
      <c r="Q123" s="375" t="str">
        <f>CONCATENATE(RemovePunctuation(H123),"_CA","_","i5K","_",C123,"_",AD123,"_",PROPER(R123),IF(S123="",PROPER(R123),PROPER(S123)),PROPER(T123),PROPER(U123),PROPER(V123),IF(V123&lt;&gt;"","SUB",""),PROPER(W123),IF(W123&lt;&gt;"","SUB",""),"_","Ed","_","M4",".mpg")</f>
        <v>TimeConcertS02E07_CA_i5K_0825_169_ZhoZhoZhoSUB_Ed_M4.mpg</v>
      </c>
      <c r="R123" s="382" t="s">
        <v>130</v>
      </c>
      <c r="S123" s="385"/>
      <c r="T123" s="384"/>
      <c r="U123" s="384"/>
      <c r="V123" s="382" t="s">
        <v>130</v>
      </c>
      <c r="W123" s="382"/>
      <c r="X123" s="349" t="s">
        <v>129</v>
      </c>
      <c r="Y123" s="349" t="s">
        <v>129</v>
      </c>
      <c r="Z123" s="120">
        <f t="shared" si="21"/>
        <v>99</v>
      </c>
      <c r="AA123" s="304" t="str">
        <f t="shared" si="22"/>
        <v>01:39:00</v>
      </c>
      <c r="AB123" s="120">
        <f t="shared" si="23"/>
        <v>5940</v>
      </c>
      <c r="AC123" s="399">
        <v>0.0687962962962963</v>
      </c>
      <c r="AD123" s="400">
        <v>169</v>
      </c>
      <c r="AE123" s="400">
        <v>43</v>
      </c>
      <c r="AF123" s="349" t="s">
        <v>563</v>
      </c>
    </row>
    <row r="124" ht="23.1" customHeight="1" spans="1:32">
      <c r="A124" s="349">
        <v>120</v>
      </c>
      <c r="B124" s="350"/>
      <c r="C124" s="351" t="s">
        <v>120</v>
      </c>
      <c r="D124" s="352"/>
      <c r="E124" s="352"/>
      <c r="F124" s="81">
        <v>3</v>
      </c>
      <c r="G124" s="403" t="s">
        <v>819</v>
      </c>
      <c r="H124" s="362" t="s">
        <v>820</v>
      </c>
      <c r="I124" s="100" t="s">
        <v>124</v>
      </c>
      <c r="J124" s="100"/>
      <c r="K124" s="100" t="s">
        <v>124</v>
      </c>
      <c r="L124" s="100" t="s">
        <v>124</v>
      </c>
      <c r="M124" s="100" t="s">
        <v>124</v>
      </c>
      <c r="N124" s="373" t="s">
        <v>821</v>
      </c>
      <c r="O124" s="374" t="s">
        <v>822</v>
      </c>
      <c r="P124" s="375" t="str">
        <f>CONCATENATE(RemovePunctuation(H124),"_CA","_","i4K","_",C124,"_",AE124,"_",PROPER(R124),IF(S124="",PROPER(R124),PROPER(S124)),PROPER(T124),PROPER(U124),PROPER(V124),IF(V124&lt;&gt;"","SUB",""),PROPER(W124),IF(W124&lt;&gt;"","SUB",""),"_","Ed","_","M1",".mpg")</f>
        <v>TimeConcertS02E06_CA_i4K_0825_43_ZhoZhoZhoSUB_Ed_M1.mpg</v>
      </c>
      <c r="Q124" s="375" t="str">
        <f>CONCATENATE(RemovePunctuation(H124),"_CA","_","i5K","_",C124,"_",AD124,"_",PROPER(R124),IF(S124="",PROPER(R124),PROPER(S124)),PROPER(T124),PROPER(U124),PROPER(V124),IF(V124&lt;&gt;"","SUB",""),PROPER(W124),IF(W124&lt;&gt;"","SUB",""),"_","Ed","_","M4",".mpg")</f>
        <v>TimeConcertS02E06_CA_i5K_0825_169_ZhoZhoZhoSUB_Ed_M4.mpg</v>
      </c>
      <c r="R124" s="382" t="s">
        <v>130</v>
      </c>
      <c r="S124" s="385"/>
      <c r="T124" s="384"/>
      <c r="U124" s="384"/>
      <c r="V124" s="382" t="s">
        <v>130</v>
      </c>
      <c r="W124" s="382"/>
      <c r="X124" s="349" t="s">
        <v>129</v>
      </c>
      <c r="Y124" s="349" t="s">
        <v>129</v>
      </c>
      <c r="Z124" s="120">
        <f t="shared" si="21"/>
        <v>95</v>
      </c>
      <c r="AA124" s="304" t="str">
        <f t="shared" si="22"/>
        <v>01:35:00</v>
      </c>
      <c r="AB124" s="120">
        <f t="shared" si="23"/>
        <v>5700</v>
      </c>
      <c r="AC124" s="399">
        <v>0.0661574074074074</v>
      </c>
      <c r="AD124" s="400">
        <v>169</v>
      </c>
      <c r="AE124" s="400">
        <v>43</v>
      </c>
      <c r="AF124" s="349" t="s">
        <v>563</v>
      </c>
    </row>
    <row r="125" ht="23.1" customHeight="1" spans="1:32">
      <c r="A125" s="349">
        <v>121</v>
      </c>
      <c r="B125" s="350"/>
      <c r="C125" s="351" t="s">
        <v>120</v>
      </c>
      <c r="D125" s="352"/>
      <c r="E125" s="352"/>
      <c r="F125" s="81">
        <v>4</v>
      </c>
      <c r="G125" s="403" t="s">
        <v>823</v>
      </c>
      <c r="H125" s="362" t="s">
        <v>824</v>
      </c>
      <c r="I125" s="100" t="s">
        <v>124</v>
      </c>
      <c r="J125" s="100"/>
      <c r="K125" s="100" t="s">
        <v>124</v>
      </c>
      <c r="L125" s="100" t="s">
        <v>124</v>
      </c>
      <c r="M125" s="100" t="s">
        <v>124</v>
      </c>
      <c r="N125" s="373" t="s">
        <v>825</v>
      </c>
      <c r="O125" s="374" t="s">
        <v>826</v>
      </c>
      <c r="P125" s="375" t="str">
        <f>CONCATENATE(RemovePunctuation(H125),"_CA","_","i4K","_",C125,"_",AE125,"_",PROPER(R125),IF(S125="",PROPER(R125),PROPER(S125)),PROPER(T125),PROPER(U125),PROPER(V125),IF(V125&lt;&gt;"","SUB",""),PROPER(W125),IF(W125&lt;&gt;"","SUB",""),"_","Ed","_","M1",".mpg")</f>
        <v>TimeConcertS02E05_CA_i4K_0825_43_ZhoZhoZhoSUB_Ed_M1.mpg</v>
      </c>
      <c r="Q125" s="375" t="str">
        <f>CONCATENATE(RemovePunctuation(H125),"_CA","_","i5K","_",C125,"_",AD125,"_",PROPER(R125),IF(S125="",PROPER(R125),PROPER(S125)),PROPER(T125),PROPER(U125),PROPER(V125),IF(V125&lt;&gt;"","SUB",""),PROPER(W125),IF(W125&lt;&gt;"","SUB",""),"_","Ed","_","M4",".mpg")</f>
        <v>TimeConcertS02E05_CA_i5K_0825_169_ZhoZhoZhoSUB_Ed_M4.mpg</v>
      </c>
      <c r="R125" s="382" t="s">
        <v>130</v>
      </c>
      <c r="S125" s="385"/>
      <c r="T125" s="384"/>
      <c r="U125" s="384"/>
      <c r="V125" s="382" t="s">
        <v>130</v>
      </c>
      <c r="W125" s="382"/>
      <c r="X125" s="349" t="s">
        <v>129</v>
      </c>
      <c r="Y125" s="349" t="s">
        <v>129</v>
      </c>
      <c r="Z125" s="120">
        <f t="shared" si="21"/>
        <v>92</v>
      </c>
      <c r="AA125" s="304" t="str">
        <f t="shared" si="22"/>
        <v>01:32:00</v>
      </c>
      <c r="AB125" s="120">
        <f t="shared" si="23"/>
        <v>5520</v>
      </c>
      <c r="AC125" s="399">
        <v>0.0635416666666667</v>
      </c>
      <c r="AD125" s="400">
        <v>169</v>
      </c>
      <c r="AE125" s="400">
        <v>43</v>
      </c>
      <c r="AF125" s="349" t="s">
        <v>563</v>
      </c>
    </row>
    <row r="126" ht="23.1" customHeight="1" spans="1:32">
      <c r="A126" s="349">
        <v>122</v>
      </c>
      <c r="B126" s="350"/>
      <c r="C126" s="351" t="s">
        <v>120</v>
      </c>
      <c r="D126" s="352"/>
      <c r="E126" s="352"/>
      <c r="F126" s="81">
        <v>5</v>
      </c>
      <c r="G126" s="403" t="s">
        <v>827</v>
      </c>
      <c r="H126" s="362" t="s">
        <v>828</v>
      </c>
      <c r="I126" s="100" t="s">
        <v>124</v>
      </c>
      <c r="J126" s="100"/>
      <c r="K126" s="100" t="s">
        <v>124</v>
      </c>
      <c r="L126" s="100" t="s">
        <v>124</v>
      </c>
      <c r="M126" s="100"/>
      <c r="N126" s="373" t="s">
        <v>829</v>
      </c>
      <c r="O126" s="374" t="s">
        <v>830</v>
      </c>
      <c r="P126" s="375"/>
      <c r="Q126" s="375" t="str">
        <f>CONCATENATE(RemovePunctuation(H126),"_CA","_","i5K","_",C126,"_",AD126,"_",PROPER(R126),IF(S126="",PROPER(R126),PROPER(S126)),PROPER(T126),PROPER(U126),PROPER(V126),IF(V126&lt;&gt;"","SUB",""),PROPER(W126),IF(W126&lt;&gt;"","SUB",""),"_","Ed","_","M4",".mpg")</f>
        <v>TimeConcertS02E04_CA_i5K_0825_169_ZhoZhoZhoSUB_Ed_M4.mpg</v>
      </c>
      <c r="R126" s="382" t="s">
        <v>130</v>
      </c>
      <c r="S126" s="385"/>
      <c r="T126" s="384"/>
      <c r="U126" s="384"/>
      <c r="V126" s="382" t="s">
        <v>130</v>
      </c>
      <c r="W126" s="382"/>
      <c r="X126" s="349" t="s">
        <v>129</v>
      </c>
      <c r="Y126" s="349" t="s">
        <v>129</v>
      </c>
      <c r="Z126" s="120">
        <f t="shared" si="21"/>
        <v>97</v>
      </c>
      <c r="AA126" s="304" t="str">
        <f t="shared" si="22"/>
        <v>01:37:00</v>
      </c>
      <c r="AB126" s="120">
        <f t="shared" si="23"/>
        <v>5820</v>
      </c>
      <c r="AC126" s="399">
        <v>0.0671180555555556</v>
      </c>
      <c r="AD126" s="400">
        <v>169</v>
      </c>
      <c r="AE126" s="400">
        <v>43</v>
      </c>
      <c r="AF126" s="349" t="s">
        <v>563</v>
      </c>
    </row>
    <row r="127" ht="23.1" customHeight="1" spans="1:32">
      <c r="A127" s="349">
        <v>123</v>
      </c>
      <c r="B127" s="350"/>
      <c r="C127" s="351" t="s">
        <v>120</v>
      </c>
      <c r="D127" s="352"/>
      <c r="E127" s="352"/>
      <c r="F127" s="81">
        <v>6</v>
      </c>
      <c r="G127" s="403" t="s">
        <v>831</v>
      </c>
      <c r="H127" s="362" t="s">
        <v>832</v>
      </c>
      <c r="I127" s="100" t="s">
        <v>124</v>
      </c>
      <c r="J127" s="100" t="s">
        <v>124</v>
      </c>
      <c r="K127" s="100"/>
      <c r="L127" s="100" t="s">
        <v>124</v>
      </c>
      <c r="M127" s="100" t="s">
        <v>124</v>
      </c>
      <c r="N127" s="373" t="s">
        <v>833</v>
      </c>
      <c r="O127" s="374"/>
      <c r="P127" s="375" t="str">
        <f>CONCATENATE(RemovePunctuation(H127),"_CA","_","i4K","_",C127,"_",AE127,"_",PROPER(R127),IF(S127="",PROPER(R127),PROPER(S127)),PROPER(T127),PROPER(U127),PROPER(V127),IF(V127&lt;&gt;"","SUB",""),PROPER(W127),IF(W127&lt;&gt;"","SUB",""),"_","Ed","_","M1",".mpg")</f>
        <v>MelodiesoftheMiddleKingdom2_CA_i4K_0825_43_ZhoZhoZhoSUB_Ed_M1.mpg</v>
      </c>
      <c r="Q127" s="375" t="str">
        <f>CONCATENATE(RemovePunctuation(H127),"_CA","_","i5K","_",C127,"_",AD127,"_",PROPER(R127),IF(S127="",PROPER(R127),PROPER(S127)),PROPER(T127),PROPER(U127),PROPER(V127),IF(V127&lt;&gt;"","SUB",""),PROPER(W127),IF(W127&lt;&gt;"","SUB",""),"_","Ed","_","M4",".mpg")</f>
        <v>MelodiesoftheMiddleKingdom2_CA_i5K_0825_169_ZhoZhoZhoSUB_Ed_M4.mpg</v>
      </c>
      <c r="R127" s="382" t="s">
        <v>130</v>
      </c>
      <c r="S127" s="385"/>
      <c r="T127" s="384"/>
      <c r="U127" s="384"/>
      <c r="V127" s="382" t="s">
        <v>130</v>
      </c>
      <c r="W127" s="382"/>
      <c r="X127" s="349" t="s">
        <v>129</v>
      </c>
      <c r="Y127" s="349" t="s">
        <v>129</v>
      </c>
      <c r="Z127" s="120">
        <f t="shared" si="21"/>
        <v>12</v>
      </c>
      <c r="AA127" s="304" t="str">
        <f t="shared" si="22"/>
        <v>00:12:00</v>
      </c>
      <c r="AB127" s="120">
        <f t="shared" si="23"/>
        <v>720</v>
      </c>
      <c r="AC127" s="399">
        <v>0.00858796296296296</v>
      </c>
      <c r="AD127" s="400">
        <v>169</v>
      </c>
      <c r="AE127" s="400">
        <v>43</v>
      </c>
      <c r="AF127" s="349" t="s">
        <v>132</v>
      </c>
    </row>
    <row r="128" ht="23.1" customHeight="1" spans="1:32">
      <c r="A128" s="349">
        <v>124</v>
      </c>
      <c r="B128" s="350"/>
      <c r="C128" s="351" t="s">
        <v>120</v>
      </c>
      <c r="D128" s="352"/>
      <c r="E128" s="352"/>
      <c r="F128" s="81">
        <v>7</v>
      </c>
      <c r="G128" s="403" t="s">
        <v>834</v>
      </c>
      <c r="H128" s="362" t="s">
        <v>835</v>
      </c>
      <c r="I128" s="100" t="s">
        <v>124</v>
      </c>
      <c r="J128" s="100" t="s">
        <v>124</v>
      </c>
      <c r="K128" s="100" t="s">
        <v>124</v>
      </c>
      <c r="L128" s="100" t="s">
        <v>124</v>
      </c>
      <c r="M128" s="100" t="s">
        <v>124</v>
      </c>
      <c r="N128" s="373" t="s">
        <v>836</v>
      </c>
      <c r="O128" s="374" t="s">
        <v>837</v>
      </c>
      <c r="P128" s="375" t="str">
        <f>CONCATENATE(RemovePunctuation(H128),"_CA","_","i4K","_",C128,"_",AE128,"_",PROPER(R128),IF(S128="",PROPER(R128),PROPER(S128)),PROPER(T128),PROPER(U128),PROPER(V128),IF(V128&lt;&gt;"","SUB",""),PROPER(W128),IF(W128&lt;&gt;"","SUB",""),"_","Ed","_","M1",".mpg")</f>
        <v>FolkSongsofChinaForthePureJoyEdition20250518_CA_i4K_0825_43_ZhoZhoZhoSUB_Ed_M1.mpg</v>
      </c>
      <c r="Q128" s="375" t="str">
        <f>CONCATENATE(RemovePunctuation(H128),"_CA","_","i5K","_",C128,"_",AD128,"_",PROPER(R128),IF(S128="",PROPER(R128),PROPER(S128)),PROPER(T128),PROPER(U128),PROPER(V128),IF(V128&lt;&gt;"","SUB",""),PROPER(W128),IF(W128&lt;&gt;"","SUB",""),"_","Ed","_","M4",".mpg")</f>
        <v>FolkSongsofChinaForthePureJoyEdition20250518_CA_i5K_0825_169_ZhoZhoZhoSUB_Ed_M4.mpg</v>
      </c>
      <c r="R128" s="382" t="s">
        <v>130</v>
      </c>
      <c r="S128" s="385"/>
      <c r="T128" s="384"/>
      <c r="U128" s="384"/>
      <c r="V128" s="382" t="s">
        <v>130</v>
      </c>
      <c r="W128" s="382"/>
      <c r="X128" s="349" t="s">
        <v>129</v>
      </c>
      <c r="Y128" s="349" t="s">
        <v>129</v>
      </c>
      <c r="Z128" s="120">
        <f t="shared" si="21"/>
        <v>53</v>
      </c>
      <c r="AA128" s="304" t="str">
        <f t="shared" si="22"/>
        <v>00:53:00</v>
      </c>
      <c r="AB128" s="120">
        <f t="shared" si="23"/>
        <v>3180</v>
      </c>
      <c r="AC128" s="399">
        <v>0.0368171296296296</v>
      </c>
      <c r="AD128" s="400">
        <v>169</v>
      </c>
      <c r="AE128" s="400">
        <v>43</v>
      </c>
      <c r="AF128" s="349" t="s">
        <v>132</v>
      </c>
    </row>
    <row r="129" ht="23.1" customHeight="1" spans="1:32">
      <c r="A129" s="349">
        <v>125</v>
      </c>
      <c r="B129" s="350"/>
      <c r="C129" s="351" t="s">
        <v>120</v>
      </c>
      <c r="D129" s="352"/>
      <c r="E129" s="352"/>
      <c r="F129" s="81">
        <v>8</v>
      </c>
      <c r="G129" s="403" t="s">
        <v>838</v>
      </c>
      <c r="H129" s="362" t="s">
        <v>839</v>
      </c>
      <c r="I129" s="100" t="s">
        <v>124</v>
      </c>
      <c r="J129" s="100"/>
      <c r="K129" s="100"/>
      <c r="L129" s="100" t="s">
        <v>124</v>
      </c>
      <c r="M129" s="100"/>
      <c r="N129" s="373" t="s">
        <v>840</v>
      </c>
      <c r="O129" s="374"/>
      <c r="P129" s="375"/>
      <c r="Q129" s="375" t="str">
        <f>CONCATENATE(RemovePunctuation(H129),"_CA","_","i5K","_",C129,"_",AD129,"_",PROPER(R129),IF(S129="",PROPER(R129),PROPER(S129)),PROPER(T129),PROPER(U129),PROPER(V129),IF(V129&lt;&gt;"","SUB",""),PROPER(W129),IF(W129&lt;&gt;"","SUB",""),"_","Ed","_","M4",".mpg")</f>
        <v>FolkSongsofChinaForthePureJoyEdition20250517_CA_i5K_0825_169_ZhoZhoZhoSUB_Ed_M4.mpg</v>
      </c>
      <c r="R129" s="382" t="s">
        <v>130</v>
      </c>
      <c r="S129" s="385"/>
      <c r="T129" s="384"/>
      <c r="U129" s="384"/>
      <c r="V129" s="382" t="s">
        <v>130</v>
      </c>
      <c r="W129" s="382"/>
      <c r="X129" s="349" t="s">
        <v>129</v>
      </c>
      <c r="Y129" s="349" t="s">
        <v>129</v>
      </c>
      <c r="Z129" s="120">
        <f t="shared" si="21"/>
        <v>56</v>
      </c>
      <c r="AA129" s="304" t="str">
        <f t="shared" si="22"/>
        <v>00:56:00</v>
      </c>
      <c r="AB129" s="120">
        <f t="shared" si="23"/>
        <v>3360</v>
      </c>
      <c r="AC129" s="399">
        <v>0.0388078703703704</v>
      </c>
      <c r="AD129" s="400">
        <v>169</v>
      </c>
      <c r="AE129" s="400">
        <v>43</v>
      </c>
      <c r="AF129" s="349" t="s">
        <v>132</v>
      </c>
    </row>
    <row r="130" ht="23.1" customHeight="1" spans="1:32">
      <c r="A130" s="349">
        <v>126</v>
      </c>
      <c r="B130" s="350"/>
      <c r="C130" s="351" t="s">
        <v>120</v>
      </c>
      <c r="D130" s="352"/>
      <c r="E130" s="352"/>
      <c r="F130" s="81">
        <v>9</v>
      </c>
      <c r="G130" s="403" t="s">
        <v>841</v>
      </c>
      <c r="H130" s="362" t="s">
        <v>842</v>
      </c>
      <c r="I130" s="100" t="s">
        <v>124</v>
      </c>
      <c r="J130" s="100" t="s">
        <v>124</v>
      </c>
      <c r="K130" s="100"/>
      <c r="L130" s="100" t="s">
        <v>124</v>
      </c>
      <c r="M130" s="100" t="s">
        <v>124</v>
      </c>
      <c r="N130" s="373" t="s">
        <v>843</v>
      </c>
      <c r="O130" s="374"/>
      <c r="P130" s="375" t="str">
        <f>CONCATENATE(RemovePunctuation(H130),"_CA","_","i4K","_",C130,"_",AE130,"_",PROPER(R130),IF(S130="",PROPER(R130),PROPER(S130)),PROPER(T130),PROPER(U130),PROPER(V130),IF(V130&lt;&gt;"","SUB",""),PROPER(W130),IF(W130&lt;&gt;"","SUB",""),"_","Ed","_","M1",".mpg")</f>
        <v>TOPMusicProgram20240901_CA_i4K_0825_43_ZhoZhoZhoSUB_Ed_M1.mpg</v>
      </c>
      <c r="Q130" s="375" t="str">
        <f>CONCATENATE(RemovePunctuation(H130),"_CA","_","i5K","_",C130,"_",AD130,"_",PROPER(R130),IF(S130="",PROPER(R130),PROPER(S130)),PROPER(T130),PROPER(U130),PROPER(V130),IF(V130&lt;&gt;"","SUB",""),PROPER(W130),IF(W130&lt;&gt;"","SUB",""),"_","Ed","_","M4",".mpg")</f>
        <v>TOPMusicProgram20240901_CA_i5K_0825_169_ZhoZhoZhoSUB_Ed_M4.mpg</v>
      </c>
      <c r="R130" s="382" t="s">
        <v>130</v>
      </c>
      <c r="S130" s="385"/>
      <c r="T130" s="384"/>
      <c r="U130" s="384"/>
      <c r="V130" s="382" t="s">
        <v>130</v>
      </c>
      <c r="W130" s="382"/>
      <c r="X130" s="349" t="s">
        <v>129</v>
      </c>
      <c r="Y130" s="349" t="s">
        <v>129</v>
      </c>
      <c r="Z130" s="120">
        <f t="shared" si="21"/>
        <v>28</v>
      </c>
      <c r="AA130" s="304" t="str">
        <f t="shared" si="22"/>
        <v>00:28:00</v>
      </c>
      <c r="AB130" s="120">
        <f t="shared" si="23"/>
        <v>1680</v>
      </c>
      <c r="AC130" s="399">
        <v>0.0192361111111111</v>
      </c>
      <c r="AD130" s="400">
        <v>169</v>
      </c>
      <c r="AE130" s="400">
        <v>43</v>
      </c>
      <c r="AF130" s="349" t="s">
        <v>132</v>
      </c>
    </row>
    <row r="131" ht="23.1" customHeight="1" spans="1:32">
      <c r="A131" s="349">
        <v>127</v>
      </c>
      <c r="B131" s="350"/>
      <c r="C131" s="351" t="s">
        <v>120</v>
      </c>
      <c r="D131" s="352"/>
      <c r="E131" s="352"/>
      <c r="F131" s="81">
        <v>10</v>
      </c>
      <c r="G131" s="403" t="s">
        <v>844</v>
      </c>
      <c r="H131" s="362" t="s">
        <v>845</v>
      </c>
      <c r="I131" s="100" t="s">
        <v>124</v>
      </c>
      <c r="J131" s="100"/>
      <c r="K131" s="100"/>
      <c r="L131" s="100" t="s">
        <v>124</v>
      </c>
      <c r="M131" s="100"/>
      <c r="N131" s="373" t="s">
        <v>846</v>
      </c>
      <c r="O131" s="374"/>
      <c r="P131" s="375"/>
      <c r="Q131" s="375" t="str">
        <f>CONCATENATE(RemovePunctuation(H131),"_CA","_","i5K","_",C131,"_",AD131,"_",PROPER(R131),IF(S131="",PROPER(R131),PROPER(S131)),PROPER(T131),PROPER(U131),PROPER(V131),IF(V131&lt;&gt;"","SUB",""),PROPER(W131),IF(W131&lt;&gt;"","SUB",""),"_","Ed","_","M4",".mpg")</f>
        <v>TOPMusicProgram20240825_CA_i5K_0825_169_ZhoZhoZhoSUB_Ed_M4.mpg</v>
      </c>
      <c r="R131" s="382" t="s">
        <v>130</v>
      </c>
      <c r="S131" s="385"/>
      <c r="T131" s="384"/>
      <c r="U131" s="384"/>
      <c r="V131" s="382" t="s">
        <v>130</v>
      </c>
      <c r="W131" s="382"/>
      <c r="X131" s="349" t="s">
        <v>129</v>
      </c>
      <c r="Y131" s="349" t="s">
        <v>129</v>
      </c>
      <c r="Z131" s="120">
        <f t="shared" si="21"/>
        <v>26</v>
      </c>
      <c r="AA131" s="304" t="str">
        <f t="shared" si="22"/>
        <v>00:26:00</v>
      </c>
      <c r="AB131" s="120">
        <f t="shared" si="23"/>
        <v>1560</v>
      </c>
      <c r="AC131" s="399">
        <v>0.0181481481481481</v>
      </c>
      <c r="AD131" s="400">
        <v>169</v>
      </c>
      <c r="AE131" s="400">
        <v>43</v>
      </c>
      <c r="AF131" s="349" t="s">
        <v>132</v>
      </c>
    </row>
    <row r="132" ht="23.1" customHeight="1" spans="1:32">
      <c r="A132" s="349">
        <v>128</v>
      </c>
      <c r="B132" s="350"/>
      <c r="C132" s="351" t="s">
        <v>120</v>
      </c>
      <c r="D132" s="352"/>
      <c r="E132" s="352"/>
      <c r="F132" s="81">
        <v>11</v>
      </c>
      <c r="G132" s="403" t="s">
        <v>847</v>
      </c>
      <c r="H132" s="362" t="s">
        <v>848</v>
      </c>
      <c r="I132" s="100" t="s">
        <v>124</v>
      </c>
      <c r="J132" s="100" t="s">
        <v>124</v>
      </c>
      <c r="K132" s="100" t="s">
        <v>124</v>
      </c>
      <c r="L132" s="100" t="s">
        <v>124</v>
      </c>
      <c r="M132" s="100" t="s">
        <v>124</v>
      </c>
      <c r="N132" s="373" t="s">
        <v>849</v>
      </c>
      <c r="O132" s="374" t="s">
        <v>850</v>
      </c>
      <c r="P132" s="375" t="str">
        <f>CONCATENATE(RemovePunctuation(H132),"_CA","_","i4K","_",C132,"_",AE132,"_",PROPER(R132),IF(S132="",PROPER(R132),PROPER(S132)),PROPER(T132),PROPER(U132),PROPER(V132),IF(V132&lt;&gt;"","SUB",""),PROPER(W132),IF(W132&lt;&gt;"","SUB",""),"_","Ed","_","M1",".mpg")</f>
        <v>WonderfulMusicCollectionMyLoveSaystoYou20250518_CA_i4K_0825_43_ZhoZhoZhoSUB_Ed_M1.mpg</v>
      </c>
      <c r="Q132" s="375" t="str">
        <f>CONCATENATE(RemovePunctuation(H132),"_CA","_","i5K","_",C132,"_",AD132,"_",PROPER(R132),IF(S132="",PROPER(R132),PROPER(S132)),PROPER(T132),PROPER(U132),PROPER(V132),IF(V132&lt;&gt;"","SUB",""),PROPER(W132),IF(W132&lt;&gt;"","SUB",""),"_","Ed","_","M4",".mpg")</f>
        <v>WonderfulMusicCollectionMyLoveSaystoYou20250518_CA_i5K_0825_169_ZhoZhoZhoSUB_Ed_M4.mpg</v>
      </c>
      <c r="R132" s="382" t="s">
        <v>130</v>
      </c>
      <c r="S132" s="385"/>
      <c r="T132" s="384"/>
      <c r="U132" s="384"/>
      <c r="V132" s="382" t="s">
        <v>130</v>
      </c>
      <c r="W132" s="382"/>
      <c r="X132" s="349" t="s">
        <v>129</v>
      </c>
      <c r="Y132" s="349" t="s">
        <v>129</v>
      </c>
      <c r="Z132" s="120">
        <f t="shared" si="21"/>
        <v>58</v>
      </c>
      <c r="AA132" s="304" t="str">
        <f t="shared" si="22"/>
        <v>00:58:00</v>
      </c>
      <c r="AB132" s="120">
        <f t="shared" si="23"/>
        <v>3480</v>
      </c>
      <c r="AC132" s="399">
        <v>0.0399768518518519</v>
      </c>
      <c r="AD132" s="400">
        <v>169</v>
      </c>
      <c r="AE132" s="400">
        <v>43</v>
      </c>
      <c r="AF132" s="349" t="s">
        <v>132</v>
      </c>
    </row>
    <row r="133" ht="23.1" customHeight="1" spans="1:32">
      <c r="A133" s="349">
        <v>129</v>
      </c>
      <c r="B133" s="350"/>
      <c r="C133" s="351" t="s">
        <v>120</v>
      </c>
      <c r="D133" s="352"/>
      <c r="E133" s="352"/>
      <c r="F133" s="81">
        <v>12</v>
      </c>
      <c r="G133" s="403" t="s">
        <v>851</v>
      </c>
      <c r="H133" s="362" t="s">
        <v>852</v>
      </c>
      <c r="I133" s="100" t="s">
        <v>124</v>
      </c>
      <c r="J133" s="100"/>
      <c r="K133" s="100"/>
      <c r="L133" s="100" t="s">
        <v>124</v>
      </c>
      <c r="M133" s="100"/>
      <c r="N133" s="373" t="s">
        <v>853</v>
      </c>
      <c r="O133" s="374"/>
      <c r="P133" s="375"/>
      <c r="Q133" s="375" t="str">
        <f>CONCATENATE(RemovePunctuation(H133),"_CA","_","i5K","_",C133,"_",AD133,"_",PROPER(R133),IF(S133="",PROPER(R133),PROPER(S133)),PROPER(T133),PROPER(U133),PROPER(V133),IF(V133&lt;&gt;"","SUB",""),PROPER(W133),IF(W133&lt;&gt;"","SUB",""),"_","Ed","_","M4",".mpg")</f>
        <v>WonderfulMusicCollectionMyLoveSaystoYou20250517_CA_i5K_0825_169_ZhoZhoZhoSUB_Ed_M4.mpg</v>
      </c>
      <c r="R133" s="382" t="s">
        <v>130</v>
      </c>
      <c r="S133" s="385"/>
      <c r="T133" s="384"/>
      <c r="U133" s="384"/>
      <c r="V133" s="382" t="s">
        <v>130</v>
      </c>
      <c r="W133" s="382"/>
      <c r="X133" s="349" t="s">
        <v>129</v>
      </c>
      <c r="Y133" s="349" t="s">
        <v>129</v>
      </c>
      <c r="Z133" s="120">
        <f t="shared" si="21"/>
        <v>56</v>
      </c>
      <c r="AA133" s="304" t="str">
        <f t="shared" si="22"/>
        <v>00:56:00</v>
      </c>
      <c r="AB133" s="120">
        <f t="shared" si="23"/>
        <v>3360</v>
      </c>
      <c r="AC133" s="399">
        <v>0.0391203703703704</v>
      </c>
      <c r="AD133" s="400">
        <v>169</v>
      </c>
      <c r="AE133" s="400">
        <v>43</v>
      </c>
      <c r="AF133" s="349" t="s">
        <v>132</v>
      </c>
    </row>
    <row r="134" ht="23.1" customHeight="1" spans="1:32">
      <c r="A134" s="349">
        <v>130</v>
      </c>
      <c r="B134" s="350"/>
      <c r="C134" s="351" t="s">
        <v>120</v>
      </c>
      <c r="D134" s="352" t="s">
        <v>854</v>
      </c>
      <c r="E134" s="352"/>
      <c r="F134" s="28">
        <v>1</v>
      </c>
      <c r="G134" s="403" t="s">
        <v>855</v>
      </c>
      <c r="H134" s="327" t="s">
        <v>856</v>
      </c>
      <c r="I134" s="100" t="s">
        <v>124</v>
      </c>
      <c r="J134" s="100" t="s">
        <v>124</v>
      </c>
      <c r="K134" s="100" t="s">
        <v>124</v>
      </c>
      <c r="L134" s="100" t="s">
        <v>124</v>
      </c>
      <c r="M134" s="100" t="s">
        <v>124</v>
      </c>
      <c r="N134" s="373" t="s">
        <v>857</v>
      </c>
      <c r="O134" s="374" t="s">
        <v>858</v>
      </c>
      <c r="P134" s="375" t="str">
        <f>CONCATENATE(RemovePunctuation(H134),"_CA","_","i4K","_",C134,"_",AE134,"_",PROPER(R134),IF(S134="",PROPER(R134),PROPER(S134)),PROPER(T134),PROPER(U134),PROPER(V134),IF(V134&lt;&gt;"","SUB",""),PROPER(W134),IF(W134&lt;&gt;"","SUB",""),"_","Ed","_","M1",".mpg")</f>
        <v>AcrossChina5YouintheDistantPlacePart2_CA_i4K_0825_43_ZhoZho_Ed_M1.mpg</v>
      </c>
      <c r="Q134" s="375" t="str">
        <f>CONCATENATE(RemovePunctuation(H134),"_CA","_","i5K","_",C134,"_",AD134,"_",PROPER(R134),IF(S134="",PROPER(R134),PROPER(S134)),PROPER(T134),PROPER(U134),PROPER(V134),IF(V134&lt;&gt;"","SUB",""),PROPER(W134),IF(W134&lt;&gt;"","SUB",""),"_","Ed","_","M4",".mpg")</f>
        <v>AcrossChina5YouintheDistantPlacePart2_CA_i5K_0825_169_ZhoZho_Ed_M4.mpg</v>
      </c>
      <c r="R134" s="382" t="s">
        <v>130</v>
      </c>
      <c r="S134" s="385"/>
      <c r="T134" s="384"/>
      <c r="U134" s="384"/>
      <c r="V134" s="382"/>
      <c r="W134" s="384"/>
      <c r="X134" s="349" t="s">
        <v>129</v>
      </c>
      <c r="Y134" s="349" t="s">
        <v>129</v>
      </c>
      <c r="Z134" s="120">
        <f t="shared" si="21"/>
        <v>17</v>
      </c>
      <c r="AA134" s="304" t="str">
        <f t="shared" si="22"/>
        <v>00:17:00</v>
      </c>
      <c r="AB134" s="120">
        <f t="shared" si="23"/>
        <v>1020</v>
      </c>
      <c r="AC134" s="399">
        <v>0.0118981481481481</v>
      </c>
      <c r="AD134" s="400">
        <v>169</v>
      </c>
      <c r="AE134" s="400">
        <v>43</v>
      </c>
      <c r="AF134" s="349" t="s">
        <v>563</v>
      </c>
    </row>
    <row r="135" ht="23.1" customHeight="1" spans="1:32">
      <c r="A135" s="349">
        <v>131</v>
      </c>
      <c r="B135" s="350"/>
      <c r="C135" s="351" t="s">
        <v>120</v>
      </c>
      <c r="D135" s="352"/>
      <c r="E135" s="352"/>
      <c r="F135" s="28">
        <v>2</v>
      </c>
      <c r="G135" s="403" t="s">
        <v>859</v>
      </c>
      <c r="H135" s="327" t="s">
        <v>860</v>
      </c>
      <c r="I135" s="100" t="s">
        <v>124</v>
      </c>
      <c r="J135" s="100" t="s">
        <v>124</v>
      </c>
      <c r="K135" s="100" t="s">
        <v>124</v>
      </c>
      <c r="L135" s="100" t="s">
        <v>124</v>
      </c>
      <c r="M135" s="100" t="s">
        <v>124</v>
      </c>
      <c r="N135" s="373" t="s">
        <v>861</v>
      </c>
      <c r="O135" s="374" t="s">
        <v>862</v>
      </c>
      <c r="P135" s="375" t="str">
        <f>CONCATENATE(RemovePunctuation(H135),"_CA","_","i4K","_",C135,"_",AE135,"_",PROPER(R135),IF(S135="",PROPER(R135),PROPER(S135)),PROPER(T135),PROPER(U135),PROPER(V135),IF(V135&lt;&gt;"","SUB",""),PROPER(W135),IF(W135&lt;&gt;"","SUB",""),"_","Ed","_","M1",".mpg")</f>
        <v>AcrossChina5YouintheDistantPlacePart1_CA_i4K_0825_43_ZhoZho_Ed_M1.mpg</v>
      </c>
      <c r="Q135" s="375" t="str">
        <f>CONCATENATE(RemovePunctuation(H135),"_CA","_","i5K","_",C135,"_",AD135,"_",PROPER(R135),IF(S135="",PROPER(R135),PROPER(S135)),PROPER(T135),PROPER(U135),PROPER(V135),IF(V135&lt;&gt;"","SUB",""),PROPER(W135),IF(W135&lt;&gt;"","SUB",""),"_","Ed","_","M4",".mpg")</f>
        <v>AcrossChina5YouintheDistantPlacePart1_CA_i5K_0825_169_ZhoZho_Ed_M4.mpg</v>
      </c>
      <c r="R135" s="382" t="s">
        <v>130</v>
      </c>
      <c r="S135" s="385"/>
      <c r="T135" s="384"/>
      <c r="U135" s="384"/>
      <c r="V135" s="382"/>
      <c r="W135" s="384"/>
      <c r="X135" s="349" t="s">
        <v>129</v>
      </c>
      <c r="Y135" s="349" t="s">
        <v>129</v>
      </c>
      <c r="Z135" s="120">
        <f t="shared" ref="Z132:Z144" si="24">ROUNDUP(HOUR(AA135)*60+MINUTE(AA135)+SECOND(AA135)/60,0)</f>
        <v>18</v>
      </c>
      <c r="AA135" s="304" t="str">
        <f t="shared" ref="AA132:AA144" si="25">TEXT((HOUR(AC135)*60+MINUTE(AC135)+IF(SECOND(AC135)&lt;=29,0,1))*60/86400,"hh:mm:ss")</f>
        <v>00:18:00</v>
      </c>
      <c r="AB135" s="120">
        <f t="shared" ref="AB132:AB144" si="26">Z135*60</f>
        <v>1080</v>
      </c>
      <c r="AC135" s="399">
        <v>0.0121990740740741</v>
      </c>
      <c r="AD135" s="400">
        <v>169</v>
      </c>
      <c r="AE135" s="400">
        <v>43</v>
      </c>
      <c r="AF135" s="349" t="s">
        <v>563</v>
      </c>
    </row>
    <row r="136" ht="23.1" customHeight="1" spans="1:32">
      <c r="A136" s="349">
        <v>132</v>
      </c>
      <c r="B136" s="350"/>
      <c r="C136" s="351" t="s">
        <v>120</v>
      </c>
      <c r="D136" s="352"/>
      <c r="E136" s="352"/>
      <c r="F136" s="28">
        <v>3</v>
      </c>
      <c r="G136" s="403" t="s">
        <v>863</v>
      </c>
      <c r="H136" s="327" t="s">
        <v>864</v>
      </c>
      <c r="I136" s="100" t="s">
        <v>124</v>
      </c>
      <c r="J136" s="100"/>
      <c r="K136" s="100" t="s">
        <v>124</v>
      </c>
      <c r="L136" s="100" t="s">
        <v>124</v>
      </c>
      <c r="M136" s="100"/>
      <c r="N136" s="373" t="s">
        <v>865</v>
      </c>
      <c r="O136" s="374" t="s">
        <v>866</v>
      </c>
      <c r="P136" s="375"/>
      <c r="Q136" s="375" t="str">
        <f>CONCATENATE(RemovePunctuation(H136),"_CA","_","i5K","_",C136,"_",AD136,"_",PROPER(R136),IF(S136="",PROPER(R136),PROPER(S136)),PROPER(T136),PROPER(U136),PROPER(V136),IF(V136&lt;&gt;"","SUB",""),PROPER(W136),IF(W136&lt;&gt;"","SUB",""),"_","Ed","_","M4",".mpg")</f>
        <v>AcrossChina4DistantFuturePart2_CA_i5K_0825_169_ZhoZho_Ed_M4.mpg</v>
      </c>
      <c r="R136" s="382" t="s">
        <v>130</v>
      </c>
      <c r="S136" s="385"/>
      <c r="T136" s="384"/>
      <c r="U136" s="384"/>
      <c r="V136" s="382"/>
      <c r="W136" s="382"/>
      <c r="X136" s="349" t="s">
        <v>129</v>
      </c>
      <c r="Y136" s="349" t="s">
        <v>129</v>
      </c>
      <c r="Z136" s="120">
        <f t="shared" si="24"/>
        <v>17</v>
      </c>
      <c r="AA136" s="304" t="str">
        <f t="shared" si="25"/>
        <v>00:17:00</v>
      </c>
      <c r="AB136" s="120">
        <f t="shared" si="26"/>
        <v>1020</v>
      </c>
      <c r="AC136" s="399">
        <v>0.0119560185185185</v>
      </c>
      <c r="AD136" s="400">
        <v>169</v>
      </c>
      <c r="AE136" s="400">
        <v>43</v>
      </c>
      <c r="AF136" s="349" t="s">
        <v>563</v>
      </c>
    </row>
    <row r="137" ht="23.1" customHeight="1" spans="1:32">
      <c r="A137" s="349">
        <v>133</v>
      </c>
      <c r="B137" s="350"/>
      <c r="C137" s="351" t="s">
        <v>120</v>
      </c>
      <c r="D137" s="352"/>
      <c r="E137" s="352"/>
      <c r="F137" s="28">
        <v>4</v>
      </c>
      <c r="G137" s="403" t="s">
        <v>867</v>
      </c>
      <c r="H137" s="327" t="s">
        <v>868</v>
      </c>
      <c r="I137" s="100" t="s">
        <v>124</v>
      </c>
      <c r="J137" s="100"/>
      <c r="K137" s="100" t="s">
        <v>124</v>
      </c>
      <c r="L137" s="100" t="s">
        <v>124</v>
      </c>
      <c r="M137" s="100"/>
      <c r="N137" s="373" t="s">
        <v>869</v>
      </c>
      <c r="O137" s="374" t="s">
        <v>870</v>
      </c>
      <c r="P137" s="375"/>
      <c r="Q137" s="375" t="str">
        <f>CONCATENATE(RemovePunctuation(H137),"_CA","_","i5K","_",C137,"_",AD137,"_",PROPER(R137),IF(S137="",PROPER(R137),PROPER(S137)),PROPER(T137),PROPER(U137),PROPER(V137),IF(V137&lt;&gt;"","SUB",""),PROPER(W137),IF(W137&lt;&gt;"","SUB",""),"_","Ed","_","M4",".mpg")</f>
        <v>AcrossChina4DistantFuturePart1_CA_i5K_0825_169_ZhoZho_Ed_M4.mpg</v>
      </c>
      <c r="R137" s="382" t="s">
        <v>130</v>
      </c>
      <c r="S137" s="385"/>
      <c r="T137" s="384"/>
      <c r="U137" s="384"/>
      <c r="V137" s="382"/>
      <c r="W137" s="382"/>
      <c r="X137" s="349" t="s">
        <v>129</v>
      </c>
      <c r="Y137" s="349" t="s">
        <v>129</v>
      </c>
      <c r="Z137" s="120">
        <f t="shared" si="24"/>
        <v>17</v>
      </c>
      <c r="AA137" s="304" t="str">
        <f t="shared" si="25"/>
        <v>00:17:00</v>
      </c>
      <c r="AB137" s="120">
        <f t="shared" si="26"/>
        <v>1020</v>
      </c>
      <c r="AC137" s="399">
        <v>0.0118287037037037</v>
      </c>
      <c r="AD137" s="400">
        <v>169</v>
      </c>
      <c r="AE137" s="400">
        <v>43</v>
      </c>
      <c r="AF137" s="349" t="s">
        <v>563</v>
      </c>
    </row>
    <row r="138" ht="23.1" customHeight="1" spans="1:32">
      <c r="A138" s="349">
        <v>134</v>
      </c>
      <c r="B138" s="350"/>
      <c r="C138" s="351" t="s">
        <v>120</v>
      </c>
      <c r="D138" s="352"/>
      <c r="E138" s="352"/>
      <c r="F138" s="28">
        <v>5</v>
      </c>
      <c r="G138" s="403" t="s">
        <v>871</v>
      </c>
      <c r="H138" s="327" t="s">
        <v>872</v>
      </c>
      <c r="I138" s="100" t="s">
        <v>124</v>
      </c>
      <c r="J138" s="100" t="s">
        <v>124</v>
      </c>
      <c r="K138" s="100" t="s">
        <v>124</v>
      </c>
      <c r="L138" s="100" t="s">
        <v>124</v>
      </c>
      <c r="M138" s="100" t="s">
        <v>124</v>
      </c>
      <c r="N138" s="373" t="s">
        <v>873</v>
      </c>
      <c r="O138" s="374" t="s">
        <v>874</v>
      </c>
      <c r="P138" s="375" t="str">
        <f>CONCATENATE(RemovePunctuation(H138),"_CA","_","i4K","_",C138,"_",AE138,"_",PROPER(R138),IF(S138="",PROPER(R138),PROPER(S138)),PROPER(T138),PROPER(U138),PROPER(V138),IF(V138&lt;&gt;"","SUB",""),PROPER(W138),IF(W138&lt;&gt;"","SUB",""),"_","Ed","_","M1",".mpg")</f>
        <v>AerialChinaEp04_CA_i4K_0825_43_ZhoZho_Ed_M1.mpg</v>
      </c>
      <c r="Q138" s="375" t="str">
        <f>CONCATENATE(RemovePunctuation(H138),"_CA","_","i5K","_",C138,"_",AD138,"_",PROPER(R138),IF(S138="",PROPER(R138),PROPER(S138)),PROPER(T138),PROPER(U138),PROPER(V138),IF(V138&lt;&gt;"","SUB",""),PROPER(W138),IF(W138&lt;&gt;"","SUB",""),"_","Ed","_","M4",".mpg")</f>
        <v>AerialChinaEp04_CA_i5K_0825_169_ZhoZho_Ed_M4.mpg</v>
      </c>
      <c r="R138" s="382" t="s">
        <v>130</v>
      </c>
      <c r="S138" s="385"/>
      <c r="T138" s="384"/>
      <c r="U138" s="384"/>
      <c r="V138" s="382"/>
      <c r="W138" s="382"/>
      <c r="X138" s="349" t="s">
        <v>129</v>
      </c>
      <c r="Y138" s="349" t="s">
        <v>129</v>
      </c>
      <c r="Z138" s="120">
        <f t="shared" si="24"/>
        <v>5</v>
      </c>
      <c r="AA138" s="304" t="str">
        <f t="shared" si="25"/>
        <v>00:05:00</v>
      </c>
      <c r="AB138" s="120">
        <f t="shared" si="26"/>
        <v>300</v>
      </c>
      <c r="AC138" s="399">
        <v>0.00350694444444444</v>
      </c>
      <c r="AD138" s="400">
        <v>169</v>
      </c>
      <c r="AE138" s="400">
        <v>43</v>
      </c>
      <c r="AF138" s="349"/>
    </row>
    <row r="139" ht="23.1" customHeight="1" spans="1:32">
      <c r="A139" s="349">
        <v>135</v>
      </c>
      <c r="B139" s="350"/>
      <c r="C139" s="351" t="s">
        <v>120</v>
      </c>
      <c r="D139" s="352"/>
      <c r="E139" s="352"/>
      <c r="F139" s="28">
        <v>6</v>
      </c>
      <c r="G139" s="403" t="s">
        <v>875</v>
      </c>
      <c r="H139" s="327" t="s">
        <v>876</v>
      </c>
      <c r="I139" s="100" t="s">
        <v>124</v>
      </c>
      <c r="J139" s="100"/>
      <c r="K139" s="100" t="s">
        <v>124</v>
      </c>
      <c r="L139" s="100" t="s">
        <v>124</v>
      </c>
      <c r="M139" s="100" t="s">
        <v>124</v>
      </c>
      <c r="N139" s="373" t="s">
        <v>877</v>
      </c>
      <c r="O139" s="374" t="s">
        <v>878</v>
      </c>
      <c r="P139" s="375" t="str">
        <f>CONCATENATE(RemovePunctuation(H139),"_CA","_","i4K","_",C139,"_",AE139,"_",PROPER(R139),IF(S139="",PROPER(R139),PROPER(S139)),PROPER(T139),PROPER(U139),PROPER(V139),IF(V139&lt;&gt;"","SUB",""),PROPER(W139),IF(W139&lt;&gt;"","SUB",""),"_","Ed","_","M1",".mpg")</f>
        <v>AerialChinaEp03_CA_i4K_0825_43_ZhoZho_Ed_M1.mpg</v>
      </c>
      <c r="Q139" s="375" t="str">
        <f>CONCATENATE(RemovePunctuation(H139),"_CA","_","i5K","_",C139,"_",AD139,"_",PROPER(R139),IF(S139="",PROPER(R139),PROPER(S139)),PROPER(T139),PROPER(U139),PROPER(V139),IF(V139&lt;&gt;"","SUB",""),PROPER(W139),IF(W139&lt;&gt;"","SUB",""),"_","Ed","_","M4",".mpg")</f>
        <v>AerialChinaEp03_CA_i5K_0825_169_ZhoZho_Ed_M4.mpg</v>
      </c>
      <c r="R139" s="382" t="s">
        <v>130</v>
      </c>
      <c r="S139" s="385"/>
      <c r="T139" s="384"/>
      <c r="U139" s="384"/>
      <c r="V139" s="382"/>
      <c r="W139" s="384"/>
      <c r="X139" s="349" t="s">
        <v>129</v>
      </c>
      <c r="Y139" s="349" t="s">
        <v>129</v>
      </c>
      <c r="Z139" s="120">
        <f t="shared" si="24"/>
        <v>6</v>
      </c>
      <c r="AA139" s="304" t="str">
        <f t="shared" si="25"/>
        <v>00:06:00</v>
      </c>
      <c r="AB139" s="120">
        <f t="shared" si="26"/>
        <v>360</v>
      </c>
      <c r="AC139" s="399">
        <v>0.00384259259259259</v>
      </c>
      <c r="AD139" s="400">
        <v>169</v>
      </c>
      <c r="AE139" s="400">
        <v>43</v>
      </c>
      <c r="AF139" s="349"/>
    </row>
    <row r="140" ht="23.1" customHeight="1" spans="1:32">
      <c r="A140" s="349">
        <v>136</v>
      </c>
      <c r="B140" s="350"/>
      <c r="C140" s="351" t="s">
        <v>120</v>
      </c>
      <c r="D140" s="352"/>
      <c r="E140" s="352"/>
      <c r="F140" s="28">
        <v>7</v>
      </c>
      <c r="G140" s="403" t="s">
        <v>879</v>
      </c>
      <c r="H140" s="327" t="s">
        <v>880</v>
      </c>
      <c r="I140" s="100" t="s">
        <v>124</v>
      </c>
      <c r="J140" s="100" t="s">
        <v>124</v>
      </c>
      <c r="K140" s="100"/>
      <c r="L140" s="100" t="s">
        <v>124</v>
      </c>
      <c r="M140" s="100" t="s">
        <v>124</v>
      </c>
      <c r="N140" s="373" t="s">
        <v>881</v>
      </c>
      <c r="O140" s="374"/>
      <c r="P140" s="375" t="str">
        <f>CONCATENATE(RemovePunctuation(H140),"_CA","_","i4K","_",C140,"_",AE140,"_",PROPER(R140),IF(S140="",PROPER(R140),PROPER(S140)),PROPER(T140),PROPER(U140),PROPER(V140),IF(V140&lt;&gt;"","SUB",""),PROPER(W140),IF(W140&lt;&gt;"","SUB",""),"_","Ed","_","M1",".mpg")</f>
        <v>ChinaBeyondCompareS02E12WulanChakaSaltLakeAPureJourneyfortheSoul_CA_i4K_0825_43_ZhoZhoEngSUBZhoSUB_Ed_M1.mpg</v>
      </c>
      <c r="Q140" s="375" t="str">
        <f>CONCATENATE(RemovePunctuation(H140),"_CA","_","i5K","_",C140,"_",AD140,"_",PROPER(R140),IF(S140="",PROPER(R140),PROPER(S140)),PROPER(T140),PROPER(U140),PROPER(V140),IF(V140&lt;&gt;"","SUB",""),PROPER(W140),IF(W140&lt;&gt;"","SUB",""),"_","Ed","_","M4",".mpg")</f>
        <v>ChinaBeyondCompareS02E12WulanChakaSaltLakeAPureJourneyfortheSoul_CA_i5K_0825_169_ZhoZhoEngSUBZhoSUB_Ed_M4.mpg</v>
      </c>
      <c r="R140" s="382" t="s">
        <v>130</v>
      </c>
      <c r="S140" s="385"/>
      <c r="T140" s="384"/>
      <c r="U140" s="384"/>
      <c r="V140" s="382" t="s">
        <v>131</v>
      </c>
      <c r="W140" s="382" t="s">
        <v>130</v>
      </c>
      <c r="X140" s="349" t="s">
        <v>129</v>
      </c>
      <c r="Y140" s="349" t="s">
        <v>129</v>
      </c>
      <c r="Z140" s="120">
        <f t="shared" si="24"/>
        <v>13</v>
      </c>
      <c r="AA140" s="304" t="str">
        <f t="shared" si="25"/>
        <v>00:13:00</v>
      </c>
      <c r="AB140" s="120">
        <f t="shared" si="26"/>
        <v>780</v>
      </c>
      <c r="AC140" s="399">
        <v>0.00872685185185185</v>
      </c>
      <c r="AD140" s="400">
        <v>169</v>
      </c>
      <c r="AE140" s="400">
        <v>43</v>
      </c>
      <c r="AF140" s="349"/>
    </row>
    <row r="141" ht="23.1" customHeight="1" spans="1:32">
      <c r="A141" s="349">
        <v>137</v>
      </c>
      <c r="B141" s="350"/>
      <c r="C141" s="351" t="s">
        <v>120</v>
      </c>
      <c r="D141" s="352"/>
      <c r="E141" s="352"/>
      <c r="F141" s="28">
        <v>8</v>
      </c>
      <c r="G141" s="403" t="s">
        <v>882</v>
      </c>
      <c r="H141" s="327" t="s">
        <v>883</v>
      </c>
      <c r="I141" s="100" t="s">
        <v>124</v>
      </c>
      <c r="J141" s="100" t="s">
        <v>124</v>
      </c>
      <c r="K141" s="100"/>
      <c r="L141" s="100" t="s">
        <v>124</v>
      </c>
      <c r="M141" s="100" t="s">
        <v>124</v>
      </c>
      <c r="N141" s="373" t="s">
        <v>884</v>
      </c>
      <c r="O141" s="374"/>
      <c r="P141" s="375" t="str">
        <f>CONCATENATE(RemovePunctuation(H141),"_CA","_","i4K","_",C141,"_",AE141,"_",PROPER(R141),IF(S141="",PROPER(R141),PROPER(S141)),PROPER(T141),PROPER(U141),PROPER(V141),IF(V141&lt;&gt;"","SUB",""),PROPER(W141),IF(W141&lt;&gt;"","SUB",""),"_","Ed","_","M1",".mpg")</f>
        <v>CornerstoneofaGreatNationS02E07ForNationalBuildingMaterials_CA_i4K_0825_43_ZhoZhoZhoSUB_Ed_M1.mpg</v>
      </c>
      <c r="Q141" s="375" t="str">
        <f>CONCATENATE(RemovePunctuation(H141),"_CA","_","i5K","_",C141,"_",AD141,"_",PROPER(R141),IF(S141="",PROPER(R141),PROPER(S141)),PROPER(T141),PROPER(U141),PROPER(V141),IF(V141&lt;&gt;"","SUB",""),PROPER(W141),IF(W141&lt;&gt;"","SUB",""),"_","Ed","_","M4",".mpg")</f>
        <v>CornerstoneofaGreatNationS02E07ForNationalBuildingMaterials_CA_i5K_0825_169_ZhoZhoZhoSUB_Ed_M4.mpg</v>
      </c>
      <c r="R141" s="382" t="s">
        <v>130</v>
      </c>
      <c r="S141" s="385"/>
      <c r="T141" s="384"/>
      <c r="U141" s="384"/>
      <c r="V141" s="409" t="s">
        <v>130</v>
      </c>
      <c r="W141" s="384"/>
      <c r="X141" s="349" t="s">
        <v>129</v>
      </c>
      <c r="Y141" s="349" t="s">
        <v>129</v>
      </c>
      <c r="Z141" s="120">
        <f t="shared" si="24"/>
        <v>29</v>
      </c>
      <c r="AA141" s="304" t="str">
        <f t="shared" si="25"/>
        <v>00:29:00</v>
      </c>
      <c r="AB141" s="120">
        <f t="shared" si="26"/>
        <v>1740</v>
      </c>
      <c r="AC141" s="399">
        <v>0.0204166666666667</v>
      </c>
      <c r="AD141" s="400">
        <v>169</v>
      </c>
      <c r="AE141" s="400">
        <v>43</v>
      </c>
      <c r="AF141" s="349" t="s">
        <v>563</v>
      </c>
    </row>
    <row r="142" ht="23.1" customHeight="1" spans="1:32">
      <c r="A142" s="349">
        <v>138</v>
      </c>
      <c r="B142" s="350"/>
      <c r="C142" s="351" t="s">
        <v>120</v>
      </c>
      <c r="D142" s="352"/>
      <c r="E142" s="352"/>
      <c r="F142" s="28">
        <v>9</v>
      </c>
      <c r="G142" s="403" t="s">
        <v>885</v>
      </c>
      <c r="H142" s="327" t="s">
        <v>886</v>
      </c>
      <c r="I142" s="100" t="s">
        <v>124</v>
      </c>
      <c r="J142" s="100"/>
      <c r="K142" s="100"/>
      <c r="L142" s="100" t="s">
        <v>124</v>
      </c>
      <c r="M142" s="100"/>
      <c r="N142" s="373" t="s">
        <v>887</v>
      </c>
      <c r="O142" s="374"/>
      <c r="P142" s="375"/>
      <c r="Q142" s="375" t="str">
        <f>CONCATENATE(RemovePunctuation(H142),"_CA","_","i5K","_",C142,"_",AD142,"_",PROPER(R142),IF(S142="",PROPER(R142),PROPER(S142)),PROPER(T142),PROPER(U142),PROPER(V142),IF(V142&lt;&gt;"","SUB",""),PROPER(W142),IF(W142&lt;&gt;"","SUB",""),"_","Ed","_","M4",".mpg")</f>
        <v>CornerstoneofaGreatNationS02E06TheEasternAwakening_CA_i5K_0825_169_ZhoZhoZhoSUB_Ed_M4.mpg</v>
      </c>
      <c r="R142" s="382" t="s">
        <v>130</v>
      </c>
      <c r="S142" s="385"/>
      <c r="T142" s="384"/>
      <c r="U142" s="384"/>
      <c r="V142" s="409" t="s">
        <v>130</v>
      </c>
      <c r="W142" s="384"/>
      <c r="X142" s="349" t="s">
        <v>129</v>
      </c>
      <c r="Y142" s="349" t="s">
        <v>129</v>
      </c>
      <c r="Z142" s="120">
        <f t="shared" si="24"/>
        <v>29</v>
      </c>
      <c r="AA142" s="304" t="str">
        <f t="shared" si="25"/>
        <v>00:29:00</v>
      </c>
      <c r="AB142" s="120">
        <f t="shared" si="26"/>
        <v>1740</v>
      </c>
      <c r="AC142" s="399">
        <v>0.0200115740740741</v>
      </c>
      <c r="AD142" s="400">
        <v>169</v>
      </c>
      <c r="AE142" s="400">
        <v>43</v>
      </c>
      <c r="AF142" s="349" t="s">
        <v>563</v>
      </c>
    </row>
    <row r="143" ht="23.1" customHeight="1" spans="1:32">
      <c r="A143" s="349">
        <v>139</v>
      </c>
      <c r="B143" s="350"/>
      <c r="C143" s="351" t="s">
        <v>120</v>
      </c>
      <c r="D143" s="352"/>
      <c r="E143" s="352"/>
      <c r="F143" s="28">
        <v>10</v>
      </c>
      <c r="G143" s="403" t="s">
        <v>888</v>
      </c>
      <c r="H143" s="327" t="s">
        <v>889</v>
      </c>
      <c r="I143" s="100" t="s">
        <v>124</v>
      </c>
      <c r="J143" s="100" t="s">
        <v>124</v>
      </c>
      <c r="K143" s="100"/>
      <c r="L143" s="100" t="s">
        <v>124</v>
      </c>
      <c r="M143" s="100" t="s">
        <v>124</v>
      </c>
      <c r="N143" s="373" t="s">
        <v>890</v>
      </c>
      <c r="O143" s="374"/>
      <c r="P143" s="375" t="str">
        <f>CONCATENATE(RemovePunctuation(H143),"_CA","_","i4K","_",C143,"_",AE143,"_",PROPER(R143),IF(S143="",PROPER(R143),PROPER(S143)),PROPER(T143),PROPER(U143),PROPER(V143),IF(V143&lt;&gt;"","SUB",""),PROPER(W143),IF(W143&lt;&gt;"","SUB",""),"_","Ed","_","M1",".mpg")</f>
        <v>ChinainIntangibleCulturalHeritageSeason3Fujian_CA_i4K_0825_43_ZhoZhoZhoSUB_Ed_M1.mpg</v>
      </c>
      <c r="Q143" s="375" t="str">
        <f>CONCATENATE(RemovePunctuation(H143),"_CA","_","i5K","_",C143,"_",AD143,"_",PROPER(R143),IF(S143="",PROPER(R143),PROPER(S143)),PROPER(T143),PROPER(U143),PROPER(V143),IF(V143&lt;&gt;"","SUB",""),PROPER(W143),IF(W143&lt;&gt;"","SUB",""),"_","Ed","_","M4",".mpg")</f>
        <v>ChinainIntangibleCulturalHeritageSeason3Fujian_CA_i5K_0825_169_ZhoZhoZhoSUB_Ed_M4.mpg</v>
      </c>
      <c r="R143" s="382" t="s">
        <v>130</v>
      </c>
      <c r="S143" s="385"/>
      <c r="T143" s="384"/>
      <c r="U143" s="384"/>
      <c r="V143" s="409" t="s">
        <v>130</v>
      </c>
      <c r="W143" s="384"/>
      <c r="X143" s="349" t="s">
        <v>129</v>
      </c>
      <c r="Y143" s="349" t="s">
        <v>129</v>
      </c>
      <c r="Z143" s="120">
        <f t="shared" si="24"/>
        <v>90</v>
      </c>
      <c r="AA143" s="304" t="str">
        <f t="shared" si="25"/>
        <v>01:30:00</v>
      </c>
      <c r="AB143" s="120">
        <f t="shared" si="26"/>
        <v>5400</v>
      </c>
      <c r="AC143" s="399">
        <v>0.0625694444444444</v>
      </c>
      <c r="AD143" s="400">
        <v>169</v>
      </c>
      <c r="AE143" s="400">
        <v>43</v>
      </c>
      <c r="AF143" s="349" t="s">
        <v>132</v>
      </c>
    </row>
    <row r="144" ht="23.1" customHeight="1" spans="1:32">
      <c r="A144" s="349">
        <v>140</v>
      </c>
      <c r="B144" s="350"/>
      <c r="C144" s="351" t="s">
        <v>120</v>
      </c>
      <c r="D144" s="352"/>
      <c r="E144" s="352"/>
      <c r="F144" s="28">
        <v>11</v>
      </c>
      <c r="G144" s="403" t="s">
        <v>891</v>
      </c>
      <c r="H144" s="327" t="s">
        <v>892</v>
      </c>
      <c r="I144" s="100" t="s">
        <v>124</v>
      </c>
      <c r="J144" s="100" t="s">
        <v>124</v>
      </c>
      <c r="K144" s="100" t="s">
        <v>124</v>
      </c>
      <c r="L144" s="100" t="s">
        <v>124</v>
      </c>
      <c r="M144" s="100" t="s">
        <v>124</v>
      </c>
      <c r="N144" s="373" t="s">
        <v>893</v>
      </c>
      <c r="O144" s="374" t="s">
        <v>894</v>
      </c>
      <c r="P144" s="375" t="str">
        <f>CONCATENATE(RemovePunctuation(H144),"_CA","_","i4K","_",C144,"_",AE144,"_",PROPER(R144),IF(S144="",PROPER(R144),PROPER(S144)),PROPER(T144),PROPER(U144),PROPER(V144),IF(V144&lt;&gt;"","SUB",""),PROPER(W144),IF(W144&lt;&gt;"","SUB",""),"_","Ed","_","M1",".mpg")</f>
        <v>SmartChinaEp3_CA_i4K_0825_43_EngEngZhoSUB_Ed_M1.mpg</v>
      </c>
      <c r="Q144" s="375" t="str">
        <f>CONCATENATE(RemovePunctuation(H144),"_CA","_","i5K","_",C144,"_",AD144,"_",PROPER(R144),IF(S144="",PROPER(R144),PROPER(S144)),PROPER(T144),PROPER(U144),PROPER(V144),IF(V144&lt;&gt;"","SUB",""),PROPER(W144),IF(W144&lt;&gt;"","SUB",""),"_","Ed","_","M4",".mpg")</f>
        <v>SmartChinaEp3_CA_i5K_0825_169_EngEngZhoSUB_Ed_M4.mpg</v>
      </c>
      <c r="R144" s="382" t="s">
        <v>131</v>
      </c>
      <c r="S144" s="385"/>
      <c r="T144" s="384"/>
      <c r="U144" s="384"/>
      <c r="V144" s="382" t="s">
        <v>130</v>
      </c>
      <c r="W144" s="382"/>
      <c r="X144" s="349" t="s">
        <v>129</v>
      </c>
      <c r="Y144" s="349" t="s">
        <v>129</v>
      </c>
      <c r="Z144" s="120">
        <f t="shared" si="24"/>
        <v>44</v>
      </c>
      <c r="AA144" s="304" t="str">
        <f t="shared" si="25"/>
        <v>00:44:00</v>
      </c>
      <c r="AB144" s="120">
        <f t="shared" si="26"/>
        <v>2640</v>
      </c>
      <c r="AC144" s="399">
        <v>0.0302777777777778</v>
      </c>
      <c r="AD144" s="400">
        <v>169</v>
      </c>
      <c r="AE144" s="400">
        <v>43</v>
      </c>
      <c r="AF144" s="349"/>
    </row>
    <row r="145" ht="23.1" customHeight="1" spans="1:32">
      <c r="A145" s="349">
        <v>141</v>
      </c>
      <c r="B145" s="350"/>
      <c r="C145" s="351" t="s">
        <v>120</v>
      </c>
      <c r="D145" s="159" t="s">
        <v>895</v>
      </c>
      <c r="E145" s="352" t="s">
        <v>896</v>
      </c>
      <c r="F145" s="28">
        <v>1</v>
      </c>
      <c r="G145" s="356" t="s">
        <v>897</v>
      </c>
      <c r="H145" s="357" t="s">
        <v>898</v>
      </c>
      <c r="I145" s="100" t="s">
        <v>124</v>
      </c>
      <c r="J145" s="100"/>
      <c r="K145" s="100"/>
      <c r="L145" s="100"/>
      <c r="M145" s="406"/>
      <c r="N145" s="373" t="s">
        <v>899</v>
      </c>
      <c r="O145" s="374"/>
      <c r="P145" s="376"/>
      <c r="Q145" s="375"/>
      <c r="R145" s="382" t="s">
        <v>130</v>
      </c>
      <c r="S145" s="385"/>
      <c r="T145" s="384"/>
      <c r="U145" s="384"/>
      <c r="V145" s="382" t="s">
        <v>130</v>
      </c>
      <c r="W145" s="382"/>
      <c r="X145" s="349" t="s">
        <v>129</v>
      </c>
      <c r="Y145" s="349" t="s">
        <v>129</v>
      </c>
      <c r="Z145" s="120">
        <f t="shared" ref="Z145:Z166" si="27">ROUNDUP(HOUR(AA145)*60+MINUTE(AA145)+SECOND(AA145)/60,0)</f>
        <v>3</v>
      </c>
      <c r="AA145" s="304" t="str">
        <f t="shared" ref="AA145:AA166" si="28">TEXT((HOUR(AC145)*60+MINUTE(AC145)+IF(SECOND(AC145)&lt;=29,0,1))*60/86400,"hh:mm:ss")</f>
        <v>00:03:00</v>
      </c>
      <c r="AB145" s="120">
        <f t="shared" ref="AB145:AB166" si="29">Z145*60</f>
        <v>180</v>
      </c>
      <c r="AC145" s="399">
        <v>0.00239583333333333</v>
      </c>
      <c r="AD145" s="400">
        <v>169</v>
      </c>
      <c r="AE145" s="400">
        <v>43</v>
      </c>
      <c r="AF145" s="349" t="s">
        <v>132</v>
      </c>
    </row>
    <row r="146" ht="23.1" customHeight="1" spans="1:32">
      <c r="A146" s="349">
        <v>142</v>
      </c>
      <c r="B146" s="350"/>
      <c r="C146" s="351" t="s">
        <v>120</v>
      </c>
      <c r="D146" s="159"/>
      <c r="E146" s="352"/>
      <c r="F146" s="28">
        <v>2</v>
      </c>
      <c r="G146" s="356" t="s">
        <v>900</v>
      </c>
      <c r="H146" s="357" t="s">
        <v>901</v>
      </c>
      <c r="I146" s="100" t="s">
        <v>124</v>
      </c>
      <c r="J146" s="100"/>
      <c r="K146" s="100"/>
      <c r="L146" s="100"/>
      <c r="M146" s="406"/>
      <c r="N146" s="373" t="s">
        <v>902</v>
      </c>
      <c r="O146" s="374"/>
      <c r="P146" s="376"/>
      <c r="Q146" s="375"/>
      <c r="R146" s="382" t="s">
        <v>130</v>
      </c>
      <c r="S146" s="385"/>
      <c r="T146" s="384"/>
      <c r="U146" s="384"/>
      <c r="V146" s="382" t="s">
        <v>130</v>
      </c>
      <c r="W146" s="382"/>
      <c r="X146" s="349" t="s">
        <v>129</v>
      </c>
      <c r="Y146" s="349" t="s">
        <v>129</v>
      </c>
      <c r="Z146" s="120">
        <f t="shared" si="27"/>
        <v>3</v>
      </c>
      <c r="AA146" s="304" t="str">
        <f t="shared" si="28"/>
        <v>00:03:00</v>
      </c>
      <c r="AB146" s="120">
        <f t="shared" si="29"/>
        <v>180</v>
      </c>
      <c r="AC146" s="399">
        <v>0.00225694444444444</v>
      </c>
      <c r="AD146" s="400">
        <v>169</v>
      </c>
      <c r="AE146" s="400">
        <v>43</v>
      </c>
      <c r="AF146" s="349"/>
    </row>
    <row r="147" ht="23.1" customHeight="1" spans="1:32">
      <c r="A147" s="349">
        <v>143</v>
      </c>
      <c r="B147" s="350"/>
      <c r="C147" s="351" t="s">
        <v>120</v>
      </c>
      <c r="D147" s="159"/>
      <c r="E147" s="352"/>
      <c r="F147" s="28">
        <v>3</v>
      </c>
      <c r="G147" s="356" t="s">
        <v>903</v>
      </c>
      <c r="H147" s="404" t="s">
        <v>904</v>
      </c>
      <c r="I147" s="100" t="s">
        <v>124</v>
      </c>
      <c r="J147" s="100"/>
      <c r="K147" s="100"/>
      <c r="L147" s="100"/>
      <c r="M147" s="406"/>
      <c r="N147" s="373" t="s">
        <v>905</v>
      </c>
      <c r="O147" s="374"/>
      <c r="P147" s="376"/>
      <c r="Q147" s="375"/>
      <c r="R147" s="382" t="s">
        <v>130</v>
      </c>
      <c r="S147" s="385"/>
      <c r="T147" s="384"/>
      <c r="U147" s="384"/>
      <c r="V147" s="382" t="s">
        <v>130</v>
      </c>
      <c r="W147" s="382"/>
      <c r="X147" s="349" t="s">
        <v>129</v>
      </c>
      <c r="Y147" s="349" t="s">
        <v>129</v>
      </c>
      <c r="Z147" s="120">
        <f t="shared" si="27"/>
        <v>2</v>
      </c>
      <c r="AA147" s="304" t="str">
        <f t="shared" si="28"/>
        <v>00:02:00</v>
      </c>
      <c r="AB147" s="120">
        <f t="shared" si="29"/>
        <v>120</v>
      </c>
      <c r="AC147" s="399">
        <v>0.00104166666666667</v>
      </c>
      <c r="AD147" s="400">
        <v>169</v>
      </c>
      <c r="AE147" s="400">
        <v>43</v>
      </c>
      <c r="AF147" s="349"/>
    </row>
    <row r="148" ht="23.1" customHeight="1" spans="1:32">
      <c r="A148" s="349">
        <v>144</v>
      </c>
      <c r="B148" s="350"/>
      <c r="C148" s="351" t="s">
        <v>120</v>
      </c>
      <c r="D148" s="159"/>
      <c r="E148" s="352"/>
      <c r="F148" s="28">
        <v>4</v>
      </c>
      <c r="G148" s="356" t="s">
        <v>906</v>
      </c>
      <c r="H148" s="357" t="s">
        <v>907</v>
      </c>
      <c r="I148" s="100" t="s">
        <v>124</v>
      </c>
      <c r="J148" s="100"/>
      <c r="K148" s="100"/>
      <c r="L148" s="100"/>
      <c r="M148" s="406"/>
      <c r="N148" s="373" t="s">
        <v>908</v>
      </c>
      <c r="O148" s="374"/>
      <c r="P148" s="376"/>
      <c r="Q148" s="375"/>
      <c r="R148" s="382" t="s">
        <v>130</v>
      </c>
      <c r="S148" s="385"/>
      <c r="T148" s="384"/>
      <c r="U148" s="384"/>
      <c r="V148" s="382" t="s">
        <v>130</v>
      </c>
      <c r="W148" s="382"/>
      <c r="X148" s="349" t="s">
        <v>129</v>
      </c>
      <c r="Y148" s="349" t="s">
        <v>129</v>
      </c>
      <c r="Z148" s="120">
        <f t="shared" si="27"/>
        <v>4</v>
      </c>
      <c r="AA148" s="304" t="str">
        <f t="shared" si="28"/>
        <v>00:04:00</v>
      </c>
      <c r="AB148" s="120">
        <f t="shared" si="29"/>
        <v>240</v>
      </c>
      <c r="AC148" s="399">
        <v>0.00296296296296296</v>
      </c>
      <c r="AD148" s="400">
        <v>169</v>
      </c>
      <c r="AE148" s="400">
        <v>43</v>
      </c>
      <c r="AF148" s="349"/>
    </row>
    <row r="149" ht="23.1" customHeight="1" spans="1:32">
      <c r="A149" s="349">
        <v>145</v>
      </c>
      <c r="B149" s="350"/>
      <c r="C149" s="351" t="s">
        <v>120</v>
      </c>
      <c r="D149" s="159"/>
      <c r="E149" s="352"/>
      <c r="F149" s="28">
        <v>5</v>
      </c>
      <c r="G149" s="356" t="s">
        <v>909</v>
      </c>
      <c r="H149" s="357" t="s">
        <v>909</v>
      </c>
      <c r="I149" s="100" t="s">
        <v>124</v>
      </c>
      <c r="J149" s="100"/>
      <c r="K149" s="100"/>
      <c r="L149" s="100"/>
      <c r="M149" s="406"/>
      <c r="N149" s="373" t="s">
        <v>910</v>
      </c>
      <c r="O149" s="374"/>
      <c r="P149" s="376"/>
      <c r="Q149" s="375"/>
      <c r="R149" s="382" t="s">
        <v>131</v>
      </c>
      <c r="S149" s="385"/>
      <c r="T149" s="384"/>
      <c r="U149" s="384"/>
      <c r="V149" s="382" t="s">
        <v>131</v>
      </c>
      <c r="W149" s="382"/>
      <c r="X149" s="349" t="s">
        <v>129</v>
      </c>
      <c r="Y149" s="349" t="s">
        <v>129</v>
      </c>
      <c r="Z149" s="120">
        <f t="shared" si="27"/>
        <v>3</v>
      </c>
      <c r="AA149" s="304" t="str">
        <f t="shared" si="28"/>
        <v>00:03:00</v>
      </c>
      <c r="AB149" s="120">
        <f t="shared" si="29"/>
        <v>180</v>
      </c>
      <c r="AC149" s="399">
        <v>0.00201388888888889</v>
      </c>
      <c r="AD149" s="400">
        <v>169</v>
      </c>
      <c r="AE149" s="400">
        <v>43</v>
      </c>
      <c r="AF149" s="349"/>
    </row>
    <row r="150" ht="23.1" customHeight="1" spans="1:32">
      <c r="A150" s="349">
        <v>146</v>
      </c>
      <c r="B150" s="350"/>
      <c r="C150" s="351" t="s">
        <v>120</v>
      </c>
      <c r="D150" s="159"/>
      <c r="E150" s="352"/>
      <c r="F150" s="28">
        <v>6</v>
      </c>
      <c r="G150" s="356" t="s">
        <v>911</v>
      </c>
      <c r="H150" s="357" t="s">
        <v>912</v>
      </c>
      <c r="I150" s="100" t="s">
        <v>124</v>
      </c>
      <c r="J150" s="100"/>
      <c r="K150" s="100"/>
      <c r="L150" s="100"/>
      <c r="M150" s="406"/>
      <c r="N150" s="373" t="s">
        <v>913</v>
      </c>
      <c r="O150" s="374"/>
      <c r="P150" s="376"/>
      <c r="Q150" s="375"/>
      <c r="R150" s="382" t="s">
        <v>130</v>
      </c>
      <c r="S150" s="385"/>
      <c r="T150" s="384"/>
      <c r="U150" s="384"/>
      <c r="V150" s="382" t="s">
        <v>130</v>
      </c>
      <c r="W150" s="382"/>
      <c r="X150" s="349" t="s">
        <v>129</v>
      </c>
      <c r="Y150" s="349" t="s">
        <v>129</v>
      </c>
      <c r="Z150" s="120">
        <f t="shared" si="27"/>
        <v>4</v>
      </c>
      <c r="AA150" s="304" t="str">
        <f t="shared" si="28"/>
        <v>00:04:00</v>
      </c>
      <c r="AB150" s="120">
        <f t="shared" si="29"/>
        <v>240</v>
      </c>
      <c r="AC150" s="399">
        <v>0.00306712962962963</v>
      </c>
      <c r="AD150" s="400">
        <v>169</v>
      </c>
      <c r="AE150" s="400">
        <v>43</v>
      </c>
      <c r="AF150" s="349"/>
    </row>
    <row r="151" ht="23.1" customHeight="1" spans="1:32">
      <c r="A151" s="349">
        <v>147</v>
      </c>
      <c r="B151" s="350"/>
      <c r="C151" s="351" t="s">
        <v>120</v>
      </c>
      <c r="D151" s="159"/>
      <c r="E151" s="352"/>
      <c r="F151" s="28">
        <v>7</v>
      </c>
      <c r="G151" s="356" t="s">
        <v>914</v>
      </c>
      <c r="H151" s="357" t="s">
        <v>915</v>
      </c>
      <c r="I151" s="100" t="s">
        <v>124</v>
      </c>
      <c r="J151" s="100"/>
      <c r="K151" s="100"/>
      <c r="L151" s="100"/>
      <c r="M151" s="406"/>
      <c r="N151" s="373" t="s">
        <v>916</v>
      </c>
      <c r="O151" s="374"/>
      <c r="P151" s="376"/>
      <c r="Q151" s="375"/>
      <c r="R151" s="382" t="s">
        <v>130</v>
      </c>
      <c r="S151" s="385"/>
      <c r="T151" s="384"/>
      <c r="U151" s="384"/>
      <c r="V151" s="382" t="s">
        <v>130</v>
      </c>
      <c r="W151" s="382"/>
      <c r="X151" s="349" t="s">
        <v>129</v>
      </c>
      <c r="Y151" s="349" t="s">
        <v>129</v>
      </c>
      <c r="Z151" s="120">
        <f t="shared" si="27"/>
        <v>4</v>
      </c>
      <c r="AA151" s="304" t="str">
        <f t="shared" si="28"/>
        <v>00:04:00</v>
      </c>
      <c r="AB151" s="120">
        <f t="shared" si="29"/>
        <v>240</v>
      </c>
      <c r="AC151" s="399">
        <v>0.00296296296296296</v>
      </c>
      <c r="AD151" s="400">
        <v>169</v>
      </c>
      <c r="AE151" s="400">
        <v>43</v>
      </c>
      <c r="AF151" s="349"/>
    </row>
    <row r="152" ht="23.1" customHeight="1" spans="1:32">
      <c r="A152" s="349">
        <v>148</v>
      </c>
      <c r="B152" s="350"/>
      <c r="C152" s="351" t="s">
        <v>120</v>
      </c>
      <c r="D152" s="159"/>
      <c r="E152" s="352"/>
      <c r="F152" s="28">
        <v>8</v>
      </c>
      <c r="G152" s="356" t="s">
        <v>917</v>
      </c>
      <c r="H152" s="357" t="s">
        <v>918</v>
      </c>
      <c r="I152" s="100" t="s">
        <v>124</v>
      </c>
      <c r="J152" s="100"/>
      <c r="K152" s="100"/>
      <c r="L152" s="100"/>
      <c r="M152" s="406"/>
      <c r="N152" s="373" t="s">
        <v>919</v>
      </c>
      <c r="O152" s="374"/>
      <c r="P152" s="376"/>
      <c r="Q152" s="375"/>
      <c r="R152" s="382" t="s">
        <v>130</v>
      </c>
      <c r="S152" s="385"/>
      <c r="T152" s="384"/>
      <c r="U152" s="384"/>
      <c r="V152" s="382"/>
      <c r="W152" s="382"/>
      <c r="X152" s="349" t="s">
        <v>129</v>
      </c>
      <c r="Y152" s="349" t="s">
        <v>129</v>
      </c>
      <c r="Z152" s="120">
        <f t="shared" si="27"/>
        <v>5</v>
      </c>
      <c r="AA152" s="304" t="str">
        <f t="shared" si="28"/>
        <v>00:05:00</v>
      </c>
      <c r="AB152" s="120">
        <f t="shared" si="29"/>
        <v>300</v>
      </c>
      <c r="AC152" s="399">
        <v>0.00341435185185185</v>
      </c>
      <c r="AD152" s="400">
        <v>169</v>
      </c>
      <c r="AE152" s="400">
        <v>43</v>
      </c>
      <c r="AF152" s="349"/>
    </row>
    <row r="153" ht="23.1" customHeight="1" spans="1:32">
      <c r="A153" s="349">
        <v>149</v>
      </c>
      <c r="B153" s="350"/>
      <c r="C153" s="351" t="s">
        <v>120</v>
      </c>
      <c r="D153" s="159"/>
      <c r="E153" s="352"/>
      <c r="F153" s="28">
        <v>9</v>
      </c>
      <c r="G153" s="356" t="s">
        <v>920</v>
      </c>
      <c r="H153" s="357" t="s">
        <v>921</v>
      </c>
      <c r="I153" s="100" t="s">
        <v>124</v>
      </c>
      <c r="J153" s="100"/>
      <c r="K153" s="100"/>
      <c r="L153" s="100"/>
      <c r="M153" s="406"/>
      <c r="N153" s="373" t="s">
        <v>922</v>
      </c>
      <c r="O153" s="374"/>
      <c r="P153" s="376"/>
      <c r="Q153" s="375"/>
      <c r="R153" s="382" t="s">
        <v>130</v>
      </c>
      <c r="S153" s="385"/>
      <c r="T153" s="384"/>
      <c r="U153" s="384"/>
      <c r="V153" s="382" t="s">
        <v>130</v>
      </c>
      <c r="W153" s="382"/>
      <c r="X153" s="349" t="s">
        <v>129</v>
      </c>
      <c r="Y153" s="349" t="s">
        <v>129</v>
      </c>
      <c r="Z153" s="120">
        <f t="shared" si="27"/>
        <v>3</v>
      </c>
      <c r="AA153" s="304" t="str">
        <f t="shared" si="28"/>
        <v>00:03:00</v>
      </c>
      <c r="AB153" s="120">
        <f t="shared" si="29"/>
        <v>180</v>
      </c>
      <c r="AC153" s="399">
        <v>0.00241898148148148</v>
      </c>
      <c r="AD153" s="400">
        <v>169</v>
      </c>
      <c r="AE153" s="400">
        <v>43</v>
      </c>
      <c r="AF153" s="349"/>
    </row>
    <row r="154" ht="23.1" customHeight="1" spans="1:32">
      <c r="A154" s="349">
        <v>150</v>
      </c>
      <c r="B154" s="350"/>
      <c r="C154" s="351" t="s">
        <v>120</v>
      </c>
      <c r="D154" s="159"/>
      <c r="E154" s="352"/>
      <c r="F154" s="28">
        <v>10</v>
      </c>
      <c r="G154" s="356" t="s">
        <v>923</v>
      </c>
      <c r="H154" s="357" t="s">
        <v>924</v>
      </c>
      <c r="I154" s="100" t="s">
        <v>124</v>
      </c>
      <c r="J154" s="100"/>
      <c r="K154" s="100"/>
      <c r="L154" s="100"/>
      <c r="M154" s="406"/>
      <c r="N154" s="373" t="s">
        <v>925</v>
      </c>
      <c r="O154" s="374"/>
      <c r="P154" s="376"/>
      <c r="Q154" s="375"/>
      <c r="R154" s="382" t="s">
        <v>130</v>
      </c>
      <c r="S154" s="385"/>
      <c r="T154" s="384"/>
      <c r="U154" s="384"/>
      <c r="V154" s="382" t="s">
        <v>130</v>
      </c>
      <c r="W154" s="382"/>
      <c r="X154" s="349" t="s">
        <v>129</v>
      </c>
      <c r="Y154" s="349" t="s">
        <v>129</v>
      </c>
      <c r="Z154" s="120">
        <f t="shared" si="27"/>
        <v>6</v>
      </c>
      <c r="AA154" s="304" t="str">
        <f t="shared" si="28"/>
        <v>00:06:00</v>
      </c>
      <c r="AB154" s="120">
        <f t="shared" si="29"/>
        <v>360</v>
      </c>
      <c r="AC154" s="399">
        <v>0.00387731481481481</v>
      </c>
      <c r="AD154" s="400">
        <v>169</v>
      </c>
      <c r="AE154" s="400">
        <v>43</v>
      </c>
      <c r="AF154" s="349"/>
    </row>
    <row r="155" ht="23.1" customHeight="1" spans="1:32">
      <c r="A155" s="349">
        <v>151</v>
      </c>
      <c r="B155" s="350"/>
      <c r="C155" s="351" t="s">
        <v>120</v>
      </c>
      <c r="D155" s="159"/>
      <c r="E155" s="352"/>
      <c r="F155" s="28">
        <v>11</v>
      </c>
      <c r="G155" s="356" t="s">
        <v>926</v>
      </c>
      <c r="H155" s="357" t="s">
        <v>927</v>
      </c>
      <c r="I155" s="100" t="s">
        <v>124</v>
      </c>
      <c r="J155" s="100"/>
      <c r="K155" s="100"/>
      <c r="L155" s="100"/>
      <c r="M155" s="406"/>
      <c r="N155" s="373" t="s">
        <v>928</v>
      </c>
      <c r="O155" s="374"/>
      <c r="P155" s="376"/>
      <c r="Q155" s="375"/>
      <c r="R155" s="382" t="s">
        <v>130</v>
      </c>
      <c r="S155" s="385"/>
      <c r="T155" s="384"/>
      <c r="U155" s="384"/>
      <c r="V155" s="382" t="s">
        <v>130</v>
      </c>
      <c r="W155" s="382"/>
      <c r="X155" s="349" t="s">
        <v>129</v>
      </c>
      <c r="Y155" s="349" t="s">
        <v>129</v>
      </c>
      <c r="Z155" s="120">
        <f t="shared" si="27"/>
        <v>5</v>
      </c>
      <c r="AA155" s="304" t="str">
        <f t="shared" si="28"/>
        <v>00:05:00</v>
      </c>
      <c r="AB155" s="120">
        <f t="shared" si="29"/>
        <v>300</v>
      </c>
      <c r="AC155" s="399">
        <v>0.00328703703703704</v>
      </c>
      <c r="AD155" s="400">
        <v>169</v>
      </c>
      <c r="AE155" s="400">
        <v>43</v>
      </c>
      <c r="AF155" s="349"/>
    </row>
    <row r="156" ht="23.1" customHeight="1" spans="1:32">
      <c r="A156" s="349">
        <v>152</v>
      </c>
      <c r="B156" s="350"/>
      <c r="C156" s="351" t="s">
        <v>120</v>
      </c>
      <c r="D156" s="159"/>
      <c r="E156" s="352"/>
      <c r="F156" s="28">
        <v>12</v>
      </c>
      <c r="G156" s="356" t="s">
        <v>929</v>
      </c>
      <c r="H156" s="357" t="s">
        <v>930</v>
      </c>
      <c r="I156" s="100" t="s">
        <v>124</v>
      </c>
      <c r="J156" s="100"/>
      <c r="K156" s="100"/>
      <c r="L156" s="100"/>
      <c r="M156" s="406"/>
      <c r="N156" s="373" t="s">
        <v>931</v>
      </c>
      <c r="O156" s="374"/>
      <c r="P156" s="376"/>
      <c r="Q156" s="375"/>
      <c r="R156" s="382" t="s">
        <v>130</v>
      </c>
      <c r="S156" s="385"/>
      <c r="T156" s="384"/>
      <c r="U156" s="384"/>
      <c r="V156" s="382" t="s">
        <v>130</v>
      </c>
      <c r="W156" s="382"/>
      <c r="X156" s="349" t="s">
        <v>129</v>
      </c>
      <c r="Y156" s="349" t="s">
        <v>129</v>
      </c>
      <c r="Z156" s="120">
        <f t="shared" si="27"/>
        <v>4</v>
      </c>
      <c r="AA156" s="304" t="str">
        <f t="shared" si="28"/>
        <v>00:04:00</v>
      </c>
      <c r="AB156" s="120">
        <f t="shared" si="29"/>
        <v>240</v>
      </c>
      <c r="AC156" s="399">
        <v>0.00273148148148148</v>
      </c>
      <c r="AD156" s="400">
        <v>169</v>
      </c>
      <c r="AE156" s="400">
        <v>43</v>
      </c>
      <c r="AF156" s="349"/>
    </row>
    <row r="157" ht="23.1" customHeight="1" spans="1:32">
      <c r="A157" s="349">
        <v>153</v>
      </c>
      <c r="B157" s="350"/>
      <c r="C157" s="351" t="s">
        <v>120</v>
      </c>
      <c r="D157" s="159"/>
      <c r="E157" s="352"/>
      <c r="F157" s="28">
        <v>13</v>
      </c>
      <c r="G157" s="356" t="s">
        <v>932</v>
      </c>
      <c r="H157" s="357" t="s">
        <v>933</v>
      </c>
      <c r="I157" s="100" t="s">
        <v>124</v>
      </c>
      <c r="J157" s="100"/>
      <c r="K157" s="100"/>
      <c r="L157" s="100"/>
      <c r="M157" s="406"/>
      <c r="N157" s="373" t="s">
        <v>934</v>
      </c>
      <c r="O157" s="374"/>
      <c r="P157" s="376"/>
      <c r="Q157" s="375"/>
      <c r="R157" s="382" t="s">
        <v>130</v>
      </c>
      <c r="S157" s="385"/>
      <c r="T157" s="384"/>
      <c r="U157" s="384"/>
      <c r="V157" s="382" t="s">
        <v>130</v>
      </c>
      <c r="W157" s="382"/>
      <c r="X157" s="349" t="s">
        <v>129</v>
      </c>
      <c r="Y157" s="349" t="s">
        <v>129</v>
      </c>
      <c r="Z157" s="120">
        <f t="shared" si="27"/>
        <v>4</v>
      </c>
      <c r="AA157" s="304" t="str">
        <f t="shared" si="28"/>
        <v>00:04:00</v>
      </c>
      <c r="AB157" s="120">
        <f t="shared" si="29"/>
        <v>240</v>
      </c>
      <c r="AC157" s="399">
        <v>0.00283564814814815</v>
      </c>
      <c r="AD157" s="400">
        <v>169</v>
      </c>
      <c r="AE157" s="400">
        <v>43</v>
      </c>
      <c r="AF157" s="349"/>
    </row>
    <row r="158" ht="23.1" customHeight="1" spans="1:32">
      <c r="A158" s="349">
        <v>154</v>
      </c>
      <c r="B158" s="350"/>
      <c r="C158" s="351" t="s">
        <v>120</v>
      </c>
      <c r="D158" s="159"/>
      <c r="E158" s="352"/>
      <c r="F158" s="28">
        <v>14</v>
      </c>
      <c r="G158" s="356" t="s">
        <v>935</v>
      </c>
      <c r="H158" s="357" t="s">
        <v>936</v>
      </c>
      <c r="I158" s="100" t="s">
        <v>124</v>
      </c>
      <c r="J158" s="100"/>
      <c r="K158" s="100"/>
      <c r="L158" s="100"/>
      <c r="M158" s="406"/>
      <c r="N158" s="373" t="s">
        <v>937</v>
      </c>
      <c r="O158" s="374"/>
      <c r="P158" s="376"/>
      <c r="Q158" s="375"/>
      <c r="R158" s="382" t="s">
        <v>130</v>
      </c>
      <c r="S158" s="385"/>
      <c r="T158" s="384"/>
      <c r="U158" s="384"/>
      <c r="V158" s="382" t="s">
        <v>130</v>
      </c>
      <c r="W158" s="382"/>
      <c r="X158" s="349" t="s">
        <v>129</v>
      </c>
      <c r="Y158" s="349" t="s">
        <v>129</v>
      </c>
      <c r="Z158" s="120">
        <f t="shared" si="27"/>
        <v>4</v>
      </c>
      <c r="AA158" s="304" t="str">
        <f t="shared" si="28"/>
        <v>00:04:00</v>
      </c>
      <c r="AB158" s="120">
        <f t="shared" si="29"/>
        <v>240</v>
      </c>
      <c r="AC158" s="399">
        <v>0.00292824074074074</v>
      </c>
      <c r="AD158" s="400">
        <v>169</v>
      </c>
      <c r="AE158" s="400">
        <v>43</v>
      </c>
      <c r="AF158" s="349"/>
    </row>
    <row r="159" ht="23.1" customHeight="1" spans="1:32">
      <c r="A159" s="349">
        <v>155</v>
      </c>
      <c r="B159" s="350"/>
      <c r="C159" s="351" t="s">
        <v>120</v>
      </c>
      <c r="D159" s="159"/>
      <c r="E159" s="352"/>
      <c r="F159" s="28">
        <v>15</v>
      </c>
      <c r="G159" s="356" t="s">
        <v>938</v>
      </c>
      <c r="H159" s="357" t="s">
        <v>938</v>
      </c>
      <c r="I159" s="100" t="s">
        <v>124</v>
      </c>
      <c r="J159" s="100"/>
      <c r="K159" s="100"/>
      <c r="L159" s="100"/>
      <c r="M159" s="406"/>
      <c r="N159" s="373" t="s">
        <v>939</v>
      </c>
      <c r="O159" s="374"/>
      <c r="P159" s="376"/>
      <c r="Q159" s="375"/>
      <c r="R159" s="382" t="s">
        <v>131</v>
      </c>
      <c r="S159" s="385"/>
      <c r="T159" s="384"/>
      <c r="U159" s="384"/>
      <c r="V159" s="382" t="s">
        <v>131</v>
      </c>
      <c r="W159" s="382" t="s">
        <v>130</v>
      </c>
      <c r="X159" s="349" t="s">
        <v>129</v>
      </c>
      <c r="Y159" s="349" t="s">
        <v>129</v>
      </c>
      <c r="Z159" s="120">
        <f t="shared" si="27"/>
        <v>4</v>
      </c>
      <c r="AA159" s="304" t="str">
        <f t="shared" si="28"/>
        <v>00:04:00</v>
      </c>
      <c r="AB159" s="120">
        <f t="shared" si="29"/>
        <v>240</v>
      </c>
      <c r="AC159" s="399">
        <v>0.00282407407407407</v>
      </c>
      <c r="AD159" s="400">
        <v>169</v>
      </c>
      <c r="AE159" s="400">
        <v>43</v>
      </c>
      <c r="AF159" s="349"/>
    </row>
    <row r="160" ht="23.1" customHeight="1" spans="1:32">
      <c r="A160" s="349">
        <v>156</v>
      </c>
      <c r="B160" s="350"/>
      <c r="C160" s="351" t="s">
        <v>120</v>
      </c>
      <c r="D160" s="159"/>
      <c r="E160" s="352"/>
      <c r="F160" s="28">
        <v>16</v>
      </c>
      <c r="G160" s="356" t="s">
        <v>940</v>
      </c>
      <c r="H160" s="357" t="s">
        <v>941</v>
      </c>
      <c r="I160" s="100" t="s">
        <v>124</v>
      </c>
      <c r="J160" s="100"/>
      <c r="K160" s="100"/>
      <c r="L160" s="100"/>
      <c r="M160" s="406"/>
      <c r="N160" s="373" t="s">
        <v>942</v>
      </c>
      <c r="O160" s="374"/>
      <c r="P160" s="376"/>
      <c r="Q160" s="375"/>
      <c r="R160" s="382" t="s">
        <v>130</v>
      </c>
      <c r="S160" s="385"/>
      <c r="T160" s="384"/>
      <c r="U160" s="384"/>
      <c r="V160" s="382"/>
      <c r="W160" s="382"/>
      <c r="X160" s="349" t="s">
        <v>129</v>
      </c>
      <c r="Y160" s="349" t="s">
        <v>129</v>
      </c>
      <c r="Z160" s="120">
        <f t="shared" si="27"/>
        <v>5</v>
      </c>
      <c r="AA160" s="304" t="str">
        <f t="shared" si="28"/>
        <v>00:05:00</v>
      </c>
      <c r="AB160" s="120">
        <f t="shared" si="29"/>
        <v>300</v>
      </c>
      <c r="AC160" s="399">
        <v>0.0034837962962963</v>
      </c>
      <c r="AD160" s="400">
        <v>169</v>
      </c>
      <c r="AE160" s="400">
        <v>43</v>
      </c>
      <c r="AF160" s="349"/>
    </row>
    <row r="161" ht="23.1" customHeight="1" spans="1:32">
      <c r="A161" s="349">
        <v>157</v>
      </c>
      <c r="B161" s="350"/>
      <c r="C161" s="351" t="s">
        <v>120</v>
      </c>
      <c r="D161" s="159"/>
      <c r="E161" s="352"/>
      <c r="F161" s="28">
        <v>17</v>
      </c>
      <c r="G161" s="356" t="s">
        <v>943</v>
      </c>
      <c r="H161" s="357" t="s">
        <v>944</v>
      </c>
      <c r="I161" s="100" t="s">
        <v>124</v>
      </c>
      <c r="J161" s="100"/>
      <c r="K161" s="100"/>
      <c r="L161" s="100"/>
      <c r="M161" s="406"/>
      <c r="N161" s="373" t="s">
        <v>945</v>
      </c>
      <c r="O161" s="374"/>
      <c r="P161" s="376"/>
      <c r="Q161" s="375"/>
      <c r="R161" s="382" t="s">
        <v>130</v>
      </c>
      <c r="S161" s="385"/>
      <c r="T161" s="384"/>
      <c r="U161" s="384"/>
      <c r="V161" s="382" t="s">
        <v>130</v>
      </c>
      <c r="W161" s="382"/>
      <c r="X161" s="349" t="s">
        <v>129</v>
      </c>
      <c r="Y161" s="349" t="s">
        <v>129</v>
      </c>
      <c r="Z161" s="120">
        <f t="shared" si="27"/>
        <v>4</v>
      </c>
      <c r="AA161" s="304" t="str">
        <f t="shared" si="28"/>
        <v>00:04:00</v>
      </c>
      <c r="AB161" s="120">
        <f t="shared" si="29"/>
        <v>240</v>
      </c>
      <c r="AC161" s="399">
        <v>0.00290509259259259</v>
      </c>
      <c r="AD161" s="400">
        <v>169</v>
      </c>
      <c r="AE161" s="400">
        <v>43</v>
      </c>
      <c r="AF161" s="349"/>
    </row>
    <row r="162" ht="23.1" customHeight="1" spans="1:32">
      <c r="A162" s="349">
        <v>158</v>
      </c>
      <c r="B162" s="350"/>
      <c r="C162" s="351" t="s">
        <v>120</v>
      </c>
      <c r="D162" s="159"/>
      <c r="E162" s="352"/>
      <c r="F162" s="28">
        <v>18</v>
      </c>
      <c r="G162" s="356" t="s">
        <v>946</v>
      </c>
      <c r="H162" s="357" t="s">
        <v>947</v>
      </c>
      <c r="I162" s="100" t="s">
        <v>124</v>
      </c>
      <c r="J162" s="100"/>
      <c r="K162" s="100"/>
      <c r="L162" s="100"/>
      <c r="M162" s="406"/>
      <c r="N162" s="373" t="s">
        <v>948</v>
      </c>
      <c r="O162" s="374"/>
      <c r="P162" s="376"/>
      <c r="Q162" s="375"/>
      <c r="R162" s="382" t="s">
        <v>130</v>
      </c>
      <c r="S162" s="385"/>
      <c r="T162" s="384"/>
      <c r="U162" s="384"/>
      <c r="V162" s="382" t="s">
        <v>130</v>
      </c>
      <c r="W162" s="382"/>
      <c r="X162" s="349" t="s">
        <v>129</v>
      </c>
      <c r="Y162" s="349" t="s">
        <v>129</v>
      </c>
      <c r="Z162" s="120">
        <f t="shared" si="27"/>
        <v>4</v>
      </c>
      <c r="AA162" s="304" t="str">
        <f t="shared" si="28"/>
        <v>00:04:00</v>
      </c>
      <c r="AB162" s="120">
        <f t="shared" si="29"/>
        <v>240</v>
      </c>
      <c r="AC162" s="399">
        <v>0.0027662037037037</v>
      </c>
      <c r="AD162" s="400">
        <v>169</v>
      </c>
      <c r="AE162" s="400">
        <v>43</v>
      </c>
      <c r="AF162" s="349"/>
    </row>
    <row r="163" ht="23.1" customHeight="1" spans="1:32">
      <c r="A163" s="349">
        <v>159</v>
      </c>
      <c r="B163" s="350"/>
      <c r="C163" s="351" t="s">
        <v>120</v>
      </c>
      <c r="D163" s="159"/>
      <c r="E163" s="352"/>
      <c r="F163" s="28">
        <v>19</v>
      </c>
      <c r="G163" s="356" t="s">
        <v>949</v>
      </c>
      <c r="H163" s="357" t="s">
        <v>950</v>
      </c>
      <c r="I163" s="100" t="s">
        <v>124</v>
      </c>
      <c r="J163" s="100"/>
      <c r="K163" s="100"/>
      <c r="L163" s="100"/>
      <c r="M163" s="406"/>
      <c r="N163" s="373" t="s">
        <v>951</v>
      </c>
      <c r="O163" s="374"/>
      <c r="P163" s="376"/>
      <c r="Q163" s="375"/>
      <c r="R163" s="382" t="s">
        <v>130</v>
      </c>
      <c r="S163" s="385"/>
      <c r="T163" s="384"/>
      <c r="U163" s="384"/>
      <c r="V163" s="382" t="s">
        <v>130</v>
      </c>
      <c r="W163" s="382"/>
      <c r="X163" s="349" t="s">
        <v>129</v>
      </c>
      <c r="Y163" s="349" t="s">
        <v>129</v>
      </c>
      <c r="Z163" s="120">
        <f t="shared" si="27"/>
        <v>5</v>
      </c>
      <c r="AA163" s="304" t="str">
        <f t="shared" si="28"/>
        <v>00:05:00</v>
      </c>
      <c r="AB163" s="120">
        <f t="shared" si="29"/>
        <v>300</v>
      </c>
      <c r="AC163" s="399">
        <v>0.00354166666666667</v>
      </c>
      <c r="AD163" s="400">
        <v>169</v>
      </c>
      <c r="AE163" s="400">
        <v>43</v>
      </c>
      <c r="AF163" s="349"/>
    </row>
    <row r="164" ht="23.1" customHeight="1" spans="1:32">
      <c r="A164" s="349">
        <v>160</v>
      </c>
      <c r="B164" s="350"/>
      <c r="C164" s="351" t="s">
        <v>120</v>
      </c>
      <c r="D164" s="159"/>
      <c r="E164" s="352"/>
      <c r="F164" s="28">
        <v>20</v>
      </c>
      <c r="G164" s="356" t="s">
        <v>952</v>
      </c>
      <c r="H164" s="357" t="s">
        <v>953</v>
      </c>
      <c r="I164" s="100" t="s">
        <v>124</v>
      </c>
      <c r="J164" s="100"/>
      <c r="K164" s="100"/>
      <c r="L164" s="100"/>
      <c r="M164" s="406"/>
      <c r="N164" s="373" t="s">
        <v>954</v>
      </c>
      <c r="O164" s="374"/>
      <c r="P164" s="376"/>
      <c r="Q164" s="375"/>
      <c r="R164" s="382" t="s">
        <v>130</v>
      </c>
      <c r="S164" s="385"/>
      <c r="T164" s="384"/>
      <c r="U164" s="384"/>
      <c r="V164" s="382" t="s">
        <v>130</v>
      </c>
      <c r="W164" s="382"/>
      <c r="X164" s="349" t="s">
        <v>129</v>
      </c>
      <c r="Y164" s="349" t="s">
        <v>129</v>
      </c>
      <c r="Z164" s="120">
        <f t="shared" si="27"/>
        <v>3</v>
      </c>
      <c r="AA164" s="304" t="str">
        <f t="shared" si="28"/>
        <v>00:03:00</v>
      </c>
      <c r="AB164" s="120">
        <f t="shared" si="29"/>
        <v>180</v>
      </c>
      <c r="AC164" s="399">
        <v>0.00201388888888889</v>
      </c>
      <c r="AD164" s="400">
        <v>169</v>
      </c>
      <c r="AE164" s="400">
        <v>43</v>
      </c>
      <c r="AF164" s="349"/>
    </row>
    <row r="165" ht="23.1" customHeight="1" spans="1:32">
      <c r="A165" s="349">
        <v>161</v>
      </c>
      <c r="B165" s="350"/>
      <c r="C165" s="351" t="s">
        <v>120</v>
      </c>
      <c r="D165" s="159"/>
      <c r="E165" s="352"/>
      <c r="F165" s="28">
        <v>21</v>
      </c>
      <c r="G165" s="356" t="s">
        <v>955</v>
      </c>
      <c r="H165" s="357" t="s">
        <v>956</v>
      </c>
      <c r="I165" s="100" t="s">
        <v>124</v>
      </c>
      <c r="J165" s="100"/>
      <c r="K165" s="100"/>
      <c r="L165" s="100"/>
      <c r="M165" s="406"/>
      <c r="N165" s="373" t="s">
        <v>957</v>
      </c>
      <c r="O165" s="374"/>
      <c r="P165" s="376"/>
      <c r="Q165" s="375"/>
      <c r="R165" s="382" t="s">
        <v>130</v>
      </c>
      <c r="S165" s="385"/>
      <c r="T165" s="384"/>
      <c r="U165" s="384"/>
      <c r="V165" s="382" t="s">
        <v>130</v>
      </c>
      <c r="W165" s="382"/>
      <c r="X165" s="349" t="s">
        <v>129</v>
      </c>
      <c r="Y165" s="349" t="s">
        <v>129</v>
      </c>
      <c r="Z165" s="120">
        <f t="shared" si="27"/>
        <v>4</v>
      </c>
      <c r="AA165" s="304" t="str">
        <f t="shared" si="28"/>
        <v>00:04:00</v>
      </c>
      <c r="AB165" s="120">
        <f t="shared" si="29"/>
        <v>240</v>
      </c>
      <c r="AC165" s="399">
        <v>0.00291666666666667</v>
      </c>
      <c r="AD165" s="400">
        <v>169</v>
      </c>
      <c r="AE165" s="400">
        <v>43</v>
      </c>
      <c r="AF165" s="349"/>
    </row>
    <row r="166" ht="23.1" customHeight="1" spans="1:32">
      <c r="A166" s="349">
        <v>162</v>
      </c>
      <c r="B166" s="350"/>
      <c r="C166" s="351" t="s">
        <v>120</v>
      </c>
      <c r="D166" s="159"/>
      <c r="E166" s="352"/>
      <c r="F166" s="28">
        <v>22</v>
      </c>
      <c r="G166" s="356" t="s">
        <v>958</v>
      </c>
      <c r="H166" s="357" t="s">
        <v>959</v>
      </c>
      <c r="I166" s="100" t="s">
        <v>124</v>
      </c>
      <c r="J166" s="100"/>
      <c r="K166" s="100"/>
      <c r="L166" s="100"/>
      <c r="M166" s="406"/>
      <c r="N166" s="373" t="s">
        <v>960</v>
      </c>
      <c r="O166" s="374"/>
      <c r="P166" s="376"/>
      <c r="Q166" s="375"/>
      <c r="R166" s="382" t="s">
        <v>130</v>
      </c>
      <c r="S166" s="385"/>
      <c r="T166" s="384"/>
      <c r="U166" s="384"/>
      <c r="V166" s="382" t="s">
        <v>130</v>
      </c>
      <c r="W166" s="382"/>
      <c r="X166" s="349" t="s">
        <v>129</v>
      </c>
      <c r="Y166" s="349" t="s">
        <v>129</v>
      </c>
      <c r="Z166" s="120">
        <f t="shared" si="27"/>
        <v>5</v>
      </c>
      <c r="AA166" s="304" t="str">
        <f t="shared" si="28"/>
        <v>00:05:00</v>
      </c>
      <c r="AB166" s="120">
        <f t="shared" si="29"/>
        <v>300</v>
      </c>
      <c r="AC166" s="399">
        <v>0.00325231481481481</v>
      </c>
      <c r="AD166" s="400">
        <v>169</v>
      </c>
      <c r="AE166" s="400">
        <v>43</v>
      </c>
      <c r="AF166" s="349"/>
    </row>
    <row r="167" ht="23.1" customHeight="1" spans="1:32">
      <c r="A167" s="349">
        <v>163</v>
      </c>
      <c r="B167" s="350"/>
      <c r="C167" s="351" t="s">
        <v>120</v>
      </c>
      <c r="D167" s="159"/>
      <c r="E167" s="352" t="s">
        <v>961</v>
      </c>
      <c r="F167" s="28">
        <v>1</v>
      </c>
      <c r="G167" s="356" t="s">
        <v>962</v>
      </c>
      <c r="H167" s="357" t="s">
        <v>963</v>
      </c>
      <c r="I167" s="100" t="s">
        <v>124</v>
      </c>
      <c r="J167" s="100"/>
      <c r="K167" s="100"/>
      <c r="L167" s="100"/>
      <c r="M167" s="407"/>
      <c r="N167" s="373" t="s">
        <v>964</v>
      </c>
      <c r="O167" s="374"/>
      <c r="P167" s="376"/>
      <c r="Q167" s="375"/>
      <c r="R167" s="382" t="s">
        <v>130</v>
      </c>
      <c r="S167" s="385"/>
      <c r="T167" s="384"/>
      <c r="U167" s="384"/>
      <c r="V167" s="382" t="s">
        <v>130</v>
      </c>
      <c r="W167" s="382"/>
      <c r="X167" s="349" t="s">
        <v>129</v>
      </c>
      <c r="Y167" s="349" t="s">
        <v>129</v>
      </c>
      <c r="Z167" s="120">
        <f t="shared" ref="Z166:Z186" si="30">ROUNDUP(HOUR(AA167)*60+MINUTE(AA167)+SECOND(AA167)/60,0)</f>
        <v>2</v>
      </c>
      <c r="AA167" s="304" t="str">
        <f t="shared" ref="AA166:AA186" si="31">TEXT((HOUR(AC167)*60+MINUTE(AC167)+IF(SECOND(AC167)&lt;=29,0,1))*60/86400,"hh:mm:ss")</f>
        <v>00:02:00</v>
      </c>
      <c r="AB167" s="120">
        <f t="shared" ref="AB166:AB186" si="32">Z167*60</f>
        <v>120</v>
      </c>
      <c r="AC167" s="399">
        <v>0.00153935185185185</v>
      </c>
      <c r="AD167" s="400">
        <v>169</v>
      </c>
      <c r="AE167" s="400">
        <v>43</v>
      </c>
      <c r="AF167" s="349" t="s">
        <v>132</v>
      </c>
    </row>
    <row r="168" ht="23.1" customHeight="1" spans="1:32">
      <c r="A168" s="349">
        <v>164</v>
      </c>
      <c r="B168" s="350"/>
      <c r="C168" s="351" t="s">
        <v>120</v>
      </c>
      <c r="D168" s="159"/>
      <c r="E168" s="352"/>
      <c r="F168" s="28">
        <v>2</v>
      </c>
      <c r="G168" s="356" t="s">
        <v>965</v>
      </c>
      <c r="H168" s="357" t="s">
        <v>966</v>
      </c>
      <c r="I168" s="100" t="s">
        <v>124</v>
      </c>
      <c r="J168" s="100"/>
      <c r="K168" s="100"/>
      <c r="L168" s="100"/>
      <c r="M168" s="407"/>
      <c r="N168" s="373" t="s">
        <v>967</v>
      </c>
      <c r="O168" s="374"/>
      <c r="P168" s="376"/>
      <c r="Q168" s="375"/>
      <c r="R168" s="382" t="s">
        <v>130</v>
      </c>
      <c r="S168" s="385"/>
      <c r="T168" s="384"/>
      <c r="U168" s="384"/>
      <c r="V168" s="382" t="s">
        <v>130</v>
      </c>
      <c r="W168" s="382"/>
      <c r="X168" s="349" t="s">
        <v>129</v>
      </c>
      <c r="Y168" s="349" t="s">
        <v>129</v>
      </c>
      <c r="Z168" s="120">
        <f t="shared" si="30"/>
        <v>3</v>
      </c>
      <c r="AA168" s="304" t="str">
        <f t="shared" si="31"/>
        <v>00:03:00</v>
      </c>
      <c r="AB168" s="120">
        <f t="shared" si="32"/>
        <v>180</v>
      </c>
      <c r="AC168" s="399">
        <v>0.00177083333333333</v>
      </c>
      <c r="AD168" s="400">
        <v>169</v>
      </c>
      <c r="AE168" s="400">
        <v>43</v>
      </c>
      <c r="AF168" s="349"/>
    </row>
    <row r="169" ht="23.1" customHeight="1" spans="1:32">
      <c r="A169" s="349">
        <v>165</v>
      </c>
      <c r="B169" s="350"/>
      <c r="C169" s="351" t="s">
        <v>120</v>
      </c>
      <c r="D169" s="159"/>
      <c r="E169" s="352"/>
      <c r="F169" s="28">
        <v>3</v>
      </c>
      <c r="G169" s="356" t="s">
        <v>968</v>
      </c>
      <c r="H169" s="357" t="s">
        <v>969</v>
      </c>
      <c r="I169" s="100" t="s">
        <v>124</v>
      </c>
      <c r="J169" s="100"/>
      <c r="K169" s="100"/>
      <c r="L169" s="100"/>
      <c r="M169" s="407"/>
      <c r="N169" s="373" t="s">
        <v>970</v>
      </c>
      <c r="O169" s="374"/>
      <c r="P169" s="376"/>
      <c r="Q169" s="375"/>
      <c r="R169" s="382" t="s">
        <v>130</v>
      </c>
      <c r="S169" s="385"/>
      <c r="T169" s="384"/>
      <c r="U169" s="384"/>
      <c r="V169" s="382" t="s">
        <v>130</v>
      </c>
      <c r="W169" s="382"/>
      <c r="X169" s="349" t="s">
        <v>129</v>
      </c>
      <c r="Y169" s="349" t="s">
        <v>129</v>
      </c>
      <c r="Z169" s="120">
        <f t="shared" si="30"/>
        <v>2</v>
      </c>
      <c r="AA169" s="304" t="str">
        <f t="shared" si="31"/>
        <v>00:02:00</v>
      </c>
      <c r="AB169" s="120">
        <f t="shared" si="32"/>
        <v>120</v>
      </c>
      <c r="AC169" s="399">
        <v>0.00152777777777778</v>
      </c>
      <c r="AD169" s="400">
        <v>169</v>
      </c>
      <c r="AE169" s="400">
        <v>43</v>
      </c>
      <c r="AF169" s="349"/>
    </row>
    <row r="170" ht="23.1" customHeight="1" spans="1:32">
      <c r="A170" s="349">
        <v>166</v>
      </c>
      <c r="B170" s="350"/>
      <c r="C170" s="351" t="s">
        <v>120</v>
      </c>
      <c r="D170" s="159"/>
      <c r="E170" s="352"/>
      <c r="F170" s="28">
        <v>4</v>
      </c>
      <c r="G170" s="356" t="s">
        <v>971</v>
      </c>
      <c r="H170" s="357" t="s">
        <v>972</v>
      </c>
      <c r="I170" s="100" t="s">
        <v>124</v>
      </c>
      <c r="J170" s="100"/>
      <c r="K170" s="100"/>
      <c r="L170" s="100"/>
      <c r="M170" s="407"/>
      <c r="N170" s="373" t="s">
        <v>973</v>
      </c>
      <c r="O170" s="374"/>
      <c r="P170" s="376"/>
      <c r="Q170" s="375"/>
      <c r="R170" s="382" t="s">
        <v>130</v>
      </c>
      <c r="S170" s="385"/>
      <c r="T170" s="384"/>
      <c r="U170" s="384"/>
      <c r="V170" s="382" t="s">
        <v>130</v>
      </c>
      <c r="W170" s="382"/>
      <c r="X170" s="349" t="s">
        <v>129</v>
      </c>
      <c r="Y170" s="349" t="s">
        <v>129</v>
      </c>
      <c r="Z170" s="120">
        <f t="shared" si="30"/>
        <v>2</v>
      </c>
      <c r="AA170" s="304" t="str">
        <f t="shared" si="31"/>
        <v>00:02:00</v>
      </c>
      <c r="AB170" s="120">
        <f t="shared" si="32"/>
        <v>120</v>
      </c>
      <c r="AC170" s="399">
        <v>0.00148148148148148</v>
      </c>
      <c r="AD170" s="400">
        <v>169</v>
      </c>
      <c r="AE170" s="400">
        <v>43</v>
      </c>
      <c r="AF170" s="349"/>
    </row>
    <row r="171" ht="23.1" customHeight="1" spans="1:32">
      <c r="A171" s="349">
        <v>167</v>
      </c>
      <c r="B171" s="350"/>
      <c r="C171" s="351" t="s">
        <v>120</v>
      </c>
      <c r="D171" s="159"/>
      <c r="E171" s="352"/>
      <c r="F171" s="28">
        <v>5</v>
      </c>
      <c r="G171" s="356" t="s">
        <v>974</v>
      </c>
      <c r="H171" s="357" t="s">
        <v>975</v>
      </c>
      <c r="I171" s="100" t="s">
        <v>124</v>
      </c>
      <c r="J171" s="100"/>
      <c r="K171" s="100"/>
      <c r="L171" s="100"/>
      <c r="M171" s="407"/>
      <c r="N171" s="373" t="s">
        <v>976</v>
      </c>
      <c r="O171" s="374"/>
      <c r="P171" s="376"/>
      <c r="Q171" s="375"/>
      <c r="R171" s="382" t="s">
        <v>130</v>
      </c>
      <c r="S171" s="385"/>
      <c r="T171" s="384"/>
      <c r="U171" s="384"/>
      <c r="V171" s="382" t="s">
        <v>130</v>
      </c>
      <c r="W171" s="382"/>
      <c r="X171" s="349" t="s">
        <v>129</v>
      </c>
      <c r="Y171" s="349" t="s">
        <v>129</v>
      </c>
      <c r="Z171" s="120">
        <f t="shared" si="30"/>
        <v>3</v>
      </c>
      <c r="AA171" s="304" t="str">
        <f t="shared" si="31"/>
        <v>00:03:00</v>
      </c>
      <c r="AB171" s="120">
        <f t="shared" si="32"/>
        <v>180</v>
      </c>
      <c r="AC171" s="399">
        <v>0.00184027777777778</v>
      </c>
      <c r="AD171" s="400">
        <v>169</v>
      </c>
      <c r="AE171" s="400">
        <v>43</v>
      </c>
      <c r="AF171" s="349"/>
    </row>
    <row r="172" ht="23.1" customHeight="1" spans="1:32">
      <c r="A172" s="349">
        <v>168</v>
      </c>
      <c r="B172" s="350"/>
      <c r="C172" s="351" t="s">
        <v>120</v>
      </c>
      <c r="D172" s="159"/>
      <c r="E172" s="352"/>
      <c r="F172" s="28">
        <v>6</v>
      </c>
      <c r="G172" s="356" t="s">
        <v>977</v>
      </c>
      <c r="H172" s="357" t="s">
        <v>978</v>
      </c>
      <c r="I172" s="100" t="s">
        <v>124</v>
      </c>
      <c r="J172" s="100"/>
      <c r="K172" s="100"/>
      <c r="L172" s="100"/>
      <c r="M172" s="407"/>
      <c r="N172" s="373" t="s">
        <v>979</v>
      </c>
      <c r="O172" s="374"/>
      <c r="P172" s="376"/>
      <c r="Q172" s="375"/>
      <c r="R172" s="382" t="s">
        <v>130</v>
      </c>
      <c r="S172" s="385"/>
      <c r="T172" s="384"/>
      <c r="U172" s="384"/>
      <c r="V172" s="382" t="s">
        <v>130</v>
      </c>
      <c r="W172" s="382"/>
      <c r="X172" s="349" t="s">
        <v>129</v>
      </c>
      <c r="Y172" s="349" t="s">
        <v>129</v>
      </c>
      <c r="Z172" s="120">
        <f t="shared" si="30"/>
        <v>3</v>
      </c>
      <c r="AA172" s="304" t="str">
        <f t="shared" si="31"/>
        <v>00:03:00</v>
      </c>
      <c r="AB172" s="120">
        <f t="shared" si="32"/>
        <v>180</v>
      </c>
      <c r="AC172" s="399">
        <v>0.00212962962962963</v>
      </c>
      <c r="AD172" s="400">
        <v>169</v>
      </c>
      <c r="AE172" s="400">
        <v>43</v>
      </c>
      <c r="AF172" s="349"/>
    </row>
    <row r="173" ht="23.1" customHeight="1" spans="1:32">
      <c r="A173" s="349">
        <v>169</v>
      </c>
      <c r="B173" s="350"/>
      <c r="C173" s="351" t="s">
        <v>120</v>
      </c>
      <c r="D173" s="159"/>
      <c r="E173" s="352"/>
      <c r="F173" s="28">
        <v>7</v>
      </c>
      <c r="G173" s="356" t="s">
        <v>980</v>
      </c>
      <c r="H173" s="357" t="s">
        <v>981</v>
      </c>
      <c r="I173" s="100" t="s">
        <v>124</v>
      </c>
      <c r="J173" s="100"/>
      <c r="K173" s="100"/>
      <c r="L173" s="100"/>
      <c r="M173" s="407"/>
      <c r="N173" s="373" t="s">
        <v>982</v>
      </c>
      <c r="O173" s="374"/>
      <c r="P173" s="376"/>
      <c r="Q173" s="375"/>
      <c r="R173" s="382" t="s">
        <v>130</v>
      </c>
      <c r="S173" s="385"/>
      <c r="T173" s="384"/>
      <c r="U173" s="384"/>
      <c r="V173" s="382" t="s">
        <v>130</v>
      </c>
      <c r="W173" s="382"/>
      <c r="X173" s="349" t="s">
        <v>129</v>
      </c>
      <c r="Y173" s="349" t="s">
        <v>129</v>
      </c>
      <c r="Z173" s="120">
        <f t="shared" si="30"/>
        <v>2</v>
      </c>
      <c r="AA173" s="304" t="str">
        <f t="shared" si="31"/>
        <v>00:02:00</v>
      </c>
      <c r="AB173" s="120">
        <f t="shared" si="32"/>
        <v>120</v>
      </c>
      <c r="AC173" s="399">
        <v>0.00165509259259259</v>
      </c>
      <c r="AD173" s="400">
        <v>169</v>
      </c>
      <c r="AE173" s="400">
        <v>43</v>
      </c>
      <c r="AF173" s="349"/>
    </row>
    <row r="174" ht="23.1" customHeight="1" spans="1:32">
      <c r="A174" s="349">
        <v>170</v>
      </c>
      <c r="B174" s="350"/>
      <c r="C174" s="351" t="s">
        <v>120</v>
      </c>
      <c r="D174" s="159"/>
      <c r="E174" s="352"/>
      <c r="F174" s="28">
        <v>8</v>
      </c>
      <c r="G174" s="356" t="s">
        <v>983</v>
      </c>
      <c r="H174" s="357" t="s">
        <v>984</v>
      </c>
      <c r="I174" s="100" t="s">
        <v>124</v>
      </c>
      <c r="J174" s="100"/>
      <c r="K174" s="100"/>
      <c r="L174" s="100"/>
      <c r="M174" s="407"/>
      <c r="N174" s="373" t="s">
        <v>985</v>
      </c>
      <c r="O174" s="374"/>
      <c r="P174" s="376"/>
      <c r="Q174" s="375"/>
      <c r="R174" s="382" t="s">
        <v>130</v>
      </c>
      <c r="S174" s="385"/>
      <c r="T174" s="384"/>
      <c r="U174" s="384"/>
      <c r="V174" s="382" t="s">
        <v>130</v>
      </c>
      <c r="W174" s="382"/>
      <c r="X174" s="349" t="s">
        <v>129</v>
      </c>
      <c r="Y174" s="349" t="s">
        <v>129</v>
      </c>
      <c r="Z174" s="120">
        <f t="shared" si="30"/>
        <v>2</v>
      </c>
      <c r="AA174" s="304" t="str">
        <f t="shared" si="31"/>
        <v>00:02:00</v>
      </c>
      <c r="AB174" s="120">
        <f t="shared" si="32"/>
        <v>120</v>
      </c>
      <c r="AC174" s="399">
        <v>0.00158564814814815</v>
      </c>
      <c r="AD174" s="400">
        <v>169</v>
      </c>
      <c r="AE174" s="400">
        <v>43</v>
      </c>
      <c r="AF174" s="349"/>
    </row>
    <row r="175" ht="23.1" customHeight="1" spans="1:32">
      <c r="A175" s="349">
        <v>171</v>
      </c>
      <c r="B175" s="350"/>
      <c r="C175" s="351" t="s">
        <v>120</v>
      </c>
      <c r="D175" s="159"/>
      <c r="E175" s="352"/>
      <c r="F175" s="28">
        <v>9</v>
      </c>
      <c r="G175" s="356" t="s">
        <v>986</v>
      </c>
      <c r="H175" s="357" t="s">
        <v>987</v>
      </c>
      <c r="I175" s="100" t="s">
        <v>124</v>
      </c>
      <c r="J175" s="100"/>
      <c r="K175" s="100"/>
      <c r="L175" s="100"/>
      <c r="M175" s="407"/>
      <c r="N175" s="373" t="s">
        <v>988</v>
      </c>
      <c r="O175" s="374"/>
      <c r="P175" s="376"/>
      <c r="Q175" s="375"/>
      <c r="R175" s="382" t="s">
        <v>130</v>
      </c>
      <c r="S175" s="385"/>
      <c r="T175" s="384"/>
      <c r="U175" s="384"/>
      <c r="V175" s="382" t="s">
        <v>130</v>
      </c>
      <c r="W175" s="382"/>
      <c r="X175" s="349" t="s">
        <v>129</v>
      </c>
      <c r="Y175" s="349" t="s">
        <v>129</v>
      </c>
      <c r="Z175" s="120">
        <f t="shared" si="30"/>
        <v>3</v>
      </c>
      <c r="AA175" s="304" t="str">
        <f t="shared" si="31"/>
        <v>00:03:00</v>
      </c>
      <c r="AB175" s="120">
        <f t="shared" si="32"/>
        <v>180</v>
      </c>
      <c r="AC175" s="399">
        <v>0.00179398148148148</v>
      </c>
      <c r="AD175" s="400">
        <v>169</v>
      </c>
      <c r="AE175" s="400">
        <v>43</v>
      </c>
      <c r="AF175" s="349"/>
    </row>
    <row r="176" ht="23.1" customHeight="1" spans="1:32">
      <c r="A176" s="349">
        <v>172</v>
      </c>
      <c r="B176" s="350"/>
      <c r="C176" s="351" t="s">
        <v>120</v>
      </c>
      <c r="D176" s="159"/>
      <c r="E176" s="352"/>
      <c r="F176" s="28">
        <v>10</v>
      </c>
      <c r="G176" s="356" t="s">
        <v>989</v>
      </c>
      <c r="H176" s="357" t="s">
        <v>990</v>
      </c>
      <c r="I176" s="100" t="s">
        <v>124</v>
      </c>
      <c r="J176" s="100"/>
      <c r="K176" s="100"/>
      <c r="L176" s="100"/>
      <c r="M176" s="407"/>
      <c r="N176" s="373" t="s">
        <v>991</v>
      </c>
      <c r="O176" s="374"/>
      <c r="P176" s="376"/>
      <c r="Q176" s="375"/>
      <c r="R176" s="382" t="s">
        <v>130</v>
      </c>
      <c r="S176" s="385"/>
      <c r="T176" s="384"/>
      <c r="U176" s="384"/>
      <c r="V176" s="382" t="s">
        <v>130</v>
      </c>
      <c r="W176" s="382"/>
      <c r="X176" s="349" t="s">
        <v>129</v>
      </c>
      <c r="Y176" s="349" t="s">
        <v>129</v>
      </c>
      <c r="Z176" s="120">
        <f t="shared" si="30"/>
        <v>2</v>
      </c>
      <c r="AA176" s="304" t="str">
        <f t="shared" si="31"/>
        <v>00:02:00</v>
      </c>
      <c r="AB176" s="120">
        <f t="shared" si="32"/>
        <v>120</v>
      </c>
      <c r="AC176" s="399">
        <v>0.00137731481481481</v>
      </c>
      <c r="AD176" s="400">
        <v>169</v>
      </c>
      <c r="AE176" s="400">
        <v>43</v>
      </c>
      <c r="AF176" s="349"/>
    </row>
    <row r="177" ht="23.1" customHeight="1" spans="1:32">
      <c r="A177" s="349">
        <v>173</v>
      </c>
      <c r="B177" s="350"/>
      <c r="C177" s="351" t="s">
        <v>120</v>
      </c>
      <c r="D177" s="159"/>
      <c r="E177" s="352"/>
      <c r="F177" s="28">
        <v>11</v>
      </c>
      <c r="G177" s="356" t="s">
        <v>992</v>
      </c>
      <c r="H177" s="357" t="s">
        <v>993</v>
      </c>
      <c r="I177" s="100" t="s">
        <v>124</v>
      </c>
      <c r="J177" s="100"/>
      <c r="K177" s="100"/>
      <c r="L177" s="100"/>
      <c r="M177" s="407"/>
      <c r="N177" s="373" t="s">
        <v>994</v>
      </c>
      <c r="O177" s="374"/>
      <c r="P177" s="376"/>
      <c r="Q177" s="375"/>
      <c r="R177" s="382" t="s">
        <v>130</v>
      </c>
      <c r="S177" s="385"/>
      <c r="T177" s="384"/>
      <c r="U177" s="384"/>
      <c r="V177" s="382" t="s">
        <v>130</v>
      </c>
      <c r="W177" s="382"/>
      <c r="X177" s="349" t="s">
        <v>129</v>
      </c>
      <c r="Y177" s="349" t="s">
        <v>129</v>
      </c>
      <c r="Z177" s="120">
        <f t="shared" si="30"/>
        <v>1</v>
      </c>
      <c r="AA177" s="304" t="str">
        <f t="shared" si="31"/>
        <v>00:01:00</v>
      </c>
      <c r="AB177" s="120">
        <f t="shared" si="32"/>
        <v>60</v>
      </c>
      <c r="AC177" s="399">
        <v>0.000717592592592593</v>
      </c>
      <c r="AD177" s="400">
        <v>169</v>
      </c>
      <c r="AE177" s="400">
        <v>43</v>
      </c>
      <c r="AF177" s="349"/>
    </row>
    <row r="178" ht="23.1" customHeight="1" spans="1:32">
      <c r="A178" s="349">
        <v>174</v>
      </c>
      <c r="B178" s="350"/>
      <c r="C178" s="351" t="s">
        <v>120</v>
      </c>
      <c r="D178" s="159"/>
      <c r="E178" s="352"/>
      <c r="F178" s="28">
        <v>12</v>
      </c>
      <c r="G178" s="356" t="s">
        <v>995</v>
      </c>
      <c r="H178" s="357" t="s">
        <v>996</v>
      </c>
      <c r="I178" s="100" t="s">
        <v>124</v>
      </c>
      <c r="J178" s="100"/>
      <c r="K178" s="100"/>
      <c r="L178" s="100"/>
      <c r="M178" s="407"/>
      <c r="N178" s="373" t="s">
        <v>997</v>
      </c>
      <c r="O178" s="374"/>
      <c r="P178" s="376"/>
      <c r="Q178" s="375"/>
      <c r="R178" s="382" t="s">
        <v>130</v>
      </c>
      <c r="S178" s="385"/>
      <c r="T178" s="384"/>
      <c r="U178" s="384"/>
      <c r="V178" s="382" t="s">
        <v>130</v>
      </c>
      <c r="W178" s="382"/>
      <c r="X178" s="349" t="s">
        <v>129</v>
      </c>
      <c r="Y178" s="349" t="s">
        <v>129</v>
      </c>
      <c r="Z178" s="120">
        <f t="shared" si="30"/>
        <v>1</v>
      </c>
      <c r="AA178" s="304" t="str">
        <f t="shared" si="31"/>
        <v>00:01:00</v>
      </c>
      <c r="AB178" s="120">
        <f t="shared" si="32"/>
        <v>60</v>
      </c>
      <c r="AC178" s="399">
        <v>0.000868055555555556</v>
      </c>
      <c r="AD178" s="400">
        <v>169</v>
      </c>
      <c r="AE178" s="400">
        <v>43</v>
      </c>
      <c r="AF178" s="349"/>
    </row>
    <row r="179" ht="23.1" customHeight="1" spans="1:32">
      <c r="A179" s="349">
        <v>175</v>
      </c>
      <c r="B179" s="350"/>
      <c r="C179" s="351" t="s">
        <v>120</v>
      </c>
      <c r="D179" s="159"/>
      <c r="E179" s="352"/>
      <c r="F179" s="28">
        <v>13</v>
      </c>
      <c r="G179" s="356" t="s">
        <v>998</v>
      </c>
      <c r="H179" s="357" t="s">
        <v>999</v>
      </c>
      <c r="I179" s="100" t="s">
        <v>124</v>
      </c>
      <c r="J179" s="100"/>
      <c r="K179" s="100"/>
      <c r="L179" s="100"/>
      <c r="M179" s="407"/>
      <c r="N179" s="373" t="s">
        <v>1000</v>
      </c>
      <c r="O179" s="374"/>
      <c r="P179" s="376"/>
      <c r="Q179" s="375"/>
      <c r="R179" s="382" t="s">
        <v>130</v>
      </c>
      <c r="S179" s="385"/>
      <c r="T179" s="384"/>
      <c r="U179" s="384"/>
      <c r="V179" s="382" t="s">
        <v>130</v>
      </c>
      <c r="W179" s="382"/>
      <c r="X179" s="349" t="s">
        <v>129</v>
      </c>
      <c r="Y179" s="349" t="s">
        <v>129</v>
      </c>
      <c r="Z179" s="120">
        <f t="shared" si="30"/>
        <v>1</v>
      </c>
      <c r="AA179" s="304" t="str">
        <f t="shared" si="31"/>
        <v>00:01:00</v>
      </c>
      <c r="AB179" s="120">
        <f t="shared" si="32"/>
        <v>60</v>
      </c>
      <c r="AC179" s="399">
        <v>0.00101851851851852</v>
      </c>
      <c r="AD179" s="400">
        <v>169</v>
      </c>
      <c r="AE179" s="400">
        <v>43</v>
      </c>
      <c r="AF179" s="349"/>
    </row>
    <row r="180" ht="23.1" customHeight="1" spans="1:32">
      <c r="A180" s="349">
        <v>176</v>
      </c>
      <c r="B180" s="350"/>
      <c r="C180" s="351" t="s">
        <v>120</v>
      </c>
      <c r="D180" s="159"/>
      <c r="E180" s="352"/>
      <c r="F180" s="28">
        <v>14</v>
      </c>
      <c r="G180" s="356" t="s">
        <v>1001</v>
      </c>
      <c r="H180" s="357" t="s">
        <v>1002</v>
      </c>
      <c r="I180" s="100" t="s">
        <v>124</v>
      </c>
      <c r="J180" s="100"/>
      <c r="K180" s="100"/>
      <c r="L180" s="100"/>
      <c r="M180" s="407"/>
      <c r="N180" s="373" t="s">
        <v>1003</v>
      </c>
      <c r="O180" s="374"/>
      <c r="P180" s="376"/>
      <c r="Q180" s="375"/>
      <c r="R180" s="382" t="s">
        <v>130</v>
      </c>
      <c r="S180" s="385"/>
      <c r="T180" s="384"/>
      <c r="U180" s="384"/>
      <c r="V180" s="382" t="s">
        <v>130</v>
      </c>
      <c r="W180" s="382"/>
      <c r="X180" s="349" t="s">
        <v>129</v>
      </c>
      <c r="Y180" s="349" t="s">
        <v>129</v>
      </c>
      <c r="Z180" s="120">
        <f t="shared" si="30"/>
        <v>1</v>
      </c>
      <c r="AA180" s="304" t="str">
        <f t="shared" si="31"/>
        <v>00:01:00</v>
      </c>
      <c r="AB180" s="120">
        <f t="shared" si="32"/>
        <v>60</v>
      </c>
      <c r="AC180" s="399">
        <v>0.000925925925925926</v>
      </c>
      <c r="AD180" s="400">
        <v>169</v>
      </c>
      <c r="AE180" s="400">
        <v>43</v>
      </c>
      <c r="AF180" s="349"/>
    </row>
    <row r="181" ht="23.1" customHeight="1" spans="1:32">
      <c r="A181" s="349">
        <v>177</v>
      </c>
      <c r="B181" s="350"/>
      <c r="C181" s="351" t="s">
        <v>120</v>
      </c>
      <c r="D181" s="159"/>
      <c r="E181" s="352"/>
      <c r="F181" s="28">
        <v>15</v>
      </c>
      <c r="G181" s="356" t="s">
        <v>1004</v>
      </c>
      <c r="H181" s="357" t="s">
        <v>1005</v>
      </c>
      <c r="I181" s="100" t="s">
        <v>124</v>
      </c>
      <c r="J181" s="100"/>
      <c r="K181" s="100"/>
      <c r="L181" s="100"/>
      <c r="M181" s="407"/>
      <c r="N181" s="373" t="s">
        <v>1006</v>
      </c>
      <c r="O181" s="374"/>
      <c r="P181" s="376"/>
      <c r="Q181" s="375"/>
      <c r="R181" s="382" t="s">
        <v>130</v>
      </c>
      <c r="S181" s="385"/>
      <c r="T181" s="384"/>
      <c r="U181" s="384"/>
      <c r="V181" s="382" t="s">
        <v>130</v>
      </c>
      <c r="W181" s="382"/>
      <c r="X181" s="349" t="s">
        <v>129</v>
      </c>
      <c r="Y181" s="349" t="s">
        <v>129</v>
      </c>
      <c r="Z181" s="120">
        <f t="shared" si="30"/>
        <v>1</v>
      </c>
      <c r="AA181" s="304" t="str">
        <f t="shared" si="31"/>
        <v>00:01:00</v>
      </c>
      <c r="AB181" s="120">
        <f t="shared" si="32"/>
        <v>60</v>
      </c>
      <c r="AC181" s="399">
        <v>0.000694444444444444</v>
      </c>
      <c r="AD181" s="400">
        <v>169</v>
      </c>
      <c r="AE181" s="400">
        <v>43</v>
      </c>
      <c r="AF181" s="349"/>
    </row>
    <row r="182" ht="23.1" customHeight="1" spans="1:32">
      <c r="A182" s="349">
        <v>178</v>
      </c>
      <c r="B182" s="350"/>
      <c r="C182" s="351" t="s">
        <v>120</v>
      </c>
      <c r="D182" s="159"/>
      <c r="E182" s="352"/>
      <c r="F182" s="28">
        <v>16</v>
      </c>
      <c r="G182" s="356" t="s">
        <v>1007</v>
      </c>
      <c r="H182" s="357" t="s">
        <v>1008</v>
      </c>
      <c r="I182" s="100" t="s">
        <v>124</v>
      </c>
      <c r="J182" s="100"/>
      <c r="K182" s="100"/>
      <c r="L182" s="100"/>
      <c r="M182" s="407"/>
      <c r="N182" s="373" t="s">
        <v>1009</v>
      </c>
      <c r="O182" s="374"/>
      <c r="P182" s="376"/>
      <c r="Q182" s="375"/>
      <c r="R182" s="382" t="s">
        <v>130</v>
      </c>
      <c r="S182" s="385"/>
      <c r="T182" s="384"/>
      <c r="U182" s="384"/>
      <c r="V182" s="382" t="s">
        <v>130</v>
      </c>
      <c r="W182" s="382"/>
      <c r="X182" s="349" t="s">
        <v>129</v>
      </c>
      <c r="Y182" s="349" t="s">
        <v>129</v>
      </c>
      <c r="Z182" s="120">
        <f t="shared" ref="Z182:Z191" si="33">ROUNDUP(HOUR(AA182)*60+MINUTE(AA182)+SECOND(AA182)/60,0)</f>
        <v>1</v>
      </c>
      <c r="AA182" s="304" t="str">
        <f t="shared" ref="AA182:AA191" si="34">TEXT((HOUR(AC182)*60+MINUTE(AC182)+IF(SECOND(AC182)&lt;=29,0,1))*60/86400,"hh:mm:ss")</f>
        <v>00:01:00</v>
      </c>
      <c r="AB182" s="120">
        <f t="shared" ref="AB182:AB191" si="35">Z182*60</f>
        <v>60</v>
      </c>
      <c r="AC182" s="399">
        <v>0.000798611111111111</v>
      </c>
      <c r="AD182" s="400">
        <v>169</v>
      </c>
      <c r="AE182" s="400">
        <v>43</v>
      </c>
      <c r="AF182" s="349"/>
    </row>
    <row r="183" ht="23.1" customHeight="1" spans="1:32">
      <c r="A183" s="349">
        <v>179</v>
      </c>
      <c r="B183" s="350"/>
      <c r="C183" s="351" t="s">
        <v>120</v>
      </c>
      <c r="D183" s="159"/>
      <c r="E183" s="352"/>
      <c r="F183" s="28">
        <v>17</v>
      </c>
      <c r="G183" s="356" t="s">
        <v>1010</v>
      </c>
      <c r="H183" s="357" t="s">
        <v>1011</v>
      </c>
      <c r="I183" s="100" t="s">
        <v>124</v>
      </c>
      <c r="J183" s="100"/>
      <c r="K183" s="100"/>
      <c r="L183" s="100"/>
      <c r="M183" s="407"/>
      <c r="N183" s="373" t="s">
        <v>1012</v>
      </c>
      <c r="O183" s="374"/>
      <c r="P183" s="376"/>
      <c r="Q183" s="375"/>
      <c r="R183" s="382" t="s">
        <v>130</v>
      </c>
      <c r="S183" s="385"/>
      <c r="T183" s="384"/>
      <c r="U183" s="384"/>
      <c r="V183" s="382" t="s">
        <v>130</v>
      </c>
      <c r="W183" s="382"/>
      <c r="X183" s="349" t="s">
        <v>129</v>
      </c>
      <c r="Y183" s="349" t="s">
        <v>129</v>
      </c>
      <c r="Z183" s="120">
        <f t="shared" si="33"/>
        <v>1</v>
      </c>
      <c r="AA183" s="304" t="str">
        <f t="shared" si="34"/>
        <v>00:01:00</v>
      </c>
      <c r="AB183" s="120">
        <f t="shared" si="35"/>
        <v>60</v>
      </c>
      <c r="AC183" s="399">
        <v>0.000798611111111111</v>
      </c>
      <c r="AD183" s="400">
        <v>169</v>
      </c>
      <c r="AE183" s="400">
        <v>43</v>
      </c>
      <c r="AF183" s="349"/>
    </row>
    <row r="184" ht="23.1" customHeight="1" spans="1:32">
      <c r="A184" s="349">
        <v>180</v>
      </c>
      <c r="B184" s="350"/>
      <c r="C184" s="351" t="s">
        <v>120</v>
      </c>
      <c r="D184" s="159"/>
      <c r="E184" s="352"/>
      <c r="F184" s="28">
        <v>18</v>
      </c>
      <c r="G184" s="356" t="s">
        <v>1013</v>
      </c>
      <c r="H184" s="357" t="s">
        <v>1014</v>
      </c>
      <c r="I184" s="100" t="s">
        <v>124</v>
      </c>
      <c r="J184" s="100"/>
      <c r="K184" s="100"/>
      <c r="L184" s="100"/>
      <c r="M184" s="407"/>
      <c r="N184" s="373" t="s">
        <v>1015</v>
      </c>
      <c r="O184" s="374"/>
      <c r="P184" s="376"/>
      <c r="Q184" s="375"/>
      <c r="R184" s="382" t="s">
        <v>130</v>
      </c>
      <c r="S184" s="385"/>
      <c r="T184" s="384"/>
      <c r="U184" s="384"/>
      <c r="V184" s="382" t="s">
        <v>130</v>
      </c>
      <c r="W184" s="382"/>
      <c r="X184" s="349" t="s">
        <v>129</v>
      </c>
      <c r="Y184" s="349" t="s">
        <v>129</v>
      </c>
      <c r="Z184" s="120">
        <f t="shared" si="33"/>
        <v>1</v>
      </c>
      <c r="AA184" s="304" t="str">
        <f t="shared" si="34"/>
        <v>00:01:00</v>
      </c>
      <c r="AB184" s="120">
        <f t="shared" si="35"/>
        <v>60</v>
      </c>
      <c r="AC184" s="399">
        <v>0.000983796296296296</v>
      </c>
      <c r="AD184" s="400">
        <v>169</v>
      </c>
      <c r="AE184" s="400">
        <v>43</v>
      </c>
      <c r="AF184" s="349"/>
    </row>
    <row r="185" ht="23.1" customHeight="1" spans="1:32">
      <c r="A185" s="349">
        <v>181</v>
      </c>
      <c r="B185" s="350"/>
      <c r="C185" s="351" t="s">
        <v>120</v>
      </c>
      <c r="D185" s="159"/>
      <c r="E185" s="352"/>
      <c r="F185" s="28">
        <v>19</v>
      </c>
      <c r="G185" s="356" t="s">
        <v>1016</v>
      </c>
      <c r="H185" s="357" t="s">
        <v>1017</v>
      </c>
      <c r="I185" s="100" t="s">
        <v>124</v>
      </c>
      <c r="J185" s="100"/>
      <c r="K185" s="100"/>
      <c r="L185" s="100"/>
      <c r="M185" s="407"/>
      <c r="N185" s="373" t="s">
        <v>1018</v>
      </c>
      <c r="O185" s="374"/>
      <c r="P185" s="376"/>
      <c r="Q185" s="375"/>
      <c r="R185" s="382" t="s">
        <v>130</v>
      </c>
      <c r="S185" s="385"/>
      <c r="T185" s="384"/>
      <c r="U185" s="384"/>
      <c r="V185" s="382" t="s">
        <v>130</v>
      </c>
      <c r="W185" s="382"/>
      <c r="X185" s="349" t="s">
        <v>129</v>
      </c>
      <c r="Y185" s="349" t="s">
        <v>129</v>
      </c>
      <c r="Z185" s="120">
        <f t="shared" si="33"/>
        <v>1</v>
      </c>
      <c r="AA185" s="304" t="str">
        <f t="shared" si="34"/>
        <v>00:01:00</v>
      </c>
      <c r="AB185" s="120">
        <f t="shared" si="35"/>
        <v>60</v>
      </c>
      <c r="AC185" s="399">
        <v>0.000844907407407407</v>
      </c>
      <c r="AD185" s="400">
        <v>169</v>
      </c>
      <c r="AE185" s="400">
        <v>43</v>
      </c>
      <c r="AF185" s="349"/>
    </row>
    <row r="186" ht="23.1" customHeight="1" spans="1:32">
      <c r="A186" s="349">
        <v>182</v>
      </c>
      <c r="B186" s="350"/>
      <c r="C186" s="351" t="s">
        <v>120</v>
      </c>
      <c r="D186" s="159"/>
      <c r="E186" s="352"/>
      <c r="F186" s="28">
        <v>20</v>
      </c>
      <c r="G186" s="356" t="s">
        <v>1019</v>
      </c>
      <c r="H186" s="357" t="s">
        <v>1020</v>
      </c>
      <c r="I186" s="100" t="s">
        <v>124</v>
      </c>
      <c r="J186" s="100"/>
      <c r="K186" s="100"/>
      <c r="L186" s="100"/>
      <c r="M186" s="407"/>
      <c r="N186" s="373" t="s">
        <v>1021</v>
      </c>
      <c r="O186" s="374"/>
      <c r="P186" s="376"/>
      <c r="Q186" s="375"/>
      <c r="R186" s="382" t="s">
        <v>130</v>
      </c>
      <c r="S186" s="385"/>
      <c r="T186" s="384"/>
      <c r="U186" s="384"/>
      <c r="V186" s="382" t="s">
        <v>130</v>
      </c>
      <c r="W186" s="382"/>
      <c r="X186" s="349" t="s">
        <v>129</v>
      </c>
      <c r="Y186" s="349" t="s">
        <v>129</v>
      </c>
      <c r="Z186" s="120">
        <f t="shared" si="33"/>
        <v>1</v>
      </c>
      <c r="AA186" s="304" t="str">
        <f t="shared" si="34"/>
        <v>00:01:00</v>
      </c>
      <c r="AB186" s="120">
        <f t="shared" si="35"/>
        <v>60</v>
      </c>
      <c r="AC186" s="399">
        <v>0.000844907407407407</v>
      </c>
      <c r="AD186" s="400">
        <v>169</v>
      </c>
      <c r="AE186" s="400">
        <v>43</v>
      </c>
      <c r="AF186" s="349"/>
    </row>
    <row r="187" ht="23.1" customHeight="1" spans="1:32">
      <c r="A187" s="349">
        <v>183</v>
      </c>
      <c r="B187" s="350"/>
      <c r="C187" s="351" t="s">
        <v>120</v>
      </c>
      <c r="D187" s="159"/>
      <c r="E187" s="352"/>
      <c r="F187" s="28">
        <v>21</v>
      </c>
      <c r="G187" s="356" t="s">
        <v>1022</v>
      </c>
      <c r="H187" s="357" t="s">
        <v>1023</v>
      </c>
      <c r="I187" s="100" t="s">
        <v>124</v>
      </c>
      <c r="J187" s="100"/>
      <c r="K187" s="100"/>
      <c r="L187" s="100"/>
      <c r="M187" s="407"/>
      <c r="N187" s="373" t="s">
        <v>1024</v>
      </c>
      <c r="O187" s="374"/>
      <c r="P187" s="376"/>
      <c r="Q187" s="375"/>
      <c r="R187" s="382" t="s">
        <v>130</v>
      </c>
      <c r="S187" s="385"/>
      <c r="T187" s="384"/>
      <c r="U187" s="384"/>
      <c r="V187" s="382" t="s">
        <v>130</v>
      </c>
      <c r="W187" s="382"/>
      <c r="X187" s="349" t="s">
        <v>129</v>
      </c>
      <c r="Y187" s="349" t="s">
        <v>129</v>
      </c>
      <c r="Z187" s="120">
        <f t="shared" si="33"/>
        <v>1</v>
      </c>
      <c r="AA187" s="304" t="str">
        <f t="shared" si="34"/>
        <v>00:01:00</v>
      </c>
      <c r="AB187" s="120">
        <f t="shared" si="35"/>
        <v>60</v>
      </c>
      <c r="AC187" s="399">
        <v>0.000902777777777778</v>
      </c>
      <c r="AD187" s="400">
        <v>169</v>
      </c>
      <c r="AE187" s="400">
        <v>43</v>
      </c>
      <c r="AF187" s="349"/>
    </row>
    <row r="188" ht="23.1" customHeight="1" spans="1:32">
      <c r="A188" s="349">
        <v>184</v>
      </c>
      <c r="B188" s="350"/>
      <c r="C188" s="351" t="s">
        <v>120</v>
      </c>
      <c r="D188" s="159"/>
      <c r="E188" s="352"/>
      <c r="F188" s="28">
        <v>22</v>
      </c>
      <c r="G188" s="356" t="s">
        <v>1025</v>
      </c>
      <c r="H188" s="357" t="s">
        <v>1026</v>
      </c>
      <c r="I188" s="100" t="s">
        <v>124</v>
      </c>
      <c r="J188" s="100"/>
      <c r="K188" s="100"/>
      <c r="L188" s="100"/>
      <c r="M188" s="407"/>
      <c r="N188" s="373" t="s">
        <v>1027</v>
      </c>
      <c r="O188" s="374"/>
      <c r="P188" s="376"/>
      <c r="Q188" s="375"/>
      <c r="R188" s="382" t="s">
        <v>130</v>
      </c>
      <c r="S188" s="385"/>
      <c r="T188" s="384"/>
      <c r="U188" s="384"/>
      <c r="V188" s="382" t="s">
        <v>130</v>
      </c>
      <c r="W188" s="382"/>
      <c r="X188" s="349" t="s">
        <v>129</v>
      </c>
      <c r="Y188" s="349" t="s">
        <v>129</v>
      </c>
      <c r="Z188" s="120">
        <f t="shared" si="33"/>
        <v>1</v>
      </c>
      <c r="AA188" s="304" t="str">
        <f t="shared" si="34"/>
        <v>00:01:00</v>
      </c>
      <c r="AB188" s="120">
        <f t="shared" si="35"/>
        <v>60</v>
      </c>
      <c r="AC188" s="399">
        <v>0.000717592592592593</v>
      </c>
      <c r="AD188" s="400">
        <v>169</v>
      </c>
      <c r="AE188" s="400">
        <v>43</v>
      </c>
      <c r="AF188" s="349"/>
    </row>
    <row r="189" ht="23.1" customHeight="1" spans="1:32">
      <c r="A189" s="349">
        <v>185</v>
      </c>
      <c r="B189" s="350"/>
      <c r="C189" s="351" t="s">
        <v>120</v>
      </c>
      <c r="D189" s="159"/>
      <c r="E189" s="352"/>
      <c r="F189" s="28">
        <v>23</v>
      </c>
      <c r="G189" s="356" t="s">
        <v>1028</v>
      </c>
      <c r="H189" s="357" t="s">
        <v>1029</v>
      </c>
      <c r="I189" s="100" t="s">
        <v>124</v>
      </c>
      <c r="J189" s="100"/>
      <c r="K189" s="100"/>
      <c r="L189" s="100"/>
      <c r="M189" s="407"/>
      <c r="N189" s="373" t="s">
        <v>1030</v>
      </c>
      <c r="O189" s="374"/>
      <c r="P189" s="376"/>
      <c r="Q189" s="375"/>
      <c r="R189" s="382" t="s">
        <v>130</v>
      </c>
      <c r="S189" s="385"/>
      <c r="T189" s="384"/>
      <c r="U189" s="384"/>
      <c r="V189" s="382" t="s">
        <v>130</v>
      </c>
      <c r="W189" s="382"/>
      <c r="X189" s="349" t="s">
        <v>129</v>
      </c>
      <c r="Y189" s="349" t="s">
        <v>129</v>
      </c>
      <c r="Z189" s="120">
        <f t="shared" si="33"/>
        <v>1</v>
      </c>
      <c r="AA189" s="304" t="str">
        <f t="shared" si="34"/>
        <v>00:01:00</v>
      </c>
      <c r="AB189" s="120">
        <f t="shared" si="35"/>
        <v>60</v>
      </c>
      <c r="AC189" s="399">
        <v>0.000902777777777778</v>
      </c>
      <c r="AD189" s="400">
        <v>169</v>
      </c>
      <c r="AE189" s="400">
        <v>43</v>
      </c>
      <c r="AF189" s="349"/>
    </row>
    <row r="190" ht="23.1" customHeight="1" spans="1:32">
      <c r="A190" s="349">
        <v>186</v>
      </c>
      <c r="B190" s="350"/>
      <c r="C190" s="351" t="s">
        <v>120</v>
      </c>
      <c r="D190" s="159"/>
      <c r="E190" s="352"/>
      <c r="F190" s="28">
        <v>24</v>
      </c>
      <c r="G190" s="356" t="s">
        <v>1031</v>
      </c>
      <c r="H190" s="357" t="s">
        <v>1032</v>
      </c>
      <c r="I190" s="100" t="s">
        <v>124</v>
      </c>
      <c r="J190" s="100"/>
      <c r="K190" s="100"/>
      <c r="L190" s="100"/>
      <c r="M190" s="407"/>
      <c r="N190" s="373" t="s">
        <v>1033</v>
      </c>
      <c r="O190" s="374"/>
      <c r="P190" s="376"/>
      <c r="Q190" s="375"/>
      <c r="R190" s="382" t="s">
        <v>130</v>
      </c>
      <c r="S190" s="385"/>
      <c r="T190" s="384"/>
      <c r="U190" s="384"/>
      <c r="V190" s="382" t="s">
        <v>130</v>
      </c>
      <c r="W190" s="382"/>
      <c r="X190" s="349" t="s">
        <v>129</v>
      </c>
      <c r="Y190" s="349" t="s">
        <v>129</v>
      </c>
      <c r="Z190" s="120">
        <f t="shared" si="33"/>
        <v>1</v>
      </c>
      <c r="AA190" s="304" t="str">
        <f t="shared" si="34"/>
        <v>00:01:00</v>
      </c>
      <c r="AB190" s="120">
        <f t="shared" si="35"/>
        <v>60</v>
      </c>
      <c r="AC190" s="399">
        <v>0.000810185185185185</v>
      </c>
      <c r="AD190" s="400">
        <v>169</v>
      </c>
      <c r="AE190" s="400">
        <v>43</v>
      </c>
      <c r="AF190" s="349"/>
    </row>
    <row r="191" ht="23.1" customHeight="1" spans="1:32">
      <c r="A191" s="349">
        <v>187</v>
      </c>
      <c r="B191" s="350"/>
      <c r="C191" s="351" t="s">
        <v>120</v>
      </c>
      <c r="D191" s="159"/>
      <c r="E191" s="352"/>
      <c r="F191" s="28">
        <v>25</v>
      </c>
      <c r="G191" s="356" t="s">
        <v>1034</v>
      </c>
      <c r="H191" s="357" t="s">
        <v>1035</v>
      </c>
      <c r="I191" s="100" t="s">
        <v>124</v>
      </c>
      <c r="J191" s="100"/>
      <c r="K191" s="100"/>
      <c r="L191" s="100"/>
      <c r="M191" s="407"/>
      <c r="N191" s="373" t="s">
        <v>1036</v>
      </c>
      <c r="O191" s="374"/>
      <c r="P191" s="376"/>
      <c r="Q191" s="375"/>
      <c r="R191" s="382" t="s">
        <v>130</v>
      </c>
      <c r="S191" s="385"/>
      <c r="T191" s="384"/>
      <c r="U191" s="384"/>
      <c r="V191" s="382" t="s">
        <v>130</v>
      </c>
      <c r="W191" s="382"/>
      <c r="X191" s="349" t="s">
        <v>129</v>
      </c>
      <c r="Y191" s="349" t="s">
        <v>129</v>
      </c>
      <c r="Z191" s="120">
        <f t="shared" si="33"/>
        <v>1</v>
      </c>
      <c r="AA191" s="304" t="str">
        <f t="shared" si="34"/>
        <v>00:01:00</v>
      </c>
      <c r="AB191" s="120">
        <f t="shared" si="35"/>
        <v>60</v>
      </c>
      <c r="AC191" s="399">
        <v>0.000821759259259259</v>
      </c>
      <c r="AD191" s="400">
        <v>169</v>
      </c>
      <c r="AE191" s="400">
        <v>43</v>
      </c>
      <c r="AF191" s="349"/>
    </row>
    <row r="192" ht="20" customHeight="1" spans="1:32">
      <c r="A192" s="349">
        <v>188</v>
      </c>
      <c r="B192" s="350"/>
      <c r="C192" s="351" t="s">
        <v>120</v>
      </c>
      <c r="D192" s="352" t="s">
        <v>366</v>
      </c>
      <c r="E192" s="352"/>
      <c r="F192" s="28">
        <v>1</v>
      </c>
      <c r="G192" s="405" t="s">
        <v>1037</v>
      </c>
      <c r="H192" s="28" t="s">
        <v>1038</v>
      </c>
      <c r="I192" s="100" t="s">
        <v>124</v>
      </c>
      <c r="J192" s="100" t="s">
        <v>124</v>
      </c>
      <c r="K192" s="100" t="s">
        <v>124</v>
      </c>
      <c r="L192" s="100" t="s">
        <v>124</v>
      </c>
      <c r="M192" s="100" t="s">
        <v>124</v>
      </c>
      <c r="N192" s="373" t="s">
        <v>1039</v>
      </c>
      <c r="O192" s="374" t="s">
        <v>1040</v>
      </c>
      <c r="P192" s="408" t="str">
        <f>CONCATENATE("WonderfulNavigation","_",C192,"_","169","_",PROPER(R192),IF(S192="",PROPER(R192),PROPER(S192)),PROPER(T192),PROPER(U192),PROPER(V192),IF(V192&lt;&gt;"","SUB",""),PROPER(W192),IF(W192&lt;&gt;"","SUB",""),"_","Ed","_","M2",".mpg")</f>
        <v>WonderfulNavigation_0825_169_EngEngEngSUBZhoSUB_Ed_M2.mpg</v>
      </c>
      <c r="Q192" s="408"/>
      <c r="R192" s="382" t="s">
        <v>131</v>
      </c>
      <c r="S192" s="410"/>
      <c r="T192" s="410"/>
      <c r="U192" s="410"/>
      <c r="V192" s="382" t="s">
        <v>131</v>
      </c>
      <c r="W192" s="382" t="s">
        <v>130</v>
      </c>
      <c r="X192" s="349" t="s">
        <v>129</v>
      </c>
      <c r="Y192" s="349" t="s">
        <v>129</v>
      </c>
      <c r="Z192" s="120">
        <f t="shared" ref="Z192:Z198" si="36">ROUNDUP(HOUR(AA192)*60+MINUTE(AA192)+SECOND(AA192)/60,0)</f>
        <v>2</v>
      </c>
      <c r="AA192" s="304" t="str">
        <f t="shared" ref="AA192:AA198" si="37">TEXT((HOUR(AC192)*60+MINUTE(AC192)+IF(SECOND(AC192)&lt;=29,0,1))*60/86400,"hh:mm:ss")</f>
        <v>00:02:00</v>
      </c>
      <c r="AB192" s="120">
        <f t="shared" ref="AB192:AB198" si="38">Z192*60</f>
        <v>120</v>
      </c>
      <c r="AC192" s="411">
        <v>0.00105324074074074</v>
      </c>
      <c r="AD192" s="400">
        <v>169</v>
      </c>
      <c r="AE192" s="400">
        <v>43</v>
      </c>
      <c r="AF192" s="412"/>
    </row>
  </sheetData>
  <mergeCells count="65">
    <mergeCell ref="A2:H2"/>
    <mergeCell ref="I2:K2"/>
    <mergeCell ref="L2:M2"/>
    <mergeCell ref="N2:O2"/>
    <mergeCell ref="P2:Q2"/>
    <mergeCell ref="R2:W2"/>
    <mergeCell ref="X2:Y2"/>
    <mergeCell ref="AA2:AB2"/>
    <mergeCell ref="AD2:AE2"/>
    <mergeCell ref="P192:Q192"/>
    <mergeCell ref="A3:A4"/>
    <mergeCell ref="B3:B4"/>
    <mergeCell ref="C3:C4"/>
    <mergeCell ref="D3:D4"/>
    <mergeCell ref="D5:D19"/>
    <mergeCell ref="D20:D25"/>
    <mergeCell ref="D26:D43"/>
    <mergeCell ref="D44:D64"/>
    <mergeCell ref="D65:D87"/>
    <mergeCell ref="D88:D101"/>
    <mergeCell ref="D102:D108"/>
    <mergeCell ref="D109:D121"/>
    <mergeCell ref="D122:D133"/>
    <mergeCell ref="D134:D144"/>
    <mergeCell ref="D145:D191"/>
    <mergeCell ref="E3:E4"/>
    <mergeCell ref="E5:E19"/>
    <mergeCell ref="E20:E25"/>
    <mergeCell ref="E26:E43"/>
    <mergeCell ref="E44:E64"/>
    <mergeCell ref="E65:E87"/>
    <mergeCell ref="E88:E101"/>
    <mergeCell ref="E102:E108"/>
    <mergeCell ref="E109:E121"/>
    <mergeCell ref="E122:E133"/>
    <mergeCell ref="E134:E144"/>
    <mergeCell ref="E145:E166"/>
    <mergeCell ref="E167:E191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pageSetup paperSize="1" orientation="portrait"/>
  <headerFooter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AK29"/>
  <sheetViews>
    <sheetView zoomScale="80" zoomScaleNormal="80" workbookViewId="0">
      <pane xSplit="6" ySplit="4" topLeftCell="G5" activePane="bottomRight" state="frozen"/>
      <selection/>
      <selection pane="topRight"/>
      <selection pane="bottomLeft"/>
      <selection pane="bottomRight" activeCell="N25" sqref="N25"/>
    </sheetView>
  </sheetViews>
  <sheetFormatPr defaultColWidth="8" defaultRowHeight="13.5"/>
  <cols>
    <col min="1" max="1" width="3.63333333333333" customWidth="1"/>
    <col min="2" max="2" width="5.63333333333333" customWidth="1"/>
    <col min="3" max="3" width="4.38333333333333" customWidth="1"/>
    <col min="4" max="4" width="7" customWidth="1"/>
    <col min="5" max="5" width="3.25833333333333" customWidth="1"/>
    <col min="6" max="7" width="26.2583333333333" customWidth="1"/>
    <col min="8" max="11" width="4.38333333333333" customWidth="1"/>
    <col min="12" max="12" width="23" customWidth="1"/>
    <col min="13" max="13" width="62.3416666666667" customWidth="1"/>
    <col min="14" max="14" width="64.525" customWidth="1"/>
    <col min="15" max="20" width="4.14166666666667" customWidth="1"/>
    <col min="21" max="22" width="5.63333333333333" customWidth="1"/>
    <col min="23" max="23" width="8" customWidth="1"/>
    <col min="24" max="24" width="11.3833333333333" customWidth="1"/>
    <col min="25" max="25" width="11.2583333333333" customWidth="1"/>
    <col min="26" max="26" width="6.14166666666667" customWidth="1"/>
    <col min="27" max="27" width="6.88333333333333" customWidth="1"/>
    <col min="28" max="28" width="17.6333333333333" customWidth="1"/>
    <col min="29" max="34" width="5.14166666666667" customWidth="1"/>
    <col min="35" max="37" width="4.14166666666667" hidden="1" customWidth="1"/>
  </cols>
  <sheetData>
    <row r="1" ht="14.25"/>
    <row r="2" customFormat="1" ht="18.95" customHeight="1" spans="1:37">
      <c r="A2" s="14" t="s">
        <v>379</v>
      </c>
      <c r="B2" s="13"/>
      <c r="C2" s="13"/>
      <c r="D2" s="13"/>
      <c r="E2" s="13"/>
      <c r="F2" s="13"/>
      <c r="G2" s="271"/>
      <c r="H2" s="15" t="s">
        <v>73</v>
      </c>
      <c r="I2" s="35"/>
      <c r="J2" s="15" t="s">
        <v>74</v>
      </c>
      <c r="K2" s="36"/>
      <c r="L2" s="37" t="s">
        <v>75</v>
      </c>
      <c r="M2" s="322" t="s">
        <v>381</v>
      </c>
      <c r="N2" s="323"/>
      <c r="O2" s="162" t="s">
        <v>80</v>
      </c>
      <c r="P2" s="40"/>
      <c r="Q2" s="40"/>
      <c r="R2" s="40"/>
      <c r="S2" s="40"/>
      <c r="T2" s="40"/>
      <c r="U2" s="53" t="s">
        <v>382</v>
      </c>
      <c r="V2" s="54"/>
      <c r="W2" s="55"/>
      <c r="X2" s="65" t="s">
        <v>81</v>
      </c>
      <c r="Y2" s="65"/>
      <c r="Z2" s="264" t="s">
        <v>82</v>
      </c>
      <c r="AA2" s="329"/>
      <c r="AB2" s="2"/>
      <c r="AC2" s="2"/>
      <c r="AD2" s="2"/>
      <c r="AE2" s="2"/>
      <c r="AF2" s="2"/>
      <c r="AG2" s="2"/>
      <c r="AH2" s="2"/>
      <c r="AI2" s="2"/>
      <c r="AJ2" s="2"/>
      <c r="AK2" s="2"/>
    </row>
    <row r="3" customFormat="1" ht="18" customHeight="1" spans="1:37">
      <c r="A3" s="68" t="s">
        <v>85</v>
      </c>
      <c r="B3" s="77" t="s">
        <v>87</v>
      </c>
      <c r="C3" s="78" t="s">
        <v>383</v>
      </c>
      <c r="D3" s="77" t="s">
        <v>86</v>
      </c>
      <c r="E3" s="78" t="s">
        <v>89</v>
      </c>
      <c r="F3" s="78" t="s">
        <v>90</v>
      </c>
      <c r="G3" s="116" t="s">
        <v>91</v>
      </c>
      <c r="H3" s="21" t="s">
        <v>93</v>
      </c>
      <c r="I3" s="27" t="s">
        <v>1041</v>
      </c>
      <c r="J3" s="41" t="s">
        <v>96</v>
      </c>
      <c r="K3" s="42" t="s">
        <v>97</v>
      </c>
      <c r="L3" s="199" t="s">
        <v>98</v>
      </c>
      <c r="M3" s="44" t="s">
        <v>388</v>
      </c>
      <c r="N3" s="44" t="s">
        <v>101</v>
      </c>
      <c r="O3" s="45" t="s">
        <v>109</v>
      </c>
      <c r="P3" s="56" t="s">
        <v>110</v>
      </c>
      <c r="Q3" s="57" t="s">
        <v>111</v>
      </c>
      <c r="R3" s="57" t="s">
        <v>112</v>
      </c>
      <c r="S3" s="56" t="s">
        <v>113</v>
      </c>
      <c r="T3" s="56" t="s">
        <v>114</v>
      </c>
      <c r="U3" s="58" t="s">
        <v>107</v>
      </c>
      <c r="V3" s="58" t="s">
        <v>108</v>
      </c>
      <c r="W3" s="24" t="s">
        <v>115</v>
      </c>
      <c r="X3" s="68" t="s">
        <v>116</v>
      </c>
      <c r="Y3" s="69" t="s">
        <v>117</v>
      </c>
      <c r="Z3" s="265" t="s">
        <v>118</v>
      </c>
      <c r="AA3" s="330" t="s">
        <v>1042</v>
      </c>
      <c r="AB3" s="2"/>
      <c r="AC3" s="2"/>
      <c r="AD3" s="2"/>
      <c r="AE3" s="2"/>
      <c r="AF3" s="2"/>
      <c r="AG3" s="2"/>
      <c r="AH3" s="2"/>
      <c r="AI3" s="2"/>
      <c r="AJ3" s="2"/>
      <c r="AK3" s="2"/>
    </row>
    <row r="4" customFormat="1" ht="111.95" customHeight="1" spans="1:27">
      <c r="A4" s="68"/>
      <c r="B4" s="79"/>
      <c r="C4" s="80"/>
      <c r="D4" s="79"/>
      <c r="E4" s="80"/>
      <c r="F4" s="80"/>
      <c r="G4" s="116"/>
      <c r="H4" s="242"/>
      <c r="I4" s="242"/>
      <c r="J4" s="251"/>
      <c r="K4" s="251"/>
      <c r="L4" s="324"/>
      <c r="M4" s="99"/>
      <c r="N4" s="99"/>
      <c r="O4" s="45"/>
      <c r="P4" s="56"/>
      <c r="Q4" s="136"/>
      <c r="R4" s="136"/>
      <c r="S4" s="56"/>
      <c r="T4" s="56"/>
      <c r="U4" s="137"/>
      <c r="V4" s="137"/>
      <c r="W4" s="115"/>
      <c r="X4" s="68"/>
      <c r="Y4" s="113"/>
      <c r="Z4" s="267"/>
      <c r="AA4" s="331"/>
    </row>
    <row r="5" s="317" customFormat="1" ht="30" customHeight="1" spans="1:31">
      <c r="A5" s="318">
        <v>1</v>
      </c>
      <c r="B5" s="319" t="s">
        <v>120</v>
      </c>
      <c r="C5" s="320" t="s">
        <v>1043</v>
      </c>
      <c r="D5" s="319"/>
      <c r="E5" s="318">
        <v>1</v>
      </c>
      <c r="F5" s="318" t="s">
        <v>1044</v>
      </c>
      <c r="G5" s="318" t="s">
        <v>1044</v>
      </c>
      <c r="H5" s="321" t="s">
        <v>124</v>
      </c>
      <c r="I5" s="321" t="s">
        <v>124</v>
      </c>
      <c r="J5" s="321" t="s">
        <v>124</v>
      </c>
      <c r="K5" s="321" t="s">
        <v>124</v>
      </c>
      <c r="L5" s="325" t="s">
        <v>1045</v>
      </c>
      <c r="M5" s="318" t="str">
        <f>CONCATENATE("CA",B5,"Advertisement","_","i4K","_",B5,"_",AA5,"_",O5,IF(P5="",O5,P5),Q5,R5,S5,IF(S5&lt;&gt;"","SUB",""),T5,IF(T5&lt;&gt;"","SUB",""),"_","Ed","_","M2",".mpg")</f>
        <v>CA0825Advertisement_i4K_0825_43_ZhoZho_Ed_M2.mpg</v>
      </c>
      <c r="N5" s="318" t="str">
        <f>CONCATENATE("CA",B5,"Advertisement","_","i5K","_",B5,"_",Z5,"_",O5,IF(P5="",O5,P5),Q5,R5,S5,IF(S5&lt;&gt;"","SUB",""),T5,IF(T5&lt;&gt;"","SUB",""),"_","Ed","_","M2",".mpg")</f>
        <v>CA0825Advertisement_i5K_0825_169_ZhoZho_Ed_M2.mpg</v>
      </c>
      <c r="O5" s="326" t="s">
        <v>130</v>
      </c>
      <c r="P5" s="326"/>
      <c r="Q5" s="326"/>
      <c r="R5" s="326"/>
      <c r="S5" s="326"/>
      <c r="T5" s="326"/>
      <c r="U5" s="326" t="s">
        <v>1046</v>
      </c>
      <c r="V5" s="326" t="s">
        <v>1046</v>
      </c>
      <c r="W5" s="327"/>
      <c r="X5" s="328">
        <v>0.000243055555555556</v>
      </c>
      <c r="Y5" s="332"/>
      <c r="Z5" s="333">
        <v>169</v>
      </c>
      <c r="AA5" s="333">
        <v>43</v>
      </c>
      <c r="AB5" s="334"/>
      <c r="AE5" s="335"/>
    </row>
    <row r="6" customFormat="1" ht="24" customHeight="1" spans="21:23">
      <c r="U6" s="3"/>
      <c r="V6" s="3"/>
      <c r="W6" s="3"/>
    </row>
    <row r="7" customFormat="1" ht="20.25" spans="3:23">
      <c r="C7" s="34"/>
      <c r="D7" s="34"/>
      <c r="U7" s="3"/>
      <c r="V7" s="3"/>
      <c r="W7" s="3"/>
    </row>
    <row r="8" customFormat="1" ht="20.25" spans="3:23">
      <c r="C8" s="34"/>
      <c r="D8" s="34"/>
      <c r="U8" s="3"/>
      <c r="V8" s="3"/>
      <c r="W8" s="3"/>
    </row>
    <row r="9" customFormat="1" spans="21:23">
      <c r="U9" s="3"/>
      <c r="V9" s="3"/>
      <c r="W9" s="3"/>
    </row>
    <row r="10" customFormat="1" spans="21:23">
      <c r="U10" s="3"/>
      <c r="V10" s="3"/>
      <c r="W10" s="3"/>
    </row>
    <row r="11" customFormat="1" spans="21:23">
      <c r="U11" s="3"/>
      <c r="V11" s="3"/>
      <c r="W11" s="3"/>
    </row>
    <row r="12" customFormat="1" spans="21:23">
      <c r="U12" s="3"/>
      <c r="V12" s="3"/>
      <c r="W12" s="3"/>
    </row>
    <row r="13" customFormat="1" spans="21:23">
      <c r="U13" s="3"/>
      <c r="V13" s="3"/>
      <c r="W13" s="3"/>
    </row>
    <row r="14" customFormat="1" spans="21:23">
      <c r="U14" s="3"/>
      <c r="V14" s="3"/>
      <c r="W14" s="3"/>
    </row>
    <row r="15" customFormat="1" spans="21:23">
      <c r="U15" s="3"/>
      <c r="V15" s="3"/>
      <c r="W15" s="3"/>
    </row>
    <row r="16" customFormat="1" spans="21:23">
      <c r="U16" s="3"/>
      <c r="V16" s="3"/>
      <c r="W16" s="3"/>
    </row>
    <row r="17" customFormat="1" spans="21:23">
      <c r="U17" s="3"/>
      <c r="V17" s="3"/>
      <c r="W17" s="3"/>
    </row>
    <row r="18" customFormat="1" spans="21:23">
      <c r="U18" s="3"/>
      <c r="V18" s="3"/>
      <c r="W18" s="3"/>
    </row>
    <row r="19" customFormat="1" spans="21:23">
      <c r="U19" s="3"/>
      <c r="V19" s="3"/>
      <c r="W19" s="3"/>
    </row>
    <row r="20" customFormat="1" spans="21:23">
      <c r="U20" s="3"/>
      <c r="V20" s="3"/>
      <c r="W20" s="3"/>
    </row>
    <row r="21" customFormat="1" spans="21:23">
      <c r="U21" s="3"/>
      <c r="V21" s="3"/>
      <c r="W21" s="3"/>
    </row>
    <row r="22" customFormat="1" spans="21:23">
      <c r="U22" s="3"/>
      <c r="V22" s="3"/>
      <c r="W22" s="3"/>
    </row>
    <row r="23" customFormat="1" spans="21:23">
      <c r="U23" s="3"/>
      <c r="V23" s="3"/>
      <c r="W23" s="3"/>
    </row>
    <row r="24" customFormat="1" spans="21:23">
      <c r="U24" s="3"/>
      <c r="V24" s="3"/>
      <c r="W24" s="3"/>
    </row>
    <row r="25" customFormat="1" spans="21:23">
      <c r="U25" s="3"/>
      <c r="V25" s="3"/>
      <c r="W25" s="3"/>
    </row>
    <row r="26" customFormat="1" ht="15.75" spans="21:23">
      <c r="U26" s="63"/>
      <c r="V26" s="63"/>
      <c r="W26" s="63"/>
    </row>
    <row r="27" customFormat="1" ht="15.75" spans="21:23">
      <c r="U27" s="63"/>
      <c r="V27" s="63"/>
      <c r="W27" s="63"/>
    </row>
    <row r="28" customFormat="1" ht="15.75" spans="21:23">
      <c r="U28" s="64"/>
      <c r="V28" s="64"/>
      <c r="W28" s="64"/>
    </row>
    <row r="29" customFormat="1" ht="15.75" spans="21:23">
      <c r="U29" s="64"/>
      <c r="V29" s="64"/>
      <c r="W29" s="64"/>
    </row>
  </sheetData>
  <mergeCells count="35">
    <mergeCell ref="A2:G2"/>
    <mergeCell ref="H2:I2"/>
    <mergeCell ref="J2:K2"/>
    <mergeCell ref="M2:N2"/>
    <mergeCell ref="O2:T2"/>
    <mergeCell ref="U2:V2"/>
    <mergeCell ref="X2:Y2"/>
    <mergeCell ref="Z2:AA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</mergeCells>
  <pageMargins left="0.75" right="0.75" top="1" bottom="1" header="0.5" footer="0.5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AQ209"/>
  <sheetViews>
    <sheetView zoomScale="80" zoomScaleNormal="80" topLeftCell="C1" workbookViewId="0">
      <pane ySplit="4" topLeftCell="A51" activePane="bottomLeft" state="frozen"/>
      <selection/>
      <selection pane="bottomLeft" activeCell="AC70" sqref="AC70"/>
    </sheetView>
  </sheetViews>
  <sheetFormatPr defaultColWidth="8" defaultRowHeight="26" customHeight="1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4.50833333333333" style="3" customWidth="1"/>
    <col min="6" max="6" width="4.36666666666667" style="3" customWidth="1"/>
    <col min="7" max="7" width="34.9916666666667" style="4" customWidth="1"/>
    <col min="8" max="8" width="54.6833333333333" style="3" customWidth="1"/>
    <col min="9" max="9" width="5.63333333333333" style="3" customWidth="1"/>
    <col min="10" max="14" width="4.50833333333333" style="3" customWidth="1"/>
    <col min="15" max="15" width="23.425" style="3" customWidth="1"/>
    <col min="16" max="16" width="23.425" style="3" hidden="1" customWidth="1"/>
    <col min="17" max="17" width="53.5916666666667" style="5" hidden="1" customWidth="1"/>
    <col min="18" max="18" width="53.9" style="5" hidden="1" customWidth="1"/>
    <col min="19" max="19" width="4.14166666666667" style="3" customWidth="1"/>
    <col min="20" max="22" width="4.14166666666667" style="6" customWidth="1"/>
    <col min="23" max="24" width="4.14166666666667" style="3" customWidth="1"/>
    <col min="25" max="26" width="5.63333333333333" style="7" customWidth="1"/>
    <col min="27" max="27" width="8" style="7" customWidth="1"/>
    <col min="28" max="28" width="11.5083333333333" style="3" customWidth="1"/>
    <col min="29" max="29" width="11.3833333333333" style="3" customWidth="1"/>
    <col min="30" max="30" width="11.2583333333333" style="3" customWidth="1"/>
    <col min="31" max="32" width="6.14166666666667" style="3" customWidth="1"/>
    <col min="33" max="33" width="5.14166666666667" style="8" customWidth="1"/>
    <col min="34" max="34" width="64.8833333333333" style="9" customWidth="1"/>
    <col min="35" max="35" width="5.14166666666667" style="10" customWidth="1"/>
    <col min="36" max="36" width="5.14166666666667" style="8" customWidth="1"/>
    <col min="37" max="37" width="5.14166666666667" style="11" customWidth="1"/>
    <col min="38" max="39" width="5.14166666666667" style="8" customWidth="1"/>
    <col min="40" max="40" width="5.14166666666667" style="10" customWidth="1"/>
    <col min="41" max="43" width="4.14166666666667" style="12" hidden="1" customWidth="1"/>
    <col min="44" max="16384" width="8" style="2"/>
  </cols>
  <sheetData>
    <row r="1" ht="15" customHeight="1"/>
    <row r="2" customHeight="1" spans="1:43">
      <c r="A2" s="13" t="s">
        <v>379</v>
      </c>
      <c r="B2" s="13"/>
      <c r="C2" s="13"/>
      <c r="D2" s="13"/>
      <c r="E2" s="13"/>
      <c r="F2" s="13"/>
      <c r="G2" s="13"/>
      <c r="H2" s="271"/>
      <c r="I2" s="202" t="s">
        <v>73</v>
      </c>
      <c r="J2" s="282"/>
      <c r="K2" s="282"/>
      <c r="L2" s="203"/>
      <c r="M2" s="202" t="s">
        <v>74</v>
      </c>
      <c r="N2" s="203"/>
      <c r="O2" s="283" t="s">
        <v>380</v>
      </c>
      <c r="P2" s="283" t="s">
        <v>1047</v>
      </c>
      <c r="Q2" s="297" t="s">
        <v>381</v>
      </c>
      <c r="R2" s="298"/>
      <c r="S2" s="162" t="s">
        <v>80</v>
      </c>
      <c r="T2" s="40"/>
      <c r="U2" s="40"/>
      <c r="V2" s="40"/>
      <c r="W2" s="40"/>
      <c r="X2" s="40"/>
      <c r="Y2" s="53" t="s">
        <v>382</v>
      </c>
      <c r="Z2" s="54"/>
      <c r="AA2" s="55"/>
      <c r="AB2" s="216" t="s">
        <v>81</v>
      </c>
      <c r="AC2" s="65" t="s">
        <v>81</v>
      </c>
      <c r="AD2" s="65"/>
      <c r="AE2" s="264" t="s">
        <v>82</v>
      </c>
      <c r="AF2" s="67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customHeight="1" spans="1:43">
      <c r="A3" s="16" t="s">
        <v>85</v>
      </c>
      <c r="B3" s="17" t="s">
        <v>87</v>
      </c>
      <c r="C3" s="18" t="s">
        <v>383</v>
      </c>
      <c r="D3" s="17" t="s">
        <v>86</v>
      </c>
      <c r="E3" s="144" t="s">
        <v>89</v>
      </c>
      <c r="F3" s="272" t="s">
        <v>1048</v>
      </c>
      <c r="G3" s="145" t="s">
        <v>90</v>
      </c>
      <c r="H3" s="273" t="s">
        <v>91</v>
      </c>
      <c r="I3" s="284" t="s">
        <v>1049</v>
      </c>
      <c r="J3" s="285" t="s">
        <v>1050</v>
      </c>
      <c r="K3" s="286" t="s">
        <v>94</v>
      </c>
      <c r="L3" s="21" t="s">
        <v>99</v>
      </c>
      <c r="M3" s="287" t="s">
        <v>96</v>
      </c>
      <c r="N3" s="287" t="s">
        <v>97</v>
      </c>
      <c r="O3" s="288"/>
      <c r="P3" s="288"/>
      <c r="Q3" s="297"/>
      <c r="R3" s="298"/>
      <c r="S3" s="45" t="s">
        <v>109</v>
      </c>
      <c r="T3" s="56" t="s">
        <v>110</v>
      </c>
      <c r="U3" s="57" t="s">
        <v>111</v>
      </c>
      <c r="V3" s="57" t="s">
        <v>112</v>
      </c>
      <c r="W3" s="56" t="s">
        <v>113</v>
      </c>
      <c r="X3" s="56" t="s">
        <v>114</v>
      </c>
      <c r="Y3" s="58" t="s">
        <v>107</v>
      </c>
      <c r="Z3" s="58" t="s">
        <v>108</v>
      </c>
      <c r="AA3" s="69" t="s">
        <v>115</v>
      </c>
      <c r="AB3" s="220" t="s">
        <v>389</v>
      </c>
      <c r="AC3" s="20" t="s">
        <v>116</v>
      </c>
      <c r="AD3" s="69" t="s">
        <v>117</v>
      </c>
      <c r="AE3" s="265" t="s">
        <v>1051</v>
      </c>
      <c r="AF3" s="266" t="s">
        <v>1052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ht="49" customHeight="1" spans="1:34">
      <c r="A4" s="274"/>
      <c r="B4" s="23"/>
      <c r="C4" s="24"/>
      <c r="D4" s="128"/>
      <c r="E4" s="275"/>
      <c r="F4" s="117"/>
      <c r="G4" s="148"/>
      <c r="H4" s="273"/>
      <c r="I4" s="289"/>
      <c r="J4" s="290"/>
      <c r="K4" s="291"/>
      <c r="L4" s="242"/>
      <c r="M4" s="292"/>
      <c r="N4" s="292"/>
      <c r="O4" s="293"/>
      <c r="P4" s="293"/>
      <c r="Q4" s="299" t="s">
        <v>388</v>
      </c>
      <c r="R4" s="300" t="s">
        <v>101</v>
      </c>
      <c r="S4" s="45"/>
      <c r="T4" s="56"/>
      <c r="U4" s="136"/>
      <c r="V4" s="136"/>
      <c r="W4" s="56"/>
      <c r="X4" s="56"/>
      <c r="Y4" s="137"/>
      <c r="Z4" s="137"/>
      <c r="AA4" s="113"/>
      <c r="AB4" s="303"/>
      <c r="AC4" s="20"/>
      <c r="AD4" s="113"/>
      <c r="AE4" s="267"/>
      <c r="AF4" s="268"/>
      <c r="AH4" s="305"/>
    </row>
    <row r="5" customHeight="1" spans="1:32">
      <c r="A5" s="81">
        <v>1</v>
      </c>
      <c r="B5" s="29" t="s">
        <v>120</v>
      </c>
      <c r="C5" s="276" t="s">
        <v>1053</v>
      </c>
      <c r="D5" s="277"/>
      <c r="E5" s="81">
        <v>1</v>
      </c>
      <c r="F5" s="278" t="s">
        <v>1054</v>
      </c>
      <c r="G5" s="279" t="s">
        <v>1055</v>
      </c>
      <c r="H5" s="28" t="s">
        <v>1056</v>
      </c>
      <c r="I5" s="294" t="s">
        <v>124</v>
      </c>
      <c r="J5" s="294" t="s">
        <v>124</v>
      </c>
      <c r="K5" s="294" t="s">
        <v>124</v>
      </c>
      <c r="L5" s="295"/>
      <c r="M5" s="295"/>
      <c r="N5" s="295"/>
      <c r="O5" s="296" t="s">
        <v>1057</v>
      </c>
      <c r="P5" s="296"/>
      <c r="Q5" s="301"/>
      <c r="R5" s="301"/>
      <c r="S5" s="61" t="s">
        <v>130</v>
      </c>
      <c r="T5" s="61"/>
      <c r="U5" s="52"/>
      <c r="V5" s="52"/>
      <c r="W5" s="52" t="s">
        <v>131</v>
      </c>
      <c r="X5" s="52" t="s">
        <v>130</v>
      </c>
      <c r="Y5" s="61" t="s">
        <v>129</v>
      </c>
      <c r="Z5" s="61" t="s">
        <v>129</v>
      </c>
      <c r="AA5" s="118">
        <f>ROUNDUP(HOUR(AB5)*60+MINUTE(AB5)+SECOND(AB5)/60,0)</f>
        <v>9</v>
      </c>
      <c r="AB5" s="304" t="str">
        <f>TEXT((HOUR(AC5)*60+MINUTE(AC5)+IF(SECOND(AC5)&lt;=29,0,1))*60/86400,"hh:mm:ss")</f>
        <v>00:09:00</v>
      </c>
      <c r="AC5" s="119">
        <v>0.00601851851851852</v>
      </c>
      <c r="AD5" s="120">
        <f>AA5*60</f>
        <v>540</v>
      </c>
      <c r="AE5" s="141">
        <v>169</v>
      </c>
      <c r="AF5" s="141"/>
    </row>
    <row r="6" customHeight="1" spans="1:32">
      <c r="A6" s="81">
        <v>2</v>
      </c>
      <c r="B6" s="29" t="s">
        <v>120</v>
      </c>
      <c r="C6" s="280"/>
      <c r="D6" s="277"/>
      <c r="E6" s="81">
        <v>2</v>
      </c>
      <c r="F6" s="278"/>
      <c r="G6" s="279" t="s">
        <v>1058</v>
      </c>
      <c r="H6" s="28" t="s">
        <v>1059</v>
      </c>
      <c r="I6" s="294" t="s">
        <v>124</v>
      </c>
      <c r="J6" s="294" t="s">
        <v>124</v>
      </c>
      <c r="K6" s="294" t="s">
        <v>124</v>
      </c>
      <c r="L6" s="295"/>
      <c r="M6" s="295"/>
      <c r="N6" s="295"/>
      <c r="O6" s="296" t="s">
        <v>1060</v>
      </c>
      <c r="P6" s="296"/>
      <c r="Q6" s="301"/>
      <c r="R6" s="301"/>
      <c r="S6" s="61" t="s">
        <v>131</v>
      </c>
      <c r="T6" s="61" t="s">
        <v>130</v>
      </c>
      <c r="U6" s="52"/>
      <c r="V6" s="52"/>
      <c r="W6" s="52" t="s">
        <v>131</v>
      </c>
      <c r="X6" s="52" t="s">
        <v>130</v>
      </c>
      <c r="Y6" s="61" t="s">
        <v>129</v>
      </c>
      <c r="Z6" s="61" t="s">
        <v>129</v>
      </c>
      <c r="AA6" s="118">
        <f t="shared" ref="AA6:AA37" si="0">ROUNDUP(HOUR(AB6)*60+MINUTE(AB6)+SECOND(AB6)/60,0)</f>
        <v>7</v>
      </c>
      <c r="AB6" s="304" t="str">
        <f t="shared" ref="AB6:AB37" si="1">TEXT((HOUR(AC6)*60+MINUTE(AC6)+IF(SECOND(AC6)&lt;=29,0,1))*60/86400,"hh:mm:ss")</f>
        <v>00:07:00</v>
      </c>
      <c r="AC6" s="119">
        <v>0.00496527777777778</v>
      </c>
      <c r="AD6" s="120">
        <f t="shared" ref="AD6:AD46" si="2">AA6*60</f>
        <v>420</v>
      </c>
      <c r="AE6" s="141">
        <v>169</v>
      </c>
      <c r="AF6" s="141"/>
    </row>
    <row r="7" customHeight="1" spans="1:32">
      <c r="A7" s="81">
        <v>3</v>
      </c>
      <c r="B7" s="29" t="s">
        <v>120</v>
      </c>
      <c r="C7" s="280"/>
      <c r="D7" s="277"/>
      <c r="E7" s="81">
        <v>3</v>
      </c>
      <c r="F7" s="278"/>
      <c r="G7" s="279" t="s">
        <v>1061</v>
      </c>
      <c r="H7" s="28" t="s">
        <v>1062</v>
      </c>
      <c r="I7" s="294" t="s">
        <v>124</v>
      </c>
      <c r="J7" s="294" t="s">
        <v>124</v>
      </c>
      <c r="K7" s="294" t="s">
        <v>124</v>
      </c>
      <c r="L7" s="295"/>
      <c r="M7" s="295"/>
      <c r="N7" s="295"/>
      <c r="O7" s="296" t="s">
        <v>1063</v>
      </c>
      <c r="P7" s="296"/>
      <c r="Q7" s="301"/>
      <c r="R7" s="301"/>
      <c r="S7" s="61" t="s">
        <v>130</v>
      </c>
      <c r="T7" s="61"/>
      <c r="U7" s="52"/>
      <c r="V7" s="52"/>
      <c r="W7" s="61" t="s">
        <v>131</v>
      </c>
      <c r="X7" s="61" t="s">
        <v>130</v>
      </c>
      <c r="Y7" s="61" t="s">
        <v>129</v>
      </c>
      <c r="Z7" s="61" t="s">
        <v>129</v>
      </c>
      <c r="AA7" s="118">
        <f t="shared" si="0"/>
        <v>10</v>
      </c>
      <c r="AB7" s="304" t="str">
        <f t="shared" si="1"/>
        <v>00:10:00</v>
      </c>
      <c r="AC7" s="119">
        <v>0.00724537037037037</v>
      </c>
      <c r="AD7" s="120">
        <f t="shared" si="2"/>
        <v>600</v>
      </c>
      <c r="AE7" s="141">
        <v>169</v>
      </c>
      <c r="AF7" s="141"/>
    </row>
    <row r="8" customHeight="1" spans="1:32">
      <c r="A8" s="81">
        <v>4</v>
      </c>
      <c r="B8" s="29" t="s">
        <v>120</v>
      </c>
      <c r="C8" s="280"/>
      <c r="D8" s="277"/>
      <c r="E8" s="81">
        <v>4</v>
      </c>
      <c r="F8" s="278"/>
      <c r="G8" s="279" t="s">
        <v>1064</v>
      </c>
      <c r="H8" s="28" t="s">
        <v>1065</v>
      </c>
      <c r="I8" s="294" t="s">
        <v>124</v>
      </c>
      <c r="J8" s="294" t="s">
        <v>124</v>
      </c>
      <c r="K8" s="294" t="s">
        <v>124</v>
      </c>
      <c r="L8" s="295"/>
      <c r="M8" s="295"/>
      <c r="N8" s="295"/>
      <c r="O8" s="296" t="s">
        <v>1066</v>
      </c>
      <c r="P8" s="296"/>
      <c r="Q8" s="301"/>
      <c r="R8" s="301"/>
      <c r="S8" s="61" t="s">
        <v>131</v>
      </c>
      <c r="T8" s="61" t="s">
        <v>130</v>
      </c>
      <c r="U8" s="52"/>
      <c r="V8" s="52"/>
      <c r="W8" s="61" t="s">
        <v>131</v>
      </c>
      <c r="X8" s="61" t="s">
        <v>130</v>
      </c>
      <c r="Y8" s="61" t="s">
        <v>129</v>
      </c>
      <c r="Z8" s="61" t="s">
        <v>129</v>
      </c>
      <c r="AA8" s="118">
        <f t="shared" si="0"/>
        <v>61</v>
      </c>
      <c r="AB8" s="304" t="str">
        <f t="shared" si="1"/>
        <v>01:01:00</v>
      </c>
      <c r="AC8" s="119">
        <v>0.0426388888888889</v>
      </c>
      <c r="AD8" s="120">
        <f t="shared" si="2"/>
        <v>3660</v>
      </c>
      <c r="AE8" s="141">
        <v>169</v>
      </c>
      <c r="AF8" s="141"/>
    </row>
    <row r="9" customHeight="1" spans="1:32">
      <c r="A9" s="81">
        <v>5</v>
      </c>
      <c r="B9" s="29" t="s">
        <v>120</v>
      </c>
      <c r="C9" s="280"/>
      <c r="D9" s="277"/>
      <c r="E9" s="81">
        <v>5</v>
      </c>
      <c r="F9" s="278" t="s">
        <v>1067</v>
      </c>
      <c r="G9" s="279" t="s">
        <v>1068</v>
      </c>
      <c r="H9" s="28" t="s">
        <v>1069</v>
      </c>
      <c r="I9" s="294" t="s">
        <v>124</v>
      </c>
      <c r="J9" s="294" t="s">
        <v>124</v>
      </c>
      <c r="K9" s="294" t="s">
        <v>124</v>
      </c>
      <c r="L9" s="295"/>
      <c r="M9" s="295"/>
      <c r="N9" s="295"/>
      <c r="O9" s="296" t="s">
        <v>1070</v>
      </c>
      <c r="P9" s="296"/>
      <c r="Q9" s="301"/>
      <c r="R9" s="301"/>
      <c r="S9" s="61" t="s">
        <v>131</v>
      </c>
      <c r="T9" s="61" t="s">
        <v>130</v>
      </c>
      <c r="U9" s="52"/>
      <c r="V9" s="52"/>
      <c r="W9" s="61" t="s">
        <v>131</v>
      </c>
      <c r="X9" s="61" t="s">
        <v>130</v>
      </c>
      <c r="Y9" s="61" t="s">
        <v>129</v>
      </c>
      <c r="Z9" s="61" t="s">
        <v>129</v>
      </c>
      <c r="AA9" s="118">
        <f t="shared" si="0"/>
        <v>9</v>
      </c>
      <c r="AB9" s="304" t="str">
        <f t="shared" si="1"/>
        <v>00:09:00</v>
      </c>
      <c r="AC9" s="119">
        <v>0.00601851851851852</v>
      </c>
      <c r="AD9" s="120">
        <f t="shared" si="2"/>
        <v>540</v>
      </c>
      <c r="AE9" s="141">
        <v>169</v>
      </c>
      <c r="AF9" s="141"/>
    </row>
    <row r="10" customHeight="1" spans="1:32">
      <c r="A10" s="81">
        <v>6</v>
      </c>
      <c r="B10" s="29" t="s">
        <v>120</v>
      </c>
      <c r="C10" s="280"/>
      <c r="D10" s="277"/>
      <c r="E10" s="81">
        <v>6</v>
      </c>
      <c r="F10" s="278"/>
      <c r="G10" s="279" t="s">
        <v>1071</v>
      </c>
      <c r="H10" s="28" t="s">
        <v>1072</v>
      </c>
      <c r="I10" s="294" t="s">
        <v>124</v>
      </c>
      <c r="J10" s="294" t="s">
        <v>124</v>
      </c>
      <c r="K10" s="294" t="s">
        <v>124</v>
      </c>
      <c r="L10" s="295"/>
      <c r="M10" s="295"/>
      <c r="N10" s="295"/>
      <c r="O10" s="296" t="s">
        <v>1073</v>
      </c>
      <c r="P10" s="296"/>
      <c r="Q10" s="301"/>
      <c r="R10" s="301"/>
      <c r="S10" s="61" t="s">
        <v>131</v>
      </c>
      <c r="T10" s="61" t="s">
        <v>130</v>
      </c>
      <c r="U10" s="52"/>
      <c r="V10" s="52"/>
      <c r="W10" s="61" t="s">
        <v>131</v>
      </c>
      <c r="X10" s="61" t="s">
        <v>130</v>
      </c>
      <c r="Y10" s="61" t="s">
        <v>129</v>
      </c>
      <c r="Z10" s="61" t="s">
        <v>129</v>
      </c>
      <c r="AA10" s="118">
        <f t="shared" si="0"/>
        <v>7</v>
      </c>
      <c r="AB10" s="304" t="str">
        <f t="shared" si="1"/>
        <v>00:07:00</v>
      </c>
      <c r="AC10" s="119">
        <v>0.00460648148148148</v>
      </c>
      <c r="AD10" s="120">
        <f t="shared" si="2"/>
        <v>420</v>
      </c>
      <c r="AE10" s="141">
        <v>169</v>
      </c>
      <c r="AF10" s="141"/>
    </row>
    <row r="11" customHeight="1" spans="1:32">
      <c r="A11" s="81">
        <v>7</v>
      </c>
      <c r="B11" s="29" t="s">
        <v>120</v>
      </c>
      <c r="C11" s="280"/>
      <c r="D11" s="277"/>
      <c r="E11" s="81">
        <v>7</v>
      </c>
      <c r="F11" s="278"/>
      <c r="G11" s="279" t="s">
        <v>1074</v>
      </c>
      <c r="H11" s="28" t="s">
        <v>1075</v>
      </c>
      <c r="I11" s="294" t="s">
        <v>124</v>
      </c>
      <c r="J11" s="294" t="s">
        <v>124</v>
      </c>
      <c r="K11" s="294" t="s">
        <v>124</v>
      </c>
      <c r="L11" s="295"/>
      <c r="M11" s="295"/>
      <c r="N11" s="295"/>
      <c r="O11" s="296" t="s">
        <v>1076</v>
      </c>
      <c r="P11" s="296"/>
      <c r="Q11" s="301"/>
      <c r="R11" s="301"/>
      <c r="S11" s="61" t="s">
        <v>131</v>
      </c>
      <c r="T11" s="61" t="s">
        <v>130</v>
      </c>
      <c r="U11" s="52"/>
      <c r="V11" s="52"/>
      <c r="W11" s="61" t="s">
        <v>131</v>
      </c>
      <c r="X11" s="61" t="s">
        <v>130</v>
      </c>
      <c r="Y11" s="61" t="s">
        <v>129</v>
      </c>
      <c r="Z11" s="61" t="s">
        <v>129</v>
      </c>
      <c r="AA11" s="118">
        <f t="shared" si="0"/>
        <v>14</v>
      </c>
      <c r="AB11" s="304" t="str">
        <f t="shared" si="1"/>
        <v>00:14:00</v>
      </c>
      <c r="AC11" s="119">
        <v>0.00956018518518519</v>
      </c>
      <c r="AD11" s="120">
        <f t="shared" si="2"/>
        <v>840</v>
      </c>
      <c r="AE11" s="141">
        <v>169</v>
      </c>
      <c r="AF11" s="141"/>
    </row>
    <row r="12" customHeight="1" spans="1:32">
      <c r="A12" s="81">
        <v>8</v>
      </c>
      <c r="B12" s="29" t="s">
        <v>120</v>
      </c>
      <c r="C12" s="280"/>
      <c r="D12" s="277"/>
      <c r="E12" s="81">
        <v>8</v>
      </c>
      <c r="F12" s="278"/>
      <c r="G12" s="279" t="s">
        <v>1077</v>
      </c>
      <c r="H12" s="28" t="s">
        <v>1078</v>
      </c>
      <c r="I12" s="294" t="s">
        <v>124</v>
      </c>
      <c r="J12" s="294" t="s">
        <v>124</v>
      </c>
      <c r="K12" s="294" t="s">
        <v>124</v>
      </c>
      <c r="L12" s="295"/>
      <c r="M12" s="295"/>
      <c r="N12" s="295"/>
      <c r="O12" s="296" t="s">
        <v>1079</v>
      </c>
      <c r="P12" s="296"/>
      <c r="Q12" s="301"/>
      <c r="R12" s="301"/>
      <c r="S12" s="61" t="s">
        <v>131</v>
      </c>
      <c r="T12" s="61" t="s">
        <v>130</v>
      </c>
      <c r="U12" s="52"/>
      <c r="V12" s="52"/>
      <c r="W12" s="61" t="s">
        <v>131</v>
      </c>
      <c r="X12" s="61" t="s">
        <v>130</v>
      </c>
      <c r="Y12" s="61" t="s">
        <v>129</v>
      </c>
      <c r="Z12" s="61" t="s">
        <v>129</v>
      </c>
      <c r="AA12" s="118">
        <f t="shared" si="0"/>
        <v>26</v>
      </c>
      <c r="AB12" s="304" t="str">
        <f t="shared" si="1"/>
        <v>00:26:00</v>
      </c>
      <c r="AC12" s="119">
        <v>0.0178935185185185</v>
      </c>
      <c r="AD12" s="120">
        <f t="shared" si="2"/>
        <v>1560</v>
      </c>
      <c r="AE12" s="141">
        <v>169</v>
      </c>
      <c r="AF12" s="141"/>
    </row>
    <row r="13" customHeight="1" spans="1:32">
      <c r="A13" s="81">
        <v>9</v>
      </c>
      <c r="B13" s="29" t="s">
        <v>120</v>
      </c>
      <c r="C13" s="280"/>
      <c r="D13" s="277"/>
      <c r="E13" s="81">
        <v>9</v>
      </c>
      <c r="F13" s="278" t="s">
        <v>1080</v>
      </c>
      <c r="G13" s="279" t="s">
        <v>1081</v>
      </c>
      <c r="H13" s="28" t="s">
        <v>1082</v>
      </c>
      <c r="I13" s="294" t="s">
        <v>124</v>
      </c>
      <c r="J13" s="294" t="s">
        <v>124</v>
      </c>
      <c r="K13" s="294" t="s">
        <v>124</v>
      </c>
      <c r="L13" s="295"/>
      <c r="M13" s="295"/>
      <c r="N13" s="295"/>
      <c r="O13" s="296" t="s">
        <v>1083</v>
      </c>
      <c r="P13" s="296"/>
      <c r="Q13" s="301"/>
      <c r="R13" s="301"/>
      <c r="S13" s="61" t="s">
        <v>130</v>
      </c>
      <c r="T13" s="61"/>
      <c r="U13" s="52"/>
      <c r="V13" s="52"/>
      <c r="W13" s="52" t="s">
        <v>131</v>
      </c>
      <c r="X13" s="52" t="s">
        <v>130</v>
      </c>
      <c r="Y13" s="61" t="s">
        <v>129</v>
      </c>
      <c r="Z13" s="61" t="s">
        <v>129</v>
      </c>
      <c r="AA13" s="118">
        <f t="shared" si="0"/>
        <v>7</v>
      </c>
      <c r="AB13" s="304" t="str">
        <f t="shared" si="1"/>
        <v>00:07:00</v>
      </c>
      <c r="AC13" s="119">
        <v>0.0046412037037037</v>
      </c>
      <c r="AD13" s="120">
        <f t="shared" si="2"/>
        <v>420</v>
      </c>
      <c r="AE13" s="141">
        <v>169</v>
      </c>
      <c r="AF13" s="141"/>
    </row>
    <row r="14" customHeight="1" spans="1:32">
      <c r="A14" s="81">
        <v>10</v>
      </c>
      <c r="B14" s="29" t="s">
        <v>120</v>
      </c>
      <c r="C14" s="280"/>
      <c r="D14" s="277"/>
      <c r="E14" s="81">
        <v>10</v>
      </c>
      <c r="F14" s="278"/>
      <c r="G14" s="279" t="s">
        <v>1084</v>
      </c>
      <c r="H14" s="28" t="s">
        <v>1085</v>
      </c>
      <c r="I14" s="294" t="s">
        <v>124</v>
      </c>
      <c r="J14" s="294" t="s">
        <v>124</v>
      </c>
      <c r="K14" s="294" t="s">
        <v>124</v>
      </c>
      <c r="L14" s="295"/>
      <c r="M14" s="295"/>
      <c r="N14" s="295"/>
      <c r="O14" s="296" t="s">
        <v>1086</v>
      </c>
      <c r="P14" s="296"/>
      <c r="Q14" s="301"/>
      <c r="R14" s="301"/>
      <c r="S14" s="61" t="s">
        <v>131</v>
      </c>
      <c r="T14" s="61" t="s">
        <v>130</v>
      </c>
      <c r="U14" s="52"/>
      <c r="V14" s="52"/>
      <c r="W14" s="52" t="s">
        <v>131</v>
      </c>
      <c r="X14" s="52" t="s">
        <v>130</v>
      </c>
      <c r="Y14" s="61" t="s">
        <v>129</v>
      </c>
      <c r="Z14" s="61" t="s">
        <v>129</v>
      </c>
      <c r="AA14" s="118">
        <f t="shared" si="0"/>
        <v>11</v>
      </c>
      <c r="AB14" s="304" t="str">
        <f t="shared" si="1"/>
        <v>00:11:00</v>
      </c>
      <c r="AC14" s="119">
        <v>0.00759259259259259</v>
      </c>
      <c r="AD14" s="120">
        <f t="shared" si="2"/>
        <v>660</v>
      </c>
      <c r="AE14" s="141">
        <v>169</v>
      </c>
      <c r="AF14" s="141"/>
    </row>
    <row r="15" customHeight="1" spans="1:32">
      <c r="A15" s="81">
        <v>11</v>
      </c>
      <c r="B15" s="29" t="s">
        <v>120</v>
      </c>
      <c r="C15" s="280"/>
      <c r="D15" s="277"/>
      <c r="E15" s="81">
        <v>11</v>
      </c>
      <c r="F15" s="278"/>
      <c r="G15" s="279" t="s">
        <v>1087</v>
      </c>
      <c r="H15" s="28" t="s">
        <v>1088</v>
      </c>
      <c r="I15" s="294" t="s">
        <v>124</v>
      </c>
      <c r="J15" s="294" t="s">
        <v>124</v>
      </c>
      <c r="K15" s="294" t="s">
        <v>124</v>
      </c>
      <c r="L15" s="295"/>
      <c r="M15" s="295"/>
      <c r="N15" s="295"/>
      <c r="O15" s="296" t="s">
        <v>1089</v>
      </c>
      <c r="P15" s="296"/>
      <c r="Q15" s="301"/>
      <c r="R15" s="301"/>
      <c r="S15" s="61" t="s">
        <v>130</v>
      </c>
      <c r="T15" s="61"/>
      <c r="U15" s="52"/>
      <c r="V15" s="52"/>
      <c r="W15" s="61" t="s">
        <v>131</v>
      </c>
      <c r="X15" s="61" t="s">
        <v>130</v>
      </c>
      <c r="Y15" s="61" t="s">
        <v>129</v>
      </c>
      <c r="Z15" s="61" t="s">
        <v>129</v>
      </c>
      <c r="AA15" s="118">
        <f t="shared" si="0"/>
        <v>17</v>
      </c>
      <c r="AB15" s="304" t="str">
        <f t="shared" si="1"/>
        <v>00:17:00</v>
      </c>
      <c r="AC15" s="119">
        <v>0.0118171296296296</v>
      </c>
      <c r="AD15" s="120">
        <f t="shared" si="2"/>
        <v>1020</v>
      </c>
      <c r="AE15" s="141">
        <v>169</v>
      </c>
      <c r="AF15" s="141"/>
    </row>
    <row r="16" customHeight="1" spans="1:32">
      <c r="A16" s="81">
        <v>12</v>
      </c>
      <c r="B16" s="29" t="s">
        <v>120</v>
      </c>
      <c r="C16" s="280"/>
      <c r="D16" s="277"/>
      <c r="E16" s="81">
        <v>12</v>
      </c>
      <c r="F16" s="278"/>
      <c r="G16" s="279" t="s">
        <v>1090</v>
      </c>
      <c r="H16" s="28" t="s">
        <v>1091</v>
      </c>
      <c r="I16" s="294" t="s">
        <v>124</v>
      </c>
      <c r="J16" s="294" t="s">
        <v>124</v>
      </c>
      <c r="K16" s="294" t="s">
        <v>124</v>
      </c>
      <c r="L16" s="295"/>
      <c r="M16" s="295"/>
      <c r="N16" s="295"/>
      <c r="O16" s="296" t="s">
        <v>1092</v>
      </c>
      <c r="P16" s="296"/>
      <c r="Q16" s="301"/>
      <c r="R16" s="301"/>
      <c r="S16" s="61" t="s">
        <v>131</v>
      </c>
      <c r="T16" s="61" t="s">
        <v>130</v>
      </c>
      <c r="U16" s="52"/>
      <c r="V16" s="52"/>
      <c r="W16" s="61" t="s">
        <v>131</v>
      </c>
      <c r="X16" s="61" t="s">
        <v>130</v>
      </c>
      <c r="Y16" s="61" t="s">
        <v>129</v>
      </c>
      <c r="Z16" s="61" t="s">
        <v>129</v>
      </c>
      <c r="AA16" s="118">
        <f t="shared" si="0"/>
        <v>55</v>
      </c>
      <c r="AB16" s="304" t="str">
        <f t="shared" si="1"/>
        <v>00:55:00</v>
      </c>
      <c r="AC16" s="119">
        <v>0.0384722222222222</v>
      </c>
      <c r="AD16" s="120">
        <f t="shared" si="2"/>
        <v>3300</v>
      </c>
      <c r="AE16" s="141">
        <v>169</v>
      </c>
      <c r="AF16" s="141"/>
    </row>
    <row r="17" customHeight="1" spans="1:32">
      <c r="A17" s="81">
        <v>13</v>
      </c>
      <c r="B17" s="29" t="s">
        <v>120</v>
      </c>
      <c r="C17" s="280"/>
      <c r="D17" s="277"/>
      <c r="E17" s="81">
        <v>13</v>
      </c>
      <c r="F17" s="278" t="s">
        <v>1093</v>
      </c>
      <c r="G17" s="279" t="s">
        <v>1094</v>
      </c>
      <c r="H17" s="28" t="s">
        <v>1095</v>
      </c>
      <c r="I17" s="294" t="s">
        <v>124</v>
      </c>
      <c r="J17" s="294" t="s">
        <v>124</v>
      </c>
      <c r="K17" s="294" t="s">
        <v>124</v>
      </c>
      <c r="L17" s="295"/>
      <c r="M17" s="295"/>
      <c r="N17" s="295"/>
      <c r="O17" s="296" t="s">
        <v>1096</v>
      </c>
      <c r="P17" s="296"/>
      <c r="Q17" s="301"/>
      <c r="R17" s="301"/>
      <c r="S17" s="61" t="s">
        <v>131</v>
      </c>
      <c r="T17" s="61" t="s">
        <v>130</v>
      </c>
      <c r="U17" s="52"/>
      <c r="V17" s="52"/>
      <c r="W17" s="61" t="s">
        <v>131</v>
      </c>
      <c r="X17" s="61" t="s">
        <v>130</v>
      </c>
      <c r="Y17" s="61" t="s">
        <v>129</v>
      </c>
      <c r="Z17" s="61" t="s">
        <v>129</v>
      </c>
      <c r="AA17" s="118">
        <f t="shared" si="0"/>
        <v>5</v>
      </c>
      <c r="AB17" s="304" t="str">
        <f t="shared" si="1"/>
        <v>00:05:00</v>
      </c>
      <c r="AC17" s="119">
        <v>0.00355324074074074</v>
      </c>
      <c r="AD17" s="120">
        <f t="shared" si="2"/>
        <v>300</v>
      </c>
      <c r="AE17" s="141">
        <v>169</v>
      </c>
      <c r="AF17" s="141"/>
    </row>
    <row r="18" customHeight="1" spans="1:32">
      <c r="A18" s="81">
        <v>14</v>
      </c>
      <c r="B18" s="29" t="s">
        <v>120</v>
      </c>
      <c r="C18" s="280"/>
      <c r="D18" s="277"/>
      <c r="E18" s="81">
        <v>14</v>
      </c>
      <c r="F18" s="278"/>
      <c r="G18" s="279" t="s">
        <v>1097</v>
      </c>
      <c r="H18" s="28" t="s">
        <v>1098</v>
      </c>
      <c r="I18" s="294" t="s">
        <v>124</v>
      </c>
      <c r="J18" s="294" t="s">
        <v>124</v>
      </c>
      <c r="K18" s="294" t="s">
        <v>124</v>
      </c>
      <c r="L18" s="295"/>
      <c r="M18" s="295"/>
      <c r="N18" s="295"/>
      <c r="O18" s="296" t="s">
        <v>1099</v>
      </c>
      <c r="P18" s="296"/>
      <c r="Q18" s="301"/>
      <c r="R18" s="301"/>
      <c r="S18" s="61" t="s">
        <v>131</v>
      </c>
      <c r="T18" s="61" t="s">
        <v>130</v>
      </c>
      <c r="U18" s="52"/>
      <c r="V18" s="52"/>
      <c r="W18" s="61" t="s">
        <v>131</v>
      </c>
      <c r="X18" s="61" t="s">
        <v>130</v>
      </c>
      <c r="Y18" s="61" t="s">
        <v>129</v>
      </c>
      <c r="Z18" s="61" t="s">
        <v>129</v>
      </c>
      <c r="AA18" s="118">
        <f t="shared" si="0"/>
        <v>13</v>
      </c>
      <c r="AB18" s="304" t="str">
        <f t="shared" si="1"/>
        <v>00:13:00</v>
      </c>
      <c r="AC18" s="119">
        <v>0.00923611111111111</v>
      </c>
      <c r="AD18" s="120">
        <f t="shared" si="2"/>
        <v>780</v>
      </c>
      <c r="AE18" s="141">
        <v>169</v>
      </c>
      <c r="AF18" s="141"/>
    </row>
    <row r="19" customHeight="1" spans="1:32">
      <c r="A19" s="81">
        <v>15</v>
      </c>
      <c r="B19" s="29" t="s">
        <v>120</v>
      </c>
      <c r="C19" s="280"/>
      <c r="D19" s="277"/>
      <c r="E19" s="81">
        <v>15</v>
      </c>
      <c r="F19" s="278"/>
      <c r="G19" s="279" t="s">
        <v>1100</v>
      </c>
      <c r="H19" s="28" t="s">
        <v>1101</v>
      </c>
      <c r="I19" s="294" t="s">
        <v>124</v>
      </c>
      <c r="J19" s="294" t="s">
        <v>124</v>
      </c>
      <c r="K19" s="294" t="s">
        <v>124</v>
      </c>
      <c r="L19" s="295"/>
      <c r="M19" s="295"/>
      <c r="N19" s="295"/>
      <c r="O19" s="296" t="s">
        <v>1102</v>
      </c>
      <c r="P19" s="296"/>
      <c r="Q19" s="301"/>
      <c r="R19" s="301"/>
      <c r="S19" s="61" t="s">
        <v>131</v>
      </c>
      <c r="T19" s="61" t="s">
        <v>130</v>
      </c>
      <c r="U19" s="52"/>
      <c r="V19" s="52"/>
      <c r="W19" s="61" t="s">
        <v>131</v>
      </c>
      <c r="X19" s="61" t="s">
        <v>130</v>
      </c>
      <c r="Y19" s="61" t="s">
        <v>129</v>
      </c>
      <c r="Z19" s="61" t="s">
        <v>129</v>
      </c>
      <c r="AA19" s="118">
        <f t="shared" si="0"/>
        <v>7</v>
      </c>
      <c r="AB19" s="304" t="str">
        <f t="shared" si="1"/>
        <v>00:07:00</v>
      </c>
      <c r="AC19" s="119">
        <v>0.00469907407407407</v>
      </c>
      <c r="AD19" s="120">
        <f t="shared" si="2"/>
        <v>420</v>
      </c>
      <c r="AE19" s="141">
        <v>169</v>
      </c>
      <c r="AF19" s="141"/>
    </row>
    <row r="20" customHeight="1" spans="1:32">
      <c r="A20" s="81">
        <v>16</v>
      </c>
      <c r="B20" s="29" t="s">
        <v>120</v>
      </c>
      <c r="C20" s="280"/>
      <c r="D20" s="277"/>
      <c r="E20" s="81">
        <v>16</v>
      </c>
      <c r="F20" s="278"/>
      <c r="G20" s="279" t="s">
        <v>1103</v>
      </c>
      <c r="H20" s="28" t="s">
        <v>1104</v>
      </c>
      <c r="I20" s="294" t="s">
        <v>124</v>
      </c>
      <c r="J20" s="294" t="s">
        <v>124</v>
      </c>
      <c r="K20" s="294" t="s">
        <v>124</v>
      </c>
      <c r="L20" s="295"/>
      <c r="M20" s="295"/>
      <c r="N20" s="295"/>
      <c r="O20" s="296" t="s">
        <v>1105</v>
      </c>
      <c r="P20" s="296"/>
      <c r="Q20" s="301"/>
      <c r="R20" s="301"/>
      <c r="S20" s="61" t="s">
        <v>131</v>
      </c>
      <c r="T20" s="61" t="s">
        <v>130</v>
      </c>
      <c r="U20" s="52"/>
      <c r="V20" s="52"/>
      <c r="W20" s="61" t="s">
        <v>131</v>
      </c>
      <c r="X20" s="61" t="s">
        <v>130</v>
      </c>
      <c r="Y20" s="61" t="s">
        <v>129</v>
      </c>
      <c r="Z20" s="61" t="s">
        <v>129</v>
      </c>
      <c r="AA20" s="118">
        <f t="shared" si="0"/>
        <v>27</v>
      </c>
      <c r="AB20" s="304" t="str">
        <f t="shared" si="1"/>
        <v>00:27:00</v>
      </c>
      <c r="AC20" s="119">
        <v>0.0188425925925926</v>
      </c>
      <c r="AD20" s="120">
        <f t="shared" si="2"/>
        <v>1620</v>
      </c>
      <c r="AE20" s="141">
        <v>169</v>
      </c>
      <c r="AF20" s="141"/>
    </row>
    <row r="21" customHeight="1" spans="1:32">
      <c r="A21" s="81">
        <v>17</v>
      </c>
      <c r="B21" s="29" t="s">
        <v>120</v>
      </c>
      <c r="C21" s="280"/>
      <c r="D21" s="277"/>
      <c r="E21" s="81">
        <v>17</v>
      </c>
      <c r="F21" s="278" t="s">
        <v>1106</v>
      </c>
      <c r="G21" s="279" t="s">
        <v>1107</v>
      </c>
      <c r="H21" s="28" t="s">
        <v>1108</v>
      </c>
      <c r="I21" s="294" t="s">
        <v>124</v>
      </c>
      <c r="J21" s="294" t="s">
        <v>124</v>
      </c>
      <c r="K21" s="294" t="s">
        <v>124</v>
      </c>
      <c r="L21" s="295"/>
      <c r="M21" s="295"/>
      <c r="N21" s="295"/>
      <c r="O21" s="296" t="s">
        <v>1109</v>
      </c>
      <c r="P21" s="296"/>
      <c r="Q21" s="301"/>
      <c r="R21" s="301"/>
      <c r="S21" s="61" t="s">
        <v>130</v>
      </c>
      <c r="T21" s="61"/>
      <c r="U21" s="52"/>
      <c r="V21" s="52"/>
      <c r="W21" s="61" t="s">
        <v>130</v>
      </c>
      <c r="X21" s="61"/>
      <c r="Y21" s="61" t="s">
        <v>129</v>
      </c>
      <c r="Z21" s="61" t="s">
        <v>129</v>
      </c>
      <c r="AA21" s="118">
        <f t="shared" si="0"/>
        <v>7</v>
      </c>
      <c r="AB21" s="304" t="str">
        <f t="shared" si="1"/>
        <v>00:07:00</v>
      </c>
      <c r="AC21" s="119">
        <v>0.0046412037037037</v>
      </c>
      <c r="AD21" s="120">
        <f t="shared" si="2"/>
        <v>420</v>
      </c>
      <c r="AE21" s="141">
        <v>169</v>
      </c>
      <c r="AF21" s="141"/>
    </row>
    <row r="22" customHeight="1" spans="1:32">
      <c r="A22" s="81">
        <v>18</v>
      </c>
      <c r="B22" s="29" t="s">
        <v>120</v>
      </c>
      <c r="C22" s="280"/>
      <c r="D22" s="277"/>
      <c r="E22" s="81">
        <v>18</v>
      </c>
      <c r="F22" s="278"/>
      <c r="G22" s="279" t="s">
        <v>1110</v>
      </c>
      <c r="H22" s="28" t="s">
        <v>1111</v>
      </c>
      <c r="I22" s="294" t="s">
        <v>124</v>
      </c>
      <c r="J22" s="294" t="s">
        <v>124</v>
      </c>
      <c r="K22" s="294" t="s">
        <v>124</v>
      </c>
      <c r="L22" s="295"/>
      <c r="M22" s="295"/>
      <c r="N22" s="295"/>
      <c r="O22" s="296" t="s">
        <v>1112</v>
      </c>
      <c r="P22" s="296"/>
      <c r="Q22" s="301"/>
      <c r="R22" s="301"/>
      <c r="S22" s="61" t="s">
        <v>130</v>
      </c>
      <c r="T22" s="61"/>
      <c r="U22" s="52"/>
      <c r="V22" s="52"/>
      <c r="W22" s="61" t="s">
        <v>130</v>
      </c>
      <c r="X22" s="61"/>
      <c r="Y22" s="61" t="s">
        <v>129</v>
      </c>
      <c r="Z22" s="61" t="s">
        <v>129</v>
      </c>
      <c r="AA22" s="118">
        <f t="shared" si="0"/>
        <v>6</v>
      </c>
      <c r="AB22" s="304" t="str">
        <f t="shared" si="1"/>
        <v>00:06:00</v>
      </c>
      <c r="AC22" s="119">
        <v>0.00413194444444444</v>
      </c>
      <c r="AD22" s="120">
        <f t="shared" si="2"/>
        <v>360</v>
      </c>
      <c r="AE22" s="141">
        <v>169</v>
      </c>
      <c r="AF22" s="141"/>
    </row>
    <row r="23" customHeight="1" spans="1:32">
      <c r="A23" s="81">
        <v>19</v>
      </c>
      <c r="B23" s="29" t="s">
        <v>120</v>
      </c>
      <c r="C23" s="280"/>
      <c r="D23" s="277"/>
      <c r="E23" s="81">
        <v>19</v>
      </c>
      <c r="F23" s="278"/>
      <c r="G23" s="279" t="s">
        <v>1113</v>
      </c>
      <c r="H23" s="28" t="s">
        <v>1114</v>
      </c>
      <c r="I23" s="294" t="s">
        <v>124</v>
      </c>
      <c r="J23" s="294" t="s">
        <v>124</v>
      </c>
      <c r="K23" s="294" t="s">
        <v>124</v>
      </c>
      <c r="L23" s="295"/>
      <c r="M23" s="295"/>
      <c r="N23" s="295"/>
      <c r="O23" s="296" t="s">
        <v>1115</v>
      </c>
      <c r="P23" s="296"/>
      <c r="Q23" s="301"/>
      <c r="R23" s="301"/>
      <c r="S23" s="61" t="s">
        <v>130</v>
      </c>
      <c r="T23" s="61"/>
      <c r="U23" s="52"/>
      <c r="V23" s="52"/>
      <c r="W23" s="61" t="s">
        <v>130</v>
      </c>
      <c r="X23" s="61"/>
      <c r="Y23" s="61" t="s">
        <v>129</v>
      </c>
      <c r="Z23" s="61" t="s">
        <v>129</v>
      </c>
      <c r="AA23" s="118">
        <f t="shared" si="0"/>
        <v>12</v>
      </c>
      <c r="AB23" s="304" t="str">
        <f t="shared" si="1"/>
        <v>00:12:00</v>
      </c>
      <c r="AC23" s="119">
        <v>0.00827546296296296</v>
      </c>
      <c r="AD23" s="120">
        <f t="shared" si="2"/>
        <v>720</v>
      </c>
      <c r="AE23" s="141">
        <v>169</v>
      </c>
      <c r="AF23" s="141"/>
    </row>
    <row r="24" customHeight="1" spans="1:32">
      <c r="A24" s="81">
        <v>20</v>
      </c>
      <c r="B24" s="29" t="s">
        <v>120</v>
      </c>
      <c r="C24" s="280"/>
      <c r="D24" s="277"/>
      <c r="E24" s="81">
        <v>20</v>
      </c>
      <c r="F24" s="278"/>
      <c r="G24" s="279" t="s">
        <v>1116</v>
      </c>
      <c r="H24" s="28" t="s">
        <v>1117</v>
      </c>
      <c r="I24" s="294" t="s">
        <v>124</v>
      </c>
      <c r="J24" s="294" t="s">
        <v>124</v>
      </c>
      <c r="K24" s="294" t="s">
        <v>124</v>
      </c>
      <c r="L24" s="295"/>
      <c r="M24" s="295"/>
      <c r="N24" s="295"/>
      <c r="O24" s="296" t="s">
        <v>1118</v>
      </c>
      <c r="P24" s="296"/>
      <c r="Q24" s="301"/>
      <c r="R24" s="301"/>
      <c r="S24" s="61" t="s">
        <v>130</v>
      </c>
      <c r="T24" s="61"/>
      <c r="U24" s="52"/>
      <c r="V24" s="52"/>
      <c r="W24" s="61" t="s">
        <v>130</v>
      </c>
      <c r="X24" s="61"/>
      <c r="Y24" s="61" t="s">
        <v>129</v>
      </c>
      <c r="Z24" s="61" t="s">
        <v>129</v>
      </c>
      <c r="AA24" s="118">
        <f t="shared" si="0"/>
        <v>73</v>
      </c>
      <c r="AB24" s="304" t="str">
        <f t="shared" si="1"/>
        <v>01:13:00</v>
      </c>
      <c r="AC24" s="119">
        <v>0.0504861111111111</v>
      </c>
      <c r="AD24" s="120">
        <f t="shared" si="2"/>
        <v>4380</v>
      </c>
      <c r="AE24" s="141">
        <v>169</v>
      </c>
      <c r="AF24" s="141"/>
    </row>
    <row r="25" customHeight="1" spans="1:32">
      <c r="A25" s="81">
        <v>21</v>
      </c>
      <c r="B25" s="29" t="s">
        <v>120</v>
      </c>
      <c r="C25" s="280"/>
      <c r="D25" s="277"/>
      <c r="E25" s="81">
        <v>21</v>
      </c>
      <c r="F25" s="278" t="s">
        <v>1119</v>
      </c>
      <c r="G25" s="279" t="s">
        <v>1120</v>
      </c>
      <c r="H25" s="28" t="s">
        <v>1121</v>
      </c>
      <c r="I25" s="294" t="s">
        <v>124</v>
      </c>
      <c r="J25" s="294" t="s">
        <v>124</v>
      </c>
      <c r="K25" s="294" t="s">
        <v>124</v>
      </c>
      <c r="L25" s="295"/>
      <c r="M25" s="295"/>
      <c r="N25" s="295"/>
      <c r="O25" s="296" t="s">
        <v>1122</v>
      </c>
      <c r="P25" s="296"/>
      <c r="Q25" s="301"/>
      <c r="R25" s="301"/>
      <c r="S25" s="61" t="s">
        <v>130</v>
      </c>
      <c r="T25" s="61"/>
      <c r="U25" s="52"/>
      <c r="V25" s="52"/>
      <c r="W25" s="61" t="s">
        <v>130</v>
      </c>
      <c r="X25" s="61"/>
      <c r="Y25" s="61" t="s">
        <v>129</v>
      </c>
      <c r="Z25" s="61" t="s">
        <v>129</v>
      </c>
      <c r="AA25" s="118">
        <f t="shared" si="0"/>
        <v>9</v>
      </c>
      <c r="AB25" s="304" t="str">
        <f t="shared" si="1"/>
        <v>00:09:00</v>
      </c>
      <c r="AC25" s="119">
        <v>0.00648148148148148</v>
      </c>
      <c r="AD25" s="120">
        <f t="shared" si="2"/>
        <v>540</v>
      </c>
      <c r="AE25" s="141">
        <v>169</v>
      </c>
      <c r="AF25" s="141"/>
    </row>
    <row r="26" customHeight="1" spans="1:32">
      <c r="A26" s="81">
        <v>22</v>
      </c>
      <c r="B26" s="29" t="s">
        <v>120</v>
      </c>
      <c r="C26" s="280"/>
      <c r="D26" s="277"/>
      <c r="E26" s="81">
        <v>22</v>
      </c>
      <c r="F26" s="278"/>
      <c r="G26" s="279" t="s">
        <v>1123</v>
      </c>
      <c r="H26" s="28" t="s">
        <v>1124</v>
      </c>
      <c r="I26" s="294" t="s">
        <v>124</v>
      </c>
      <c r="J26" s="294" t="s">
        <v>124</v>
      </c>
      <c r="K26" s="294" t="s">
        <v>124</v>
      </c>
      <c r="L26" s="295"/>
      <c r="M26" s="295"/>
      <c r="N26" s="295"/>
      <c r="O26" s="296" t="s">
        <v>1125</v>
      </c>
      <c r="P26" s="296"/>
      <c r="Q26" s="301"/>
      <c r="R26" s="301"/>
      <c r="S26" s="61" t="s">
        <v>130</v>
      </c>
      <c r="T26" s="61"/>
      <c r="U26" s="52"/>
      <c r="V26" s="52"/>
      <c r="W26" s="61" t="s">
        <v>130</v>
      </c>
      <c r="X26" s="61"/>
      <c r="Y26" s="61" t="s">
        <v>129</v>
      </c>
      <c r="Z26" s="61" t="s">
        <v>129</v>
      </c>
      <c r="AA26" s="118">
        <f t="shared" si="0"/>
        <v>11</v>
      </c>
      <c r="AB26" s="304" t="str">
        <f t="shared" si="1"/>
        <v>00:11:00</v>
      </c>
      <c r="AC26" s="119">
        <v>0.00789351851851852</v>
      </c>
      <c r="AD26" s="120">
        <f t="shared" si="2"/>
        <v>660</v>
      </c>
      <c r="AE26" s="141">
        <v>169</v>
      </c>
      <c r="AF26" s="141"/>
    </row>
    <row r="27" customHeight="1" spans="1:32">
      <c r="A27" s="81">
        <v>23</v>
      </c>
      <c r="B27" s="29" t="s">
        <v>120</v>
      </c>
      <c r="C27" s="280"/>
      <c r="D27" s="277"/>
      <c r="E27" s="81">
        <v>23</v>
      </c>
      <c r="F27" s="278"/>
      <c r="G27" s="279" t="s">
        <v>1126</v>
      </c>
      <c r="H27" s="28" t="s">
        <v>1127</v>
      </c>
      <c r="I27" s="294" t="s">
        <v>124</v>
      </c>
      <c r="J27" s="294" t="s">
        <v>124</v>
      </c>
      <c r="K27" s="294" t="s">
        <v>124</v>
      </c>
      <c r="L27" s="295"/>
      <c r="M27" s="295"/>
      <c r="N27" s="295"/>
      <c r="O27" s="296" t="s">
        <v>1128</v>
      </c>
      <c r="P27" s="296"/>
      <c r="Q27" s="301"/>
      <c r="R27" s="301"/>
      <c r="S27" s="61" t="s">
        <v>130</v>
      </c>
      <c r="T27" s="61"/>
      <c r="U27" s="52"/>
      <c r="V27" s="52"/>
      <c r="W27" s="61" t="s">
        <v>130</v>
      </c>
      <c r="X27" s="61"/>
      <c r="Y27" s="61" t="s">
        <v>129</v>
      </c>
      <c r="Z27" s="61" t="s">
        <v>129</v>
      </c>
      <c r="AA27" s="118">
        <f t="shared" si="0"/>
        <v>8</v>
      </c>
      <c r="AB27" s="304" t="str">
        <f t="shared" si="1"/>
        <v>00:08:00</v>
      </c>
      <c r="AC27" s="119">
        <v>0.0053125</v>
      </c>
      <c r="AD27" s="120">
        <f t="shared" si="2"/>
        <v>480</v>
      </c>
      <c r="AE27" s="141">
        <v>169</v>
      </c>
      <c r="AF27" s="141"/>
    </row>
    <row r="28" customHeight="1" spans="1:32">
      <c r="A28" s="81">
        <v>24</v>
      </c>
      <c r="B28" s="29" t="s">
        <v>120</v>
      </c>
      <c r="C28" s="280"/>
      <c r="D28" s="277"/>
      <c r="E28" s="81">
        <v>24</v>
      </c>
      <c r="F28" s="278"/>
      <c r="G28" s="279" t="s">
        <v>1129</v>
      </c>
      <c r="H28" s="28" t="s">
        <v>1130</v>
      </c>
      <c r="I28" s="294" t="s">
        <v>124</v>
      </c>
      <c r="J28" s="294" t="s">
        <v>124</v>
      </c>
      <c r="K28" s="294" t="s">
        <v>124</v>
      </c>
      <c r="L28" s="295"/>
      <c r="M28" s="295"/>
      <c r="N28" s="295"/>
      <c r="O28" s="296" t="s">
        <v>1131</v>
      </c>
      <c r="P28" s="296"/>
      <c r="Q28" s="301"/>
      <c r="R28" s="301"/>
      <c r="S28" s="61" t="s">
        <v>130</v>
      </c>
      <c r="T28" s="61"/>
      <c r="U28" s="52"/>
      <c r="V28" s="52"/>
      <c r="W28" s="61" t="s">
        <v>130</v>
      </c>
      <c r="X28" s="61"/>
      <c r="Y28" s="61" t="s">
        <v>129</v>
      </c>
      <c r="Z28" s="61" t="s">
        <v>129</v>
      </c>
      <c r="AA28" s="118">
        <f t="shared" si="0"/>
        <v>27</v>
      </c>
      <c r="AB28" s="304" t="str">
        <f t="shared" si="1"/>
        <v>00:27:00</v>
      </c>
      <c r="AC28" s="119">
        <v>0.0188310185185185</v>
      </c>
      <c r="AD28" s="120">
        <f t="shared" si="2"/>
        <v>1620</v>
      </c>
      <c r="AE28" s="141">
        <v>169</v>
      </c>
      <c r="AF28" s="141"/>
    </row>
    <row r="29" customHeight="1" spans="1:32">
      <c r="A29" s="81">
        <v>25</v>
      </c>
      <c r="B29" s="29" t="s">
        <v>120</v>
      </c>
      <c r="C29" s="280"/>
      <c r="D29" s="277"/>
      <c r="E29" s="81">
        <v>25</v>
      </c>
      <c r="F29" s="278" t="s">
        <v>1132</v>
      </c>
      <c r="G29" s="279" t="s">
        <v>1133</v>
      </c>
      <c r="H29" s="28" t="s">
        <v>1134</v>
      </c>
      <c r="I29" s="294" t="s">
        <v>124</v>
      </c>
      <c r="J29" s="294" t="s">
        <v>124</v>
      </c>
      <c r="K29" s="294" t="s">
        <v>124</v>
      </c>
      <c r="L29" s="295"/>
      <c r="M29" s="295"/>
      <c r="N29" s="295"/>
      <c r="O29" s="296" t="s">
        <v>1135</v>
      </c>
      <c r="P29" s="296"/>
      <c r="Q29" s="301"/>
      <c r="R29" s="301"/>
      <c r="S29" s="61" t="s">
        <v>130</v>
      </c>
      <c r="T29" s="61"/>
      <c r="U29" s="52"/>
      <c r="V29" s="52"/>
      <c r="W29" s="61" t="s">
        <v>130</v>
      </c>
      <c r="X29" s="61"/>
      <c r="Y29" s="61" t="s">
        <v>129</v>
      </c>
      <c r="Z29" s="61" t="s">
        <v>129</v>
      </c>
      <c r="AA29" s="118">
        <f t="shared" si="0"/>
        <v>7</v>
      </c>
      <c r="AB29" s="304" t="str">
        <f t="shared" si="1"/>
        <v>00:07:00</v>
      </c>
      <c r="AC29" s="119">
        <v>0.00490740740740741</v>
      </c>
      <c r="AD29" s="120">
        <f t="shared" si="2"/>
        <v>420</v>
      </c>
      <c r="AE29" s="141">
        <v>169</v>
      </c>
      <c r="AF29" s="141"/>
    </row>
    <row r="30" customHeight="1" spans="1:32">
      <c r="A30" s="81">
        <v>26</v>
      </c>
      <c r="B30" s="29" t="s">
        <v>120</v>
      </c>
      <c r="C30" s="280"/>
      <c r="D30" s="277"/>
      <c r="E30" s="81">
        <v>26</v>
      </c>
      <c r="F30" s="278"/>
      <c r="G30" s="279" t="s">
        <v>1136</v>
      </c>
      <c r="H30" s="28" t="s">
        <v>1137</v>
      </c>
      <c r="I30" s="294" t="s">
        <v>124</v>
      </c>
      <c r="J30" s="294" t="s">
        <v>124</v>
      </c>
      <c r="K30" s="294" t="s">
        <v>124</v>
      </c>
      <c r="L30" s="295"/>
      <c r="M30" s="295"/>
      <c r="N30" s="295"/>
      <c r="O30" s="296" t="s">
        <v>1138</v>
      </c>
      <c r="P30" s="296"/>
      <c r="Q30" s="301"/>
      <c r="R30" s="301"/>
      <c r="S30" s="61" t="s">
        <v>130</v>
      </c>
      <c r="T30" s="61"/>
      <c r="U30" s="52"/>
      <c r="V30" s="52"/>
      <c r="W30" s="61" t="s">
        <v>130</v>
      </c>
      <c r="X30" s="61"/>
      <c r="Y30" s="61" t="s">
        <v>129</v>
      </c>
      <c r="Z30" s="61" t="s">
        <v>129</v>
      </c>
      <c r="AA30" s="118">
        <f t="shared" si="0"/>
        <v>4</v>
      </c>
      <c r="AB30" s="304" t="str">
        <f t="shared" si="1"/>
        <v>00:04:00</v>
      </c>
      <c r="AC30" s="119">
        <v>0.0027662037037037</v>
      </c>
      <c r="AD30" s="120">
        <f t="shared" si="2"/>
        <v>240</v>
      </c>
      <c r="AE30" s="141">
        <v>169</v>
      </c>
      <c r="AF30" s="141"/>
    </row>
    <row r="31" customHeight="1" spans="1:32">
      <c r="A31" s="81">
        <v>27</v>
      </c>
      <c r="B31" s="29" t="s">
        <v>120</v>
      </c>
      <c r="C31" s="280"/>
      <c r="D31" s="277"/>
      <c r="E31" s="81">
        <v>27</v>
      </c>
      <c r="F31" s="278"/>
      <c r="G31" s="279" t="s">
        <v>1139</v>
      </c>
      <c r="H31" s="28" t="s">
        <v>1140</v>
      </c>
      <c r="I31" s="294" t="s">
        <v>124</v>
      </c>
      <c r="J31" s="294" t="s">
        <v>124</v>
      </c>
      <c r="K31" s="294" t="s">
        <v>124</v>
      </c>
      <c r="L31" s="295"/>
      <c r="M31" s="295"/>
      <c r="N31" s="295"/>
      <c r="O31" s="296" t="s">
        <v>1141</v>
      </c>
      <c r="P31" s="296"/>
      <c r="Q31" s="301"/>
      <c r="R31" s="301"/>
      <c r="S31" s="61" t="s">
        <v>130</v>
      </c>
      <c r="T31" s="61"/>
      <c r="U31" s="52"/>
      <c r="V31" s="52"/>
      <c r="W31" s="61" t="s">
        <v>130</v>
      </c>
      <c r="X31" s="61"/>
      <c r="Y31" s="61" t="s">
        <v>129</v>
      </c>
      <c r="Z31" s="61" t="s">
        <v>129</v>
      </c>
      <c r="AA31" s="118">
        <f t="shared" si="0"/>
        <v>10</v>
      </c>
      <c r="AB31" s="304" t="str">
        <f t="shared" si="1"/>
        <v>00:10:00</v>
      </c>
      <c r="AC31" s="119">
        <v>0.00719907407407407</v>
      </c>
      <c r="AD31" s="120">
        <f t="shared" si="2"/>
        <v>600</v>
      </c>
      <c r="AE31" s="141">
        <v>169</v>
      </c>
      <c r="AF31" s="141"/>
    </row>
    <row r="32" customHeight="1" spans="1:32">
      <c r="A32" s="81">
        <v>28</v>
      </c>
      <c r="B32" s="29" t="s">
        <v>120</v>
      </c>
      <c r="C32" s="280"/>
      <c r="D32" s="277"/>
      <c r="E32" s="81">
        <v>28</v>
      </c>
      <c r="F32" s="278"/>
      <c r="G32" s="279" t="s">
        <v>1142</v>
      </c>
      <c r="H32" s="28" t="s">
        <v>1143</v>
      </c>
      <c r="I32" s="294" t="s">
        <v>124</v>
      </c>
      <c r="J32" s="294" t="s">
        <v>124</v>
      </c>
      <c r="K32" s="294" t="s">
        <v>124</v>
      </c>
      <c r="L32" s="295"/>
      <c r="M32" s="295"/>
      <c r="N32" s="295"/>
      <c r="O32" s="296" t="s">
        <v>1144</v>
      </c>
      <c r="P32" s="296"/>
      <c r="Q32" s="301"/>
      <c r="R32" s="301"/>
      <c r="S32" s="61" t="s">
        <v>130</v>
      </c>
      <c r="T32" s="61"/>
      <c r="U32" s="52"/>
      <c r="V32" s="52"/>
      <c r="W32" s="61" t="s">
        <v>130</v>
      </c>
      <c r="X32" s="61"/>
      <c r="Y32" s="61" t="s">
        <v>129</v>
      </c>
      <c r="Z32" s="61" t="s">
        <v>129</v>
      </c>
      <c r="AA32" s="118">
        <f t="shared" si="0"/>
        <v>71</v>
      </c>
      <c r="AB32" s="304" t="str">
        <f t="shared" si="1"/>
        <v>01:11:00</v>
      </c>
      <c r="AC32" s="119">
        <v>0.0489814814814815</v>
      </c>
      <c r="AD32" s="120">
        <f t="shared" si="2"/>
        <v>4260</v>
      </c>
      <c r="AE32" s="141">
        <v>169</v>
      </c>
      <c r="AF32" s="141"/>
    </row>
    <row r="33" customHeight="1" spans="1:32">
      <c r="A33" s="81">
        <v>29</v>
      </c>
      <c r="B33" s="29" t="s">
        <v>120</v>
      </c>
      <c r="C33" s="280"/>
      <c r="D33" s="277"/>
      <c r="E33" s="81">
        <v>29</v>
      </c>
      <c r="F33" s="278" t="s">
        <v>1145</v>
      </c>
      <c r="G33" s="279" t="s">
        <v>1146</v>
      </c>
      <c r="H33" s="28" t="s">
        <v>1147</v>
      </c>
      <c r="I33" s="294" t="s">
        <v>124</v>
      </c>
      <c r="J33" s="294" t="s">
        <v>124</v>
      </c>
      <c r="K33" s="294" t="s">
        <v>124</v>
      </c>
      <c r="L33" s="295"/>
      <c r="M33" s="295"/>
      <c r="N33" s="295"/>
      <c r="O33" s="296" t="s">
        <v>1148</v>
      </c>
      <c r="P33" s="296"/>
      <c r="Q33" s="301"/>
      <c r="R33" s="301"/>
      <c r="S33" s="61" t="s">
        <v>130</v>
      </c>
      <c r="T33" s="61"/>
      <c r="U33" s="52"/>
      <c r="V33" s="52"/>
      <c r="W33" s="61" t="s">
        <v>130</v>
      </c>
      <c r="X33" s="61"/>
      <c r="Y33" s="61" t="s">
        <v>129</v>
      </c>
      <c r="Z33" s="61" t="s">
        <v>129</v>
      </c>
      <c r="AA33" s="118">
        <f t="shared" si="0"/>
        <v>10</v>
      </c>
      <c r="AB33" s="304" t="str">
        <f t="shared" si="1"/>
        <v>00:10:00</v>
      </c>
      <c r="AC33" s="119">
        <v>0.00673611111111111</v>
      </c>
      <c r="AD33" s="120">
        <f t="shared" si="2"/>
        <v>600</v>
      </c>
      <c r="AE33" s="141">
        <v>169</v>
      </c>
      <c r="AF33" s="141"/>
    </row>
    <row r="34" customHeight="1" spans="1:32">
      <c r="A34" s="81">
        <v>30</v>
      </c>
      <c r="B34" s="29" t="s">
        <v>120</v>
      </c>
      <c r="C34" s="280"/>
      <c r="D34" s="277"/>
      <c r="E34" s="81">
        <v>30</v>
      </c>
      <c r="F34" s="278"/>
      <c r="G34" s="279" t="s">
        <v>1149</v>
      </c>
      <c r="H34" s="28" t="s">
        <v>1150</v>
      </c>
      <c r="I34" s="294" t="s">
        <v>124</v>
      </c>
      <c r="J34" s="294" t="s">
        <v>124</v>
      </c>
      <c r="K34" s="294" t="s">
        <v>124</v>
      </c>
      <c r="L34" s="295"/>
      <c r="M34" s="295"/>
      <c r="N34" s="295"/>
      <c r="O34" s="296" t="s">
        <v>1151</v>
      </c>
      <c r="P34" s="296"/>
      <c r="Q34" s="301"/>
      <c r="R34" s="301"/>
      <c r="S34" s="61" t="s">
        <v>130</v>
      </c>
      <c r="T34" s="61"/>
      <c r="U34" s="52"/>
      <c r="V34" s="52"/>
      <c r="W34" s="61" t="s">
        <v>130</v>
      </c>
      <c r="X34" s="61"/>
      <c r="Y34" s="61" t="s">
        <v>129</v>
      </c>
      <c r="Z34" s="61" t="s">
        <v>129</v>
      </c>
      <c r="AA34" s="118">
        <f t="shared" si="0"/>
        <v>8</v>
      </c>
      <c r="AB34" s="304" t="str">
        <f t="shared" si="1"/>
        <v>00:08:00</v>
      </c>
      <c r="AC34" s="119">
        <v>0.00534722222222222</v>
      </c>
      <c r="AD34" s="120">
        <f t="shared" si="2"/>
        <v>480</v>
      </c>
      <c r="AE34" s="141">
        <v>169</v>
      </c>
      <c r="AF34" s="141"/>
    </row>
    <row r="35" customHeight="1" spans="1:32">
      <c r="A35" s="81">
        <v>31</v>
      </c>
      <c r="B35" s="29" t="s">
        <v>120</v>
      </c>
      <c r="C35" s="280"/>
      <c r="D35" s="277"/>
      <c r="E35" s="81">
        <v>31</v>
      </c>
      <c r="F35" s="278"/>
      <c r="G35" s="279" t="s">
        <v>1152</v>
      </c>
      <c r="H35" s="28" t="s">
        <v>1153</v>
      </c>
      <c r="I35" s="294" t="s">
        <v>124</v>
      </c>
      <c r="J35" s="294" t="s">
        <v>124</v>
      </c>
      <c r="K35" s="294" t="s">
        <v>124</v>
      </c>
      <c r="L35" s="295"/>
      <c r="M35" s="295"/>
      <c r="N35" s="295"/>
      <c r="O35" s="296" t="s">
        <v>1154</v>
      </c>
      <c r="P35" s="296"/>
      <c r="Q35" s="301"/>
      <c r="R35" s="301"/>
      <c r="S35" s="61" t="s">
        <v>130</v>
      </c>
      <c r="T35" s="61"/>
      <c r="U35" s="52"/>
      <c r="V35" s="52"/>
      <c r="W35" s="61" t="s">
        <v>130</v>
      </c>
      <c r="X35" s="61"/>
      <c r="Y35" s="61" t="s">
        <v>129</v>
      </c>
      <c r="Z35" s="61" t="s">
        <v>129</v>
      </c>
      <c r="AA35" s="118">
        <f t="shared" si="0"/>
        <v>10</v>
      </c>
      <c r="AB35" s="304" t="str">
        <f t="shared" si="1"/>
        <v>00:10:00</v>
      </c>
      <c r="AC35" s="119">
        <v>0.00702546296296296</v>
      </c>
      <c r="AD35" s="120">
        <f t="shared" si="2"/>
        <v>600</v>
      </c>
      <c r="AE35" s="141">
        <v>169</v>
      </c>
      <c r="AF35" s="141"/>
    </row>
    <row r="36" customHeight="1" spans="1:32">
      <c r="A36" s="81">
        <v>32</v>
      </c>
      <c r="B36" s="29" t="s">
        <v>120</v>
      </c>
      <c r="C36" s="280"/>
      <c r="D36" s="277"/>
      <c r="E36" s="81">
        <v>32</v>
      </c>
      <c r="F36" s="278"/>
      <c r="G36" s="279" t="s">
        <v>1155</v>
      </c>
      <c r="H36" s="28" t="s">
        <v>1156</v>
      </c>
      <c r="I36" s="294" t="s">
        <v>124</v>
      </c>
      <c r="J36" s="294" t="s">
        <v>124</v>
      </c>
      <c r="K36" s="294" t="s">
        <v>124</v>
      </c>
      <c r="L36" s="295"/>
      <c r="M36" s="295"/>
      <c r="N36" s="295"/>
      <c r="O36" s="296" t="s">
        <v>1157</v>
      </c>
      <c r="P36" s="296"/>
      <c r="Q36" s="301"/>
      <c r="R36" s="301"/>
      <c r="S36" s="61" t="s">
        <v>130</v>
      </c>
      <c r="T36" s="61"/>
      <c r="U36" s="52"/>
      <c r="V36" s="52"/>
      <c r="W36" s="61" t="s">
        <v>130</v>
      </c>
      <c r="X36" s="61"/>
      <c r="Y36" s="61" t="s">
        <v>129</v>
      </c>
      <c r="Z36" s="61" t="s">
        <v>129</v>
      </c>
      <c r="AA36" s="118">
        <f t="shared" si="0"/>
        <v>28</v>
      </c>
      <c r="AB36" s="304" t="str">
        <f t="shared" si="1"/>
        <v>00:28:00</v>
      </c>
      <c r="AC36" s="119">
        <v>0.0197685185185185</v>
      </c>
      <c r="AD36" s="120">
        <f t="shared" si="2"/>
        <v>1680</v>
      </c>
      <c r="AE36" s="141">
        <v>169</v>
      </c>
      <c r="AF36" s="141"/>
    </row>
    <row r="37" customHeight="1" spans="1:32">
      <c r="A37" s="81">
        <v>33</v>
      </c>
      <c r="B37" s="29" t="s">
        <v>120</v>
      </c>
      <c r="C37" s="280"/>
      <c r="D37" s="281"/>
      <c r="E37" s="81">
        <v>33</v>
      </c>
      <c r="F37" s="278" t="s">
        <v>1054</v>
      </c>
      <c r="G37" s="279" t="s">
        <v>1158</v>
      </c>
      <c r="H37" s="28" t="s">
        <v>1159</v>
      </c>
      <c r="I37" s="294" t="s">
        <v>124</v>
      </c>
      <c r="J37" s="294" t="s">
        <v>124</v>
      </c>
      <c r="K37" s="295"/>
      <c r="L37" s="295"/>
      <c r="M37" s="295"/>
      <c r="N37" s="295"/>
      <c r="O37" s="296" t="s">
        <v>1160</v>
      </c>
      <c r="P37" s="296"/>
      <c r="Q37" s="301"/>
      <c r="R37" s="302"/>
      <c r="S37" s="61" t="s">
        <v>130</v>
      </c>
      <c r="T37" s="61"/>
      <c r="U37" s="52"/>
      <c r="V37" s="52"/>
      <c r="W37" s="52" t="s">
        <v>131</v>
      </c>
      <c r="X37" s="52" t="s">
        <v>130</v>
      </c>
      <c r="Y37" s="61" t="s">
        <v>129</v>
      </c>
      <c r="Z37" s="61" t="s">
        <v>129</v>
      </c>
      <c r="AA37" s="118">
        <f t="shared" si="0"/>
        <v>9</v>
      </c>
      <c r="AB37" s="304" t="str">
        <f t="shared" si="1"/>
        <v>00:09:00</v>
      </c>
      <c r="AC37" s="119">
        <v>0.00594907407407407</v>
      </c>
      <c r="AD37" s="120">
        <f t="shared" ref="AD37:AD74" si="3">AA37*60</f>
        <v>540</v>
      </c>
      <c r="AE37" s="141">
        <v>169</v>
      </c>
      <c r="AF37" s="141"/>
    </row>
    <row r="38" customHeight="1" spans="1:32">
      <c r="A38" s="81">
        <v>34</v>
      </c>
      <c r="B38" s="29" t="s">
        <v>120</v>
      </c>
      <c r="C38" s="280"/>
      <c r="D38" s="281"/>
      <c r="E38" s="81">
        <v>34</v>
      </c>
      <c r="F38" s="278"/>
      <c r="G38" s="279" t="s">
        <v>1161</v>
      </c>
      <c r="H38" s="28" t="s">
        <v>1162</v>
      </c>
      <c r="I38" s="294" t="s">
        <v>124</v>
      </c>
      <c r="J38" s="294" t="s">
        <v>124</v>
      </c>
      <c r="K38" s="295"/>
      <c r="L38" s="295"/>
      <c r="M38" s="295"/>
      <c r="N38" s="295"/>
      <c r="O38" s="296" t="s">
        <v>1163</v>
      </c>
      <c r="P38" s="296"/>
      <c r="Q38" s="301"/>
      <c r="R38" s="302"/>
      <c r="S38" s="61" t="s">
        <v>131</v>
      </c>
      <c r="T38" s="61" t="s">
        <v>130</v>
      </c>
      <c r="U38" s="52"/>
      <c r="V38" s="52"/>
      <c r="W38" s="52" t="s">
        <v>131</v>
      </c>
      <c r="X38" s="52" t="s">
        <v>130</v>
      </c>
      <c r="Y38" s="61" t="s">
        <v>129</v>
      </c>
      <c r="Z38" s="61" t="s">
        <v>129</v>
      </c>
      <c r="AA38" s="118">
        <f t="shared" ref="AA38:AA74" si="4">ROUNDUP(HOUR(AB38)*60+MINUTE(AB38)+SECOND(AB38)/60,0)</f>
        <v>7</v>
      </c>
      <c r="AB38" s="304" t="str">
        <f t="shared" ref="AB38:AB74" si="5">TEXT((HOUR(AC38)*60+MINUTE(AC38)+IF(SECOND(AC38)&lt;=29,0,1))*60/86400,"hh:mm:ss")</f>
        <v>00:07:00</v>
      </c>
      <c r="AC38" s="119">
        <v>0.00496527777777778</v>
      </c>
      <c r="AD38" s="120">
        <f t="shared" si="3"/>
        <v>420</v>
      </c>
      <c r="AE38" s="141">
        <v>169</v>
      </c>
      <c r="AF38" s="141"/>
    </row>
    <row r="39" customHeight="1" spans="1:32">
      <c r="A39" s="81">
        <v>35</v>
      </c>
      <c r="B39" s="29" t="s">
        <v>120</v>
      </c>
      <c r="C39" s="280"/>
      <c r="D39" s="281"/>
      <c r="E39" s="81">
        <v>35</v>
      </c>
      <c r="F39" s="278"/>
      <c r="G39" s="279" t="s">
        <v>1164</v>
      </c>
      <c r="H39" s="28" t="s">
        <v>1165</v>
      </c>
      <c r="I39" s="294" t="s">
        <v>124</v>
      </c>
      <c r="J39" s="294" t="s">
        <v>124</v>
      </c>
      <c r="K39" s="295"/>
      <c r="L39" s="295"/>
      <c r="M39" s="295"/>
      <c r="N39" s="295"/>
      <c r="O39" s="296" t="s">
        <v>1166</v>
      </c>
      <c r="P39" s="296"/>
      <c r="Q39" s="301"/>
      <c r="R39" s="302"/>
      <c r="S39" s="61" t="s">
        <v>130</v>
      </c>
      <c r="T39" s="61"/>
      <c r="U39" s="52"/>
      <c r="V39" s="52"/>
      <c r="W39" s="61" t="s">
        <v>131</v>
      </c>
      <c r="X39" s="61" t="s">
        <v>130</v>
      </c>
      <c r="Y39" s="61" t="s">
        <v>129</v>
      </c>
      <c r="Z39" s="61" t="s">
        <v>129</v>
      </c>
      <c r="AA39" s="118">
        <f t="shared" si="4"/>
        <v>10</v>
      </c>
      <c r="AB39" s="304" t="str">
        <f t="shared" si="5"/>
        <v>00:10:00</v>
      </c>
      <c r="AC39" s="119">
        <v>0.00724537037037037</v>
      </c>
      <c r="AD39" s="120">
        <f t="shared" si="3"/>
        <v>600</v>
      </c>
      <c r="AE39" s="141">
        <v>169</v>
      </c>
      <c r="AF39" s="141"/>
    </row>
    <row r="40" customHeight="1" spans="1:32">
      <c r="A40" s="81">
        <v>36</v>
      </c>
      <c r="B40" s="29" t="s">
        <v>120</v>
      </c>
      <c r="C40" s="280"/>
      <c r="D40" s="281"/>
      <c r="E40" s="81">
        <v>36</v>
      </c>
      <c r="F40" s="278"/>
      <c r="G40" s="279" t="s">
        <v>1167</v>
      </c>
      <c r="H40" s="28" t="s">
        <v>1168</v>
      </c>
      <c r="I40" s="294" t="s">
        <v>124</v>
      </c>
      <c r="J40" s="294" t="s">
        <v>124</v>
      </c>
      <c r="K40" s="295"/>
      <c r="L40" s="295"/>
      <c r="M40" s="295"/>
      <c r="N40" s="295"/>
      <c r="O40" s="296" t="s">
        <v>1169</v>
      </c>
      <c r="P40" s="296"/>
      <c r="Q40" s="301"/>
      <c r="R40" s="302"/>
      <c r="S40" s="61" t="s">
        <v>131</v>
      </c>
      <c r="T40" s="61" t="s">
        <v>130</v>
      </c>
      <c r="U40" s="52"/>
      <c r="V40" s="52"/>
      <c r="W40" s="61" t="s">
        <v>131</v>
      </c>
      <c r="X40" s="61" t="s">
        <v>130</v>
      </c>
      <c r="Y40" s="61" t="s">
        <v>129</v>
      </c>
      <c r="Z40" s="61" t="s">
        <v>129</v>
      </c>
      <c r="AA40" s="118">
        <f t="shared" si="4"/>
        <v>61</v>
      </c>
      <c r="AB40" s="304" t="str">
        <f t="shared" si="5"/>
        <v>01:01:00</v>
      </c>
      <c r="AC40" s="119">
        <v>0.0426388888888889</v>
      </c>
      <c r="AD40" s="120">
        <f t="shared" si="3"/>
        <v>3660</v>
      </c>
      <c r="AE40" s="141">
        <v>169</v>
      </c>
      <c r="AF40" s="141"/>
    </row>
    <row r="41" customHeight="1" spans="1:32">
      <c r="A41" s="81">
        <v>37</v>
      </c>
      <c r="B41" s="29" t="s">
        <v>120</v>
      </c>
      <c r="C41" s="280"/>
      <c r="D41" s="281"/>
      <c r="E41" s="81">
        <v>37</v>
      </c>
      <c r="F41" s="278" t="s">
        <v>1067</v>
      </c>
      <c r="G41" s="279" t="s">
        <v>1170</v>
      </c>
      <c r="H41" s="28" t="s">
        <v>1171</v>
      </c>
      <c r="I41" s="294" t="s">
        <v>124</v>
      </c>
      <c r="J41" s="294" t="s">
        <v>124</v>
      </c>
      <c r="K41" s="295"/>
      <c r="L41" s="295"/>
      <c r="M41" s="295"/>
      <c r="N41" s="295"/>
      <c r="O41" s="296" t="s">
        <v>1172</v>
      </c>
      <c r="P41" s="296"/>
      <c r="Q41" s="301"/>
      <c r="R41" s="302"/>
      <c r="S41" s="61" t="s">
        <v>131</v>
      </c>
      <c r="T41" s="61" t="s">
        <v>130</v>
      </c>
      <c r="U41" s="52"/>
      <c r="V41" s="52"/>
      <c r="W41" s="61" t="s">
        <v>131</v>
      </c>
      <c r="X41" s="61" t="s">
        <v>130</v>
      </c>
      <c r="Y41" s="61" t="s">
        <v>129</v>
      </c>
      <c r="Z41" s="61" t="s">
        <v>129</v>
      </c>
      <c r="AA41" s="118">
        <f t="shared" si="4"/>
        <v>9</v>
      </c>
      <c r="AB41" s="304" t="str">
        <f t="shared" si="5"/>
        <v>00:09:00</v>
      </c>
      <c r="AC41" s="119">
        <v>0.00594907407407407</v>
      </c>
      <c r="AD41" s="120">
        <f t="shared" si="3"/>
        <v>540</v>
      </c>
      <c r="AE41" s="141">
        <v>169</v>
      </c>
      <c r="AF41" s="141"/>
    </row>
    <row r="42" customHeight="1" spans="1:32">
      <c r="A42" s="81">
        <v>38</v>
      </c>
      <c r="B42" s="29" t="s">
        <v>120</v>
      </c>
      <c r="C42" s="280"/>
      <c r="D42" s="281"/>
      <c r="E42" s="81">
        <v>38</v>
      </c>
      <c r="F42" s="278"/>
      <c r="G42" s="279" t="s">
        <v>1173</v>
      </c>
      <c r="H42" s="28" t="s">
        <v>1174</v>
      </c>
      <c r="I42" s="294" t="s">
        <v>124</v>
      </c>
      <c r="J42" s="294" t="s">
        <v>124</v>
      </c>
      <c r="K42" s="295"/>
      <c r="L42" s="295"/>
      <c r="M42" s="295"/>
      <c r="N42" s="295"/>
      <c r="O42" s="296" t="s">
        <v>1175</v>
      </c>
      <c r="P42" s="296"/>
      <c r="Q42" s="301"/>
      <c r="R42" s="302"/>
      <c r="S42" s="61" t="s">
        <v>131</v>
      </c>
      <c r="T42" s="61" t="s">
        <v>130</v>
      </c>
      <c r="U42" s="52"/>
      <c r="V42" s="52"/>
      <c r="W42" s="61" t="s">
        <v>131</v>
      </c>
      <c r="X42" s="61" t="s">
        <v>130</v>
      </c>
      <c r="Y42" s="61" t="s">
        <v>129</v>
      </c>
      <c r="Z42" s="61" t="s">
        <v>129</v>
      </c>
      <c r="AA42" s="118">
        <f t="shared" si="4"/>
        <v>7</v>
      </c>
      <c r="AB42" s="304" t="str">
        <f t="shared" si="5"/>
        <v>00:07:00</v>
      </c>
      <c r="AC42" s="119">
        <v>0.00460648148148148</v>
      </c>
      <c r="AD42" s="120">
        <f t="shared" si="3"/>
        <v>420</v>
      </c>
      <c r="AE42" s="141">
        <v>169</v>
      </c>
      <c r="AF42" s="141"/>
    </row>
    <row r="43" customHeight="1" spans="1:32">
      <c r="A43" s="81">
        <v>39</v>
      </c>
      <c r="B43" s="29" t="s">
        <v>120</v>
      </c>
      <c r="C43" s="280"/>
      <c r="D43" s="281"/>
      <c r="E43" s="81">
        <v>39</v>
      </c>
      <c r="F43" s="278"/>
      <c r="G43" s="279" t="s">
        <v>1176</v>
      </c>
      <c r="H43" s="28" t="s">
        <v>1177</v>
      </c>
      <c r="I43" s="294" t="s">
        <v>124</v>
      </c>
      <c r="J43" s="294" t="s">
        <v>124</v>
      </c>
      <c r="K43" s="295"/>
      <c r="L43" s="295"/>
      <c r="M43" s="295"/>
      <c r="N43" s="295"/>
      <c r="O43" s="296" t="s">
        <v>1178</v>
      </c>
      <c r="P43" s="296"/>
      <c r="Q43" s="301"/>
      <c r="R43" s="302"/>
      <c r="S43" s="61" t="s">
        <v>131</v>
      </c>
      <c r="T43" s="61" t="s">
        <v>130</v>
      </c>
      <c r="U43" s="52"/>
      <c r="V43" s="52"/>
      <c r="W43" s="61" t="s">
        <v>131</v>
      </c>
      <c r="X43" s="61" t="s">
        <v>130</v>
      </c>
      <c r="Y43" s="61" t="s">
        <v>129</v>
      </c>
      <c r="Z43" s="61" t="s">
        <v>129</v>
      </c>
      <c r="AA43" s="118">
        <f t="shared" si="4"/>
        <v>14</v>
      </c>
      <c r="AB43" s="304" t="str">
        <f t="shared" si="5"/>
        <v>00:14:00</v>
      </c>
      <c r="AC43" s="119">
        <v>0.00956018518518519</v>
      </c>
      <c r="AD43" s="120">
        <f t="shared" si="3"/>
        <v>840</v>
      </c>
      <c r="AE43" s="141">
        <v>169</v>
      </c>
      <c r="AF43" s="141"/>
    </row>
    <row r="44" customHeight="1" spans="1:32">
      <c r="A44" s="81">
        <v>40</v>
      </c>
      <c r="B44" s="29" t="s">
        <v>120</v>
      </c>
      <c r="C44" s="280"/>
      <c r="D44" s="281"/>
      <c r="E44" s="81">
        <v>40</v>
      </c>
      <c r="F44" s="278"/>
      <c r="G44" s="279" t="s">
        <v>1179</v>
      </c>
      <c r="H44" s="28" t="s">
        <v>1180</v>
      </c>
      <c r="I44" s="294" t="s">
        <v>124</v>
      </c>
      <c r="J44" s="294" t="s">
        <v>124</v>
      </c>
      <c r="K44" s="295"/>
      <c r="L44" s="295"/>
      <c r="M44" s="295"/>
      <c r="N44" s="295"/>
      <c r="O44" s="296" t="s">
        <v>1181</v>
      </c>
      <c r="P44" s="296"/>
      <c r="Q44" s="301"/>
      <c r="R44" s="302"/>
      <c r="S44" s="61" t="s">
        <v>131</v>
      </c>
      <c r="T44" s="61" t="s">
        <v>130</v>
      </c>
      <c r="U44" s="52"/>
      <c r="V44" s="52"/>
      <c r="W44" s="61" t="s">
        <v>131</v>
      </c>
      <c r="X44" s="61" t="s">
        <v>130</v>
      </c>
      <c r="Y44" s="61" t="s">
        <v>129</v>
      </c>
      <c r="Z44" s="61" t="s">
        <v>129</v>
      </c>
      <c r="AA44" s="118">
        <f t="shared" si="4"/>
        <v>26</v>
      </c>
      <c r="AB44" s="304" t="str">
        <f t="shared" si="5"/>
        <v>00:26:00</v>
      </c>
      <c r="AC44" s="119">
        <v>0.0178935185185185</v>
      </c>
      <c r="AD44" s="120">
        <f t="shared" si="3"/>
        <v>1560</v>
      </c>
      <c r="AE44" s="141">
        <v>169</v>
      </c>
      <c r="AF44" s="141"/>
    </row>
    <row r="45" customHeight="1" spans="1:32">
      <c r="A45" s="81">
        <v>41</v>
      </c>
      <c r="B45" s="29" t="s">
        <v>120</v>
      </c>
      <c r="C45" s="280"/>
      <c r="D45" s="281"/>
      <c r="E45" s="81">
        <v>41</v>
      </c>
      <c r="F45" s="278" t="s">
        <v>1080</v>
      </c>
      <c r="G45" s="279" t="s">
        <v>1182</v>
      </c>
      <c r="H45" s="28" t="s">
        <v>1183</v>
      </c>
      <c r="I45" s="294" t="s">
        <v>124</v>
      </c>
      <c r="J45" s="294" t="s">
        <v>124</v>
      </c>
      <c r="K45" s="295"/>
      <c r="L45" s="295"/>
      <c r="M45" s="295"/>
      <c r="N45" s="295"/>
      <c r="O45" s="296" t="s">
        <v>1184</v>
      </c>
      <c r="P45" s="296"/>
      <c r="Q45" s="301"/>
      <c r="R45" s="302"/>
      <c r="S45" s="61" t="s">
        <v>130</v>
      </c>
      <c r="T45" s="61"/>
      <c r="U45" s="52"/>
      <c r="V45" s="52"/>
      <c r="W45" s="52" t="s">
        <v>131</v>
      </c>
      <c r="X45" s="52" t="s">
        <v>130</v>
      </c>
      <c r="Y45" s="61" t="s">
        <v>129</v>
      </c>
      <c r="Z45" s="61" t="s">
        <v>129</v>
      </c>
      <c r="AA45" s="118">
        <f t="shared" si="4"/>
        <v>7</v>
      </c>
      <c r="AB45" s="304" t="str">
        <f t="shared" si="5"/>
        <v>00:07:00</v>
      </c>
      <c r="AC45" s="119">
        <v>0.00457175925925926</v>
      </c>
      <c r="AD45" s="120">
        <f t="shared" si="3"/>
        <v>420</v>
      </c>
      <c r="AE45" s="141">
        <v>169</v>
      </c>
      <c r="AF45" s="141"/>
    </row>
    <row r="46" customHeight="1" spans="1:32">
      <c r="A46" s="81">
        <v>42</v>
      </c>
      <c r="B46" s="29" t="s">
        <v>120</v>
      </c>
      <c r="C46" s="280"/>
      <c r="D46" s="281"/>
      <c r="E46" s="81">
        <v>42</v>
      </c>
      <c r="F46" s="278"/>
      <c r="G46" s="279" t="s">
        <v>1185</v>
      </c>
      <c r="H46" s="28" t="s">
        <v>1186</v>
      </c>
      <c r="I46" s="294" t="s">
        <v>124</v>
      </c>
      <c r="J46" s="294" t="s">
        <v>124</v>
      </c>
      <c r="K46" s="295"/>
      <c r="L46" s="295"/>
      <c r="M46" s="295"/>
      <c r="N46" s="295"/>
      <c r="O46" s="296" t="s">
        <v>1187</v>
      </c>
      <c r="P46" s="296"/>
      <c r="Q46" s="301"/>
      <c r="R46" s="302"/>
      <c r="S46" s="61" t="s">
        <v>131</v>
      </c>
      <c r="T46" s="61" t="s">
        <v>130</v>
      </c>
      <c r="U46" s="52"/>
      <c r="V46" s="52"/>
      <c r="W46" s="52" t="s">
        <v>131</v>
      </c>
      <c r="X46" s="52" t="s">
        <v>130</v>
      </c>
      <c r="Y46" s="61" t="s">
        <v>129</v>
      </c>
      <c r="Z46" s="61" t="s">
        <v>129</v>
      </c>
      <c r="AA46" s="118">
        <f t="shared" si="4"/>
        <v>11</v>
      </c>
      <c r="AB46" s="304" t="str">
        <f t="shared" si="5"/>
        <v>00:11:00</v>
      </c>
      <c r="AC46" s="119">
        <v>0.00759259259259259</v>
      </c>
      <c r="AD46" s="120">
        <f t="shared" si="3"/>
        <v>660</v>
      </c>
      <c r="AE46" s="141">
        <v>169</v>
      </c>
      <c r="AF46" s="141"/>
    </row>
    <row r="47" customHeight="1" spans="1:32">
      <c r="A47" s="81">
        <v>43</v>
      </c>
      <c r="B47" s="29" t="s">
        <v>120</v>
      </c>
      <c r="C47" s="280"/>
      <c r="D47" s="281"/>
      <c r="E47" s="81">
        <v>43</v>
      </c>
      <c r="F47" s="278"/>
      <c r="G47" s="279" t="s">
        <v>1188</v>
      </c>
      <c r="H47" s="28" t="s">
        <v>1189</v>
      </c>
      <c r="I47" s="294" t="s">
        <v>124</v>
      </c>
      <c r="J47" s="294" t="s">
        <v>124</v>
      </c>
      <c r="K47" s="295"/>
      <c r="L47" s="295"/>
      <c r="M47" s="295"/>
      <c r="N47" s="295"/>
      <c r="O47" s="296" t="s">
        <v>1190</v>
      </c>
      <c r="P47" s="296"/>
      <c r="Q47" s="301"/>
      <c r="R47" s="302"/>
      <c r="S47" s="61" t="s">
        <v>130</v>
      </c>
      <c r="T47" s="61"/>
      <c r="U47" s="52"/>
      <c r="V47" s="52"/>
      <c r="W47" s="61" t="s">
        <v>131</v>
      </c>
      <c r="X47" s="61" t="s">
        <v>130</v>
      </c>
      <c r="Y47" s="61" t="s">
        <v>129</v>
      </c>
      <c r="Z47" s="61" t="s">
        <v>129</v>
      </c>
      <c r="AA47" s="118">
        <f t="shared" si="4"/>
        <v>17</v>
      </c>
      <c r="AB47" s="304" t="str">
        <f t="shared" si="5"/>
        <v>00:17:00</v>
      </c>
      <c r="AC47" s="119">
        <v>0.0118171296296296</v>
      </c>
      <c r="AD47" s="120">
        <f t="shared" si="3"/>
        <v>1020</v>
      </c>
      <c r="AE47" s="141">
        <v>169</v>
      </c>
      <c r="AF47" s="141"/>
    </row>
    <row r="48" customHeight="1" spans="1:32">
      <c r="A48" s="81">
        <v>44</v>
      </c>
      <c r="B48" s="29" t="s">
        <v>120</v>
      </c>
      <c r="C48" s="280"/>
      <c r="D48" s="281"/>
      <c r="E48" s="81">
        <v>44</v>
      </c>
      <c r="F48" s="278"/>
      <c r="G48" s="279" t="s">
        <v>1191</v>
      </c>
      <c r="H48" s="28" t="s">
        <v>1192</v>
      </c>
      <c r="I48" s="294" t="s">
        <v>124</v>
      </c>
      <c r="J48" s="294" t="s">
        <v>124</v>
      </c>
      <c r="K48" s="295"/>
      <c r="L48" s="295"/>
      <c r="M48" s="295"/>
      <c r="N48" s="295"/>
      <c r="O48" s="296" t="s">
        <v>1193</v>
      </c>
      <c r="P48" s="296"/>
      <c r="Q48" s="301"/>
      <c r="R48" s="302"/>
      <c r="S48" s="61" t="s">
        <v>131</v>
      </c>
      <c r="T48" s="61" t="s">
        <v>130</v>
      </c>
      <c r="U48" s="52"/>
      <c r="V48" s="52"/>
      <c r="W48" s="61" t="s">
        <v>131</v>
      </c>
      <c r="X48" s="61" t="s">
        <v>130</v>
      </c>
      <c r="Y48" s="61" t="s">
        <v>129</v>
      </c>
      <c r="Z48" s="61" t="s">
        <v>129</v>
      </c>
      <c r="AA48" s="118">
        <f t="shared" si="4"/>
        <v>55</v>
      </c>
      <c r="AB48" s="304" t="str">
        <f t="shared" si="5"/>
        <v>00:55:00</v>
      </c>
      <c r="AC48" s="119">
        <v>0.0384722222222222</v>
      </c>
      <c r="AD48" s="120">
        <f t="shared" si="3"/>
        <v>3300</v>
      </c>
      <c r="AE48" s="141">
        <v>169</v>
      </c>
      <c r="AF48" s="141"/>
    </row>
    <row r="49" customHeight="1" spans="1:32">
      <c r="A49" s="81">
        <v>45</v>
      </c>
      <c r="B49" s="29" t="s">
        <v>120</v>
      </c>
      <c r="C49" s="280"/>
      <c r="D49" s="281"/>
      <c r="E49" s="81">
        <v>45</v>
      </c>
      <c r="F49" s="278" t="s">
        <v>1093</v>
      </c>
      <c r="G49" s="279" t="s">
        <v>1194</v>
      </c>
      <c r="H49" s="28" t="s">
        <v>1195</v>
      </c>
      <c r="I49" s="294" t="s">
        <v>124</v>
      </c>
      <c r="J49" s="294" t="s">
        <v>124</v>
      </c>
      <c r="K49" s="295"/>
      <c r="L49" s="295"/>
      <c r="M49" s="295"/>
      <c r="N49" s="295"/>
      <c r="O49" s="296" t="s">
        <v>1196</v>
      </c>
      <c r="P49" s="296"/>
      <c r="Q49" s="301"/>
      <c r="R49" s="302"/>
      <c r="S49" s="61" t="s">
        <v>131</v>
      </c>
      <c r="T49" s="61" t="s">
        <v>130</v>
      </c>
      <c r="U49" s="52"/>
      <c r="V49" s="52"/>
      <c r="W49" s="61" t="s">
        <v>131</v>
      </c>
      <c r="X49" s="61" t="s">
        <v>130</v>
      </c>
      <c r="Y49" s="61" t="s">
        <v>129</v>
      </c>
      <c r="Z49" s="61" t="s">
        <v>129</v>
      </c>
      <c r="AA49" s="118">
        <f t="shared" si="4"/>
        <v>5</v>
      </c>
      <c r="AB49" s="304" t="str">
        <f t="shared" si="5"/>
        <v>00:05:00</v>
      </c>
      <c r="AC49" s="119">
        <v>0.0034837962962963</v>
      </c>
      <c r="AD49" s="120">
        <f t="shared" si="3"/>
        <v>300</v>
      </c>
      <c r="AE49" s="141">
        <v>169</v>
      </c>
      <c r="AF49" s="141"/>
    </row>
    <row r="50" customHeight="1" spans="1:32">
      <c r="A50" s="81">
        <v>46</v>
      </c>
      <c r="B50" s="29" t="s">
        <v>120</v>
      </c>
      <c r="C50" s="280"/>
      <c r="D50" s="281"/>
      <c r="E50" s="81">
        <v>46</v>
      </c>
      <c r="F50" s="278"/>
      <c r="G50" s="279" t="s">
        <v>1197</v>
      </c>
      <c r="H50" s="28" t="s">
        <v>1198</v>
      </c>
      <c r="I50" s="294" t="s">
        <v>124</v>
      </c>
      <c r="J50" s="294" t="s">
        <v>124</v>
      </c>
      <c r="K50" s="295"/>
      <c r="L50" s="295"/>
      <c r="M50" s="295"/>
      <c r="N50" s="295"/>
      <c r="O50" s="296" t="s">
        <v>1199</v>
      </c>
      <c r="P50" s="296"/>
      <c r="Q50" s="301"/>
      <c r="R50" s="302"/>
      <c r="S50" s="61" t="s">
        <v>131</v>
      </c>
      <c r="T50" s="61" t="s">
        <v>130</v>
      </c>
      <c r="U50" s="52"/>
      <c r="V50" s="52"/>
      <c r="W50" s="61" t="s">
        <v>131</v>
      </c>
      <c r="X50" s="61" t="s">
        <v>130</v>
      </c>
      <c r="Y50" s="61" t="s">
        <v>129</v>
      </c>
      <c r="Z50" s="61" t="s">
        <v>129</v>
      </c>
      <c r="AA50" s="118">
        <f t="shared" si="4"/>
        <v>13</v>
      </c>
      <c r="AB50" s="304" t="str">
        <f t="shared" si="5"/>
        <v>00:13:00</v>
      </c>
      <c r="AC50" s="119">
        <v>0.00923611111111111</v>
      </c>
      <c r="AD50" s="120">
        <f t="shared" si="3"/>
        <v>780</v>
      </c>
      <c r="AE50" s="141">
        <v>169</v>
      </c>
      <c r="AF50" s="141"/>
    </row>
    <row r="51" customHeight="1" spans="1:32">
      <c r="A51" s="81">
        <v>47</v>
      </c>
      <c r="B51" s="29" t="s">
        <v>120</v>
      </c>
      <c r="C51" s="280"/>
      <c r="D51" s="281"/>
      <c r="E51" s="81">
        <v>47</v>
      </c>
      <c r="F51" s="278"/>
      <c r="G51" s="279" t="s">
        <v>1200</v>
      </c>
      <c r="H51" s="28" t="s">
        <v>1201</v>
      </c>
      <c r="I51" s="294" t="s">
        <v>124</v>
      </c>
      <c r="J51" s="294" t="s">
        <v>124</v>
      </c>
      <c r="K51" s="295"/>
      <c r="L51" s="295"/>
      <c r="M51" s="295"/>
      <c r="N51" s="295"/>
      <c r="O51" s="296" t="s">
        <v>1202</v>
      </c>
      <c r="P51" s="296"/>
      <c r="Q51" s="301"/>
      <c r="R51" s="302"/>
      <c r="S51" s="61" t="s">
        <v>131</v>
      </c>
      <c r="T51" s="61" t="s">
        <v>130</v>
      </c>
      <c r="U51" s="52"/>
      <c r="V51" s="52"/>
      <c r="W51" s="61" t="s">
        <v>131</v>
      </c>
      <c r="X51" s="61" t="s">
        <v>130</v>
      </c>
      <c r="Y51" s="61" t="s">
        <v>129</v>
      </c>
      <c r="Z51" s="61" t="s">
        <v>129</v>
      </c>
      <c r="AA51" s="118">
        <f t="shared" si="4"/>
        <v>7</v>
      </c>
      <c r="AB51" s="304" t="str">
        <f t="shared" si="5"/>
        <v>00:07:00</v>
      </c>
      <c r="AC51" s="119">
        <v>0.00469907407407407</v>
      </c>
      <c r="AD51" s="120">
        <f t="shared" si="3"/>
        <v>420</v>
      </c>
      <c r="AE51" s="141">
        <v>169</v>
      </c>
      <c r="AF51" s="141"/>
    </row>
    <row r="52" customHeight="1" spans="1:32">
      <c r="A52" s="81">
        <v>48</v>
      </c>
      <c r="B52" s="29" t="s">
        <v>120</v>
      </c>
      <c r="C52" s="280"/>
      <c r="D52" s="281"/>
      <c r="E52" s="81">
        <v>48</v>
      </c>
      <c r="F52" s="278"/>
      <c r="G52" s="279" t="s">
        <v>1203</v>
      </c>
      <c r="H52" s="28" t="s">
        <v>1204</v>
      </c>
      <c r="I52" s="294" t="s">
        <v>124</v>
      </c>
      <c r="J52" s="294" t="s">
        <v>124</v>
      </c>
      <c r="K52" s="295"/>
      <c r="L52" s="295"/>
      <c r="M52" s="295"/>
      <c r="N52" s="295"/>
      <c r="O52" s="296" t="s">
        <v>1205</v>
      </c>
      <c r="P52" s="296"/>
      <c r="Q52" s="301"/>
      <c r="R52" s="302"/>
      <c r="S52" s="61" t="s">
        <v>131</v>
      </c>
      <c r="T52" s="61" t="s">
        <v>130</v>
      </c>
      <c r="U52" s="52"/>
      <c r="V52" s="52"/>
      <c r="W52" s="61" t="s">
        <v>131</v>
      </c>
      <c r="X52" s="61" t="s">
        <v>130</v>
      </c>
      <c r="Y52" s="61" t="s">
        <v>129</v>
      </c>
      <c r="Z52" s="61" t="s">
        <v>129</v>
      </c>
      <c r="AA52" s="118">
        <f t="shared" si="4"/>
        <v>27</v>
      </c>
      <c r="AB52" s="304" t="str">
        <f t="shared" si="5"/>
        <v>00:27:00</v>
      </c>
      <c r="AC52" s="119">
        <v>0.0188425925925926</v>
      </c>
      <c r="AD52" s="120">
        <f t="shared" si="3"/>
        <v>1620</v>
      </c>
      <c r="AE52" s="141">
        <v>169</v>
      </c>
      <c r="AF52" s="141"/>
    </row>
    <row r="53" customHeight="1" spans="1:32">
      <c r="A53" s="81">
        <v>49</v>
      </c>
      <c r="B53" s="29" t="s">
        <v>120</v>
      </c>
      <c r="C53" s="280"/>
      <c r="D53" s="281"/>
      <c r="E53" s="81">
        <v>49</v>
      </c>
      <c r="F53" s="278" t="s">
        <v>1106</v>
      </c>
      <c r="G53" s="279" t="s">
        <v>1206</v>
      </c>
      <c r="H53" s="28" t="s">
        <v>1207</v>
      </c>
      <c r="I53" s="294" t="s">
        <v>124</v>
      </c>
      <c r="J53" s="294" t="s">
        <v>124</v>
      </c>
      <c r="K53" s="295"/>
      <c r="L53" s="295"/>
      <c r="M53" s="295"/>
      <c r="N53" s="295"/>
      <c r="O53" s="296" t="s">
        <v>1208</v>
      </c>
      <c r="P53" s="296"/>
      <c r="Q53" s="301"/>
      <c r="R53" s="302"/>
      <c r="S53" s="61" t="s">
        <v>130</v>
      </c>
      <c r="T53" s="61"/>
      <c r="U53" s="52"/>
      <c r="V53" s="52"/>
      <c r="W53" s="61" t="s">
        <v>130</v>
      </c>
      <c r="X53" s="61"/>
      <c r="Y53" s="61" t="s">
        <v>129</v>
      </c>
      <c r="Z53" s="61" t="s">
        <v>129</v>
      </c>
      <c r="AA53" s="118">
        <f t="shared" si="4"/>
        <v>7</v>
      </c>
      <c r="AB53" s="304" t="str">
        <f t="shared" si="5"/>
        <v>00:07:00</v>
      </c>
      <c r="AC53" s="119">
        <v>0.00457175925925926</v>
      </c>
      <c r="AD53" s="120">
        <f t="shared" si="3"/>
        <v>420</v>
      </c>
      <c r="AE53" s="141">
        <v>169</v>
      </c>
      <c r="AF53" s="141"/>
    </row>
    <row r="54" customHeight="1" spans="1:32">
      <c r="A54" s="81">
        <v>50</v>
      </c>
      <c r="B54" s="29" t="s">
        <v>120</v>
      </c>
      <c r="C54" s="280"/>
      <c r="D54" s="281"/>
      <c r="E54" s="81">
        <v>50</v>
      </c>
      <c r="F54" s="278"/>
      <c r="G54" s="279" t="s">
        <v>1209</v>
      </c>
      <c r="H54" s="28" t="s">
        <v>1210</v>
      </c>
      <c r="I54" s="294" t="s">
        <v>124</v>
      </c>
      <c r="J54" s="294" t="s">
        <v>124</v>
      </c>
      <c r="K54" s="295"/>
      <c r="L54" s="295"/>
      <c r="M54" s="295"/>
      <c r="N54" s="295"/>
      <c r="O54" s="296" t="s">
        <v>1211</v>
      </c>
      <c r="P54" s="296"/>
      <c r="Q54" s="301"/>
      <c r="R54" s="302"/>
      <c r="S54" s="61" t="s">
        <v>130</v>
      </c>
      <c r="T54" s="61"/>
      <c r="U54" s="52"/>
      <c r="V54" s="52"/>
      <c r="W54" s="61" t="s">
        <v>130</v>
      </c>
      <c r="X54" s="61"/>
      <c r="Y54" s="61" t="s">
        <v>129</v>
      </c>
      <c r="Z54" s="61" t="s">
        <v>129</v>
      </c>
      <c r="AA54" s="118">
        <f t="shared" si="4"/>
        <v>6</v>
      </c>
      <c r="AB54" s="304" t="str">
        <f t="shared" si="5"/>
        <v>00:06:00</v>
      </c>
      <c r="AC54" s="119">
        <v>0.00413194444444444</v>
      </c>
      <c r="AD54" s="120">
        <f t="shared" si="3"/>
        <v>360</v>
      </c>
      <c r="AE54" s="141">
        <v>169</v>
      </c>
      <c r="AF54" s="141"/>
    </row>
    <row r="55" customHeight="1" spans="1:32">
      <c r="A55" s="81">
        <v>51</v>
      </c>
      <c r="B55" s="29" t="s">
        <v>120</v>
      </c>
      <c r="C55" s="280"/>
      <c r="D55" s="281"/>
      <c r="E55" s="81">
        <v>51</v>
      </c>
      <c r="F55" s="278"/>
      <c r="G55" s="279" t="s">
        <v>1212</v>
      </c>
      <c r="H55" s="28" t="s">
        <v>1213</v>
      </c>
      <c r="I55" s="294" t="s">
        <v>124</v>
      </c>
      <c r="J55" s="294" t="s">
        <v>124</v>
      </c>
      <c r="K55" s="295"/>
      <c r="L55" s="295"/>
      <c r="M55" s="295"/>
      <c r="N55" s="295"/>
      <c r="O55" s="296" t="s">
        <v>1214</v>
      </c>
      <c r="P55" s="296"/>
      <c r="Q55" s="301"/>
      <c r="R55" s="302"/>
      <c r="S55" s="61" t="s">
        <v>130</v>
      </c>
      <c r="T55" s="61"/>
      <c r="U55" s="52"/>
      <c r="V55" s="52"/>
      <c r="W55" s="61" t="s">
        <v>130</v>
      </c>
      <c r="X55" s="61"/>
      <c r="Y55" s="61" t="s">
        <v>129</v>
      </c>
      <c r="Z55" s="61" t="s">
        <v>129</v>
      </c>
      <c r="AA55" s="118">
        <f t="shared" si="4"/>
        <v>12</v>
      </c>
      <c r="AB55" s="304" t="str">
        <f t="shared" si="5"/>
        <v>00:12:00</v>
      </c>
      <c r="AC55" s="119">
        <v>0.00827546296296296</v>
      </c>
      <c r="AD55" s="120">
        <f t="shared" si="3"/>
        <v>720</v>
      </c>
      <c r="AE55" s="141">
        <v>169</v>
      </c>
      <c r="AF55" s="141"/>
    </row>
    <row r="56" customHeight="1" spans="1:32">
      <c r="A56" s="81">
        <v>52</v>
      </c>
      <c r="B56" s="29" t="s">
        <v>120</v>
      </c>
      <c r="C56" s="280"/>
      <c r="D56" s="281"/>
      <c r="E56" s="81">
        <v>52</v>
      </c>
      <c r="F56" s="278"/>
      <c r="G56" s="279" t="s">
        <v>1215</v>
      </c>
      <c r="H56" s="28" t="s">
        <v>1216</v>
      </c>
      <c r="I56" s="294" t="s">
        <v>124</v>
      </c>
      <c r="J56" s="294" t="s">
        <v>124</v>
      </c>
      <c r="K56" s="295"/>
      <c r="L56" s="295"/>
      <c r="M56" s="295"/>
      <c r="N56" s="295"/>
      <c r="O56" s="296" t="s">
        <v>1217</v>
      </c>
      <c r="P56" s="296"/>
      <c r="Q56" s="301"/>
      <c r="R56" s="302"/>
      <c r="S56" s="61" t="s">
        <v>130</v>
      </c>
      <c r="T56" s="61"/>
      <c r="U56" s="52"/>
      <c r="V56" s="52"/>
      <c r="W56" s="61" t="s">
        <v>130</v>
      </c>
      <c r="X56" s="61"/>
      <c r="Y56" s="61" t="s">
        <v>129</v>
      </c>
      <c r="Z56" s="61" t="s">
        <v>129</v>
      </c>
      <c r="AA56" s="118">
        <f t="shared" si="4"/>
        <v>73</v>
      </c>
      <c r="AB56" s="304" t="str">
        <f t="shared" si="5"/>
        <v>01:13:00</v>
      </c>
      <c r="AC56" s="119">
        <v>0.0504861111111111</v>
      </c>
      <c r="AD56" s="120">
        <f t="shared" si="3"/>
        <v>4380</v>
      </c>
      <c r="AE56" s="141">
        <v>169</v>
      </c>
      <c r="AF56" s="141"/>
    </row>
    <row r="57" customHeight="1" spans="1:32">
      <c r="A57" s="81">
        <v>53</v>
      </c>
      <c r="B57" s="29" t="s">
        <v>120</v>
      </c>
      <c r="C57" s="280"/>
      <c r="D57" s="281"/>
      <c r="E57" s="81">
        <v>53</v>
      </c>
      <c r="F57" s="278" t="s">
        <v>1119</v>
      </c>
      <c r="G57" s="279" t="s">
        <v>1218</v>
      </c>
      <c r="H57" s="28" t="s">
        <v>1219</v>
      </c>
      <c r="I57" s="294" t="s">
        <v>124</v>
      </c>
      <c r="J57" s="294" t="s">
        <v>124</v>
      </c>
      <c r="K57" s="295"/>
      <c r="L57" s="295"/>
      <c r="M57" s="295"/>
      <c r="N57" s="295"/>
      <c r="O57" s="296" t="s">
        <v>1220</v>
      </c>
      <c r="P57" s="296"/>
      <c r="Q57" s="301"/>
      <c r="R57" s="302"/>
      <c r="S57" s="61" t="s">
        <v>130</v>
      </c>
      <c r="T57" s="61"/>
      <c r="U57" s="52"/>
      <c r="V57" s="52"/>
      <c r="W57" s="61" t="s">
        <v>130</v>
      </c>
      <c r="X57" s="61"/>
      <c r="Y57" s="61" t="s">
        <v>129</v>
      </c>
      <c r="Z57" s="61" t="s">
        <v>129</v>
      </c>
      <c r="AA57" s="118">
        <f t="shared" si="4"/>
        <v>9</v>
      </c>
      <c r="AB57" s="304" t="str">
        <f t="shared" si="5"/>
        <v>00:09:00</v>
      </c>
      <c r="AC57" s="119">
        <v>0.00641203703703704</v>
      </c>
      <c r="AD57" s="120">
        <f t="shared" si="3"/>
        <v>540</v>
      </c>
      <c r="AE57" s="141">
        <v>169</v>
      </c>
      <c r="AF57" s="141"/>
    </row>
    <row r="58" customHeight="1" spans="1:32">
      <c r="A58" s="81">
        <v>54</v>
      </c>
      <c r="B58" s="29" t="s">
        <v>120</v>
      </c>
      <c r="C58" s="280"/>
      <c r="D58" s="281"/>
      <c r="E58" s="81">
        <v>54</v>
      </c>
      <c r="F58" s="278"/>
      <c r="G58" s="279" t="s">
        <v>1221</v>
      </c>
      <c r="H58" s="28" t="s">
        <v>1222</v>
      </c>
      <c r="I58" s="294" t="s">
        <v>124</v>
      </c>
      <c r="J58" s="294" t="s">
        <v>124</v>
      </c>
      <c r="K58" s="295"/>
      <c r="L58" s="295"/>
      <c r="M58" s="295"/>
      <c r="N58" s="295"/>
      <c r="O58" s="296" t="s">
        <v>1223</v>
      </c>
      <c r="P58" s="296"/>
      <c r="Q58" s="301"/>
      <c r="R58" s="302"/>
      <c r="S58" s="61" t="s">
        <v>130</v>
      </c>
      <c r="T58" s="61"/>
      <c r="U58" s="52"/>
      <c r="V58" s="52"/>
      <c r="W58" s="61" t="s">
        <v>130</v>
      </c>
      <c r="X58" s="61"/>
      <c r="Y58" s="61" t="s">
        <v>129</v>
      </c>
      <c r="Z58" s="61" t="s">
        <v>129</v>
      </c>
      <c r="AA58" s="118">
        <f t="shared" si="4"/>
        <v>11</v>
      </c>
      <c r="AB58" s="304" t="str">
        <f t="shared" si="5"/>
        <v>00:11:00</v>
      </c>
      <c r="AC58" s="119">
        <v>0.00789351851851852</v>
      </c>
      <c r="AD58" s="120">
        <f t="shared" si="3"/>
        <v>660</v>
      </c>
      <c r="AE58" s="141">
        <v>169</v>
      </c>
      <c r="AF58" s="141"/>
    </row>
    <row r="59" customHeight="1" spans="1:32">
      <c r="A59" s="81">
        <v>55</v>
      </c>
      <c r="B59" s="29" t="s">
        <v>120</v>
      </c>
      <c r="C59" s="280"/>
      <c r="D59" s="281"/>
      <c r="E59" s="81">
        <v>55</v>
      </c>
      <c r="F59" s="278"/>
      <c r="G59" s="279" t="s">
        <v>1224</v>
      </c>
      <c r="H59" s="28" t="s">
        <v>1225</v>
      </c>
      <c r="I59" s="294" t="s">
        <v>124</v>
      </c>
      <c r="J59" s="294" t="s">
        <v>124</v>
      </c>
      <c r="K59" s="295"/>
      <c r="L59" s="295"/>
      <c r="M59" s="295"/>
      <c r="N59" s="295"/>
      <c r="O59" s="296" t="s">
        <v>1226</v>
      </c>
      <c r="P59" s="296"/>
      <c r="Q59" s="301"/>
      <c r="R59" s="302"/>
      <c r="S59" s="61" t="s">
        <v>130</v>
      </c>
      <c r="T59" s="61"/>
      <c r="U59" s="52"/>
      <c r="V59" s="52"/>
      <c r="W59" s="61" t="s">
        <v>130</v>
      </c>
      <c r="X59" s="61"/>
      <c r="Y59" s="61" t="s">
        <v>129</v>
      </c>
      <c r="Z59" s="61" t="s">
        <v>129</v>
      </c>
      <c r="AA59" s="118">
        <f t="shared" si="4"/>
        <v>8</v>
      </c>
      <c r="AB59" s="304" t="str">
        <f t="shared" si="5"/>
        <v>00:08:00</v>
      </c>
      <c r="AC59" s="119">
        <v>0.0053125</v>
      </c>
      <c r="AD59" s="120">
        <f t="shared" si="3"/>
        <v>480</v>
      </c>
      <c r="AE59" s="141">
        <v>169</v>
      </c>
      <c r="AF59" s="141"/>
    </row>
    <row r="60" customHeight="1" spans="1:32">
      <c r="A60" s="81">
        <v>56</v>
      </c>
      <c r="B60" s="29" t="s">
        <v>120</v>
      </c>
      <c r="C60" s="280"/>
      <c r="D60" s="281"/>
      <c r="E60" s="81">
        <v>56</v>
      </c>
      <c r="F60" s="278"/>
      <c r="G60" s="279" t="s">
        <v>1227</v>
      </c>
      <c r="H60" s="28" t="s">
        <v>1228</v>
      </c>
      <c r="I60" s="294" t="s">
        <v>124</v>
      </c>
      <c r="J60" s="294" t="s">
        <v>124</v>
      </c>
      <c r="K60" s="295"/>
      <c r="L60" s="295"/>
      <c r="M60" s="295"/>
      <c r="N60" s="295"/>
      <c r="O60" s="296" t="s">
        <v>1229</v>
      </c>
      <c r="P60" s="296"/>
      <c r="Q60" s="301"/>
      <c r="R60" s="302"/>
      <c r="S60" s="61" t="s">
        <v>130</v>
      </c>
      <c r="T60" s="61"/>
      <c r="U60" s="52"/>
      <c r="V60" s="52"/>
      <c r="W60" s="61" t="s">
        <v>130</v>
      </c>
      <c r="X60" s="61"/>
      <c r="Y60" s="61" t="s">
        <v>129</v>
      </c>
      <c r="Z60" s="61" t="s">
        <v>129</v>
      </c>
      <c r="AA60" s="118">
        <f t="shared" si="4"/>
        <v>27</v>
      </c>
      <c r="AB60" s="304" t="str">
        <f t="shared" si="5"/>
        <v>00:27:00</v>
      </c>
      <c r="AC60" s="119">
        <v>0.0188310185185185</v>
      </c>
      <c r="AD60" s="120">
        <f t="shared" si="3"/>
        <v>1620</v>
      </c>
      <c r="AE60" s="141">
        <v>169</v>
      </c>
      <c r="AF60" s="141"/>
    </row>
    <row r="61" customHeight="1" spans="1:32">
      <c r="A61" s="81">
        <v>57</v>
      </c>
      <c r="B61" s="29" t="s">
        <v>120</v>
      </c>
      <c r="C61" s="280"/>
      <c r="D61" s="281"/>
      <c r="E61" s="81">
        <v>57</v>
      </c>
      <c r="F61" s="278" t="s">
        <v>1132</v>
      </c>
      <c r="G61" s="279" t="s">
        <v>1230</v>
      </c>
      <c r="H61" s="28" t="s">
        <v>1231</v>
      </c>
      <c r="I61" s="294" t="s">
        <v>124</v>
      </c>
      <c r="J61" s="294" t="s">
        <v>124</v>
      </c>
      <c r="K61" s="295"/>
      <c r="L61" s="295"/>
      <c r="M61" s="295"/>
      <c r="N61" s="295"/>
      <c r="O61" s="296" t="s">
        <v>1232</v>
      </c>
      <c r="P61" s="296"/>
      <c r="Q61" s="301"/>
      <c r="R61" s="302"/>
      <c r="S61" s="61" t="s">
        <v>130</v>
      </c>
      <c r="T61" s="61"/>
      <c r="U61" s="52"/>
      <c r="V61" s="52"/>
      <c r="W61" s="61" t="s">
        <v>130</v>
      </c>
      <c r="X61" s="61"/>
      <c r="Y61" s="61" t="s">
        <v>129</v>
      </c>
      <c r="Z61" s="61" t="s">
        <v>129</v>
      </c>
      <c r="AA61" s="118">
        <f t="shared" si="4"/>
        <v>7</v>
      </c>
      <c r="AB61" s="304" t="str">
        <f t="shared" si="5"/>
        <v>00:07:00</v>
      </c>
      <c r="AC61" s="119">
        <v>0.00486111111111111</v>
      </c>
      <c r="AD61" s="120">
        <f t="shared" si="3"/>
        <v>420</v>
      </c>
      <c r="AE61" s="141">
        <v>169</v>
      </c>
      <c r="AF61" s="141"/>
    </row>
    <row r="62" customHeight="1" spans="1:32">
      <c r="A62" s="81">
        <v>58</v>
      </c>
      <c r="B62" s="29" t="s">
        <v>120</v>
      </c>
      <c r="C62" s="280"/>
      <c r="D62" s="281"/>
      <c r="E62" s="81">
        <v>58</v>
      </c>
      <c r="F62" s="278"/>
      <c r="G62" s="279" t="s">
        <v>1233</v>
      </c>
      <c r="H62" s="28" t="s">
        <v>1234</v>
      </c>
      <c r="I62" s="294" t="s">
        <v>124</v>
      </c>
      <c r="J62" s="294" t="s">
        <v>124</v>
      </c>
      <c r="K62" s="295"/>
      <c r="L62" s="295"/>
      <c r="M62" s="295"/>
      <c r="N62" s="295"/>
      <c r="O62" s="296" t="s">
        <v>1235</v>
      </c>
      <c r="P62" s="296"/>
      <c r="Q62" s="301"/>
      <c r="R62" s="302"/>
      <c r="S62" s="61" t="s">
        <v>130</v>
      </c>
      <c r="T62" s="61"/>
      <c r="U62" s="52"/>
      <c r="V62" s="52"/>
      <c r="W62" s="61" t="s">
        <v>130</v>
      </c>
      <c r="X62" s="61"/>
      <c r="Y62" s="61" t="s">
        <v>129</v>
      </c>
      <c r="Z62" s="61" t="s">
        <v>129</v>
      </c>
      <c r="AA62" s="118">
        <f t="shared" si="4"/>
        <v>4</v>
      </c>
      <c r="AB62" s="304" t="str">
        <f t="shared" si="5"/>
        <v>00:04:00</v>
      </c>
      <c r="AC62" s="119">
        <v>0.0027662037037037</v>
      </c>
      <c r="AD62" s="120">
        <f t="shared" si="3"/>
        <v>240</v>
      </c>
      <c r="AE62" s="141">
        <v>169</v>
      </c>
      <c r="AF62" s="141"/>
    </row>
    <row r="63" customHeight="1" spans="1:32">
      <c r="A63" s="81">
        <v>59</v>
      </c>
      <c r="B63" s="29" t="s">
        <v>120</v>
      </c>
      <c r="C63" s="280"/>
      <c r="D63" s="281"/>
      <c r="E63" s="81">
        <v>59</v>
      </c>
      <c r="F63" s="278"/>
      <c r="G63" s="279" t="s">
        <v>1236</v>
      </c>
      <c r="H63" s="28" t="s">
        <v>1237</v>
      </c>
      <c r="I63" s="294" t="s">
        <v>124</v>
      </c>
      <c r="J63" s="294" t="s">
        <v>124</v>
      </c>
      <c r="K63" s="295"/>
      <c r="L63" s="295"/>
      <c r="M63" s="295"/>
      <c r="N63" s="295"/>
      <c r="O63" s="296" t="s">
        <v>1238</v>
      </c>
      <c r="P63" s="296"/>
      <c r="Q63" s="301"/>
      <c r="R63" s="302"/>
      <c r="S63" s="61" t="s">
        <v>130</v>
      </c>
      <c r="T63" s="61"/>
      <c r="U63" s="52"/>
      <c r="V63" s="52"/>
      <c r="W63" s="61" t="s">
        <v>130</v>
      </c>
      <c r="X63" s="61"/>
      <c r="Y63" s="61" t="s">
        <v>129</v>
      </c>
      <c r="Z63" s="61" t="s">
        <v>129</v>
      </c>
      <c r="AA63" s="118">
        <f t="shared" si="4"/>
        <v>10</v>
      </c>
      <c r="AB63" s="304" t="str">
        <f t="shared" si="5"/>
        <v>00:10:00</v>
      </c>
      <c r="AC63" s="119">
        <v>0.00719907407407407</v>
      </c>
      <c r="AD63" s="120">
        <f t="shared" si="3"/>
        <v>600</v>
      </c>
      <c r="AE63" s="141">
        <v>169</v>
      </c>
      <c r="AF63" s="141"/>
    </row>
    <row r="64" customHeight="1" spans="1:32">
      <c r="A64" s="81">
        <v>60</v>
      </c>
      <c r="B64" s="29" t="s">
        <v>120</v>
      </c>
      <c r="C64" s="280"/>
      <c r="D64" s="281"/>
      <c r="E64" s="81">
        <v>60</v>
      </c>
      <c r="F64" s="278"/>
      <c r="G64" s="279" t="s">
        <v>1239</v>
      </c>
      <c r="H64" s="28" t="s">
        <v>1240</v>
      </c>
      <c r="I64" s="294" t="s">
        <v>124</v>
      </c>
      <c r="J64" s="294" t="s">
        <v>124</v>
      </c>
      <c r="K64" s="295"/>
      <c r="L64" s="295"/>
      <c r="M64" s="295"/>
      <c r="N64" s="295"/>
      <c r="O64" s="296" t="s">
        <v>1241</v>
      </c>
      <c r="P64" s="296"/>
      <c r="Q64" s="301"/>
      <c r="R64" s="302"/>
      <c r="S64" s="61" t="s">
        <v>130</v>
      </c>
      <c r="T64" s="61"/>
      <c r="U64" s="52"/>
      <c r="V64" s="52"/>
      <c r="W64" s="61" t="s">
        <v>130</v>
      </c>
      <c r="X64" s="61"/>
      <c r="Y64" s="61" t="s">
        <v>129</v>
      </c>
      <c r="Z64" s="61" t="s">
        <v>129</v>
      </c>
      <c r="AA64" s="118">
        <f t="shared" si="4"/>
        <v>71</v>
      </c>
      <c r="AB64" s="304" t="str">
        <f t="shared" si="5"/>
        <v>01:11:00</v>
      </c>
      <c r="AC64" s="119">
        <v>0.0489814814814815</v>
      </c>
      <c r="AD64" s="120">
        <f t="shared" si="3"/>
        <v>4260</v>
      </c>
      <c r="AE64" s="141">
        <v>169</v>
      </c>
      <c r="AF64" s="141"/>
    </row>
    <row r="65" customHeight="1" spans="1:32">
      <c r="A65" s="81">
        <v>61</v>
      </c>
      <c r="B65" s="29" t="s">
        <v>120</v>
      </c>
      <c r="C65" s="280"/>
      <c r="D65" s="281"/>
      <c r="E65" s="81">
        <v>61</v>
      </c>
      <c r="F65" s="278" t="s">
        <v>1145</v>
      </c>
      <c r="G65" s="279" t="s">
        <v>1242</v>
      </c>
      <c r="H65" s="28" t="s">
        <v>1243</v>
      </c>
      <c r="I65" s="294" t="s">
        <v>124</v>
      </c>
      <c r="J65" s="294" t="s">
        <v>124</v>
      </c>
      <c r="K65" s="295"/>
      <c r="L65" s="295"/>
      <c r="M65" s="295"/>
      <c r="N65" s="295"/>
      <c r="O65" s="296" t="s">
        <v>1244</v>
      </c>
      <c r="P65" s="296"/>
      <c r="Q65" s="301"/>
      <c r="R65" s="302"/>
      <c r="S65" s="61" t="s">
        <v>130</v>
      </c>
      <c r="T65" s="61"/>
      <c r="U65" s="52"/>
      <c r="V65" s="52"/>
      <c r="W65" s="61" t="s">
        <v>130</v>
      </c>
      <c r="X65" s="61"/>
      <c r="Y65" s="61" t="s">
        <v>129</v>
      </c>
      <c r="Z65" s="61" t="s">
        <v>129</v>
      </c>
      <c r="AA65" s="118">
        <f t="shared" si="4"/>
        <v>10</v>
      </c>
      <c r="AB65" s="304" t="str">
        <f t="shared" si="5"/>
        <v>00:10:00</v>
      </c>
      <c r="AC65" s="119">
        <v>0.00666666666666667</v>
      </c>
      <c r="AD65" s="120">
        <f t="shared" si="3"/>
        <v>600</v>
      </c>
      <c r="AE65" s="141">
        <v>169</v>
      </c>
      <c r="AF65" s="141"/>
    </row>
    <row r="66" customHeight="1" spans="1:32">
      <c r="A66" s="81">
        <v>62</v>
      </c>
      <c r="B66" s="29" t="s">
        <v>120</v>
      </c>
      <c r="C66" s="280"/>
      <c r="D66" s="281"/>
      <c r="E66" s="81">
        <v>62</v>
      </c>
      <c r="F66" s="278"/>
      <c r="G66" s="279" t="s">
        <v>1245</v>
      </c>
      <c r="H66" s="28" t="s">
        <v>1246</v>
      </c>
      <c r="I66" s="294" t="s">
        <v>124</v>
      </c>
      <c r="J66" s="294" t="s">
        <v>124</v>
      </c>
      <c r="K66" s="295"/>
      <c r="L66" s="295"/>
      <c r="M66" s="295"/>
      <c r="N66" s="295"/>
      <c r="O66" s="296" t="s">
        <v>1247</v>
      </c>
      <c r="P66" s="296"/>
      <c r="Q66" s="301"/>
      <c r="R66" s="302"/>
      <c r="S66" s="61" t="s">
        <v>130</v>
      </c>
      <c r="T66" s="61"/>
      <c r="U66" s="52"/>
      <c r="V66" s="52"/>
      <c r="W66" s="61" t="s">
        <v>130</v>
      </c>
      <c r="X66" s="61"/>
      <c r="Y66" s="61" t="s">
        <v>129</v>
      </c>
      <c r="Z66" s="61" t="s">
        <v>129</v>
      </c>
      <c r="AA66" s="118">
        <f t="shared" si="4"/>
        <v>8</v>
      </c>
      <c r="AB66" s="304" t="str">
        <f t="shared" si="5"/>
        <v>00:08:00</v>
      </c>
      <c r="AC66" s="119">
        <v>0.00534722222222222</v>
      </c>
      <c r="AD66" s="120">
        <f t="shared" si="3"/>
        <v>480</v>
      </c>
      <c r="AE66" s="141">
        <v>169</v>
      </c>
      <c r="AF66" s="141"/>
    </row>
    <row r="67" customHeight="1" spans="1:32">
      <c r="A67" s="81">
        <v>63</v>
      </c>
      <c r="B67" s="29" t="s">
        <v>120</v>
      </c>
      <c r="C67" s="280"/>
      <c r="D67" s="281"/>
      <c r="E67" s="81">
        <v>63</v>
      </c>
      <c r="F67" s="278"/>
      <c r="G67" s="279" t="s">
        <v>1248</v>
      </c>
      <c r="H67" s="28" t="s">
        <v>1249</v>
      </c>
      <c r="I67" s="294" t="s">
        <v>124</v>
      </c>
      <c r="J67" s="294" t="s">
        <v>124</v>
      </c>
      <c r="K67" s="295"/>
      <c r="L67" s="295"/>
      <c r="M67" s="295"/>
      <c r="N67" s="295"/>
      <c r="O67" s="296" t="s">
        <v>1250</v>
      </c>
      <c r="P67" s="296"/>
      <c r="Q67" s="301"/>
      <c r="R67" s="302"/>
      <c r="S67" s="61" t="s">
        <v>130</v>
      </c>
      <c r="T67" s="61"/>
      <c r="U67" s="52"/>
      <c r="V67" s="52"/>
      <c r="W67" s="61" t="s">
        <v>130</v>
      </c>
      <c r="X67" s="61"/>
      <c r="Y67" s="61" t="s">
        <v>129</v>
      </c>
      <c r="Z67" s="61" t="s">
        <v>129</v>
      </c>
      <c r="AA67" s="118">
        <f t="shared" si="4"/>
        <v>10</v>
      </c>
      <c r="AB67" s="304" t="str">
        <f t="shared" si="5"/>
        <v>00:10:00</v>
      </c>
      <c r="AC67" s="119">
        <v>0.00702546296296296</v>
      </c>
      <c r="AD67" s="120">
        <f t="shared" si="3"/>
        <v>600</v>
      </c>
      <c r="AE67" s="141">
        <v>169</v>
      </c>
      <c r="AF67" s="141"/>
    </row>
    <row r="68" customHeight="1" spans="1:32">
      <c r="A68" s="81">
        <v>64</v>
      </c>
      <c r="B68" s="29" t="s">
        <v>120</v>
      </c>
      <c r="C68" s="280"/>
      <c r="D68" s="281"/>
      <c r="E68" s="81">
        <v>64</v>
      </c>
      <c r="F68" s="278"/>
      <c r="G68" s="279" t="s">
        <v>1251</v>
      </c>
      <c r="H68" s="28" t="s">
        <v>1252</v>
      </c>
      <c r="I68" s="294" t="s">
        <v>124</v>
      </c>
      <c r="J68" s="294" t="s">
        <v>124</v>
      </c>
      <c r="K68" s="295"/>
      <c r="L68" s="295"/>
      <c r="M68" s="295"/>
      <c r="N68" s="295"/>
      <c r="O68" s="296" t="s">
        <v>1253</v>
      </c>
      <c r="P68" s="296"/>
      <c r="Q68" s="301"/>
      <c r="R68" s="302"/>
      <c r="S68" s="61" t="s">
        <v>130</v>
      </c>
      <c r="T68" s="61"/>
      <c r="U68" s="52"/>
      <c r="V68" s="52"/>
      <c r="W68" s="61" t="s">
        <v>130</v>
      </c>
      <c r="X68" s="61"/>
      <c r="Y68" s="61" t="s">
        <v>129</v>
      </c>
      <c r="Z68" s="61" t="s">
        <v>129</v>
      </c>
      <c r="AA68" s="118">
        <f t="shared" si="4"/>
        <v>28</v>
      </c>
      <c r="AB68" s="304" t="str">
        <f t="shared" si="5"/>
        <v>00:28:00</v>
      </c>
      <c r="AC68" s="119">
        <v>0.0197685185185185</v>
      </c>
      <c r="AD68" s="120">
        <f t="shared" si="3"/>
        <v>1680</v>
      </c>
      <c r="AE68" s="141">
        <v>169</v>
      </c>
      <c r="AF68" s="141"/>
    </row>
    <row r="69" customHeight="1" spans="1:32">
      <c r="A69" s="81">
        <v>65</v>
      </c>
      <c r="B69" s="29" t="s">
        <v>120</v>
      </c>
      <c r="C69" s="280"/>
      <c r="D69" s="306"/>
      <c r="E69" s="81">
        <v>65</v>
      </c>
      <c r="F69" s="243" t="s">
        <v>1043</v>
      </c>
      <c r="G69" s="28" t="s">
        <v>1254</v>
      </c>
      <c r="H69" s="28" t="s">
        <v>1254</v>
      </c>
      <c r="I69" s="294" t="s">
        <v>124</v>
      </c>
      <c r="J69" s="294" t="s">
        <v>124</v>
      </c>
      <c r="K69" s="294" t="s">
        <v>124</v>
      </c>
      <c r="L69" s="295"/>
      <c r="M69" s="295"/>
      <c r="N69" s="295"/>
      <c r="O69" s="309" t="s">
        <v>1255</v>
      </c>
      <c r="P69" s="310"/>
      <c r="Q69" s="301"/>
      <c r="R69" s="302"/>
      <c r="S69" s="61" t="s">
        <v>130</v>
      </c>
      <c r="T69" s="61"/>
      <c r="U69" s="52"/>
      <c r="V69" s="52"/>
      <c r="W69" s="61" t="s">
        <v>130</v>
      </c>
      <c r="X69" s="61"/>
      <c r="Y69" s="61" t="s">
        <v>129</v>
      </c>
      <c r="Z69" s="61" t="s">
        <v>129</v>
      </c>
      <c r="AA69" s="118">
        <f t="shared" si="4"/>
        <v>4</v>
      </c>
      <c r="AB69" s="304" t="str">
        <f t="shared" si="5"/>
        <v>00:04:00</v>
      </c>
      <c r="AC69" s="119">
        <v>0.00274305555555556</v>
      </c>
      <c r="AD69" s="120">
        <f t="shared" si="3"/>
        <v>240</v>
      </c>
      <c r="AE69" s="141">
        <v>169</v>
      </c>
      <c r="AF69" s="141"/>
    </row>
    <row r="70" customHeight="1" spans="1:32">
      <c r="A70" s="81">
        <v>66</v>
      </c>
      <c r="B70" s="29" t="s">
        <v>120</v>
      </c>
      <c r="C70" s="280"/>
      <c r="D70" s="306"/>
      <c r="E70" s="81">
        <v>66</v>
      </c>
      <c r="F70" s="243"/>
      <c r="G70" s="307" t="s">
        <v>1256</v>
      </c>
      <c r="H70" s="28" t="s">
        <v>1257</v>
      </c>
      <c r="I70" s="294" t="s">
        <v>124</v>
      </c>
      <c r="J70" s="294" t="s">
        <v>124</v>
      </c>
      <c r="K70" s="294" t="s">
        <v>124</v>
      </c>
      <c r="L70" s="295"/>
      <c r="M70" s="295"/>
      <c r="N70" s="295"/>
      <c r="O70" s="311"/>
      <c r="P70" s="296"/>
      <c r="Q70" s="301"/>
      <c r="R70" s="302"/>
      <c r="S70" s="61"/>
      <c r="T70" s="61"/>
      <c r="U70" s="52"/>
      <c r="V70" s="52"/>
      <c r="W70" s="61"/>
      <c r="X70" s="61"/>
      <c r="Y70" s="61" t="s">
        <v>129</v>
      </c>
      <c r="Z70" s="61" t="s">
        <v>129</v>
      </c>
      <c r="AA70" s="118">
        <f t="shared" si="4"/>
        <v>0</v>
      </c>
      <c r="AB70" s="304" t="str">
        <f t="shared" si="5"/>
        <v>00:00:00</v>
      </c>
      <c r="AC70" s="119"/>
      <c r="AD70" s="120">
        <f t="shared" si="3"/>
        <v>0</v>
      </c>
      <c r="AE70" s="141">
        <v>169</v>
      </c>
      <c r="AF70" s="141"/>
    </row>
    <row r="71" customHeight="1" spans="1:32">
      <c r="A71" s="81">
        <v>67</v>
      </c>
      <c r="B71" s="29" t="s">
        <v>120</v>
      </c>
      <c r="C71" s="280"/>
      <c r="D71" s="306"/>
      <c r="E71" s="81">
        <v>67</v>
      </c>
      <c r="F71" s="243"/>
      <c r="G71" s="307" t="s">
        <v>1258</v>
      </c>
      <c r="H71" s="28" t="s">
        <v>1259</v>
      </c>
      <c r="I71" s="294" t="s">
        <v>124</v>
      </c>
      <c r="J71" s="294" t="s">
        <v>124</v>
      </c>
      <c r="K71" s="294" t="s">
        <v>124</v>
      </c>
      <c r="L71" s="295"/>
      <c r="M71" s="295"/>
      <c r="N71" s="295"/>
      <c r="O71" s="311"/>
      <c r="P71" s="296"/>
      <c r="Q71" s="301"/>
      <c r="R71" s="302"/>
      <c r="S71" s="61"/>
      <c r="T71" s="61"/>
      <c r="U71" s="52"/>
      <c r="V71" s="52"/>
      <c r="W71" s="61"/>
      <c r="X71" s="61"/>
      <c r="Y71" s="61" t="s">
        <v>129</v>
      </c>
      <c r="Z71" s="61" t="s">
        <v>129</v>
      </c>
      <c r="AA71" s="118">
        <f t="shared" si="4"/>
        <v>0</v>
      </c>
      <c r="AB71" s="304" t="str">
        <f t="shared" si="5"/>
        <v>00:00:00</v>
      </c>
      <c r="AC71" s="119"/>
      <c r="AD71" s="120">
        <f t="shared" si="3"/>
        <v>0</v>
      </c>
      <c r="AE71" s="141">
        <v>169</v>
      </c>
      <c r="AF71" s="141"/>
    </row>
    <row r="72" customHeight="1" spans="1:32">
      <c r="A72" s="81">
        <v>68</v>
      </c>
      <c r="B72" s="29" t="s">
        <v>120</v>
      </c>
      <c r="C72" s="280"/>
      <c r="D72" s="306"/>
      <c r="E72" s="81">
        <v>68</v>
      </c>
      <c r="F72" s="243"/>
      <c r="G72" s="307" t="s">
        <v>1260</v>
      </c>
      <c r="H72" s="28" t="s">
        <v>1261</v>
      </c>
      <c r="I72" s="312" t="s">
        <v>124</v>
      </c>
      <c r="J72" s="312" t="s">
        <v>124</v>
      </c>
      <c r="K72" s="313" t="s">
        <v>124</v>
      </c>
      <c r="L72" s="31"/>
      <c r="M72" s="314"/>
      <c r="N72" s="314"/>
      <c r="O72" s="311"/>
      <c r="P72" s="296"/>
      <c r="Q72" s="301"/>
      <c r="R72" s="302"/>
      <c r="S72" s="61"/>
      <c r="T72" s="61"/>
      <c r="U72" s="52"/>
      <c r="V72" s="52"/>
      <c r="W72" s="61"/>
      <c r="X72" s="315"/>
      <c r="Y72" s="315" t="s">
        <v>129</v>
      </c>
      <c r="Z72" s="315" t="s">
        <v>129</v>
      </c>
      <c r="AA72" s="118">
        <f t="shared" si="4"/>
        <v>0</v>
      </c>
      <c r="AB72" s="304" t="str">
        <f t="shared" si="5"/>
        <v>00:00:00</v>
      </c>
      <c r="AC72" s="316"/>
      <c r="AD72" s="120">
        <f t="shared" si="3"/>
        <v>0</v>
      </c>
      <c r="AE72" s="179">
        <v>169</v>
      </c>
      <c r="AF72" s="179"/>
    </row>
    <row r="73" customHeight="1" spans="1:32">
      <c r="A73" s="81">
        <v>69</v>
      </c>
      <c r="B73" s="29" t="s">
        <v>120</v>
      </c>
      <c r="C73" s="280"/>
      <c r="D73" s="29"/>
      <c r="E73" s="81">
        <v>69</v>
      </c>
      <c r="F73" s="156"/>
      <c r="G73" s="33" t="s">
        <v>1262</v>
      </c>
      <c r="H73" s="28" t="s">
        <v>1263</v>
      </c>
      <c r="I73" s="31" t="s">
        <v>124</v>
      </c>
      <c r="J73" s="31" t="s">
        <v>124</v>
      </c>
      <c r="K73" s="313" t="s">
        <v>124</v>
      </c>
      <c r="L73" s="31"/>
      <c r="M73" s="31"/>
      <c r="N73" s="31"/>
      <c r="O73" s="311"/>
      <c r="P73" s="296"/>
      <c r="Q73" s="301"/>
      <c r="R73" s="302"/>
      <c r="S73" s="61"/>
      <c r="T73" s="61"/>
      <c r="U73" s="52"/>
      <c r="V73" s="52"/>
      <c r="W73" s="61"/>
      <c r="X73" s="61"/>
      <c r="Y73" s="61" t="s">
        <v>129</v>
      </c>
      <c r="Z73" s="61" t="s">
        <v>129</v>
      </c>
      <c r="AA73" s="118">
        <f t="shared" si="4"/>
        <v>0</v>
      </c>
      <c r="AB73" s="227" t="str">
        <f t="shared" si="5"/>
        <v>00:00:00</v>
      </c>
      <c r="AC73" s="119"/>
      <c r="AD73" s="118">
        <f t="shared" si="3"/>
        <v>0</v>
      </c>
      <c r="AE73" s="179">
        <v>169</v>
      </c>
      <c r="AF73" s="179"/>
    </row>
    <row r="74" customHeight="1" spans="1:32">
      <c r="A74" s="81">
        <v>70</v>
      </c>
      <c r="B74" s="29" t="s">
        <v>120</v>
      </c>
      <c r="C74" s="308"/>
      <c r="D74" s="29"/>
      <c r="E74" s="81">
        <v>70</v>
      </c>
      <c r="F74" s="156" t="s">
        <v>1264</v>
      </c>
      <c r="G74" s="33" t="s">
        <v>1265</v>
      </c>
      <c r="H74" s="28" t="s">
        <v>1266</v>
      </c>
      <c r="I74" s="31" t="s">
        <v>124</v>
      </c>
      <c r="J74" s="31" t="s">
        <v>124</v>
      </c>
      <c r="K74" s="31"/>
      <c r="L74" s="31"/>
      <c r="M74" s="31" t="s">
        <v>124</v>
      </c>
      <c r="N74" s="31" t="s">
        <v>124</v>
      </c>
      <c r="O74" s="309" t="s">
        <v>1267</v>
      </c>
      <c r="Q74" s="214" t="str">
        <f>CONCATENATE(SUBSTITUTE(SUBSTITUTE(SUBSTITUTE(SUBSTITUTE(SUBSTITUTE(SUBSTITUTE(SUBSTITUTE(SUBSTITUTE(SUBSTITUTE(SUBSTITUTE(SUBSTITUTE(SUBSTITUTE(SUBSTITUTE(SUBSTITUTE(SUBSTITUTE(SUBSTITUTE(SUBSTITUTE(SUBSTITUTE(SUBSTITUTE(SUBSTITUTE(SUBSTITUTE(SUBSTITUTE(H74,":","")," '",""),",",""),".",""),"&amp;",""),"(",""),")",""),"%",""),"/",""),"*",""),"？",""),"?",""),"！",""),"!",""),"-",""),"（",""),"）","")," ",""),"：",""),"'",""),"π","PI"),"，",""),"_CA",B74,"_i4K_",AF74,"_",PROPER(S74),IF(T74="",PROPER(S74),PROPER(T74)),PROPER(U74),PROPER(V74),PROPER(W74),IF(W74&lt;&gt;"","SUB",""),PROPER(X74),IF(X74&lt;&gt;"","SUB",""),"_","Ed","_","M2",".mpg")</f>
        <v>EgyptTravel_CA0825_i4K__ZhoZhoZhoSUB_Ed_M2.mpg</v>
      </c>
      <c r="R74" s="214" t="str">
        <f>CONCATENATE(SUBSTITUTE(SUBSTITUTE(SUBSTITUTE(SUBSTITUTE(SUBSTITUTE(SUBSTITUTE(SUBSTITUTE(SUBSTITUTE(SUBSTITUTE(SUBSTITUTE(SUBSTITUTE(SUBSTITUTE(SUBSTITUTE(SUBSTITUTE(SUBSTITUTE(SUBSTITUTE(SUBSTITUTE(SUBSTITUTE(SUBSTITUTE(SUBSTITUTE(SUBSTITUTE(SUBSTITUTE(H74,":","")," '",""),",",""),".",""),"&amp;",""),"(",""),")",""),"%",""),"/",""),"*",""),"？",""),"?",""),"！",""),"!",""),"-",""),"（",""),"）","")," ",""),"：",""),"'",""),"π","PI"),"，",""),"_CA",B74,"_i5K_",AE74,"_",PROPER(S74),IF(T74="",PROPER(S74),PROPER(T74)),PROPER(U74),PROPER(V74),PROPER(W74),IF(W74&lt;&gt;"","SUB",""),PROPER(X74),IF(X74&lt;&gt;"","SUB",""),"_","Ed","_","M2",".mpg")</f>
        <v>EgyptTravel_CA0825_i5K_169_ZhoZhoZhoSUB_Ed_M2.mpg</v>
      </c>
      <c r="S74" s="61" t="s">
        <v>130</v>
      </c>
      <c r="T74" s="61"/>
      <c r="U74" s="52"/>
      <c r="V74" s="52"/>
      <c r="W74" s="61" t="s">
        <v>130</v>
      </c>
      <c r="X74" s="61"/>
      <c r="Y74" s="61" t="s">
        <v>129</v>
      </c>
      <c r="Z74" s="61" t="s">
        <v>129</v>
      </c>
      <c r="AA74" s="118">
        <f t="shared" si="4"/>
        <v>3</v>
      </c>
      <c r="AB74" s="227" t="str">
        <f t="shared" si="5"/>
        <v>00:03:00</v>
      </c>
      <c r="AC74" s="119">
        <v>0.00200231481481481</v>
      </c>
      <c r="AD74" s="118">
        <f t="shared" si="3"/>
        <v>180</v>
      </c>
      <c r="AE74" s="179">
        <v>169</v>
      </c>
      <c r="AF74" s="179"/>
    </row>
    <row r="75" customHeight="1" spans="28:28">
      <c r="AB75" s="231"/>
    </row>
    <row r="76" customHeight="1" spans="28:28">
      <c r="AB76" s="231"/>
    </row>
    <row r="77" customHeight="1" spans="28:28">
      <c r="AB77" s="231"/>
    </row>
    <row r="78" customHeight="1" spans="28:28">
      <c r="AB78" s="231"/>
    </row>
    <row r="79" customHeight="1" spans="28:28">
      <c r="AB79" s="231"/>
    </row>
    <row r="80" customHeight="1" spans="28:28">
      <c r="AB80" s="231"/>
    </row>
    <row r="81" customHeight="1" spans="28:28">
      <c r="AB81" s="231"/>
    </row>
    <row r="82" customHeight="1" spans="28:28">
      <c r="AB82" s="231"/>
    </row>
    <row r="83" customHeight="1" spans="28:28">
      <c r="AB83" s="231"/>
    </row>
    <row r="84" customHeight="1" spans="28:28">
      <c r="AB84" s="231"/>
    </row>
    <row r="85" customHeight="1" spans="28:28">
      <c r="AB85" s="231"/>
    </row>
    <row r="86" customHeight="1" spans="28:28">
      <c r="AB86" s="231"/>
    </row>
    <row r="87" customHeight="1" spans="28:28">
      <c r="AB87" s="231"/>
    </row>
    <row r="88" customHeight="1" spans="28:28">
      <c r="AB88" s="231"/>
    </row>
    <row r="89" customHeight="1" spans="28:28">
      <c r="AB89" s="231"/>
    </row>
    <row r="90" customHeight="1" spans="28:28">
      <c r="AB90" s="231"/>
    </row>
    <row r="91" customHeight="1" spans="28:28">
      <c r="AB91" s="231"/>
    </row>
    <row r="92" customHeight="1" spans="28:28">
      <c r="AB92" s="231"/>
    </row>
    <row r="93" customHeight="1" spans="28:28">
      <c r="AB93" s="231"/>
    </row>
    <row r="94" customHeight="1" spans="28:28">
      <c r="AB94" s="231"/>
    </row>
    <row r="95" customHeight="1" spans="28:28">
      <c r="AB95" s="231"/>
    </row>
    <row r="96" customHeight="1" spans="28:28">
      <c r="AB96" s="231"/>
    </row>
    <row r="97" customHeight="1" spans="28:28">
      <c r="AB97" s="231"/>
    </row>
    <row r="98" customHeight="1" spans="28:28">
      <c r="AB98" s="231"/>
    </row>
    <row r="99" customHeight="1" spans="28:28">
      <c r="AB99" s="231"/>
    </row>
    <row r="100" customHeight="1" spans="28:28">
      <c r="AB100" s="231"/>
    </row>
    <row r="101" customHeight="1" spans="28:28">
      <c r="AB101" s="231"/>
    </row>
    <row r="102" customHeight="1" spans="28:28">
      <c r="AB102" s="231"/>
    </row>
    <row r="103" customHeight="1" spans="28:28">
      <c r="AB103" s="231"/>
    </row>
    <row r="104" customHeight="1" spans="28:28">
      <c r="AB104" s="231"/>
    </row>
    <row r="105" customHeight="1" spans="28:28">
      <c r="AB105" s="231"/>
    </row>
    <row r="106" customHeight="1" spans="28:28">
      <c r="AB106" s="231"/>
    </row>
    <row r="107" customHeight="1" spans="28:28">
      <c r="AB107" s="231"/>
    </row>
    <row r="108" customHeight="1" spans="28:28">
      <c r="AB108" s="231"/>
    </row>
    <row r="109" customHeight="1" spans="28:28">
      <c r="AB109" s="231"/>
    </row>
    <row r="110" customHeight="1" spans="28:28">
      <c r="AB110" s="231"/>
    </row>
    <row r="111" customHeight="1" spans="28:28">
      <c r="AB111" s="231"/>
    </row>
    <row r="112" customHeight="1" spans="28:28">
      <c r="AB112" s="231"/>
    </row>
    <row r="113" customHeight="1" spans="28:28">
      <c r="AB113" s="231"/>
    </row>
    <row r="114" customHeight="1" spans="28:28">
      <c r="AB114" s="231"/>
    </row>
    <row r="115" customHeight="1" spans="28:28">
      <c r="AB115" s="231"/>
    </row>
    <row r="116" customHeight="1" spans="28:28">
      <c r="AB116" s="231"/>
    </row>
    <row r="117" customHeight="1" spans="28:28">
      <c r="AB117" s="231"/>
    </row>
    <row r="118" customHeight="1" spans="28:28">
      <c r="AB118" s="231"/>
    </row>
    <row r="119" customHeight="1" spans="28:28">
      <c r="AB119" s="231"/>
    </row>
    <row r="120" customHeight="1" spans="28:28">
      <c r="AB120" s="231"/>
    </row>
    <row r="121" customHeight="1" spans="28:28">
      <c r="AB121" s="231"/>
    </row>
    <row r="122" customHeight="1" spans="28:28">
      <c r="AB122" s="231"/>
    </row>
    <row r="123" customHeight="1" spans="28:28">
      <c r="AB123" s="231"/>
    </row>
    <row r="124" customHeight="1" spans="28:28">
      <c r="AB124" s="231"/>
    </row>
    <row r="125" customHeight="1" spans="28:28">
      <c r="AB125" s="231"/>
    </row>
    <row r="126" customHeight="1" spans="28:28">
      <c r="AB126" s="231"/>
    </row>
    <row r="127" customHeight="1" spans="28:28">
      <c r="AB127" s="231"/>
    </row>
    <row r="128" customHeight="1" spans="28:28">
      <c r="AB128" s="231"/>
    </row>
    <row r="129" customHeight="1" spans="28:28">
      <c r="AB129" s="231"/>
    </row>
    <row r="130" customHeight="1" spans="28:28">
      <c r="AB130" s="231"/>
    </row>
    <row r="131" customHeight="1" spans="28:28">
      <c r="AB131" s="231"/>
    </row>
    <row r="132" customHeight="1" spans="28:28">
      <c r="AB132" s="231"/>
    </row>
    <row r="133" customHeight="1" spans="28:28">
      <c r="AB133" s="231"/>
    </row>
    <row r="134" customHeight="1" spans="28:28">
      <c r="AB134" s="231"/>
    </row>
    <row r="135" customHeight="1" spans="28:28">
      <c r="AB135" s="231"/>
    </row>
    <row r="136" customHeight="1" spans="28:28">
      <c r="AB136" s="231"/>
    </row>
    <row r="137" customHeight="1" spans="28:28">
      <c r="AB137" s="231"/>
    </row>
    <row r="138" customHeight="1" spans="28:28">
      <c r="AB138" s="231"/>
    </row>
    <row r="139" customHeight="1" spans="28:28">
      <c r="AB139" s="231"/>
    </row>
    <row r="140" customHeight="1" spans="28:28">
      <c r="AB140" s="231"/>
    </row>
    <row r="141" customHeight="1" spans="28:28">
      <c r="AB141" s="231"/>
    </row>
    <row r="142" customHeight="1" spans="28:28">
      <c r="AB142" s="231"/>
    </row>
    <row r="143" customHeight="1" spans="28:28">
      <c r="AB143" s="231"/>
    </row>
    <row r="144" customHeight="1" spans="28:28">
      <c r="AB144" s="231"/>
    </row>
    <row r="145" customHeight="1" spans="28:28">
      <c r="AB145" s="231"/>
    </row>
    <row r="146" customHeight="1" spans="28:28">
      <c r="AB146" s="231"/>
    </row>
    <row r="147" customHeight="1" spans="28:28">
      <c r="AB147" s="231"/>
    </row>
    <row r="148" customHeight="1" spans="28:28">
      <c r="AB148" s="231"/>
    </row>
    <row r="149" customHeight="1" spans="28:28">
      <c r="AB149" s="231"/>
    </row>
    <row r="150" customHeight="1" spans="28:28">
      <c r="AB150" s="231"/>
    </row>
    <row r="151" customHeight="1" spans="28:28">
      <c r="AB151" s="231"/>
    </row>
    <row r="152" customHeight="1" spans="28:28">
      <c r="AB152" s="231"/>
    </row>
    <row r="153" customHeight="1" spans="28:28">
      <c r="AB153" s="231"/>
    </row>
    <row r="154" customHeight="1" spans="28:28">
      <c r="AB154" s="231"/>
    </row>
    <row r="155" customHeight="1" spans="28:28">
      <c r="AB155" s="231"/>
    </row>
    <row r="156" customHeight="1" spans="28:28">
      <c r="AB156" s="231"/>
    </row>
    <row r="157" customHeight="1" spans="28:28">
      <c r="AB157" s="231"/>
    </row>
    <row r="158" customHeight="1" spans="28:28">
      <c r="AB158" s="231"/>
    </row>
    <row r="159" customHeight="1" spans="28:28">
      <c r="AB159" s="231"/>
    </row>
    <row r="160" customHeight="1" spans="28:28">
      <c r="AB160" s="231"/>
    </row>
    <row r="161" customHeight="1" spans="28:28">
      <c r="AB161" s="231"/>
    </row>
    <row r="162" customHeight="1" spans="28:28">
      <c r="AB162" s="231"/>
    </row>
    <row r="163" customHeight="1" spans="28:28">
      <c r="AB163" s="231"/>
    </row>
    <row r="164" customHeight="1" spans="28:28">
      <c r="AB164" s="231"/>
    </row>
    <row r="165" customHeight="1" spans="28:28">
      <c r="AB165" s="231"/>
    </row>
    <row r="166" customHeight="1" spans="28:28">
      <c r="AB166" s="231"/>
    </row>
    <row r="167" customHeight="1" spans="28:28">
      <c r="AB167" s="231"/>
    </row>
    <row r="168" customHeight="1" spans="28:28">
      <c r="AB168" s="231"/>
    </row>
    <row r="169" customHeight="1" spans="28:28">
      <c r="AB169" s="231"/>
    </row>
    <row r="170" customHeight="1" spans="28:28">
      <c r="AB170" s="231"/>
    </row>
    <row r="171" customHeight="1" spans="28:28">
      <c r="AB171" s="231"/>
    </row>
    <row r="172" customHeight="1" spans="28:28">
      <c r="AB172" s="231"/>
    </row>
    <row r="173" customHeight="1" spans="28:28">
      <c r="AB173" s="231"/>
    </row>
    <row r="174" customHeight="1" spans="28:28">
      <c r="AB174" s="231"/>
    </row>
    <row r="175" customHeight="1" spans="28:28">
      <c r="AB175" s="231"/>
    </row>
    <row r="176" customHeight="1" spans="28:28">
      <c r="AB176" s="231"/>
    </row>
    <row r="177" customHeight="1" spans="28:28">
      <c r="AB177" s="231"/>
    </row>
    <row r="178" customHeight="1" spans="28:28">
      <c r="AB178" s="231"/>
    </row>
    <row r="179" customHeight="1" spans="28:28">
      <c r="AB179" s="231"/>
    </row>
    <row r="180" customHeight="1" spans="28:28">
      <c r="AB180" s="231"/>
    </row>
    <row r="181" customHeight="1" spans="28:28">
      <c r="AB181" s="231"/>
    </row>
    <row r="182" customHeight="1" spans="28:28">
      <c r="AB182" s="231"/>
    </row>
    <row r="183" customHeight="1" spans="28:28">
      <c r="AB183" s="231"/>
    </row>
    <row r="184" customHeight="1" spans="28:28">
      <c r="AB184" s="231"/>
    </row>
    <row r="185" customHeight="1" spans="28:28">
      <c r="AB185" s="231"/>
    </row>
    <row r="186" customHeight="1" spans="28:28">
      <c r="AB186" s="231"/>
    </row>
    <row r="187" customHeight="1" spans="28:28">
      <c r="AB187" s="231"/>
    </row>
    <row r="188" customHeight="1" spans="28:28">
      <c r="AB188" s="231"/>
    </row>
    <row r="189" customHeight="1" spans="28:28">
      <c r="AB189" s="231"/>
    </row>
    <row r="190" customHeight="1" spans="28:28">
      <c r="AB190" s="231"/>
    </row>
    <row r="191" customHeight="1" spans="28:28">
      <c r="AB191" s="231"/>
    </row>
    <row r="192" customHeight="1" spans="28:28">
      <c r="AB192" s="231"/>
    </row>
    <row r="193" customHeight="1" spans="28:28">
      <c r="AB193" s="231"/>
    </row>
    <row r="194" customHeight="1" spans="28:28">
      <c r="AB194" s="231"/>
    </row>
    <row r="195" customHeight="1" spans="28:28">
      <c r="AB195" s="231"/>
    </row>
    <row r="196" customHeight="1" spans="28:28">
      <c r="AB196" s="231"/>
    </row>
    <row r="197" customHeight="1" spans="28:28">
      <c r="AB197" s="231"/>
    </row>
    <row r="198" customHeight="1" spans="28:28">
      <c r="AB198" s="231"/>
    </row>
    <row r="199" customHeight="1" spans="28:28">
      <c r="AB199" s="231"/>
    </row>
    <row r="200" customHeight="1" spans="28:28">
      <c r="AB200" s="231"/>
    </row>
    <row r="201" customHeight="1" spans="28:28">
      <c r="AB201" s="231"/>
    </row>
    <row r="202" customHeight="1" spans="28:28">
      <c r="AB202" s="231"/>
    </row>
    <row r="203" customHeight="1" spans="28:28">
      <c r="AB203" s="231"/>
    </row>
    <row r="204" customHeight="1" spans="28:28">
      <c r="AB204" s="231"/>
    </row>
    <row r="205" customHeight="1" spans="28:28">
      <c r="AB205" s="231"/>
    </row>
    <row r="206" customHeight="1" spans="28:28">
      <c r="AB206" s="231"/>
    </row>
    <row r="207" customHeight="1" spans="28:28">
      <c r="AB207" s="231"/>
    </row>
    <row r="208" customHeight="1" spans="28:28">
      <c r="AB208" s="231"/>
    </row>
    <row r="209" customHeight="1" spans="28:28">
      <c r="AB209" s="231"/>
    </row>
  </sheetData>
  <autoFilter xmlns:etc="http://www.wps.cn/officeDocument/2017/etCustomData" ref="A4:AQ74" etc:filterBottomFollowUsedRange="0">
    <extLst/>
  </autoFilter>
  <mergeCells count="56">
    <mergeCell ref="A2:H2"/>
    <mergeCell ref="I2:L2"/>
    <mergeCell ref="M2:N2"/>
    <mergeCell ref="Q2:R2"/>
    <mergeCell ref="S2:X2"/>
    <mergeCell ref="Y2:Z2"/>
    <mergeCell ref="AC2:AD2"/>
    <mergeCell ref="AE2:AF2"/>
    <mergeCell ref="Q3:R3"/>
    <mergeCell ref="A3:A4"/>
    <mergeCell ref="B3:B4"/>
    <mergeCell ref="C3:C4"/>
    <mergeCell ref="C5:C74"/>
    <mergeCell ref="D3:D4"/>
    <mergeCell ref="E3:E4"/>
    <mergeCell ref="F3:F4"/>
    <mergeCell ref="F5:F8"/>
    <mergeCell ref="F9:F12"/>
    <mergeCell ref="F13:F16"/>
    <mergeCell ref="F17:F20"/>
    <mergeCell ref="F21:F24"/>
    <mergeCell ref="F25:F28"/>
    <mergeCell ref="F29:F32"/>
    <mergeCell ref="F33:F36"/>
    <mergeCell ref="F37:F40"/>
    <mergeCell ref="F41:F44"/>
    <mergeCell ref="F45:F48"/>
    <mergeCell ref="F49:F52"/>
    <mergeCell ref="F53:F56"/>
    <mergeCell ref="F57:F60"/>
    <mergeCell ref="F61:F64"/>
    <mergeCell ref="F65:F68"/>
    <mergeCell ref="G3:G4"/>
    <mergeCell ref="H3:H4"/>
    <mergeCell ref="I3:I4"/>
    <mergeCell ref="J3:J4"/>
    <mergeCell ref="K3:K4"/>
    <mergeCell ref="L3:L4"/>
    <mergeCell ref="M3:M4"/>
    <mergeCell ref="N3:N4"/>
    <mergeCell ref="O2:O4"/>
    <mergeCell ref="P2:P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AO36"/>
  <sheetViews>
    <sheetView zoomScale="90" zoomScaleNormal="90" workbookViewId="0">
      <selection activeCell="G22" sqref="G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35.5583333333333" style="4" customWidth="1"/>
    <col min="7" max="7" width="36.5083333333333" style="3" customWidth="1"/>
    <col min="8" max="9" width="4" style="3" customWidth="1"/>
    <col min="10" max="10" width="4" style="3" hidden="1" customWidth="1"/>
    <col min="11" max="12" width="4" style="3" customWidth="1"/>
    <col min="13" max="14" width="20.3833333333333" style="3" customWidth="1"/>
    <col min="15" max="15" width="20.3833333333333" style="3" hidden="1" customWidth="1"/>
    <col min="16" max="16" width="52.9083333333333" style="3" customWidth="1"/>
    <col min="17" max="17" width="45.4166666666667" style="5" customWidth="1"/>
    <col min="18" max="18" width="4.14166666666667" style="3" customWidth="1"/>
    <col min="19" max="21" width="4.14166666666667" style="6" customWidth="1"/>
    <col min="22" max="23" width="4.14166666666667" style="3" customWidth="1"/>
    <col min="24" max="25" width="5.63333333333333" style="7" customWidth="1"/>
    <col min="26" max="26" width="8" style="7" customWidth="1"/>
    <col min="27" max="27" width="11.3833333333333" style="3" customWidth="1"/>
    <col min="28" max="28" width="11.2583333333333" style="3" customWidth="1"/>
    <col min="29" max="29" width="6.14166666666667" style="3" customWidth="1"/>
    <col min="30" max="30" width="7.63333333333333" style="215" customWidth="1"/>
    <col min="31" max="31" width="5.14166666666667" style="8" customWidth="1"/>
    <col min="32" max="32" width="17.6333333333333" style="9" customWidth="1"/>
    <col min="33" max="33" width="5.14166666666667" style="10" customWidth="1"/>
    <col min="34" max="34" width="5.14166666666667" style="8" customWidth="1"/>
    <col min="35" max="35" width="5.14166666666667" style="11" customWidth="1"/>
    <col min="36" max="37" width="5.14166666666667" style="8" customWidth="1"/>
    <col min="38" max="38" width="5.14166666666667" style="10" customWidth="1"/>
    <col min="39" max="41" width="4.14166666666667" style="12" hidden="1" customWidth="1"/>
    <col min="42" max="16384" width="8" style="2"/>
  </cols>
  <sheetData>
    <row r="1" ht="13.5"/>
    <row r="2" ht="18.95" customHeight="1" spans="1:41">
      <c r="A2" s="184" t="s">
        <v>379</v>
      </c>
      <c r="B2" s="185"/>
      <c r="C2" s="185"/>
      <c r="D2" s="185"/>
      <c r="E2" s="185"/>
      <c r="F2" s="185"/>
      <c r="G2" s="186"/>
      <c r="H2" s="15" t="s">
        <v>73</v>
      </c>
      <c r="I2" s="35"/>
      <c r="J2" s="36"/>
      <c r="K2" s="15" t="s">
        <v>74</v>
      </c>
      <c r="L2" s="36"/>
      <c r="M2" s="196" t="s">
        <v>75</v>
      </c>
      <c r="N2" s="197"/>
      <c r="O2" s="250"/>
      <c r="P2" s="250"/>
      <c r="Q2" s="260" t="s">
        <v>381</v>
      </c>
      <c r="R2" s="162" t="s">
        <v>80</v>
      </c>
      <c r="S2" s="40"/>
      <c r="T2" s="40"/>
      <c r="U2" s="40"/>
      <c r="V2" s="40"/>
      <c r="W2" s="40"/>
      <c r="X2" s="53" t="s">
        <v>382</v>
      </c>
      <c r="Y2" s="54"/>
      <c r="Z2" s="55"/>
      <c r="AA2" s="65" t="s">
        <v>81</v>
      </c>
      <c r="AB2" s="65"/>
      <c r="AC2" s="264" t="s">
        <v>82</v>
      </c>
      <c r="AD2" s="67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</row>
    <row r="3" ht="18" customHeight="1" spans="1:41">
      <c r="A3" s="115" t="s">
        <v>85</v>
      </c>
      <c r="B3" s="23" t="s">
        <v>87</v>
      </c>
      <c r="C3" s="115" t="s">
        <v>383</v>
      </c>
      <c r="D3" s="23" t="s">
        <v>86</v>
      </c>
      <c r="E3" s="115" t="s">
        <v>89</v>
      </c>
      <c r="F3" s="115" t="s">
        <v>90</v>
      </c>
      <c r="G3" s="115" t="s">
        <v>91</v>
      </c>
      <c r="H3" s="21" t="s">
        <v>93</v>
      </c>
      <c r="I3" s="27" t="s">
        <v>1041</v>
      </c>
      <c r="J3" s="27" t="s">
        <v>99</v>
      </c>
      <c r="K3" s="41" t="s">
        <v>96</v>
      </c>
      <c r="L3" s="42" t="s">
        <v>97</v>
      </c>
      <c r="M3" s="199" t="s">
        <v>1268</v>
      </c>
      <c r="N3" s="44" t="s">
        <v>1041</v>
      </c>
      <c r="O3" s="44" t="s">
        <v>99</v>
      </c>
      <c r="P3" s="44"/>
      <c r="Q3" s="161" t="s">
        <v>1269</v>
      </c>
      <c r="R3" s="45" t="s">
        <v>109</v>
      </c>
      <c r="S3" s="56" t="s">
        <v>110</v>
      </c>
      <c r="T3" s="57" t="s">
        <v>111</v>
      </c>
      <c r="U3" s="57" t="s">
        <v>112</v>
      </c>
      <c r="V3" s="56" t="s">
        <v>113</v>
      </c>
      <c r="W3" s="56" t="s">
        <v>114</v>
      </c>
      <c r="X3" s="58" t="s">
        <v>107</v>
      </c>
      <c r="Y3" s="58" t="s">
        <v>108</v>
      </c>
      <c r="Z3" s="24" t="s">
        <v>115</v>
      </c>
      <c r="AA3" s="68" t="s">
        <v>116</v>
      </c>
      <c r="AB3" s="69" t="s">
        <v>117</v>
      </c>
      <c r="AC3" s="265" t="s">
        <v>118</v>
      </c>
      <c r="AD3" s="266" t="s">
        <v>1052</v>
      </c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ht="111.95" customHeight="1" spans="1:30">
      <c r="A4" s="68"/>
      <c r="B4" s="79"/>
      <c r="C4" s="80"/>
      <c r="D4" s="79"/>
      <c r="E4" s="80"/>
      <c r="F4" s="80"/>
      <c r="G4" s="68"/>
      <c r="H4" s="242"/>
      <c r="I4" s="242"/>
      <c r="J4" s="242"/>
      <c r="K4" s="251"/>
      <c r="L4" s="251"/>
      <c r="M4" s="99"/>
      <c r="N4" s="99"/>
      <c r="O4" s="99"/>
      <c r="P4" s="99" t="s">
        <v>1270</v>
      </c>
      <c r="Q4" s="166"/>
      <c r="R4" s="45"/>
      <c r="S4" s="56"/>
      <c r="T4" s="136"/>
      <c r="U4" s="136"/>
      <c r="V4" s="56"/>
      <c r="W4" s="56"/>
      <c r="X4" s="137"/>
      <c r="Y4" s="137"/>
      <c r="Z4" s="115"/>
      <c r="AA4" s="68"/>
      <c r="AB4" s="113"/>
      <c r="AC4" s="267"/>
      <c r="AD4" s="268"/>
    </row>
    <row r="5" s="181" customFormat="1" ht="21" customHeight="1" spans="1:41">
      <c r="A5" s="243">
        <v>1</v>
      </c>
      <c r="B5" s="244" t="s">
        <v>1271</v>
      </c>
      <c r="C5" s="191" t="s">
        <v>1272</v>
      </c>
      <c r="D5" s="244"/>
      <c r="E5" s="243">
        <v>1</v>
      </c>
      <c r="F5" s="245" t="s">
        <v>1273</v>
      </c>
      <c r="G5" s="156" t="s">
        <v>1274</v>
      </c>
      <c r="H5" s="246"/>
      <c r="I5" s="246"/>
      <c r="J5" s="246"/>
      <c r="K5" s="248" t="s">
        <v>124</v>
      </c>
      <c r="L5" s="248" t="s">
        <v>124</v>
      </c>
      <c r="M5" s="252"/>
      <c r="N5" s="252"/>
      <c r="O5" s="253"/>
      <c r="P5" s="254" t="str">
        <f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",""),"：",""),"'",""),"π","PI"),"，",""),"_",B5,"_",AD5,"_",PROPER(R5),IF(S5="",PROPER(R5),PROPER(S5)),PROPER(T5),PROPER(U5),PROPER(V5),IF(V5&lt;&gt;"","SUB",""),PROPER(W5),IF(W5&lt;&gt;"","SUB",""),"_","Ed","_","M1",".mpg")</f>
        <v>A330_200_Eng0622SafetyVideoOwg_0622_43__Ed_M1.mpg</v>
      </c>
      <c r="Q5" s="254" t="str">
        <f t="shared" ref="Q5:Q7" si="0">CONCATENATE(SUBSTITUTE(SUBSTITUTE(SUBSTITUTE(SUBSTITUTE(SUBSTITUTE(SUBSTITUTE(SUBSTITUTE(SUBSTITUTE(SUBSTITUTE(SUBSTITUTE(SUBSTITUTE(SUBSTITUTE(SUBSTITUTE(SUBSTITUTE(SUBSTITUTE(SUBSTITUTE(SUBSTITUTE(SUBSTITUTE(SUBSTITUTE(SUBSTITUTE(SUBSTITUTE(SUBSTITUTE(G5,":","")," '",""),",",""),".",""),"&amp;",""),"(",""),")",""),"%",""),"/",""),"*",""),"？",""),"?",""),"！",""),"!",""),"-",""),"（",""),"）","")," ",""),"：",""),"'",""),"π","PI"),"，",""),"_",B5,"_",AC5,"_",PROPER(R5),IF(S5="",PROPER(R5),PROPER(S5)),PROPER(T5),PROPER(U5),PROPER(V5),IF(V5&lt;&gt;"","SUB",""),PROPER(W5),IF(W5&lt;&gt;"","SUB",""),"_","Ed","_","M2",".mpg")</f>
        <v>A330_200_Eng0622SafetyVideoOwg_0622_169__Ed_M2.mpg</v>
      </c>
      <c r="R5" s="261"/>
      <c r="S5" s="262"/>
      <c r="T5" s="263"/>
      <c r="U5" s="263"/>
      <c r="V5" s="261"/>
      <c r="W5" s="261"/>
      <c r="X5" s="170" t="s">
        <v>129</v>
      </c>
      <c r="Y5" s="170" t="s">
        <v>129</v>
      </c>
      <c r="Z5" s="226">
        <f t="shared" ref="Z5:Z13" si="1">ROUNDUP(HOUR(AA5)*60+MINUTE(AA5)+SECOND(AA5)/60,0)</f>
        <v>0</v>
      </c>
      <c r="AA5" s="228"/>
      <c r="AB5" s="269">
        <f t="shared" ref="AB5:AB13" si="2">Z5*60</f>
        <v>0</v>
      </c>
      <c r="AC5" s="270">
        <v>169</v>
      </c>
      <c r="AD5" s="270">
        <v>43</v>
      </c>
      <c r="AE5" s="232"/>
      <c r="AF5" s="233"/>
      <c r="AG5" s="234"/>
      <c r="AH5" s="232"/>
      <c r="AI5" s="235"/>
      <c r="AJ5" s="232"/>
      <c r="AK5" s="232"/>
      <c r="AL5" s="234"/>
      <c r="AM5" s="240"/>
      <c r="AN5" s="240"/>
      <c r="AO5" s="240"/>
    </row>
    <row r="6" s="181" customFormat="1" ht="21" customHeight="1" spans="1:41">
      <c r="A6" s="243">
        <v>2</v>
      </c>
      <c r="B6" s="244" t="s">
        <v>1271</v>
      </c>
      <c r="C6" s="247" t="s">
        <v>1275</v>
      </c>
      <c r="D6" s="244"/>
      <c r="E6" s="243">
        <v>2</v>
      </c>
      <c r="F6" s="245" t="s">
        <v>1276</v>
      </c>
      <c r="G6" s="245" t="s">
        <v>1277</v>
      </c>
      <c r="H6" s="246"/>
      <c r="I6" s="246"/>
      <c r="J6" s="246"/>
      <c r="K6" s="248" t="s">
        <v>124</v>
      </c>
      <c r="L6" s="248" t="s">
        <v>124</v>
      </c>
      <c r="M6" s="49"/>
      <c r="N6" s="252"/>
      <c r="O6" s="253"/>
      <c r="P6" s="254" t="str">
        <f>CONCATENATE(SUBSTITUTE(SUBSTITUTE(SUBSTITUTE(SUBSTITUTE(SUBSTITUTE(SUBSTITUTE(SUBSTITUTE(SUBSTITUTE(SUBSTITUTE(SUBSTITUTE(SUBSTITUTE(SUBSTITUTE(SUBSTITUTE(SUBSTITUTE(SUBSTITUTE(SUBSTITUTE(SUBSTITUTE(SUBSTITUTE(SUBSTITUTE(SUBSTITUTE(SUBSTITUTE(SUBSTITUTE(G6,":","")," '",""),",",""),".",""),"&amp;",""),"(",""),")",""),"%",""),"/",""),"*",""),"？",""),"?",""),"！",""),"!",""),"-",""),"（",""),"）","")," ",""),"：",""),"'",""),"π","PI"),"，",""),"_",B6,"_",AD6,"_",PROPER(R6),IF(S6="",PROPER(R6),PROPER(S6)),PROPER(T6),PROPER(U6),PROPER(V6),IF(V6&lt;&gt;"","SUB",""),PROPER(W6),IF(W6&lt;&gt;"","SUB",""),"_","Ed","_","M1",".mpg")</f>
        <v>A330_300_Eng0622SafetyVideoOwg_0622_43__Ed_M1.mpg</v>
      </c>
      <c r="Q6" s="254" t="str">
        <f t="shared" si="0"/>
        <v>A330_300_Eng0622SafetyVideoOwg_0622_169__Ed_M2.mpg</v>
      </c>
      <c r="R6" s="261"/>
      <c r="S6" s="262"/>
      <c r="T6" s="263"/>
      <c r="U6" s="263"/>
      <c r="V6" s="261"/>
      <c r="W6" s="261"/>
      <c r="X6" s="170" t="s">
        <v>129</v>
      </c>
      <c r="Y6" s="170" t="s">
        <v>129</v>
      </c>
      <c r="Z6" s="226">
        <f t="shared" si="1"/>
        <v>0</v>
      </c>
      <c r="AA6" s="228"/>
      <c r="AB6" s="269">
        <f t="shared" si="2"/>
        <v>0</v>
      </c>
      <c r="AC6" s="270">
        <v>169</v>
      </c>
      <c r="AD6" s="270">
        <v>43</v>
      </c>
      <c r="AE6" s="232"/>
      <c r="AF6" s="233"/>
      <c r="AG6" s="234"/>
      <c r="AH6" s="232"/>
      <c r="AI6" s="235"/>
      <c r="AJ6" s="232"/>
      <c r="AK6" s="232"/>
      <c r="AL6" s="234"/>
      <c r="AM6" s="240"/>
      <c r="AN6" s="240"/>
      <c r="AO6" s="240"/>
    </row>
    <row r="7" s="181" customFormat="1" ht="21" customHeight="1" spans="1:41">
      <c r="A7" s="243">
        <v>3</v>
      </c>
      <c r="B7" s="244" t="s">
        <v>1271</v>
      </c>
      <c r="C7" s="247" t="s">
        <v>1278</v>
      </c>
      <c r="D7" s="244"/>
      <c r="E7" s="243">
        <v>3</v>
      </c>
      <c r="F7" s="245" t="s">
        <v>1279</v>
      </c>
      <c r="G7" s="245" t="s">
        <v>1280</v>
      </c>
      <c r="H7" s="246"/>
      <c r="I7" s="246"/>
      <c r="J7" s="246"/>
      <c r="K7" s="248" t="s">
        <v>124</v>
      </c>
      <c r="L7" s="255"/>
      <c r="M7" s="49"/>
      <c r="N7" s="252"/>
      <c r="O7" s="253"/>
      <c r="P7" s="254"/>
      <c r="Q7" s="254" t="str">
        <f t="shared" si="0"/>
        <v>B777300_Eng0622SafetyVideoOwg_0622_169__Ed_M2.mpg</v>
      </c>
      <c r="R7" s="261"/>
      <c r="S7" s="262"/>
      <c r="T7" s="263"/>
      <c r="U7" s="263"/>
      <c r="V7" s="261"/>
      <c r="W7" s="261"/>
      <c r="X7" s="170" t="s">
        <v>129</v>
      </c>
      <c r="Y7" s="170" t="s">
        <v>129</v>
      </c>
      <c r="Z7" s="226">
        <f t="shared" si="1"/>
        <v>0</v>
      </c>
      <c r="AA7" s="228"/>
      <c r="AB7" s="269">
        <f t="shared" si="2"/>
        <v>0</v>
      </c>
      <c r="AC7" s="270">
        <v>169</v>
      </c>
      <c r="AD7" s="270">
        <v>43</v>
      </c>
      <c r="AE7" s="232"/>
      <c r="AF7" s="233"/>
      <c r="AG7" s="234"/>
      <c r="AH7" s="232"/>
      <c r="AI7" s="235"/>
      <c r="AJ7" s="232"/>
      <c r="AK7" s="232"/>
      <c r="AL7" s="234"/>
      <c r="AM7" s="240"/>
      <c r="AN7" s="240"/>
      <c r="AO7" s="240"/>
    </row>
    <row r="8" s="181" customFormat="1" ht="21" customHeight="1" spans="1:41">
      <c r="A8" s="243">
        <v>4</v>
      </c>
      <c r="B8" s="244" t="s">
        <v>1271</v>
      </c>
      <c r="C8" s="247" t="s">
        <v>1278</v>
      </c>
      <c r="D8" s="244"/>
      <c r="E8" s="243">
        <v>4</v>
      </c>
      <c r="F8" s="245" t="s">
        <v>1281</v>
      </c>
      <c r="G8" s="245" t="s">
        <v>1282</v>
      </c>
      <c r="H8" s="248" t="s">
        <v>124</v>
      </c>
      <c r="I8" s="246"/>
      <c r="J8" s="246"/>
      <c r="K8" s="256"/>
      <c r="L8" s="257"/>
      <c r="M8" s="49" t="s">
        <v>1283</v>
      </c>
      <c r="N8" s="252"/>
      <c r="O8" s="253"/>
      <c r="P8" s="254"/>
      <c r="Q8" s="254"/>
      <c r="R8" s="261"/>
      <c r="S8" s="262"/>
      <c r="T8" s="263"/>
      <c r="U8" s="263"/>
      <c r="V8" s="261"/>
      <c r="W8" s="261"/>
      <c r="X8" s="170" t="s">
        <v>129</v>
      </c>
      <c r="Y8" s="170" t="s">
        <v>129</v>
      </c>
      <c r="Z8" s="226">
        <f t="shared" si="1"/>
        <v>0</v>
      </c>
      <c r="AA8" s="228"/>
      <c r="AB8" s="269">
        <f t="shared" si="2"/>
        <v>0</v>
      </c>
      <c r="AC8" s="270">
        <v>169</v>
      </c>
      <c r="AD8" s="270">
        <v>43</v>
      </c>
      <c r="AE8" s="232"/>
      <c r="AF8" s="233"/>
      <c r="AG8" s="234"/>
      <c r="AH8" s="232"/>
      <c r="AI8" s="235"/>
      <c r="AJ8" s="232"/>
      <c r="AK8" s="232"/>
      <c r="AL8" s="234"/>
      <c r="AM8" s="240"/>
      <c r="AN8" s="240"/>
      <c r="AO8" s="240"/>
    </row>
    <row r="9" s="181" customFormat="1" ht="21" customHeight="1" spans="1:41">
      <c r="A9" s="243">
        <v>5</v>
      </c>
      <c r="B9" s="244" t="s">
        <v>1271</v>
      </c>
      <c r="C9" s="247" t="s">
        <v>1278</v>
      </c>
      <c r="D9" s="244"/>
      <c r="E9" s="243">
        <v>5</v>
      </c>
      <c r="F9" s="245" t="s">
        <v>1284</v>
      </c>
      <c r="G9" s="245" t="s">
        <v>1285</v>
      </c>
      <c r="H9" s="248" t="s">
        <v>124</v>
      </c>
      <c r="I9" s="246"/>
      <c r="J9" s="246"/>
      <c r="K9" s="256"/>
      <c r="L9" s="257"/>
      <c r="M9" s="49" t="s">
        <v>1286</v>
      </c>
      <c r="N9" s="252"/>
      <c r="O9" s="253"/>
      <c r="P9" s="254"/>
      <c r="Q9" s="254"/>
      <c r="R9" s="261"/>
      <c r="S9" s="262"/>
      <c r="T9" s="263"/>
      <c r="U9" s="263"/>
      <c r="V9" s="261"/>
      <c r="W9" s="261"/>
      <c r="X9" s="170" t="s">
        <v>129</v>
      </c>
      <c r="Y9" s="170" t="s">
        <v>129</v>
      </c>
      <c r="Z9" s="226">
        <f t="shared" si="1"/>
        <v>0</v>
      </c>
      <c r="AA9" s="228"/>
      <c r="AB9" s="269">
        <f t="shared" si="2"/>
        <v>0</v>
      </c>
      <c r="AC9" s="270">
        <v>169</v>
      </c>
      <c r="AD9" s="270">
        <v>43</v>
      </c>
      <c r="AE9" s="232"/>
      <c r="AF9" s="233"/>
      <c r="AG9" s="234"/>
      <c r="AH9" s="232"/>
      <c r="AI9" s="235"/>
      <c r="AJ9" s="232"/>
      <c r="AK9" s="232"/>
      <c r="AL9" s="234"/>
      <c r="AM9" s="240"/>
      <c r="AN9" s="240"/>
      <c r="AO9" s="240"/>
    </row>
    <row r="10" s="181" customFormat="1" ht="21" customHeight="1" spans="1:41">
      <c r="A10" s="243">
        <v>6</v>
      </c>
      <c r="B10" s="244" t="s">
        <v>1271</v>
      </c>
      <c r="C10" s="247" t="s">
        <v>1278</v>
      </c>
      <c r="D10" s="244"/>
      <c r="E10" s="243">
        <v>6</v>
      </c>
      <c r="F10" s="245" t="s">
        <v>1287</v>
      </c>
      <c r="G10" s="245" t="s">
        <v>1288</v>
      </c>
      <c r="H10" s="248" t="s">
        <v>124</v>
      </c>
      <c r="I10" s="246"/>
      <c r="J10" s="246"/>
      <c r="K10" s="256"/>
      <c r="L10" s="257"/>
      <c r="M10" s="49" t="s">
        <v>1289</v>
      </c>
      <c r="N10" s="252"/>
      <c r="O10" s="253"/>
      <c r="P10" s="254"/>
      <c r="Q10" s="254"/>
      <c r="R10" s="261"/>
      <c r="S10" s="262"/>
      <c r="T10" s="263"/>
      <c r="U10" s="263"/>
      <c r="V10" s="261"/>
      <c r="W10" s="261"/>
      <c r="X10" s="170" t="s">
        <v>129</v>
      </c>
      <c r="Y10" s="170" t="s">
        <v>129</v>
      </c>
      <c r="Z10" s="226">
        <f t="shared" si="1"/>
        <v>0</v>
      </c>
      <c r="AA10" s="228"/>
      <c r="AB10" s="269">
        <f t="shared" si="2"/>
        <v>0</v>
      </c>
      <c r="AC10" s="270">
        <v>169</v>
      </c>
      <c r="AD10" s="270">
        <v>43</v>
      </c>
      <c r="AE10" s="232"/>
      <c r="AF10" s="233"/>
      <c r="AG10" s="234"/>
      <c r="AH10" s="232"/>
      <c r="AI10" s="235"/>
      <c r="AJ10" s="232"/>
      <c r="AK10" s="232"/>
      <c r="AL10" s="234"/>
      <c r="AM10" s="240"/>
      <c r="AN10" s="240"/>
      <c r="AO10" s="240"/>
    </row>
    <row r="11" s="181" customFormat="1" ht="21" customHeight="1" spans="1:41">
      <c r="A11" s="243">
        <v>7</v>
      </c>
      <c r="B11" s="244" t="s">
        <v>1271</v>
      </c>
      <c r="C11" s="247" t="s">
        <v>1290</v>
      </c>
      <c r="D11" s="244"/>
      <c r="E11" s="243">
        <v>7</v>
      </c>
      <c r="F11" s="249" t="s">
        <v>1291</v>
      </c>
      <c r="G11" s="245" t="s">
        <v>1292</v>
      </c>
      <c r="H11" s="248" t="s">
        <v>124</v>
      </c>
      <c r="I11" s="248" t="s">
        <v>124</v>
      </c>
      <c r="J11" s="248"/>
      <c r="K11" s="248" t="s">
        <v>124</v>
      </c>
      <c r="L11" s="248" t="s">
        <v>124</v>
      </c>
      <c r="M11" s="49" t="s">
        <v>1293</v>
      </c>
      <c r="N11" s="49" t="s">
        <v>1294</v>
      </c>
      <c r="O11" s="253" t="s">
        <v>1295</v>
      </c>
      <c r="P11" s="254" t="s">
        <v>1296</v>
      </c>
      <c r="Q11" s="254" t="s">
        <v>1296</v>
      </c>
      <c r="R11" s="261"/>
      <c r="S11" s="262"/>
      <c r="T11" s="263"/>
      <c r="U11" s="263"/>
      <c r="V11" s="261"/>
      <c r="W11" s="261"/>
      <c r="X11" s="170" t="s">
        <v>129</v>
      </c>
      <c r="Y11" s="170" t="s">
        <v>129</v>
      </c>
      <c r="Z11" s="226">
        <f t="shared" si="1"/>
        <v>0</v>
      </c>
      <c r="AA11" s="228"/>
      <c r="AB11" s="269">
        <f t="shared" si="2"/>
        <v>0</v>
      </c>
      <c r="AC11" s="270">
        <v>169</v>
      </c>
      <c r="AD11" s="270">
        <v>43</v>
      </c>
      <c r="AE11" s="232"/>
      <c r="AF11" s="233"/>
      <c r="AG11" s="234"/>
      <c r="AH11" s="232"/>
      <c r="AI11" s="235"/>
      <c r="AJ11" s="232"/>
      <c r="AK11" s="232"/>
      <c r="AL11" s="234"/>
      <c r="AM11" s="240"/>
      <c r="AN11" s="240"/>
      <c r="AO11" s="240"/>
    </row>
    <row r="12" s="181" customFormat="1" ht="21" customHeight="1" spans="1:41">
      <c r="A12" s="243">
        <v>8</v>
      </c>
      <c r="B12" s="244" t="s">
        <v>1271</v>
      </c>
      <c r="C12" s="247" t="s">
        <v>1278</v>
      </c>
      <c r="D12" s="244"/>
      <c r="E12" s="243">
        <v>8</v>
      </c>
      <c r="F12" s="245" t="s">
        <v>1297</v>
      </c>
      <c r="G12" s="156" t="s">
        <v>1298</v>
      </c>
      <c r="H12" s="246"/>
      <c r="I12" s="248" t="s">
        <v>124</v>
      </c>
      <c r="J12" s="246"/>
      <c r="K12" s="246"/>
      <c r="L12" s="256"/>
      <c r="M12" s="49"/>
      <c r="N12" s="49" t="s">
        <v>1299</v>
      </c>
      <c r="O12" s="258"/>
      <c r="P12" s="254"/>
      <c r="Q12" s="254"/>
      <c r="R12" s="261"/>
      <c r="S12" s="262"/>
      <c r="T12" s="263"/>
      <c r="U12" s="263"/>
      <c r="V12" s="261"/>
      <c r="W12" s="261"/>
      <c r="X12" s="170" t="s">
        <v>129</v>
      </c>
      <c r="Y12" s="170" t="s">
        <v>129</v>
      </c>
      <c r="Z12" s="226">
        <f t="shared" si="1"/>
        <v>0</v>
      </c>
      <c r="AA12" s="228"/>
      <c r="AB12" s="269">
        <f t="shared" si="2"/>
        <v>0</v>
      </c>
      <c r="AC12" s="270">
        <v>169</v>
      </c>
      <c r="AD12" s="270">
        <v>43</v>
      </c>
      <c r="AE12" s="232"/>
      <c r="AF12" s="233"/>
      <c r="AG12" s="234"/>
      <c r="AH12" s="232"/>
      <c r="AI12" s="235"/>
      <c r="AJ12" s="232"/>
      <c r="AK12" s="232"/>
      <c r="AL12" s="234"/>
      <c r="AM12" s="240"/>
      <c r="AN12" s="240"/>
      <c r="AO12" s="240"/>
    </row>
    <row r="13" s="181" customFormat="1" ht="21" customHeight="1" spans="1:41">
      <c r="A13" s="243">
        <v>9</v>
      </c>
      <c r="B13" s="244" t="s">
        <v>1271</v>
      </c>
      <c r="C13" s="247" t="s">
        <v>1278</v>
      </c>
      <c r="D13" s="244"/>
      <c r="E13" s="243">
        <v>9</v>
      </c>
      <c r="F13" s="156" t="s">
        <v>1300</v>
      </c>
      <c r="G13" s="156" t="s">
        <v>1301</v>
      </c>
      <c r="H13" s="246"/>
      <c r="I13" s="246" t="s">
        <v>124</v>
      </c>
      <c r="J13" s="246"/>
      <c r="K13" s="246"/>
      <c r="L13" s="256"/>
      <c r="M13" s="49"/>
      <c r="N13" s="49" t="s">
        <v>1302</v>
      </c>
      <c r="O13" s="258"/>
      <c r="P13" s="254"/>
      <c r="Q13" s="254"/>
      <c r="R13" s="261"/>
      <c r="S13" s="262"/>
      <c r="T13" s="263"/>
      <c r="U13" s="263"/>
      <c r="V13" s="261"/>
      <c r="W13" s="261"/>
      <c r="X13" s="170" t="s">
        <v>129</v>
      </c>
      <c r="Y13" s="170" t="s">
        <v>129</v>
      </c>
      <c r="Z13" s="226">
        <f t="shared" si="1"/>
        <v>0</v>
      </c>
      <c r="AA13" s="228"/>
      <c r="AB13" s="269">
        <f t="shared" si="2"/>
        <v>0</v>
      </c>
      <c r="AC13" s="270">
        <v>169</v>
      </c>
      <c r="AD13" s="270">
        <v>43</v>
      </c>
      <c r="AE13" s="232"/>
      <c r="AF13" s="233"/>
      <c r="AG13" s="234"/>
      <c r="AH13" s="232"/>
      <c r="AI13" s="235"/>
      <c r="AJ13" s="232"/>
      <c r="AK13" s="232"/>
      <c r="AL13" s="234"/>
      <c r="AM13" s="240"/>
      <c r="AN13" s="240"/>
      <c r="AO13" s="240"/>
    </row>
    <row r="14" spans="15:26">
      <c r="O14" s="259"/>
      <c r="P14" s="259"/>
      <c r="X14" s="3"/>
      <c r="Y14" s="3"/>
      <c r="Z14" s="3"/>
    </row>
    <row r="15" spans="15:26">
      <c r="O15" s="259"/>
      <c r="P15" s="259"/>
      <c r="X15" s="3"/>
      <c r="Y15" s="3"/>
      <c r="Z15" s="3"/>
    </row>
    <row r="16" spans="15:26">
      <c r="O16" s="259"/>
      <c r="P16" s="259"/>
      <c r="X16" s="3"/>
      <c r="Y16" s="3"/>
      <c r="Z16" s="3"/>
    </row>
    <row r="17" spans="15:26">
      <c r="O17" s="259"/>
      <c r="P17" s="259"/>
      <c r="X17" s="3"/>
      <c r="Y17" s="3"/>
      <c r="Z17" s="3"/>
    </row>
    <row r="18" spans="15:26">
      <c r="O18" s="259"/>
      <c r="P18" s="259"/>
      <c r="X18" s="3"/>
      <c r="Y18" s="3"/>
      <c r="Z18" s="3"/>
    </row>
    <row r="19" spans="15:26">
      <c r="O19" s="259"/>
      <c r="P19" s="259"/>
      <c r="X19" s="3"/>
      <c r="Y19" s="3"/>
      <c r="Z19" s="3"/>
    </row>
    <row r="20" spans="15:26">
      <c r="O20" s="259"/>
      <c r="P20" s="259"/>
      <c r="X20" s="3"/>
      <c r="Y20" s="3"/>
      <c r="Z20" s="3"/>
    </row>
    <row r="21" spans="15:26">
      <c r="O21" s="259"/>
      <c r="P21" s="259"/>
      <c r="X21" s="3"/>
      <c r="Y21" s="3"/>
      <c r="Z21" s="3"/>
    </row>
    <row r="22" spans="15:26">
      <c r="O22" s="259"/>
      <c r="P22" s="259"/>
      <c r="X22" s="3"/>
      <c r="Y22" s="3"/>
      <c r="Z22" s="3"/>
    </row>
    <row r="23" spans="15:26">
      <c r="O23" s="259"/>
      <c r="P23" s="259"/>
      <c r="X23" s="3"/>
      <c r="Y23" s="3"/>
      <c r="Z23" s="3"/>
    </row>
    <row r="24" spans="15:26">
      <c r="O24" s="259"/>
      <c r="P24" s="259"/>
      <c r="X24" s="3"/>
      <c r="Y24" s="3"/>
      <c r="Z24" s="3"/>
    </row>
    <row r="25" spans="15:26">
      <c r="O25" s="259"/>
      <c r="P25" s="259"/>
      <c r="X25" s="3"/>
      <c r="Y25" s="3"/>
      <c r="Z25" s="3"/>
    </row>
    <row r="26" spans="15:26">
      <c r="O26" s="259"/>
      <c r="P26" s="259"/>
      <c r="X26" s="3"/>
      <c r="Y26" s="3"/>
      <c r="Z26" s="3"/>
    </row>
    <row r="27" ht="15.75" spans="15:26">
      <c r="O27" s="259"/>
      <c r="P27" s="259"/>
      <c r="X27" s="63"/>
      <c r="Y27" s="63"/>
      <c r="Z27" s="63"/>
    </row>
    <row r="28" ht="15.75" spans="15:26">
      <c r="O28" s="259"/>
      <c r="P28" s="259"/>
      <c r="X28" s="63"/>
      <c r="Y28" s="63"/>
      <c r="Z28" s="63"/>
    </row>
    <row r="29" ht="15.75" spans="15:26">
      <c r="O29" s="7"/>
      <c r="P29" s="7"/>
      <c r="X29" s="64"/>
      <c r="Y29" s="64"/>
      <c r="Z29" s="64"/>
    </row>
    <row r="30" ht="15.75" spans="15:26">
      <c r="O30" s="7"/>
      <c r="P30" s="7"/>
      <c r="X30" s="64"/>
      <c r="Y30" s="64"/>
      <c r="Z30" s="64"/>
    </row>
    <row r="31" spans="15:16">
      <c r="O31" s="7"/>
      <c r="P31" s="7"/>
    </row>
    <row r="32" spans="15:16">
      <c r="O32" s="7"/>
      <c r="P32" s="7"/>
    </row>
    <row r="33" spans="15:16">
      <c r="O33" s="7"/>
      <c r="P33" s="7"/>
    </row>
    <row r="34" spans="15:16">
      <c r="O34" s="7"/>
      <c r="P34" s="7"/>
    </row>
    <row r="35" spans="15:16">
      <c r="O35" s="7"/>
      <c r="P35" s="7"/>
    </row>
    <row r="36" spans="15:16">
      <c r="O36" s="7"/>
      <c r="P36" s="7"/>
    </row>
  </sheetData>
  <mergeCells count="37">
    <mergeCell ref="A2:G2"/>
    <mergeCell ref="H2:J2"/>
    <mergeCell ref="K2:L2"/>
    <mergeCell ref="M2:O2"/>
    <mergeCell ref="R2:W2"/>
    <mergeCell ref="X2:Y2"/>
    <mergeCell ref="AA2:AB2"/>
    <mergeCell ref="AC2:AD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</mergeCells>
  <pageMargins left="0.75" right="0.75" top="1" bottom="1" header="0.5" footer="0.5"/>
  <headerFooter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3"/>
  <dimension ref="A1:DM174"/>
  <sheetViews>
    <sheetView zoomScale="85" zoomScaleNormal="85" topLeftCell="F1" workbookViewId="0">
      <pane ySplit="4" topLeftCell="A5" activePane="bottomLeft" state="frozen"/>
      <selection/>
      <selection pane="bottomLeft" activeCell="R19" sqref="R19"/>
    </sheetView>
  </sheetViews>
  <sheetFormatPr defaultColWidth="9" defaultRowHeight="19" customHeight="1"/>
  <cols>
    <col min="1" max="1" width="4.625" customWidth="1"/>
    <col min="2" max="2" width="6.25833333333333" customWidth="1"/>
    <col min="3" max="3" width="6.875" customWidth="1"/>
    <col min="4" max="4" width="7.375" customWidth="1"/>
    <col min="5" max="5" width="4.75833333333333" customWidth="1"/>
    <col min="6" max="6" width="43.125" customWidth="1"/>
    <col min="7" max="7" width="41.25" customWidth="1"/>
    <col min="8" max="13" width="4.00833333333333" customWidth="1"/>
    <col min="14" max="14" width="36.0916666666667" customWidth="1"/>
    <col min="15" max="15" width="27.4916666666667" customWidth="1"/>
    <col min="16" max="16" width="21.875" hidden="1" customWidth="1"/>
    <col min="17" max="17" width="54.2583333333333" customWidth="1"/>
    <col min="18" max="18" width="58.3833333333333" customWidth="1"/>
    <col min="19" max="24" width="5.30833333333333" customWidth="1"/>
    <col min="25" max="26" width="6.4" customWidth="1"/>
    <col min="28" max="28" width="11.5083333333333" style="3" customWidth="1"/>
  </cols>
  <sheetData>
    <row r="1" s="2" customFormat="1" customHeight="1" spans="3:43">
      <c r="C1" s="3"/>
      <c r="D1" s="3"/>
      <c r="E1" s="3"/>
      <c r="F1" s="4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5"/>
      <c r="S1" s="3"/>
      <c r="T1" s="6"/>
      <c r="U1" s="6"/>
      <c r="V1" s="6"/>
      <c r="W1" s="3"/>
      <c r="X1" s="3"/>
      <c r="Y1" s="7"/>
      <c r="Z1" s="7"/>
      <c r="AA1" s="7"/>
      <c r="AB1" s="3"/>
      <c r="AC1" s="3"/>
      <c r="AD1" s="3"/>
      <c r="AE1" s="3"/>
      <c r="AF1" s="215"/>
      <c r="AG1" s="8"/>
      <c r="AH1" s="9"/>
      <c r="AI1" s="10"/>
      <c r="AJ1" s="8"/>
      <c r="AK1" s="11"/>
      <c r="AL1" s="8"/>
      <c r="AM1" s="8"/>
      <c r="AN1" s="10"/>
      <c r="AO1" s="12"/>
      <c r="AP1" s="12"/>
      <c r="AQ1" s="12"/>
    </row>
    <row r="2" s="2" customFormat="1" customHeight="1" spans="1:32">
      <c r="A2" s="184" t="s">
        <v>379</v>
      </c>
      <c r="B2" s="185"/>
      <c r="C2" s="185"/>
      <c r="D2" s="185"/>
      <c r="E2" s="185"/>
      <c r="F2" s="185"/>
      <c r="G2" s="186"/>
      <c r="H2" s="187" t="s">
        <v>73</v>
      </c>
      <c r="I2" s="194"/>
      <c r="J2" s="194"/>
      <c r="K2" s="195"/>
      <c r="L2" s="187" t="s">
        <v>74</v>
      </c>
      <c r="M2" s="195"/>
      <c r="N2" s="196" t="s">
        <v>75</v>
      </c>
      <c r="O2" s="197"/>
      <c r="P2" s="197"/>
      <c r="Q2" s="202" t="s">
        <v>381</v>
      </c>
      <c r="R2" s="203"/>
      <c r="S2" s="162" t="s">
        <v>80</v>
      </c>
      <c r="T2" s="40"/>
      <c r="U2" s="40"/>
      <c r="V2" s="40"/>
      <c r="W2" s="40"/>
      <c r="X2" s="40"/>
      <c r="Y2" s="53" t="s">
        <v>382</v>
      </c>
      <c r="Z2" s="54"/>
      <c r="AA2" s="55"/>
      <c r="AB2" s="216" t="s">
        <v>81</v>
      </c>
      <c r="AC2" s="65" t="s">
        <v>81</v>
      </c>
      <c r="AD2" s="65"/>
      <c r="AE2" s="217" t="s">
        <v>82</v>
      </c>
      <c r="AF2" s="218"/>
    </row>
    <row r="3" s="2" customFormat="1" ht="53" customHeight="1" spans="1:32">
      <c r="A3" s="115" t="s">
        <v>85</v>
      </c>
      <c r="B3" s="23" t="s">
        <v>87</v>
      </c>
      <c r="C3" s="115" t="s">
        <v>383</v>
      </c>
      <c r="D3" s="23" t="s">
        <v>86</v>
      </c>
      <c r="E3" s="115" t="s">
        <v>89</v>
      </c>
      <c r="F3" s="115" t="s">
        <v>90</v>
      </c>
      <c r="G3" s="115" t="s">
        <v>91</v>
      </c>
      <c r="H3" s="188" t="s">
        <v>1303</v>
      </c>
      <c r="I3" s="188"/>
      <c r="J3" s="188" t="s">
        <v>1041</v>
      </c>
      <c r="K3" s="188" t="s">
        <v>99</v>
      </c>
      <c r="L3" s="198" t="s">
        <v>96</v>
      </c>
      <c r="M3" s="198" t="s">
        <v>97</v>
      </c>
      <c r="N3" s="199" t="s">
        <v>1304</v>
      </c>
      <c r="O3" s="44" t="s">
        <v>1041</v>
      </c>
      <c r="P3" s="199" t="s">
        <v>99</v>
      </c>
      <c r="Q3" s="47"/>
      <c r="R3" s="204" t="s">
        <v>1269</v>
      </c>
      <c r="S3" s="205" t="s">
        <v>109</v>
      </c>
      <c r="T3" s="206" t="s">
        <v>110</v>
      </c>
      <c r="U3" s="207" t="s">
        <v>111</v>
      </c>
      <c r="V3" s="207" t="s">
        <v>112</v>
      </c>
      <c r="W3" s="206" t="s">
        <v>113</v>
      </c>
      <c r="X3" s="206" t="s">
        <v>114</v>
      </c>
      <c r="Y3" s="219" t="s">
        <v>107</v>
      </c>
      <c r="Z3" s="219" t="s">
        <v>108</v>
      </c>
      <c r="AA3" s="24" t="s">
        <v>115</v>
      </c>
      <c r="AB3" s="220" t="s">
        <v>389</v>
      </c>
      <c r="AC3" s="68" t="s">
        <v>116</v>
      </c>
      <c r="AD3" s="69" t="s">
        <v>117</v>
      </c>
      <c r="AE3" s="221" t="s">
        <v>1051</v>
      </c>
      <c r="AF3" s="222" t="s">
        <v>1052</v>
      </c>
    </row>
    <row r="4" s="2" customFormat="1" ht="53" customHeight="1" spans="1:43">
      <c r="A4" s="24"/>
      <c r="B4" s="23"/>
      <c r="C4" s="24"/>
      <c r="D4" s="23"/>
      <c r="E4" s="24"/>
      <c r="F4" s="24"/>
      <c r="G4" s="24"/>
      <c r="H4" s="189"/>
      <c r="I4" s="189" t="s">
        <v>1050</v>
      </c>
      <c r="J4" s="189"/>
      <c r="K4" s="189"/>
      <c r="L4" s="200"/>
      <c r="M4" s="200"/>
      <c r="N4" s="47"/>
      <c r="O4" s="47"/>
      <c r="P4" s="47"/>
      <c r="Q4" s="47" t="s">
        <v>1270</v>
      </c>
      <c r="R4" s="208"/>
      <c r="S4" s="209"/>
      <c r="T4" s="207"/>
      <c r="U4" s="210"/>
      <c r="V4" s="210"/>
      <c r="W4" s="207"/>
      <c r="X4" s="207"/>
      <c r="Y4" s="223"/>
      <c r="Z4" s="223"/>
      <c r="AA4" s="23"/>
      <c r="AB4" s="224"/>
      <c r="AC4" s="24"/>
      <c r="AD4" s="71"/>
      <c r="AE4" s="221"/>
      <c r="AF4" s="222"/>
      <c r="AG4" s="8"/>
      <c r="AH4" s="9"/>
      <c r="AI4" s="10"/>
      <c r="AJ4" s="8"/>
      <c r="AK4" s="11"/>
      <c r="AL4" s="8"/>
      <c r="AM4" s="8"/>
      <c r="AN4" s="10"/>
      <c r="AO4" s="12"/>
      <c r="AP4" s="12"/>
      <c r="AQ4" s="12"/>
    </row>
    <row r="5" s="181" customFormat="1" ht="22" customHeight="1" spans="1:44">
      <c r="A5" s="156">
        <v>1</v>
      </c>
      <c r="B5" s="190" t="s">
        <v>120</v>
      </c>
      <c r="C5" s="191" t="s">
        <v>1278</v>
      </c>
      <c r="D5" s="190"/>
      <c r="E5" s="156">
        <v>1</v>
      </c>
      <c r="F5" s="156" t="s">
        <v>1305</v>
      </c>
      <c r="G5" s="156" t="s">
        <v>1306</v>
      </c>
      <c r="H5" s="192" t="s">
        <v>124</v>
      </c>
      <c r="I5" s="192" t="s">
        <v>124</v>
      </c>
      <c r="J5" s="192"/>
      <c r="K5" s="192"/>
      <c r="L5" s="192"/>
      <c r="M5" s="192"/>
      <c r="N5" s="49" t="s">
        <v>1307</v>
      </c>
      <c r="O5" s="49"/>
      <c r="P5" s="50"/>
      <c r="Q5" s="211"/>
      <c r="R5" s="211"/>
      <c r="S5" s="212" t="s">
        <v>130</v>
      </c>
      <c r="T5" s="212"/>
      <c r="U5" s="213"/>
      <c r="V5" s="213"/>
      <c r="W5" s="213" t="s">
        <v>131</v>
      </c>
      <c r="X5" s="212" t="s">
        <v>130</v>
      </c>
      <c r="Y5" s="225" t="s">
        <v>129</v>
      </c>
      <c r="Z5" s="225" t="s">
        <v>129</v>
      </c>
      <c r="AA5" s="226">
        <f>ROUNDUP(HOUR(AB5)*60+MINUTE(AB5)+SECOND(AB5)/60,0)</f>
        <v>7</v>
      </c>
      <c r="AB5" s="227" t="str">
        <f t="shared" ref="AB5:AB38" si="0">TEXT((HOUR(AC5)*60+MINUTE(AC5)+IF(SECOND(AC5)&lt;=29,0,1))*60/86400,"hh:mm:ss")</f>
        <v>00:07:00</v>
      </c>
      <c r="AC5" s="228">
        <v>0.00518518518518519</v>
      </c>
      <c r="AD5" s="226">
        <f>AA5*60</f>
        <v>420</v>
      </c>
      <c r="AE5" s="229">
        <v>169</v>
      </c>
      <c r="AF5" s="229">
        <v>43</v>
      </c>
      <c r="AH5" s="232"/>
      <c r="AI5" s="233"/>
      <c r="AJ5" s="234"/>
      <c r="AK5" s="232"/>
      <c r="AL5" s="235"/>
      <c r="AM5" s="232"/>
      <c r="AN5" s="232"/>
      <c r="AO5" s="234"/>
      <c r="AP5" s="240"/>
      <c r="AQ5" s="240"/>
      <c r="AR5" s="240"/>
    </row>
    <row r="6" s="181" customFormat="1" ht="22" customHeight="1" spans="1:44">
      <c r="A6" s="156">
        <v>2</v>
      </c>
      <c r="B6" s="190" t="s">
        <v>120</v>
      </c>
      <c r="C6" s="191" t="s">
        <v>1278</v>
      </c>
      <c r="D6" s="190"/>
      <c r="E6" s="156">
        <v>2</v>
      </c>
      <c r="F6" s="156" t="s">
        <v>1308</v>
      </c>
      <c r="G6" s="156" t="s">
        <v>1309</v>
      </c>
      <c r="H6" s="192" t="s">
        <v>124</v>
      </c>
      <c r="I6" s="192" t="s">
        <v>124</v>
      </c>
      <c r="J6" s="192"/>
      <c r="K6" s="192"/>
      <c r="L6" s="192"/>
      <c r="M6" s="192"/>
      <c r="N6" s="49" t="s">
        <v>1310</v>
      </c>
      <c r="O6" s="49"/>
      <c r="P6" s="50"/>
      <c r="Q6" s="211"/>
      <c r="R6" s="211"/>
      <c r="S6" s="212" t="s">
        <v>130</v>
      </c>
      <c r="T6" s="212"/>
      <c r="U6" s="213"/>
      <c r="V6" s="213"/>
      <c r="W6" s="213" t="s">
        <v>131</v>
      </c>
      <c r="X6" s="212" t="s">
        <v>130</v>
      </c>
      <c r="Y6" s="225" t="s">
        <v>129</v>
      </c>
      <c r="Z6" s="225" t="s">
        <v>129</v>
      </c>
      <c r="AA6" s="226">
        <f t="shared" ref="AA6:AA38" si="1">ROUNDUP(HOUR(AB6)*60+MINUTE(AB6)+SECOND(AB6)/60,0)</f>
        <v>4</v>
      </c>
      <c r="AB6" s="227" t="str">
        <f t="shared" si="0"/>
        <v>00:04:00</v>
      </c>
      <c r="AC6" s="228">
        <v>0.00310185185185185</v>
      </c>
      <c r="AD6" s="226">
        <f>AA6*60</f>
        <v>240</v>
      </c>
      <c r="AE6" s="229">
        <v>169</v>
      </c>
      <c r="AF6" s="229">
        <v>43</v>
      </c>
      <c r="AH6" s="232"/>
      <c r="AI6" s="233"/>
      <c r="AJ6" s="234"/>
      <c r="AK6" s="232"/>
      <c r="AL6" s="235"/>
      <c r="AM6" s="232"/>
      <c r="AN6" s="232"/>
      <c r="AO6" s="234"/>
      <c r="AP6" s="240"/>
      <c r="AQ6" s="240"/>
      <c r="AR6" s="240"/>
    </row>
    <row r="7" s="182" customFormat="1" ht="22" customHeight="1" spans="1:117">
      <c r="A7" s="156">
        <v>3</v>
      </c>
      <c r="B7" s="190" t="s">
        <v>120</v>
      </c>
      <c r="C7" s="191" t="s">
        <v>1278</v>
      </c>
      <c r="D7" s="190"/>
      <c r="E7" s="156">
        <v>3</v>
      </c>
      <c r="F7" s="156" t="s">
        <v>1311</v>
      </c>
      <c r="G7" s="156" t="s">
        <v>1312</v>
      </c>
      <c r="H7" s="192" t="s">
        <v>124</v>
      </c>
      <c r="I7" s="192" t="s">
        <v>124</v>
      </c>
      <c r="J7" s="192"/>
      <c r="K7" s="192"/>
      <c r="L7" s="192"/>
      <c r="M7" s="192"/>
      <c r="N7" s="49" t="s">
        <v>1313</v>
      </c>
      <c r="O7" s="49"/>
      <c r="P7" s="50"/>
      <c r="Q7" s="214"/>
      <c r="R7" s="214"/>
      <c r="S7" s="212" t="s">
        <v>130</v>
      </c>
      <c r="T7" s="212"/>
      <c r="U7" s="213"/>
      <c r="V7" s="213"/>
      <c r="W7" s="212" t="s">
        <v>130</v>
      </c>
      <c r="X7" s="212" t="s">
        <v>1314</v>
      </c>
      <c r="Y7" s="225" t="s">
        <v>129</v>
      </c>
      <c r="Z7" s="225" t="s">
        <v>129</v>
      </c>
      <c r="AA7" s="226">
        <f t="shared" si="1"/>
        <v>7</v>
      </c>
      <c r="AB7" s="227" t="str">
        <f t="shared" si="0"/>
        <v>00:07:00</v>
      </c>
      <c r="AC7" s="228">
        <v>0.00518518518518519</v>
      </c>
      <c r="AD7" s="226">
        <f>AA7*60</f>
        <v>420</v>
      </c>
      <c r="AE7" s="229">
        <v>169</v>
      </c>
      <c r="AF7" s="229">
        <v>43</v>
      </c>
      <c r="AG7" s="233"/>
      <c r="AH7" s="233"/>
      <c r="AI7" s="233"/>
      <c r="AJ7" s="233"/>
      <c r="AK7" s="233"/>
      <c r="AL7" s="233"/>
      <c r="AM7" s="233"/>
      <c r="AN7" s="233"/>
      <c r="AO7" s="233"/>
      <c r="AP7" s="233"/>
      <c r="AQ7" s="233"/>
      <c r="AR7" s="233"/>
      <c r="AS7" s="233"/>
      <c r="AT7" s="233"/>
      <c r="AU7" s="233"/>
      <c r="AV7" s="233"/>
      <c r="AW7" s="233"/>
      <c r="AX7" s="233"/>
      <c r="AY7" s="233"/>
      <c r="AZ7" s="233"/>
      <c r="BA7" s="233"/>
      <c r="BB7" s="233"/>
      <c r="BC7" s="233"/>
      <c r="BD7" s="233"/>
      <c r="BE7" s="233"/>
      <c r="BF7" s="233"/>
      <c r="BG7" s="233"/>
      <c r="BH7" s="233"/>
      <c r="BI7" s="233"/>
      <c r="BJ7" s="233"/>
      <c r="BK7" s="233"/>
      <c r="BL7" s="233"/>
      <c r="BM7" s="233"/>
      <c r="BN7" s="233"/>
      <c r="BO7" s="233"/>
      <c r="BP7" s="233"/>
      <c r="BQ7" s="233"/>
      <c r="BR7" s="233"/>
      <c r="BS7" s="233"/>
      <c r="BT7" s="233"/>
      <c r="BU7" s="233"/>
      <c r="BV7" s="233"/>
      <c r="BW7" s="233"/>
      <c r="BX7" s="233"/>
      <c r="BY7" s="233"/>
      <c r="BZ7" s="233"/>
      <c r="CA7" s="233"/>
      <c r="CB7" s="233"/>
      <c r="CC7" s="233"/>
      <c r="CD7" s="233"/>
      <c r="CE7" s="233"/>
      <c r="CF7" s="233"/>
      <c r="CG7" s="233"/>
      <c r="CH7" s="233"/>
      <c r="CI7" s="233"/>
      <c r="CJ7" s="233"/>
      <c r="CK7" s="233"/>
      <c r="CL7" s="233"/>
      <c r="CM7" s="233"/>
      <c r="CN7" s="233"/>
      <c r="CO7" s="233"/>
      <c r="CP7" s="233"/>
      <c r="CQ7" s="233"/>
      <c r="CR7" s="233"/>
      <c r="CS7" s="233"/>
      <c r="CT7" s="233"/>
      <c r="CU7" s="233"/>
      <c r="CV7" s="233"/>
      <c r="CW7" s="233"/>
      <c r="CX7" s="233"/>
      <c r="CY7" s="233"/>
      <c r="CZ7" s="233"/>
      <c r="DA7" s="233"/>
      <c r="DB7" s="233"/>
      <c r="DC7" s="233"/>
      <c r="DD7" s="233"/>
      <c r="DE7" s="233"/>
      <c r="DF7" s="233"/>
      <c r="DG7" s="233"/>
      <c r="DH7" s="233"/>
      <c r="DI7" s="233"/>
      <c r="DJ7" s="233"/>
      <c r="DK7" s="233"/>
      <c r="DL7" s="233"/>
      <c r="DM7" s="233"/>
    </row>
    <row r="8" s="183" customFormat="1" ht="22" customHeight="1" spans="1:117">
      <c r="A8" s="156">
        <v>4</v>
      </c>
      <c r="B8" s="190" t="s">
        <v>120</v>
      </c>
      <c r="C8" s="191" t="s">
        <v>1278</v>
      </c>
      <c r="D8" s="190"/>
      <c r="E8" s="156">
        <v>4</v>
      </c>
      <c r="F8" s="156" t="s">
        <v>1315</v>
      </c>
      <c r="G8" s="156" t="s">
        <v>1316</v>
      </c>
      <c r="H8" s="193" t="s">
        <v>124</v>
      </c>
      <c r="I8" s="192" t="s">
        <v>124</v>
      </c>
      <c r="J8" s="193"/>
      <c r="K8" s="193"/>
      <c r="L8" s="193"/>
      <c r="M8" s="201"/>
      <c r="N8" s="49" t="s">
        <v>1317</v>
      </c>
      <c r="O8" s="49"/>
      <c r="P8" s="50"/>
      <c r="Q8" s="214"/>
      <c r="R8" s="214"/>
      <c r="S8" s="212" t="s">
        <v>130</v>
      </c>
      <c r="T8" s="212"/>
      <c r="U8" s="213"/>
      <c r="V8" s="213"/>
      <c r="W8" s="212" t="s">
        <v>131</v>
      </c>
      <c r="X8" s="212" t="s">
        <v>130</v>
      </c>
      <c r="Y8" s="225" t="s">
        <v>129</v>
      </c>
      <c r="Z8" s="225" t="s">
        <v>129</v>
      </c>
      <c r="AA8" s="226">
        <f t="shared" si="1"/>
        <v>7</v>
      </c>
      <c r="AB8" s="227" t="str">
        <f t="shared" si="0"/>
        <v>00:07:00</v>
      </c>
      <c r="AC8" s="228">
        <v>0.00518518518518519</v>
      </c>
      <c r="AD8" s="226">
        <f t="shared" ref="AD8:AD38" si="2">AA8*60</f>
        <v>420</v>
      </c>
      <c r="AE8" s="229">
        <v>169</v>
      </c>
      <c r="AF8" s="229">
        <v>43</v>
      </c>
      <c r="AG8" s="236"/>
      <c r="AH8" s="236"/>
      <c r="AI8" s="236"/>
      <c r="AJ8" s="236"/>
      <c r="AK8" s="236"/>
      <c r="AL8" s="236"/>
      <c r="AM8" s="236"/>
      <c r="AN8" s="236"/>
      <c r="AO8" s="236"/>
      <c r="AP8" s="236"/>
      <c r="AQ8" s="236"/>
      <c r="AR8" s="236"/>
      <c r="AS8" s="236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6"/>
      <c r="BE8" s="236"/>
      <c r="BF8" s="236"/>
      <c r="BG8" s="236"/>
      <c r="BH8" s="236"/>
      <c r="BI8" s="236"/>
      <c r="BJ8" s="236"/>
      <c r="BK8" s="236"/>
      <c r="BL8" s="236"/>
      <c r="BM8" s="236"/>
      <c r="BN8" s="236"/>
      <c r="BO8" s="236"/>
      <c r="BP8" s="236"/>
      <c r="BQ8" s="236"/>
      <c r="BR8" s="236"/>
      <c r="BS8" s="236"/>
      <c r="BT8" s="236"/>
      <c r="BU8" s="236"/>
      <c r="BV8" s="236"/>
      <c r="BW8" s="236"/>
      <c r="BX8" s="236"/>
      <c r="BY8" s="236"/>
      <c r="BZ8" s="236"/>
      <c r="CA8" s="236"/>
      <c r="CB8" s="236"/>
      <c r="CC8" s="236"/>
      <c r="CD8" s="236"/>
      <c r="CE8" s="236"/>
      <c r="CF8" s="236"/>
      <c r="CG8" s="236"/>
      <c r="CH8" s="236"/>
      <c r="CI8" s="236"/>
      <c r="CJ8" s="236"/>
      <c r="CK8" s="236"/>
      <c r="CL8" s="236"/>
      <c r="CM8" s="236"/>
      <c r="CN8" s="236"/>
      <c r="CO8" s="236"/>
      <c r="CP8" s="236"/>
      <c r="CQ8" s="236"/>
      <c r="CR8" s="236"/>
      <c r="CS8" s="236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6"/>
      <c r="DH8" s="236"/>
      <c r="DI8" s="236"/>
      <c r="DJ8" s="236"/>
      <c r="DK8" s="236"/>
      <c r="DL8" s="236"/>
      <c r="DM8" s="236"/>
    </row>
    <row r="9" s="183" customFormat="1" ht="22" customHeight="1" spans="1:117">
      <c r="A9" s="156">
        <v>5</v>
      </c>
      <c r="B9" s="190" t="s">
        <v>120</v>
      </c>
      <c r="C9" s="191" t="s">
        <v>1278</v>
      </c>
      <c r="D9" s="190"/>
      <c r="E9" s="156">
        <v>5</v>
      </c>
      <c r="F9" s="156" t="s">
        <v>1318</v>
      </c>
      <c r="G9" s="156" t="s">
        <v>1319</v>
      </c>
      <c r="H9" s="193" t="s">
        <v>124</v>
      </c>
      <c r="I9" s="193" t="s">
        <v>124</v>
      </c>
      <c r="J9" s="193"/>
      <c r="K9" s="193"/>
      <c r="L9" s="193"/>
      <c r="M9" s="192"/>
      <c r="N9" s="49" t="s">
        <v>1320</v>
      </c>
      <c r="O9" s="49"/>
      <c r="P9" s="50"/>
      <c r="Q9" s="214"/>
      <c r="R9" s="214"/>
      <c r="S9" s="212" t="s">
        <v>130</v>
      </c>
      <c r="T9" s="212"/>
      <c r="U9" s="213"/>
      <c r="V9" s="213"/>
      <c r="W9" s="212" t="s">
        <v>131</v>
      </c>
      <c r="X9" s="212" t="s">
        <v>130</v>
      </c>
      <c r="Y9" s="225" t="s">
        <v>129</v>
      </c>
      <c r="Z9" s="225" t="s">
        <v>129</v>
      </c>
      <c r="AA9" s="226">
        <f t="shared" si="1"/>
        <v>4</v>
      </c>
      <c r="AB9" s="227" t="str">
        <f t="shared" si="0"/>
        <v>00:04:00</v>
      </c>
      <c r="AC9" s="228">
        <v>0.00310185185185185</v>
      </c>
      <c r="AD9" s="226">
        <f t="shared" si="2"/>
        <v>240</v>
      </c>
      <c r="AE9" s="229">
        <v>169</v>
      </c>
      <c r="AF9" s="229">
        <v>43</v>
      </c>
      <c r="AG9" s="236"/>
      <c r="AH9" s="236"/>
      <c r="AI9" s="236"/>
      <c r="AJ9" s="236"/>
      <c r="AK9" s="236"/>
      <c r="AL9" s="236"/>
      <c r="AM9" s="236"/>
      <c r="AN9" s="236"/>
      <c r="AO9" s="236"/>
      <c r="AP9" s="236"/>
      <c r="AQ9" s="236"/>
      <c r="AR9" s="236"/>
      <c r="AS9" s="236"/>
      <c r="AT9" s="236"/>
      <c r="AU9" s="236"/>
      <c r="AV9" s="236"/>
      <c r="AW9" s="236"/>
      <c r="AX9" s="236"/>
      <c r="AY9" s="236"/>
      <c r="AZ9" s="236"/>
      <c r="BA9" s="236"/>
      <c r="BB9" s="236"/>
      <c r="BC9" s="236"/>
      <c r="BD9" s="236"/>
      <c r="BE9" s="236"/>
      <c r="BF9" s="236"/>
      <c r="BG9" s="236"/>
      <c r="BH9" s="236"/>
      <c r="BI9" s="236"/>
      <c r="BJ9" s="236"/>
      <c r="BK9" s="236"/>
      <c r="BL9" s="236"/>
      <c r="BM9" s="236"/>
      <c r="BN9" s="236"/>
      <c r="BO9" s="236"/>
      <c r="BP9" s="236"/>
      <c r="BQ9" s="236"/>
      <c r="BR9" s="236"/>
      <c r="BS9" s="236"/>
      <c r="BT9" s="236"/>
      <c r="BU9" s="236"/>
      <c r="BV9" s="236"/>
      <c r="BW9" s="236"/>
      <c r="BX9" s="236"/>
      <c r="BY9" s="236"/>
      <c r="BZ9" s="236"/>
      <c r="CA9" s="236"/>
      <c r="CB9" s="236"/>
      <c r="CC9" s="236"/>
      <c r="CD9" s="236"/>
      <c r="CE9" s="236"/>
      <c r="CF9" s="236"/>
      <c r="CG9" s="236"/>
      <c r="CH9" s="236"/>
      <c r="CI9" s="236"/>
      <c r="CJ9" s="236"/>
      <c r="CK9" s="236"/>
      <c r="CL9" s="236"/>
      <c r="CM9" s="236"/>
      <c r="CN9" s="236"/>
      <c r="CO9" s="236"/>
      <c r="CP9" s="236"/>
      <c r="CQ9" s="236"/>
      <c r="CR9" s="236"/>
      <c r="CS9" s="236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</row>
    <row r="10" s="183" customFormat="1" ht="22" customHeight="1" spans="1:117">
      <c r="A10" s="156">
        <v>6</v>
      </c>
      <c r="B10" s="190" t="s">
        <v>120</v>
      </c>
      <c r="C10" s="191" t="s">
        <v>1278</v>
      </c>
      <c r="D10" s="190"/>
      <c r="E10" s="156">
        <v>6</v>
      </c>
      <c r="F10" s="156" t="s">
        <v>1321</v>
      </c>
      <c r="G10" s="156" t="s">
        <v>1322</v>
      </c>
      <c r="H10" s="192" t="s">
        <v>124</v>
      </c>
      <c r="I10" s="192" t="s">
        <v>124</v>
      </c>
      <c r="J10" s="192"/>
      <c r="K10" s="192"/>
      <c r="L10" s="192"/>
      <c r="M10" s="192"/>
      <c r="N10" s="49" t="s">
        <v>1323</v>
      </c>
      <c r="O10" s="49"/>
      <c r="P10" s="50"/>
      <c r="Q10" s="214"/>
      <c r="R10" s="214"/>
      <c r="S10" s="212" t="s">
        <v>130</v>
      </c>
      <c r="T10" s="212"/>
      <c r="U10" s="213"/>
      <c r="V10" s="213"/>
      <c r="W10" s="212" t="s">
        <v>130</v>
      </c>
      <c r="X10" s="212" t="s">
        <v>1314</v>
      </c>
      <c r="Y10" s="225" t="s">
        <v>129</v>
      </c>
      <c r="Z10" s="225" t="s">
        <v>129</v>
      </c>
      <c r="AA10" s="226">
        <f t="shared" si="1"/>
        <v>7</v>
      </c>
      <c r="AB10" s="227" t="str">
        <f t="shared" si="0"/>
        <v>00:07:00</v>
      </c>
      <c r="AC10" s="228">
        <v>0.00518518518518519</v>
      </c>
      <c r="AD10" s="226">
        <f t="shared" si="2"/>
        <v>420</v>
      </c>
      <c r="AE10" s="229">
        <v>169</v>
      </c>
      <c r="AF10" s="229">
        <v>43</v>
      </c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236"/>
      <c r="BJ10" s="236"/>
      <c r="BK10" s="236"/>
      <c r="BL10" s="236"/>
      <c r="BM10" s="236"/>
      <c r="BN10" s="236"/>
      <c r="BO10" s="236"/>
      <c r="BP10" s="236"/>
      <c r="BQ10" s="236"/>
      <c r="BR10" s="236"/>
      <c r="BS10" s="236"/>
      <c r="BT10" s="236"/>
      <c r="BU10" s="236"/>
      <c r="BV10" s="236"/>
      <c r="BW10" s="236"/>
      <c r="BX10" s="236"/>
      <c r="BY10" s="236"/>
      <c r="BZ10" s="236"/>
      <c r="CA10" s="236"/>
      <c r="CB10" s="236"/>
      <c r="CC10" s="236"/>
      <c r="CD10" s="236"/>
      <c r="CE10" s="236"/>
      <c r="CF10" s="236"/>
      <c r="CG10" s="236"/>
      <c r="CH10" s="236"/>
      <c r="CI10" s="236"/>
      <c r="CJ10" s="236"/>
      <c r="CK10" s="236"/>
      <c r="CL10" s="236"/>
      <c r="CM10" s="236"/>
      <c r="CN10" s="236"/>
      <c r="CO10" s="236"/>
      <c r="CP10" s="236"/>
      <c r="CQ10" s="236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</row>
    <row r="11" s="183" customFormat="1" ht="22" customHeight="1" spans="1:117">
      <c r="A11" s="156">
        <v>7</v>
      </c>
      <c r="B11" s="190" t="s">
        <v>120</v>
      </c>
      <c r="C11" s="191" t="s">
        <v>1278</v>
      </c>
      <c r="D11" s="190"/>
      <c r="E11" s="156">
        <v>7</v>
      </c>
      <c r="F11" s="156" t="s">
        <v>1324</v>
      </c>
      <c r="G11" s="156" t="s">
        <v>1325</v>
      </c>
      <c r="H11" s="192" t="s">
        <v>124</v>
      </c>
      <c r="I11" s="193" t="s">
        <v>124</v>
      </c>
      <c r="J11" s="193"/>
      <c r="K11" s="193"/>
      <c r="L11" s="193"/>
      <c r="M11" s="201"/>
      <c r="N11" s="49" t="s">
        <v>1326</v>
      </c>
      <c r="O11" s="49"/>
      <c r="P11" s="50"/>
      <c r="Q11" s="214"/>
      <c r="R11" s="214"/>
      <c r="S11" s="212" t="s">
        <v>130</v>
      </c>
      <c r="T11" s="212"/>
      <c r="U11" s="213"/>
      <c r="V11" s="213"/>
      <c r="W11" s="212" t="s">
        <v>131</v>
      </c>
      <c r="X11" s="212" t="s">
        <v>130</v>
      </c>
      <c r="Y11" s="225" t="s">
        <v>129</v>
      </c>
      <c r="Z11" s="225" t="s">
        <v>129</v>
      </c>
      <c r="AA11" s="226">
        <f t="shared" si="1"/>
        <v>7</v>
      </c>
      <c r="AB11" s="227" t="str">
        <f t="shared" si="0"/>
        <v>00:07:00</v>
      </c>
      <c r="AC11" s="228">
        <v>0.00518518518518519</v>
      </c>
      <c r="AD11" s="226">
        <f t="shared" si="2"/>
        <v>420</v>
      </c>
      <c r="AE11" s="229">
        <v>169</v>
      </c>
      <c r="AF11" s="229">
        <v>43</v>
      </c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/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</row>
    <row r="12" s="183" customFormat="1" ht="22" customHeight="1" spans="1:117">
      <c r="A12" s="156">
        <v>8</v>
      </c>
      <c r="B12" s="190" t="s">
        <v>120</v>
      </c>
      <c r="C12" s="191" t="s">
        <v>1278</v>
      </c>
      <c r="D12" s="190"/>
      <c r="E12" s="156">
        <v>8</v>
      </c>
      <c r="F12" s="156" t="s">
        <v>1327</v>
      </c>
      <c r="G12" s="156" t="s">
        <v>1328</v>
      </c>
      <c r="H12" s="192" t="s">
        <v>124</v>
      </c>
      <c r="I12" s="192" t="s">
        <v>124</v>
      </c>
      <c r="J12" s="192"/>
      <c r="K12" s="192"/>
      <c r="L12" s="192"/>
      <c r="M12" s="192"/>
      <c r="N12" s="49" t="s">
        <v>1329</v>
      </c>
      <c r="O12" s="49"/>
      <c r="P12" s="50"/>
      <c r="Q12" s="214"/>
      <c r="R12" s="214"/>
      <c r="S12" s="212" t="s">
        <v>130</v>
      </c>
      <c r="T12" s="212"/>
      <c r="U12" s="213"/>
      <c r="V12" s="213"/>
      <c r="W12" s="212" t="s">
        <v>131</v>
      </c>
      <c r="X12" s="212" t="s">
        <v>130</v>
      </c>
      <c r="Y12" s="225" t="s">
        <v>129</v>
      </c>
      <c r="Z12" s="225" t="s">
        <v>129</v>
      </c>
      <c r="AA12" s="226">
        <f t="shared" si="1"/>
        <v>4</v>
      </c>
      <c r="AB12" s="227" t="str">
        <f t="shared" si="0"/>
        <v>00:04:00</v>
      </c>
      <c r="AC12" s="228">
        <v>0.00310185185185185</v>
      </c>
      <c r="AD12" s="226">
        <f t="shared" si="2"/>
        <v>240</v>
      </c>
      <c r="AE12" s="229">
        <v>169</v>
      </c>
      <c r="AF12" s="229">
        <v>43</v>
      </c>
      <c r="AG12" s="236"/>
      <c r="AH12" s="236"/>
      <c r="AI12" s="236"/>
      <c r="AJ12" s="236"/>
      <c r="AK12" s="236"/>
      <c r="AL12" s="236"/>
      <c r="AM12" s="236"/>
      <c r="AN12" s="236"/>
      <c r="AO12" s="236"/>
      <c r="AP12" s="236"/>
      <c r="AQ12" s="236"/>
      <c r="AR12" s="236"/>
      <c r="AS12" s="236"/>
      <c r="AT12" s="236"/>
      <c r="AU12" s="236"/>
      <c r="AV12" s="236"/>
      <c r="AW12" s="236"/>
      <c r="AX12" s="236"/>
      <c r="AY12" s="236"/>
      <c r="AZ12" s="236"/>
      <c r="BA12" s="236"/>
      <c r="BB12" s="236"/>
      <c r="BC12" s="236"/>
      <c r="BD12" s="236"/>
      <c r="BE12" s="236"/>
      <c r="BF12" s="236"/>
      <c r="BG12" s="236"/>
      <c r="BH12" s="236"/>
      <c r="BI12" s="236"/>
      <c r="BJ12" s="236"/>
      <c r="BK12" s="236"/>
      <c r="BL12" s="236"/>
      <c r="BM12" s="236"/>
      <c r="BN12" s="236"/>
      <c r="BO12" s="236"/>
      <c r="BP12" s="236"/>
      <c r="BQ12" s="236"/>
      <c r="BR12" s="236"/>
      <c r="BS12" s="236"/>
      <c r="BT12" s="236"/>
      <c r="BU12" s="236"/>
      <c r="BV12" s="236"/>
      <c r="BW12" s="236"/>
      <c r="BX12" s="236"/>
      <c r="BY12" s="236"/>
      <c r="BZ12" s="236"/>
      <c r="CA12" s="236"/>
      <c r="CB12" s="236"/>
      <c r="CC12" s="236"/>
      <c r="CD12" s="236"/>
      <c r="CE12" s="236"/>
      <c r="CF12" s="236"/>
      <c r="CG12" s="236"/>
      <c r="CH12" s="236"/>
      <c r="CI12" s="236"/>
      <c r="CJ12" s="236"/>
      <c r="CK12" s="236"/>
      <c r="CL12" s="236"/>
      <c r="CM12" s="236"/>
      <c r="CN12" s="236"/>
      <c r="CO12" s="236"/>
      <c r="CP12" s="236"/>
      <c r="CQ12" s="236"/>
      <c r="CR12" s="236"/>
      <c r="CS12" s="236"/>
      <c r="CT12" s="236"/>
      <c r="CU12" s="236"/>
      <c r="CV12" s="236"/>
      <c r="CW12" s="236"/>
      <c r="CX12" s="236"/>
      <c r="CY12" s="236"/>
      <c r="CZ12" s="236"/>
      <c r="DA12" s="236"/>
      <c r="DB12" s="236"/>
      <c r="DC12" s="236"/>
      <c r="DD12" s="236"/>
      <c r="DE12" s="236"/>
      <c r="DF12" s="236"/>
      <c r="DG12" s="236"/>
      <c r="DH12" s="236"/>
      <c r="DI12" s="236"/>
      <c r="DJ12" s="236"/>
      <c r="DK12" s="236"/>
      <c r="DL12" s="236"/>
      <c r="DM12" s="236"/>
    </row>
    <row r="13" s="183" customFormat="1" ht="22" customHeight="1" spans="1:117">
      <c r="A13" s="156">
        <v>9</v>
      </c>
      <c r="B13" s="190" t="s">
        <v>120</v>
      </c>
      <c r="C13" s="191" t="s">
        <v>1278</v>
      </c>
      <c r="D13" s="190"/>
      <c r="E13" s="156">
        <v>9</v>
      </c>
      <c r="F13" s="156" t="s">
        <v>1330</v>
      </c>
      <c r="G13" s="156" t="s">
        <v>1331</v>
      </c>
      <c r="H13" s="192" t="s">
        <v>124</v>
      </c>
      <c r="I13" s="192" t="s">
        <v>124</v>
      </c>
      <c r="J13" s="192"/>
      <c r="K13" s="192"/>
      <c r="L13" s="192"/>
      <c r="M13" s="192"/>
      <c r="N13" s="49" t="s">
        <v>1332</v>
      </c>
      <c r="O13" s="49"/>
      <c r="P13" s="50"/>
      <c r="Q13" s="214"/>
      <c r="R13" s="214"/>
      <c r="S13" s="212" t="s">
        <v>130</v>
      </c>
      <c r="T13" s="212"/>
      <c r="U13" s="213"/>
      <c r="V13" s="213"/>
      <c r="W13" s="212" t="s">
        <v>130</v>
      </c>
      <c r="X13" s="212" t="s">
        <v>1314</v>
      </c>
      <c r="Y13" s="225" t="s">
        <v>129</v>
      </c>
      <c r="Z13" s="225" t="s">
        <v>129</v>
      </c>
      <c r="AA13" s="226">
        <f t="shared" si="1"/>
        <v>7</v>
      </c>
      <c r="AB13" s="227" t="str">
        <f t="shared" si="0"/>
        <v>00:07:00</v>
      </c>
      <c r="AC13" s="228">
        <v>0.00518518518518519</v>
      </c>
      <c r="AD13" s="226">
        <f t="shared" si="2"/>
        <v>420</v>
      </c>
      <c r="AE13" s="229">
        <v>169</v>
      </c>
      <c r="AF13" s="229">
        <v>43</v>
      </c>
      <c r="AG13" s="236"/>
      <c r="AH13" s="236"/>
      <c r="AI13" s="236"/>
      <c r="AJ13" s="236"/>
      <c r="AK13" s="236"/>
      <c r="AL13" s="236"/>
      <c r="AM13" s="236"/>
      <c r="AN13" s="236"/>
      <c r="AO13" s="236"/>
      <c r="AP13" s="236"/>
      <c r="AQ13" s="236"/>
      <c r="AR13" s="236"/>
      <c r="AS13" s="236"/>
      <c r="AT13" s="236"/>
      <c r="AU13" s="236"/>
      <c r="AV13" s="236"/>
      <c r="AW13" s="236"/>
      <c r="AX13" s="236"/>
      <c r="AY13" s="236"/>
      <c r="AZ13" s="236"/>
      <c r="BA13" s="236"/>
      <c r="BB13" s="236"/>
      <c r="BC13" s="236"/>
      <c r="BD13" s="236"/>
      <c r="BE13" s="236"/>
      <c r="BF13" s="236"/>
      <c r="BG13" s="236"/>
      <c r="BH13" s="236"/>
      <c r="BI13" s="236"/>
      <c r="BJ13" s="236"/>
      <c r="BK13" s="236"/>
      <c r="BL13" s="236"/>
      <c r="BM13" s="236"/>
      <c r="BN13" s="236"/>
      <c r="BO13" s="236"/>
      <c r="BP13" s="236"/>
      <c r="BQ13" s="236"/>
      <c r="BR13" s="236"/>
      <c r="BS13" s="236"/>
      <c r="BT13" s="236"/>
      <c r="BU13" s="236"/>
      <c r="BV13" s="236"/>
      <c r="BW13" s="236"/>
      <c r="BX13" s="236"/>
      <c r="BY13" s="236"/>
      <c r="BZ13" s="236"/>
      <c r="CA13" s="236"/>
      <c r="CB13" s="236"/>
      <c r="CC13" s="236"/>
      <c r="CD13" s="236"/>
      <c r="CE13" s="236"/>
      <c r="CF13" s="236"/>
      <c r="CG13" s="236"/>
      <c r="CH13" s="236"/>
      <c r="CI13" s="236"/>
      <c r="CJ13" s="236"/>
      <c r="CK13" s="236"/>
      <c r="CL13" s="236"/>
      <c r="CM13" s="236"/>
      <c r="CN13" s="236"/>
      <c r="CO13" s="236"/>
      <c r="CP13" s="236"/>
      <c r="CQ13" s="236"/>
      <c r="CR13" s="236"/>
      <c r="CS13" s="236"/>
      <c r="CT13" s="236"/>
      <c r="CU13" s="236"/>
      <c r="CV13" s="236"/>
      <c r="CW13" s="236"/>
      <c r="CX13" s="236"/>
      <c r="CY13" s="236"/>
      <c r="CZ13" s="236"/>
      <c r="DA13" s="236"/>
      <c r="DB13" s="236"/>
      <c r="DC13" s="236"/>
      <c r="DD13" s="236"/>
      <c r="DE13" s="236"/>
      <c r="DF13" s="236"/>
      <c r="DG13" s="236"/>
      <c r="DH13" s="236"/>
      <c r="DI13" s="236"/>
      <c r="DJ13" s="236"/>
      <c r="DK13" s="236"/>
      <c r="DL13" s="236"/>
      <c r="DM13" s="236"/>
    </row>
    <row r="14" s="1" customFormat="1" ht="22" customHeight="1" spans="1:44">
      <c r="A14" s="156">
        <v>10</v>
      </c>
      <c r="B14" s="190" t="s">
        <v>120</v>
      </c>
      <c r="C14" s="191" t="s">
        <v>1278</v>
      </c>
      <c r="D14" s="190"/>
      <c r="E14" s="156">
        <v>10</v>
      </c>
      <c r="F14" s="156" t="s">
        <v>1333</v>
      </c>
      <c r="G14" s="156" t="s">
        <v>1334</v>
      </c>
      <c r="H14" s="192"/>
      <c r="I14" s="192"/>
      <c r="J14" s="192"/>
      <c r="K14" s="192"/>
      <c r="L14" s="192" t="s">
        <v>124</v>
      </c>
      <c r="M14" s="192" t="s">
        <v>124</v>
      </c>
      <c r="N14" s="49"/>
      <c r="O14" s="49"/>
      <c r="P14" s="50"/>
      <c r="Q14" s="214" t="str">
        <f t="shared" ref="Q14:Q19" si="3"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",""),"：",""),"'",""),"π","PI"),"，",""),"_CA",B14,"_i4K_",AF14,"_",PROPER(S14),IF(T14="",PROPER(S14),PROPER(T14)),PROPER(U14),PROPER(V14),PROPER(W14),IF(W14&lt;&gt;"","SUB",""),PROPER(X14),IF(X14&lt;&gt;"","SUB",""),"_","Ed","_","M1",".mpg")</f>
        <v>A330200_Eng0825SafetyVideo_CA0825_i4K_43_ZhoZhoEngSUBZhoSUB_Ed_M1.mpg</v>
      </c>
      <c r="R14" s="214" t="str">
        <f>CONCATENATE(SUBSTITUTE(SUBSTITUTE(SUBSTITUTE(SUBSTITUTE(SUBSTITUTE(SUBSTITUTE(SUBSTITUTE(SUBSTITUTE(SUBSTITUTE(SUBSTITUTE(SUBSTITUTE(SUBSTITUTE(SUBSTITUTE(SUBSTITUTE(SUBSTITUTE(SUBSTITUTE(SUBSTITUTE(SUBSTITUTE(SUBSTITUTE(SUBSTITUTE(SUBSTITUTE(SUBSTITUTE(G14,":","")," '",""),",",""),".",""),"&amp;",""),"(",""),")",""),"%",""),"/",""),"*",""),"？",""),"?",""),"！",""),"!",""),"-",""),"（",""),"）","")," ",""),"：",""),"'",""),"π","PI"),"，",""),"_CA",B14,"_i5K_",AE14,"_",PROPER(S14),IF(T14="",PROPER(S14),PROPER(T14)),PROPER(U14),PROPER(V14),PROPER(W14),IF(W14&lt;&gt;"","SUB",""),PROPER(X14),IF(X14&lt;&gt;"","SUB",""),"_","Ed","_","M2",".mpg")</f>
        <v>A330200_Eng0825SafetyVideo_CA0825_i5K_169_ZhoZhoEngSUBZhoSUB_Ed_M2.mpg</v>
      </c>
      <c r="S14" s="212" t="s">
        <v>130</v>
      </c>
      <c r="T14" s="212"/>
      <c r="U14" s="213"/>
      <c r="V14" s="213"/>
      <c r="W14" s="213" t="s">
        <v>131</v>
      </c>
      <c r="X14" s="212" t="s">
        <v>130</v>
      </c>
      <c r="Y14" s="225" t="s">
        <v>129</v>
      </c>
      <c r="Z14" s="225" t="s">
        <v>129</v>
      </c>
      <c r="AA14" s="226">
        <f t="shared" si="1"/>
        <v>7</v>
      </c>
      <c r="AB14" s="227" t="str">
        <f t="shared" si="0"/>
        <v>00:07:00</v>
      </c>
      <c r="AC14" s="228">
        <v>0.00518518518518519</v>
      </c>
      <c r="AD14" s="226">
        <f t="shared" si="2"/>
        <v>420</v>
      </c>
      <c r="AE14" s="229">
        <v>169</v>
      </c>
      <c r="AF14" s="229">
        <v>43</v>
      </c>
      <c r="AH14" s="74"/>
      <c r="AI14" s="75"/>
      <c r="AJ14" s="3"/>
      <c r="AK14" s="74"/>
      <c r="AL14" s="76"/>
      <c r="AM14" s="74"/>
      <c r="AN14" s="74"/>
      <c r="AO14" s="3"/>
      <c r="AP14" s="5"/>
      <c r="AQ14" s="5"/>
      <c r="AR14" s="5"/>
    </row>
    <row r="15" s="1" customFormat="1" ht="22" customHeight="1" spans="1:44">
      <c r="A15" s="156">
        <v>11</v>
      </c>
      <c r="B15" s="190" t="s">
        <v>120</v>
      </c>
      <c r="C15" s="191" t="s">
        <v>1278</v>
      </c>
      <c r="D15" s="190"/>
      <c r="E15" s="156">
        <v>11</v>
      </c>
      <c r="F15" s="156" t="s">
        <v>1335</v>
      </c>
      <c r="G15" s="156" t="s">
        <v>1336</v>
      </c>
      <c r="H15" s="192"/>
      <c r="I15" s="192"/>
      <c r="J15" s="192"/>
      <c r="K15" s="192"/>
      <c r="L15" s="192" t="s">
        <v>124</v>
      </c>
      <c r="M15" s="192" t="s">
        <v>124</v>
      </c>
      <c r="N15" s="49"/>
      <c r="O15" s="49"/>
      <c r="P15" s="50"/>
      <c r="Q15" s="214" t="str">
        <f t="shared" si="3"/>
        <v>A330200_Zho0825SafetyVideo_CA0825_i4K_43_ZhoZhoEngSUBZhoSUB_Ed_M1.mpg</v>
      </c>
      <c r="R15" s="214" t="str">
        <f t="shared" ref="R15:R22" si="4">CONCATENATE(SUBSTITUTE(SUBSTITUTE(SUBSTITUTE(SUBSTITUTE(SUBSTITUTE(SUBSTITUTE(SUBSTITUTE(SUBSTITUTE(SUBSTITUTE(SUBSTITUTE(SUBSTITUTE(SUBSTITUTE(SUBSTITUTE(SUBSTITUTE(SUBSTITUTE(SUBSTITUTE(SUBSTITUTE(SUBSTITUTE(SUBSTITUTE(SUBSTITUTE(SUBSTITUTE(SUBSTITUTE(G15,":","")," '",""),",",""),".",""),"&amp;",""),"(",""),")",""),"%",""),"/",""),"*",""),"？",""),"?",""),"！",""),"!",""),"-",""),"（",""),"）","")," ",""),"：",""),"'",""),"π","PI"),"，",""),"_CA",B15,"_i5K_",AE15,"_",PROPER(S15),IF(T15="",PROPER(S15),PROPER(T15)),PROPER(U15),PROPER(V15),PROPER(W15),IF(W15&lt;&gt;"","SUB",""),PROPER(X15),IF(X15&lt;&gt;"","SUB",""),"_","Ed","_","M2",".mpg")</f>
        <v>A330200_Zho0825SafetyVideo_CA0825_i5K_169_ZhoZhoEngSUBZhoSUB_Ed_M2.mpg</v>
      </c>
      <c r="S15" s="212" t="s">
        <v>130</v>
      </c>
      <c r="T15" s="212"/>
      <c r="U15" s="213"/>
      <c r="V15" s="213"/>
      <c r="W15" s="213" t="s">
        <v>131</v>
      </c>
      <c r="X15" s="212" t="s">
        <v>130</v>
      </c>
      <c r="Y15" s="225" t="s">
        <v>129</v>
      </c>
      <c r="Z15" s="225" t="s">
        <v>129</v>
      </c>
      <c r="AA15" s="226">
        <f t="shared" si="1"/>
        <v>4</v>
      </c>
      <c r="AB15" s="227" t="str">
        <f t="shared" si="0"/>
        <v>00:04:00</v>
      </c>
      <c r="AC15" s="228">
        <v>0.00310185185185185</v>
      </c>
      <c r="AD15" s="226">
        <f t="shared" si="2"/>
        <v>240</v>
      </c>
      <c r="AE15" s="229">
        <v>169</v>
      </c>
      <c r="AF15" s="229">
        <v>43</v>
      </c>
      <c r="AH15" s="74"/>
      <c r="AI15" s="75"/>
      <c r="AJ15" s="3"/>
      <c r="AK15" s="74"/>
      <c r="AL15" s="76"/>
      <c r="AM15" s="74"/>
      <c r="AN15" s="74"/>
      <c r="AO15" s="3"/>
      <c r="AP15" s="5"/>
      <c r="AQ15" s="5"/>
      <c r="AR15" s="5"/>
    </row>
    <row r="16" s="1" customFormat="1" ht="22" customHeight="1" spans="1:44">
      <c r="A16" s="156">
        <v>12</v>
      </c>
      <c r="B16" s="190" t="s">
        <v>120</v>
      </c>
      <c r="C16" s="191" t="s">
        <v>1278</v>
      </c>
      <c r="D16" s="190"/>
      <c r="E16" s="156">
        <v>12</v>
      </c>
      <c r="F16" s="156"/>
      <c r="G16" s="156" t="s">
        <v>1337</v>
      </c>
      <c r="H16" s="192"/>
      <c r="I16" s="192"/>
      <c r="J16" s="192"/>
      <c r="K16" s="192"/>
      <c r="L16" s="192" t="s">
        <v>124</v>
      </c>
      <c r="M16" s="192" t="s">
        <v>124</v>
      </c>
      <c r="N16" s="49"/>
      <c r="O16" s="49"/>
      <c r="P16" s="50"/>
      <c r="Q16" s="214" t="str">
        <f t="shared" si="3"/>
        <v>A330200_Can0825SafetyVideo_CA0825_i4K_43_ZhoZhoZhoSUBCanSUB_Ed_M1.mpg</v>
      </c>
      <c r="R16" s="214" t="str">
        <f t="shared" si="4"/>
        <v>A330200_Can0825SafetyVideo_CA0825_i5K_169_ZhoZhoZhoSUBCanSUB_Ed_M2.mpg</v>
      </c>
      <c r="S16" s="212" t="s">
        <v>130</v>
      </c>
      <c r="T16" s="212"/>
      <c r="U16" s="213"/>
      <c r="V16" s="213"/>
      <c r="W16" s="213" t="s">
        <v>130</v>
      </c>
      <c r="X16" s="212" t="s">
        <v>1314</v>
      </c>
      <c r="Y16" s="225" t="s">
        <v>129</v>
      </c>
      <c r="Z16" s="225" t="s">
        <v>129</v>
      </c>
      <c r="AA16" s="226">
        <f t="shared" si="1"/>
        <v>7</v>
      </c>
      <c r="AB16" s="227" t="str">
        <f t="shared" si="0"/>
        <v>00:07:00</v>
      </c>
      <c r="AC16" s="228">
        <v>0.00518518518518519</v>
      </c>
      <c r="AD16" s="226">
        <f t="shared" si="2"/>
        <v>420</v>
      </c>
      <c r="AE16" s="229">
        <v>169</v>
      </c>
      <c r="AF16" s="229">
        <v>43</v>
      </c>
      <c r="AH16" s="74"/>
      <c r="AI16" s="75"/>
      <c r="AJ16" s="3"/>
      <c r="AK16" s="74"/>
      <c r="AL16" s="76"/>
      <c r="AM16" s="74"/>
      <c r="AN16" s="74"/>
      <c r="AO16" s="3"/>
      <c r="AP16" s="5"/>
      <c r="AQ16" s="5"/>
      <c r="AR16" s="5"/>
    </row>
    <row r="17" s="1" customFormat="1" ht="22" customHeight="1" spans="1:44">
      <c r="A17" s="156">
        <v>13</v>
      </c>
      <c r="B17" s="190" t="s">
        <v>120</v>
      </c>
      <c r="C17" s="191" t="s">
        <v>1278</v>
      </c>
      <c r="D17" s="190"/>
      <c r="E17" s="156">
        <v>13</v>
      </c>
      <c r="F17" s="156" t="s">
        <v>1338</v>
      </c>
      <c r="G17" s="156" t="s">
        <v>1339</v>
      </c>
      <c r="H17" s="192"/>
      <c r="I17" s="192"/>
      <c r="J17" s="192"/>
      <c r="K17" s="192"/>
      <c r="L17" s="192" t="s">
        <v>124</v>
      </c>
      <c r="M17" s="192" t="s">
        <v>124</v>
      </c>
      <c r="N17" s="49"/>
      <c r="O17" s="49"/>
      <c r="P17" s="50"/>
      <c r="Q17" s="214" t="str">
        <f t="shared" si="3"/>
        <v>A330300_Eng0825SafetyVideo_CA0825_i4K_43_ZhoZhoEngSUBZhoSUB_Ed_M1.mpg</v>
      </c>
      <c r="R17" s="214" t="str">
        <f t="shared" si="4"/>
        <v>A330300_Eng0825SafetyVideo_CA0825_i5K_169_ZhoZhoEngSUBZhoSUB_Ed_M2.mpg</v>
      </c>
      <c r="S17" s="212" t="s">
        <v>130</v>
      </c>
      <c r="T17" s="212"/>
      <c r="U17" s="213"/>
      <c r="V17" s="213"/>
      <c r="W17" s="213" t="s">
        <v>131</v>
      </c>
      <c r="X17" s="212" t="s">
        <v>130</v>
      </c>
      <c r="Y17" s="225" t="s">
        <v>129</v>
      </c>
      <c r="Z17" s="225" t="s">
        <v>129</v>
      </c>
      <c r="AA17" s="226">
        <f t="shared" si="1"/>
        <v>7</v>
      </c>
      <c r="AB17" s="227" t="str">
        <f t="shared" si="0"/>
        <v>00:07:00</v>
      </c>
      <c r="AC17" s="228">
        <v>0.00518518518518519</v>
      </c>
      <c r="AD17" s="226">
        <f t="shared" si="2"/>
        <v>420</v>
      </c>
      <c r="AE17" s="229">
        <v>169</v>
      </c>
      <c r="AF17" s="229">
        <v>43</v>
      </c>
      <c r="AH17" s="74"/>
      <c r="AI17" s="75"/>
      <c r="AJ17" s="3"/>
      <c r="AK17" s="74"/>
      <c r="AL17" s="76"/>
      <c r="AM17" s="74"/>
      <c r="AN17" s="74"/>
      <c r="AO17" s="3"/>
      <c r="AP17" s="5"/>
      <c r="AQ17" s="5"/>
      <c r="AR17" s="5"/>
    </row>
    <row r="18" s="1" customFormat="1" ht="22" customHeight="1" spans="1:44">
      <c r="A18" s="156">
        <v>14</v>
      </c>
      <c r="B18" s="190" t="s">
        <v>120</v>
      </c>
      <c r="C18" s="191" t="s">
        <v>1278</v>
      </c>
      <c r="D18" s="190"/>
      <c r="E18" s="156">
        <v>14</v>
      </c>
      <c r="F18" s="156" t="s">
        <v>1340</v>
      </c>
      <c r="G18" s="156" t="s">
        <v>1341</v>
      </c>
      <c r="H18" s="192"/>
      <c r="I18" s="192"/>
      <c r="J18" s="192"/>
      <c r="K18" s="192"/>
      <c r="L18" s="192" t="s">
        <v>124</v>
      </c>
      <c r="M18" s="192" t="s">
        <v>124</v>
      </c>
      <c r="N18" s="49"/>
      <c r="O18" s="49"/>
      <c r="P18" s="50"/>
      <c r="Q18" s="214" t="str">
        <f t="shared" si="3"/>
        <v>A330300_Zho0825SafetyVideo_CA0825_i4K_43_ZhoZhoEngSUBZhoSUB_Ed_M1.mpg</v>
      </c>
      <c r="R18" s="214" t="str">
        <f t="shared" si="4"/>
        <v>A330300_Zho0825SafetyVideo_CA0825_i5K_169_ZhoZhoEngSUBZhoSUB_Ed_M2.mpg</v>
      </c>
      <c r="S18" s="212" t="s">
        <v>130</v>
      </c>
      <c r="T18" s="212"/>
      <c r="U18" s="213"/>
      <c r="V18" s="213"/>
      <c r="W18" s="213" t="s">
        <v>131</v>
      </c>
      <c r="X18" s="212" t="s">
        <v>130</v>
      </c>
      <c r="Y18" s="225" t="s">
        <v>129</v>
      </c>
      <c r="Z18" s="225" t="s">
        <v>129</v>
      </c>
      <c r="AA18" s="226">
        <f t="shared" si="1"/>
        <v>4</v>
      </c>
      <c r="AB18" s="227" t="str">
        <f t="shared" si="0"/>
        <v>00:04:00</v>
      </c>
      <c r="AC18" s="228">
        <v>0.00310185185185185</v>
      </c>
      <c r="AD18" s="226">
        <f t="shared" si="2"/>
        <v>240</v>
      </c>
      <c r="AE18" s="229">
        <v>169</v>
      </c>
      <c r="AF18" s="229">
        <v>43</v>
      </c>
      <c r="AH18" s="74"/>
      <c r="AI18" s="75"/>
      <c r="AJ18" s="3"/>
      <c r="AK18" s="74"/>
      <c r="AL18" s="76"/>
      <c r="AM18" s="74"/>
      <c r="AN18" s="74"/>
      <c r="AO18" s="3"/>
      <c r="AP18" s="5"/>
      <c r="AQ18" s="5"/>
      <c r="AR18" s="5"/>
    </row>
    <row r="19" s="1" customFormat="1" ht="22" customHeight="1" spans="1:44">
      <c r="A19" s="156">
        <v>15</v>
      </c>
      <c r="B19" s="190" t="s">
        <v>120</v>
      </c>
      <c r="C19" s="191" t="s">
        <v>1278</v>
      </c>
      <c r="D19" s="190"/>
      <c r="E19" s="156">
        <v>15</v>
      </c>
      <c r="F19" s="156"/>
      <c r="G19" s="156" t="s">
        <v>1342</v>
      </c>
      <c r="H19" s="192"/>
      <c r="I19" s="192"/>
      <c r="J19" s="192"/>
      <c r="K19" s="192"/>
      <c r="L19" s="192" t="s">
        <v>124</v>
      </c>
      <c r="M19" s="192" t="s">
        <v>124</v>
      </c>
      <c r="N19" s="49"/>
      <c r="O19" s="49"/>
      <c r="P19" s="50"/>
      <c r="Q19" s="214" t="str">
        <f t="shared" si="3"/>
        <v>A330300_Can0825SafetyVideo_CA0825_i4K_43_ZhoZhoZhoSUBCanSUB_Ed_M1.mpg</v>
      </c>
      <c r="R19" s="214" t="str">
        <f t="shared" si="4"/>
        <v>A330300_Can0825SafetyVideo_CA0825_i5K_169_ZhoZhoZhoSUBCanSUB_Ed_M2.mpg</v>
      </c>
      <c r="S19" s="212" t="s">
        <v>130</v>
      </c>
      <c r="T19" s="212"/>
      <c r="U19" s="213"/>
      <c r="V19" s="213"/>
      <c r="W19" s="213" t="s">
        <v>130</v>
      </c>
      <c r="X19" s="212" t="s">
        <v>1314</v>
      </c>
      <c r="Y19" s="225" t="s">
        <v>129</v>
      </c>
      <c r="Z19" s="225" t="s">
        <v>129</v>
      </c>
      <c r="AA19" s="226">
        <f t="shared" si="1"/>
        <v>7</v>
      </c>
      <c r="AB19" s="227" t="str">
        <f t="shared" si="0"/>
        <v>00:07:00</v>
      </c>
      <c r="AC19" s="228">
        <v>0.00518518518518519</v>
      </c>
      <c r="AD19" s="226">
        <f t="shared" si="2"/>
        <v>420</v>
      </c>
      <c r="AE19" s="229">
        <v>169</v>
      </c>
      <c r="AF19" s="229">
        <v>43</v>
      </c>
      <c r="AH19" s="74"/>
      <c r="AI19" s="75"/>
      <c r="AJ19" s="3"/>
      <c r="AK19" s="74"/>
      <c r="AL19" s="76"/>
      <c r="AM19" s="74"/>
      <c r="AN19" s="74"/>
      <c r="AO19" s="3"/>
      <c r="AP19" s="5"/>
      <c r="AQ19" s="5"/>
      <c r="AR19" s="5"/>
    </row>
    <row r="20" s="1" customFormat="1" ht="22" customHeight="1" spans="1:44">
      <c r="A20" s="156">
        <v>16</v>
      </c>
      <c r="B20" s="190" t="s">
        <v>120</v>
      </c>
      <c r="C20" s="191" t="s">
        <v>1278</v>
      </c>
      <c r="D20" s="190"/>
      <c r="E20" s="156">
        <v>16</v>
      </c>
      <c r="F20" s="156" t="s">
        <v>1343</v>
      </c>
      <c r="G20" s="156" t="s">
        <v>1344</v>
      </c>
      <c r="H20" s="192"/>
      <c r="I20" s="192"/>
      <c r="J20" s="192"/>
      <c r="K20" s="192"/>
      <c r="L20" s="192" t="s">
        <v>124</v>
      </c>
      <c r="M20" s="192"/>
      <c r="N20" s="49"/>
      <c r="O20" s="49"/>
      <c r="P20" s="50"/>
      <c r="Q20" s="214"/>
      <c r="R20" s="214" t="str">
        <f t="shared" si="4"/>
        <v>B777300_Eng0825SafetyVideo_CA0825_i5K_169_ZhoZhoEngSUBZhoSUB_Ed_M2.mpg</v>
      </c>
      <c r="S20" s="212" t="s">
        <v>130</v>
      </c>
      <c r="T20" s="212"/>
      <c r="U20" s="213"/>
      <c r="V20" s="213"/>
      <c r="W20" s="213" t="s">
        <v>131</v>
      </c>
      <c r="X20" s="212" t="s">
        <v>130</v>
      </c>
      <c r="Y20" s="225" t="s">
        <v>129</v>
      </c>
      <c r="Z20" s="225" t="s">
        <v>129</v>
      </c>
      <c r="AA20" s="226">
        <f t="shared" si="1"/>
        <v>7</v>
      </c>
      <c r="AB20" s="227" t="str">
        <f t="shared" si="0"/>
        <v>00:07:00</v>
      </c>
      <c r="AC20" s="228">
        <v>0.00518518518518519</v>
      </c>
      <c r="AD20" s="226">
        <f t="shared" si="2"/>
        <v>420</v>
      </c>
      <c r="AE20" s="229">
        <v>169</v>
      </c>
      <c r="AF20" s="229">
        <v>43</v>
      </c>
      <c r="AH20" s="74"/>
      <c r="AI20" s="75"/>
      <c r="AJ20" s="3"/>
      <c r="AK20" s="74"/>
      <c r="AL20" s="76"/>
      <c r="AM20" s="74"/>
      <c r="AN20" s="74"/>
      <c r="AO20" s="3"/>
      <c r="AP20" s="5"/>
      <c r="AQ20" s="5"/>
      <c r="AR20" s="5"/>
    </row>
    <row r="21" s="1" customFormat="1" ht="22" customHeight="1" spans="1:44">
      <c r="A21" s="156">
        <v>17</v>
      </c>
      <c r="B21" s="190" t="s">
        <v>120</v>
      </c>
      <c r="C21" s="191" t="s">
        <v>1278</v>
      </c>
      <c r="D21" s="190"/>
      <c r="E21" s="156">
        <v>17</v>
      </c>
      <c r="F21" s="156" t="s">
        <v>1345</v>
      </c>
      <c r="G21" s="156" t="s">
        <v>1346</v>
      </c>
      <c r="H21" s="192"/>
      <c r="I21" s="192"/>
      <c r="J21" s="192"/>
      <c r="K21" s="192"/>
      <c r="L21" s="192" t="s">
        <v>124</v>
      </c>
      <c r="M21" s="192"/>
      <c r="N21" s="49"/>
      <c r="O21" s="49"/>
      <c r="P21" s="50"/>
      <c r="Q21" s="214"/>
      <c r="R21" s="214" t="str">
        <f t="shared" si="4"/>
        <v>B777300_Zho0825SafetyVideo_CA0825_i5K_169_ZhoZhoEngSUBZhoSUB_Ed_M2.mpg</v>
      </c>
      <c r="S21" s="212" t="s">
        <v>130</v>
      </c>
      <c r="T21" s="212"/>
      <c r="U21" s="213"/>
      <c r="V21" s="213"/>
      <c r="W21" s="213" t="s">
        <v>131</v>
      </c>
      <c r="X21" s="212" t="s">
        <v>130</v>
      </c>
      <c r="Y21" s="225" t="s">
        <v>129</v>
      </c>
      <c r="Z21" s="225" t="s">
        <v>129</v>
      </c>
      <c r="AA21" s="226">
        <f t="shared" si="1"/>
        <v>4</v>
      </c>
      <c r="AB21" s="227" t="str">
        <f t="shared" si="0"/>
        <v>00:04:00</v>
      </c>
      <c r="AC21" s="228">
        <v>0.00310185185185185</v>
      </c>
      <c r="AD21" s="226">
        <f t="shared" si="2"/>
        <v>240</v>
      </c>
      <c r="AE21" s="229">
        <v>169</v>
      </c>
      <c r="AF21" s="229">
        <v>43</v>
      </c>
      <c r="AH21" s="74"/>
      <c r="AI21" s="75"/>
      <c r="AJ21" s="3"/>
      <c r="AK21" s="74"/>
      <c r="AL21" s="76"/>
      <c r="AM21" s="74"/>
      <c r="AN21" s="74"/>
      <c r="AO21" s="3"/>
      <c r="AP21" s="5"/>
      <c r="AQ21" s="5"/>
      <c r="AR21" s="5"/>
    </row>
    <row r="22" s="1" customFormat="1" ht="22" customHeight="1" spans="1:44">
      <c r="A22" s="156">
        <v>18</v>
      </c>
      <c r="B22" s="190" t="s">
        <v>120</v>
      </c>
      <c r="C22" s="191" t="s">
        <v>1278</v>
      </c>
      <c r="D22" s="190"/>
      <c r="E22" s="156">
        <v>18</v>
      </c>
      <c r="F22" s="156"/>
      <c r="G22" s="156" t="s">
        <v>1347</v>
      </c>
      <c r="H22" s="192"/>
      <c r="I22" s="192"/>
      <c r="J22" s="192"/>
      <c r="K22" s="192"/>
      <c r="L22" s="192" t="s">
        <v>124</v>
      </c>
      <c r="M22" s="192"/>
      <c r="N22" s="49"/>
      <c r="O22" s="49"/>
      <c r="P22" s="50"/>
      <c r="Q22" s="214"/>
      <c r="R22" s="214" t="str">
        <f t="shared" si="4"/>
        <v>B777300_Can0825SafetyVideo_CA0825_i5K_169_ZhoZhoZhoSUBCanSUB_Ed_M2.mpg</v>
      </c>
      <c r="S22" s="212" t="s">
        <v>130</v>
      </c>
      <c r="T22" s="212"/>
      <c r="U22" s="213"/>
      <c r="V22" s="213"/>
      <c r="W22" s="213" t="s">
        <v>130</v>
      </c>
      <c r="X22" s="212" t="s">
        <v>1314</v>
      </c>
      <c r="Y22" s="225" t="s">
        <v>129</v>
      </c>
      <c r="Z22" s="225" t="s">
        <v>129</v>
      </c>
      <c r="AA22" s="226">
        <f t="shared" si="1"/>
        <v>7</v>
      </c>
      <c r="AB22" s="227" t="str">
        <f t="shared" si="0"/>
        <v>00:07:00</v>
      </c>
      <c r="AC22" s="228">
        <v>0.00518518518518519</v>
      </c>
      <c r="AD22" s="226">
        <f t="shared" si="2"/>
        <v>420</v>
      </c>
      <c r="AE22" s="229">
        <v>169</v>
      </c>
      <c r="AF22" s="229">
        <v>43</v>
      </c>
      <c r="AH22" s="74"/>
      <c r="AI22" s="75"/>
      <c r="AJ22" s="3"/>
      <c r="AK22" s="74"/>
      <c r="AL22" s="76"/>
      <c r="AM22" s="74"/>
      <c r="AN22" s="74"/>
      <c r="AO22" s="3"/>
      <c r="AP22" s="5"/>
      <c r="AQ22" s="5"/>
      <c r="AR22" s="5"/>
    </row>
    <row r="23" s="1" customFormat="1" ht="22" customHeight="1" spans="1:44">
      <c r="A23" s="156">
        <v>19</v>
      </c>
      <c r="B23" s="190" t="s">
        <v>120</v>
      </c>
      <c r="C23" s="191" t="s">
        <v>1278</v>
      </c>
      <c r="D23" s="190"/>
      <c r="E23" s="156">
        <v>19</v>
      </c>
      <c r="F23" s="156" t="s">
        <v>1348</v>
      </c>
      <c r="G23" s="156" t="s">
        <v>1349</v>
      </c>
      <c r="H23" s="192"/>
      <c r="I23" s="192"/>
      <c r="J23" s="192" t="s">
        <v>124</v>
      </c>
      <c r="K23" s="192"/>
      <c r="L23" s="192"/>
      <c r="M23" s="192"/>
      <c r="N23" s="49"/>
      <c r="O23" s="49" t="s">
        <v>1350</v>
      </c>
      <c r="P23" s="50"/>
      <c r="Q23" s="214"/>
      <c r="R23" s="214"/>
      <c r="S23" s="212" t="s">
        <v>130</v>
      </c>
      <c r="T23" s="212"/>
      <c r="U23" s="213"/>
      <c r="V23" s="213"/>
      <c r="W23" s="213" t="s">
        <v>131</v>
      </c>
      <c r="X23" s="212" t="s">
        <v>130</v>
      </c>
      <c r="Y23" s="225" t="s">
        <v>129</v>
      </c>
      <c r="Z23" s="225" t="s">
        <v>129</v>
      </c>
      <c r="AA23" s="226">
        <f t="shared" si="1"/>
        <v>7</v>
      </c>
      <c r="AB23" s="227" t="str">
        <f t="shared" si="0"/>
        <v>00:07:00</v>
      </c>
      <c r="AC23" s="228">
        <v>0.00518518518518519</v>
      </c>
      <c r="AD23" s="226">
        <f t="shared" si="2"/>
        <v>420</v>
      </c>
      <c r="AE23" s="229">
        <v>169</v>
      </c>
      <c r="AF23" s="229">
        <v>43</v>
      </c>
      <c r="AH23" s="74"/>
      <c r="AI23" s="75"/>
      <c r="AJ23" s="3"/>
      <c r="AK23" s="74"/>
      <c r="AL23" s="76"/>
      <c r="AM23" s="74"/>
      <c r="AN23" s="74"/>
      <c r="AO23" s="3"/>
      <c r="AP23" s="5"/>
      <c r="AQ23" s="5"/>
      <c r="AR23" s="5"/>
    </row>
    <row r="24" s="1" customFormat="1" ht="22" customHeight="1" spans="1:44">
      <c r="A24" s="156">
        <v>20</v>
      </c>
      <c r="B24" s="190" t="s">
        <v>120</v>
      </c>
      <c r="C24" s="191" t="s">
        <v>1278</v>
      </c>
      <c r="D24" s="190"/>
      <c r="E24" s="156">
        <v>20</v>
      </c>
      <c r="F24" s="156" t="s">
        <v>1351</v>
      </c>
      <c r="G24" s="156" t="s">
        <v>1352</v>
      </c>
      <c r="H24" s="192"/>
      <c r="I24" s="192"/>
      <c r="J24" s="192" t="s">
        <v>124</v>
      </c>
      <c r="K24" s="192"/>
      <c r="L24" s="192"/>
      <c r="M24" s="192"/>
      <c r="N24" s="49"/>
      <c r="O24" s="49" t="s">
        <v>1353</v>
      </c>
      <c r="P24" s="50"/>
      <c r="Q24" s="214"/>
      <c r="R24" s="214"/>
      <c r="S24" s="212" t="s">
        <v>130</v>
      </c>
      <c r="T24" s="212"/>
      <c r="U24" s="213"/>
      <c r="V24" s="213"/>
      <c r="W24" s="213" t="s">
        <v>131</v>
      </c>
      <c r="X24" s="212" t="s">
        <v>130</v>
      </c>
      <c r="Y24" s="225" t="s">
        <v>129</v>
      </c>
      <c r="Z24" s="225" t="s">
        <v>129</v>
      </c>
      <c r="AA24" s="226">
        <f t="shared" si="1"/>
        <v>4</v>
      </c>
      <c r="AB24" s="227" t="str">
        <f t="shared" si="0"/>
        <v>00:04:00</v>
      </c>
      <c r="AC24" s="228">
        <v>0.00310185185185185</v>
      </c>
      <c r="AD24" s="226">
        <f t="shared" si="2"/>
        <v>240</v>
      </c>
      <c r="AE24" s="229">
        <v>169</v>
      </c>
      <c r="AF24" s="229">
        <v>43</v>
      </c>
      <c r="AH24" s="74"/>
      <c r="AI24" s="75"/>
      <c r="AJ24" s="3"/>
      <c r="AK24" s="74"/>
      <c r="AL24" s="76"/>
      <c r="AM24" s="74"/>
      <c r="AN24" s="74"/>
      <c r="AO24" s="3"/>
      <c r="AP24" s="5"/>
      <c r="AQ24" s="5"/>
      <c r="AR24" s="5"/>
    </row>
    <row r="25" s="1" customFormat="1" ht="22" customHeight="1" spans="1:44">
      <c r="A25" s="156">
        <v>21</v>
      </c>
      <c r="B25" s="190" t="s">
        <v>120</v>
      </c>
      <c r="C25" s="191" t="s">
        <v>1278</v>
      </c>
      <c r="D25" s="190"/>
      <c r="E25" s="156">
        <v>21</v>
      </c>
      <c r="F25" s="156" t="s">
        <v>1354</v>
      </c>
      <c r="G25" s="156" t="s">
        <v>1355</v>
      </c>
      <c r="H25" s="192"/>
      <c r="I25" s="192"/>
      <c r="J25" s="192" t="s">
        <v>124</v>
      </c>
      <c r="K25" s="192"/>
      <c r="L25" s="192"/>
      <c r="M25" s="192"/>
      <c r="N25" s="49"/>
      <c r="O25" s="49" t="s">
        <v>1356</v>
      </c>
      <c r="P25" s="50"/>
      <c r="Q25" s="214"/>
      <c r="R25" s="214"/>
      <c r="S25" s="212" t="s">
        <v>130</v>
      </c>
      <c r="T25" s="212"/>
      <c r="U25" s="213"/>
      <c r="V25" s="213"/>
      <c r="W25" s="213" t="s">
        <v>131</v>
      </c>
      <c r="X25" s="212" t="s">
        <v>130</v>
      </c>
      <c r="Y25" s="225" t="s">
        <v>129</v>
      </c>
      <c r="Z25" s="225" t="s">
        <v>129</v>
      </c>
      <c r="AA25" s="226">
        <f t="shared" si="1"/>
        <v>7</v>
      </c>
      <c r="AB25" s="227" t="str">
        <f t="shared" si="0"/>
        <v>00:07:00</v>
      </c>
      <c r="AC25" s="228">
        <v>0.00518518518518519</v>
      </c>
      <c r="AD25" s="226">
        <f t="shared" si="2"/>
        <v>420</v>
      </c>
      <c r="AE25" s="229">
        <v>169</v>
      </c>
      <c r="AF25" s="229">
        <v>43</v>
      </c>
      <c r="AH25" s="74"/>
      <c r="AI25" s="75"/>
      <c r="AJ25" s="3"/>
      <c r="AK25" s="74"/>
      <c r="AL25" s="76"/>
      <c r="AM25" s="74"/>
      <c r="AN25" s="74"/>
      <c r="AO25" s="3"/>
      <c r="AP25" s="5"/>
      <c r="AQ25" s="5"/>
      <c r="AR25" s="5"/>
    </row>
    <row r="26" s="1" customFormat="1" ht="22" customHeight="1" spans="1:44">
      <c r="A26" s="156">
        <v>22</v>
      </c>
      <c r="B26" s="190" t="s">
        <v>120</v>
      </c>
      <c r="C26" s="191" t="s">
        <v>1278</v>
      </c>
      <c r="D26" s="190"/>
      <c r="E26" s="156">
        <v>22</v>
      </c>
      <c r="F26" s="156" t="s">
        <v>1357</v>
      </c>
      <c r="G26" s="156" t="s">
        <v>1358</v>
      </c>
      <c r="H26" s="192"/>
      <c r="I26" s="192"/>
      <c r="J26" s="192" t="s">
        <v>124</v>
      </c>
      <c r="K26" s="192"/>
      <c r="L26" s="192"/>
      <c r="M26" s="192"/>
      <c r="N26" s="49"/>
      <c r="O26" s="49" t="s">
        <v>1359</v>
      </c>
      <c r="P26" s="50"/>
      <c r="Q26" s="214"/>
      <c r="R26" s="214"/>
      <c r="S26" s="212" t="s">
        <v>130</v>
      </c>
      <c r="T26" s="212"/>
      <c r="U26" s="213"/>
      <c r="V26" s="213"/>
      <c r="W26" s="213" t="s">
        <v>131</v>
      </c>
      <c r="X26" s="212" t="s">
        <v>130</v>
      </c>
      <c r="Y26" s="225" t="s">
        <v>129</v>
      </c>
      <c r="Z26" s="225" t="s">
        <v>129</v>
      </c>
      <c r="AA26" s="226">
        <f t="shared" si="1"/>
        <v>4</v>
      </c>
      <c r="AB26" s="227" t="str">
        <f t="shared" si="0"/>
        <v>00:04:00</v>
      </c>
      <c r="AC26" s="228">
        <v>0.00310185185185185</v>
      </c>
      <c r="AD26" s="226">
        <f t="shared" si="2"/>
        <v>240</v>
      </c>
      <c r="AE26" s="229">
        <v>169</v>
      </c>
      <c r="AF26" s="229">
        <v>43</v>
      </c>
      <c r="AH26" s="74"/>
      <c r="AI26" s="75"/>
      <c r="AJ26" s="3"/>
      <c r="AK26" s="74"/>
      <c r="AL26" s="76"/>
      <c r="AM26" s="74"/>
      <c r="AN26" s="74"/>
      <c r="AO26" s="3"/>
      <c r="AP26" s="5"/>
      <c r="AQ26" s="5"/>
      <c r="AR26" s="5"/>
    </row>
    <row r="27" s="1" customFormat="1" ht="22" customHeight="1" spans="1:44">
      <c r="A27" s="156">
        <v>23</v>
      </c>
      <c r="B27" s="190" t="s">
        <v>120</v>
      </c>
      <c r="C27" s="191" t="s">
        <v>1278</v>
      </c>
      <c r="D27" s="190"/>
      <c r="E27" s="156">
        <v>23</v>
      </c>
      <c r="F27" s="156" t="s">
        <v>1360</v>
      </c>
      <c r="G27" s="156" t="s">
        <v>1361</v>
      </c>
      <c r="H27" s="192"/>
      <c r="I27" s="192"/>
      <c r="J27" s="192" t="s">
        <v>124</v>
      </c>
      <c r="K27" s="192"/>
      <c r="L27" s="192"/>
      <c r="M27" s="192"/>
      <c r="N27" s="49"/>
      <c r="O27" s="49" t="s">
        <v>1362</v>
      </c>
      <c r="P27" s="50"/>
      <c r="Q27" s="214"/>
      <c r="R27" s="214"/>
      <c r="S27" s="212" t="s">
        <v>130</v>
      </c>
      <c r="T27" s="212"/>
      <c r="U27" s="213"/>
      <c r="V27" s="213"/>
      <c r="W27" s="213" t="s">
        <v>130</v>
      </c>
      <c r="X27" s="212" t="s">
        <v>1314</v>
      </c>
      <c r="Y27" s="225" t="s">
        <v>129</v>
      </c>
      <c r="Z27" s="225" t="s">
        <v>129</v>
      </c>
      <c r="AA27" s="226">
        <f t="shared" si="1"/>
        <v>7</v>
      </c>
      <c r="AB27" s="227" t="str">
        <f t="shared" si="0"/>
        <v>00:07:00</v>
      </c>
      <c r="AC27" s="228">
        <v>0.00518518518518519</v>
      </c>
      <c r="AD27" s="226">
        <f t="shared" si="2"/>
        <v>420</v>
      </c>
      <c r="AE27" s="229">
        <v>169</v>
      </c>
      <c r="AF27" s="229">
        <v>43</v>
      </c>
      <c r="AH27" s="74"/>
      <c r="AI27" s="75"/>
      <c r="AJ27" s="3"/>
      <c r="AK27" s="74"/>
      <c r="AL27" s="76"/>
      <c r="AM27" s="74"/>
      <c r="AN27" s="74"/>
      <c r="AO27" s="3"/>
      <c r="AP27" s="5"/>
      <c r="AQ27" s="5"/>
      <c r="AR27" s="5"/>
    </row>
    <row r="28" s="183" customFormat="1" ht="22" customHeight="1" spans="1:44">
      <c r="A28" s="156">
        <v>24</v>
      </c>
      <c r="B28" s="190" t="s">
        <v>120</v>
      </c>
      <c r="C28" s="191" t="s">
        <v>1278</v>
      </c>
      <c r="D28" s="190"/>
      <c r="E28" s="156">
        <v>24</v>
      </c>
      <c r="F28" s="156" t="s">
        <v>1363</v>
      </c>
      <c r="G28" s="156" t="s">
        <v>1364</v>
      </c>
      <c r="H28" s="192"/>
      <c r="I28" s="192"/>
      <c r="J28" s="192" t="s">
        <v>124</v>
      </c>
      <c r="K28" s="192"/>
      <c r="L28" s="192"/>
      <c r="M28" s="192"/>
      <c r="N28" s="49"/>
      <c r="O28" s="49" t="s">
        <v>1365</v>
      </c>
      <c r="P28" s="50"/>
      <c r="Q28" s="214"/>
      <c r="R28" s="214"/>
      <c r="S28" s="212" t="s">
        <v>130</v>
      </c>
      <c r="T28" s="212"/>
      <c r="U28" s="213"/>
      <c r="V28" s="213"/>
      <c r="W28" s="212" t="s">
        <v>130</v>
      </c>
      <c r="X28" s="212" t="s">
        <v>1314</v>
      </c>
      <c r="Y28" s="225" t="s">
        <v>129</v>
      </c>
      <c r="Z28" s="225" t="s">
        <v>129</v>
      </c>
      <c r="AA28" s="226">
        <f t="shared" si="1"/>
        <v>7</v>
      </c>
      <c r="AB28" s="227" t="str">
        <f t="shared" si="0"/>
        <v>00:07:00</v>
      </c>
      <c r="AC28" s="228">
        <v>0.00518518518518519</v>
      </c>
      <c r="AD28" s="226">
        <f t="shared" si="2"/>
        <v>420</v>
      </c>
      <c r="AE28" s="229">
        <v>169</v>
      </c>
      <c r="AF28" s="229">
        <v>43</v>
      </c>
      <c r="AH28" s="237"/>
      <c r="AI28" s="236"/>
      <c r="AJ28" s="238"/>
      <c r="AK28" s="237"/>
      <c r="AL28" s="239"/>
      <c r="AM28" s="237"/>
      <c r="AN28" s="237"/>
      <c r="AO28" s="238"/>
      <c r="AP28" s="241"/>
      <c r="AQ28" s="241"/>
      <c r="AR28" s="241"/>
    </row>
    <row r="29" customHeight="1" spans="1:32">
      <c r="A29" s="156">
        <v>25</v>
      </c>
      <c r="B29" s="190" t="s">
        <v>120</v>
      </c>
      <c r="C29" s="191" t="s">
        <v>1278</v>
      </c>
      <c r="D29" s="190"/>
      <c r="E29" s="156">
        <v>25</v>
      </c>
      <c r="F29" s="156" t="s">
        <v>1366</v>
      </c>
      <c r="G29" s="156" t="s">
        <v>1366</v>
      </c>
      <c r="H29" s="192"/>
      <c r="I29" s="192"/>
      <c r="J29" s="192" t="s">
        <v>124</v>
      </c>
      <c r="K29" s="192"/>
      <c r="L29" s="192"/>
      <c r="M29" s="192"/>
      <c r="N29" s="49"/>
      <c r="O29" s="49" t="s">
        <v>1367</v>
      </c>
      <c r="P29" s="50"/>
      <c r="Q29" s="214"/>
      <c r="R29" s="214"/>
      <c r="S29" s="212" t="s">
        <v>130</v>
      </c>
      <c r="T29" s="212"/>
      <c r="U29" s="212"/>
      <c r="V29" s="212"/>
      <c r="W29" s="213" t="s">
        <v>131</v>
      </c>
      <c r="X29" s="212" t="s">
        <v>130</v>
      </c>
      <c r="Y29" s="230" t="s">
        <v>129</v>
      </c>
      <c r="Z29" s="230" t="s">
        <v>129</v>
      </c>
      <c r="AA29" s="226">
        <f t="shared" si="1"/>
        <v>7</v>
      </c>
      <c r="AB29" s="227" t="str">
        <f t="shared" si="0"/>
        <v>00:07:00</v>
      </c>
      <c r="AC29" s="228">
        <v>0.00516203703703704</v>
      </c>
      <c r="AD29" s="226">
        <f t="shared" si="2"/>
        <v>420</v>
      </c>
      <c r="AE29" s="229">
        <v>169</v>
      </c>
      <c r="AF29" s="229">
        <v>43</v>
      </c>
    </row>
    <row r="30" customHeight="1" spans="1:32">
      <c r="A30" s="156">
        <v>26</v>
      </c>
      <c r="B30" s="190" t="s">
        <v>120</v>
      </c>
      <c r="C30" s="191" t="s">
        <v>1278</v>
      </c>
      <c r="D30" s="190"/>
      <c r="E30" s="156">
        <v>26</v>
      </c>
      <c r="F30" s="156" t="s">
        <v>1368</v>
      </c>
      <c r="G30" s="156" t="s">
        <v>1368</v>
      </c>
      <c r="H30" s="192"/>
      <c r="I30" s="192"/>
      <c r="J30" s="192" t="s">
        <v>124</v>
      </c>
      <c r="K30" s="192"/>
      <c r="L30" s="192"/>
      <c r="M30" s="192"/>
      <c r="N30" s="49"/>
      <c r="O30" s="49" t="s">
        <v>1369</v>
      </c>
      <c r="P30" s="50"/>
      <c r="Q30" s="214"/>
      <c r="R30" s="214"/>
      <c r="S30" s="212" t="s">
        <v>130</v>
      </c>
      <c r="T30" s="212"/>
      <c r="U30" s="212"/>
      <c r="V30" s="212"/>
      <c r="W30" s="213" t="s">
        <v>131</v>
      </c>
      <c r="X30" s="212" t="s">
        <v>130</v>
      </c>
      <c r="Y30" s="230" t="s">
        <v>129</v>
      </c>
      <c r="Z30" s="230" t="s">
        <v>129</v>
      </c>
      <c r="AA30" s="226">
        <f t="shared" si="1"/>
        <v>4</v>
      </c>
      <c r="AB30" s="227" t="str">
        <f t="shared" si="0"/>
        <v>00:04:00</v>
      </c>
      <c r="AC30" s="228">
        <v>0.00310185185185185</v>
      </c>
      <c r="AD30" s="226">
        <f t="shared" si="2"/>
        <v>240</v>
      </c>
      <c r="AE30" s="229">
        <v>169</v>
      </c>
      <c r="AF30" s="229">
        <v>43</v>
      </c>
    </row>
    <row r="31" customFormat="1" hidden="1" customHeight="1" spans="1:32">
      <c r="A31" s="156">
        <v>27</v>
      </c>
      <c r="B31" s="190" t="s">
        <v>120</v>
      </c>
      <c r="C31" s="191" t="s">
        <v>1278</v>
      </c>
      <c r="D31" s="190"/>
      <c r="E31" s="156">
        <v>27</v>
      </c>
      <c r="F31" s="156" t="s">
        <v>1370</v>
      </c>
      <c r="G31" s="156" t="s">
        <v>1371</v>
      </c>
      <c r="H31" s="192"/>
      <c r="I31" s="192"/>
      <c r="J31" s="192"/>
      <c r="K31" s="192" t="s">
        <v>124</v>
      </c>
      <c r="L31" s="192"/>
      <c r="M31" s="192"/>
      <c r="N31" s="49"/>
      <c r="O31" s="49"/>
      <c r="P31" s="50" t="s">
        <v>1372</v>
      </c>
      <c r="Q31" s="214"/>
      <c r="R31" s="214"/>
      <c r="S31" s="212" t="s">
        <v>130</v>
      </c>
      <c r="T31" s="212"/>
      <c r="U31" s="212"/>
      <c r="V31" s="212"/>
      <c r="W31" s="213" t="s">
        <v>131</v>
      </c>
      <c r="X31" s="212" t="s">
        <v>130</v>
      </c>
      <c r="Y31" s="230" t="s">
        <v>129</v>
      </c>
      <c r="Z31" s="230" t="s">
        <v>129</v>
      </c>
      <c r="AA31" s="226">
        <f t="shared" si="1"/>
        <v>0</v>
      </c>
      <c r="AB31" s="227" t="str">
        <f t="shared" si="0"/>
        <v>00:00:00</v>
      </c>
      <c r="AC31" s="228"/>
      <c r="AD31" s="226">
        <f t="shared" si="2"/>
        <v>0</v>
      </c>
      <c r="AE31" s="229">
        <v>169</v>
      </c>
      <c r="AF31" s="229">
        <v>43</v>
      </c>
    </row>
    <row r="32" customFormat="1" hidden="1" customHeight="1" spans="1:32">
      <c r="A32" s="156">
        <v>28</v>
      </c>
      <c r="B32" s="190" t="s">
        <v>120</v>
      </c>
      <c r="C32" s="191" t="s">
        <v>1278</v>
      </c>
      <c r="D32" s="190"/>
      <c r="E32" s="156">
        <v>28</v>
      </c>
      <c r="F32" s="156" t="s">
        <v>1373</v>
      </c>
      <c r="G32" s="156" t="s">
        <v>1374</v>
      </c>
      <c r="H32" s="192"/>
      <c r="I32" s="192"/>
      <c r="J32" s="192"/>
      <c r="K32" s="192" t="s">
        <v>124</v>
      </c>
      <c r="L32" s="192"/>
      <c r="M32" s="192"/>
      <c r="N32" s="49"/>
      <c r="O32" s="49"/>
      <c r="P32" s="50" t="s">
        <v>1375</v>
      </c>
      <c r="Q32" s="214"/>
      <c r="R32" s="214"/>
      <c r="S32" s="212" t="s">
        <v>130</v>
      </c>
      <c r="T32" s="212"/>
      <c r="U32" s="212"/>
      <c r="V32" s="212"/>
      <c r="W32" s="213" t="s">
        <v>131</v>
      </c>
      <c r="X32" s="212" t="s">
        <v>130</v>
      </c>
      <c r="Y32" s="230" t="s">
        <v>129</v>
      </c>
      <c r="Z32" s="230" t="s">
        <v>129</v>
      </c>
      <c r="AA32" s="226">
        <f t="shared" si="1"/>
        <v>0</v>
      </c>
      <c r="AB32" s="227" t="str">
        <f t="shared" si="0"/>
        <v>00:00:00</v>
      </c>
      <c r="AC32" s="228"/>
      <c r="AD32" s="226">
        <f t="shared" si="2"/>
        <v>0</v>
      </c>
      <c r="AE32" s="229">
        <v>169</v>
      </c>
      <c r="AF32" s="229">
        <v>43</v>
      </c>
    </row>
    <row r="33" s="183" customFormat="1" ht="22" customHeight="1" spans="1:44">
      <c r="A33" s="156">
        <v>29</v>
      </c>
      <c r="B33" s="190" t="s">
        <v>120</v>
      </c>
      <c r="C33" s="191" t="s">
        <v>1376</v>
      </c>
      <c r="D33" s="190"/>
      <c r="E33" s="156">
        <v>29</v>
      </c>
      <c r="F33" s="153" t="s">
        <v>1377</v>
      </c>
      <c r="G33" s="156" t="s">
        <v>1292</v>
      </c>
      <c r="H33" s="192" t="s">
        <v>124</v>
      </c>
      <c r="I33" s="192" t="s">
        <v>124</v>
      </c>
      <c r="J33" s="192" t="s">
        <v>124</v>
      </c>
      <c r="K33" s="192" t="s">
        <v>124</v>
      </c>
      <c r="L33" s="192" t="s">
        <v>124</v>
      </c>
      <c r="M33" s="192" t="s">
        <v>124</v>
      </c>
      <c r="N33" s="49" t="s">
        <v>1378</v>
      </c>
      <c r="O33" s="49" t="s">
        <v>1379</v>
      </c>
      <c r="P33" s="50" t="s">
        <v>1380</v>
      </c>
      <c r="Q33" s="214"/>
      <c r="R33" s="214"/>
      <c r="S33" s="212" t="s">
        <v>130</v>
      </c>
      <c r="T33" s="212"/>
      <c r="U33" s="212"/>
      <c r="V33" s="212"/>
      <c r="W33" s="213" t="s">
        <v>131</v>
      </c>
      <c r="X33" s="212" t="s">
        <v>130</v>
      </c>
      <c r="Y33" s="225" t="s">
        <v>129</v>
      </c>
      <c r="Z33" s="225" t="s">
        <v>129</v>
      </c>
      <c r="AA33" s="226">
        <f t="shared" si="1"/>
        <v>7</v>
      </c>
      <c r="AB33" s="227" t="str">
        <f t="shared" si="0"/>
        <v>00:07:00</v>
      </c>
      <c r="AC33" s="228">
        <v>0.00518518518518519</v>
      </c>
      <c r="AD33" s="226">
        <f t="shared" si="2"/>
        <v>420</v>
      </c>
      <c r="AE33" s="229">
        <v>169</v>
      </c>
      <c r="AF33" s="229">
        <v>43</v>
      </c>
      <c r="AH33" s="237"/>
      <c r="AI33" s="236"/>
      <c r="AJ33" s="238"/>
      <c r="AK33" s="237"/>
      <c r="AL33" s="239"/>
      <c r="AM33" s="237"/>
      <c r="AN33" s="237"/>
      <c r="AO33" s="238"/>
      <c r="AP33" s="241"/>
      <c r="AQ33" s="241"/>
      <c r="AR33" s="241"/>
    </row>
    <row r="34" s="183" customFormat="1" ht="22" customHeight="1" spans="1:44">
      <c r="A34" s="156">
        <v>30</v>
      </c>
      <c r="B34" s="190" t="s">
        <v>120</v>
      </c>
      <c r="C34" s="191" t="s">
        <v>1376</v>
      </c>
      <c r="D34" s="190"/>
      <c r="E34" s="156">
        <v>30</v>
      </c>
      <c r="F34" s="153" t="s">
        <v>1381</v>
      </c>
      <c r="G34" s="156" t="s">
        <v>1382</v>
      </c>
      <c r="H34" s="192"/>
      <c r="I34" s="192"/>
      <c r="J34" s="192" t="s">
        <v>124</v>
      </c>
      <c r="K34" s="192"/>
      <c r="L34" s="192"/>
      <c r="M34" s="192"/>
      <c r="N34" s="49"/>
      <c r="O34" s="49" t="s">
        <v>1383</v>
      </c>
      <c r="P34" s="50"/>
      <c r="Q34" s="214"/>
      <c r="R34" s="214"/>
      <c r="S34" s="212" t="s">
        <v>130</v>
      </c>
      <c r="T34" s="212"/>
      <c r="U34" s="212"/>
      <c r="V34" s="212"/>
      <c r="W34" s="213" t="s">
        <v>131</v>
      </c>
      <c r="X34" s="212" t="s">
        <v>130</v>
      </c>
      <c r="Y34" s="225" t="s">
        <v>129</v>
      </c>
      <c r="Z34" s="225" t="s">
        <v>129</v>
      </c>
      <c r="AA34" s="226">
        <f t="shared" si="1"/>
        <v>4</v>
      </c>
      <c r="AB34" s="227" t="str">
        <f t="shared" si="0"/>
        <v>00:04:00</v>
      </c>
      <c r="AC34" s="228">
        <v>0.00310185185185185</v>
      </c>
      <c r="AD34" s="226">
        <f t="shared" si="2"/>
        <v>240</v>
      </c>
      <c r="AE34" s="229">
        <v>169</v>
      </c>
      <c r="AF34" s="229">
        <v>43</v>
      </c>
      <c r="AH34" s="237"/>
      <c r="AI34" s="236"/>
      <c r="AJ34" s="238"/>
      <c r="AK34" s="237"/>
      <c r="AL34" s="239"/>
      <c r="AM34" s="237"/>
      <c r="AN34" s="237"/>
      <c r="AO34" s="238"/>
      <c r="AP34" s="241"/>
      <c r="AQ34" s="241"/>
      <c r="AR34" s="241"/>
    </row>
    <row r="35" customHeight="1" spans="28:28">
      <c r="AB35" s="231"/>
    </row>
    <row r="36" customHeight="1" spans="28:28">
      <c r="AB36" s="231"/>
    </row>
    <row r="37" customHeight="1" spans="28:28">
      <c r="AB37" s="231"/>
    </row>
    <row r="38" customHeight="1" spans="28:28">
      <c r="AB38" s="231"/>
    </row>
    <row r="39" customHeight="1" spans="28:28">
      <c r="AB39" s="231"/>
    </row>
    <row r="40" customHeight="1" spans="28:28">
      <c r="AB40" s="231"/>
    </row>
    <row r="41" customHeight="1" spans="28:28">
      <c r="AB41" s="231"/>
    </row>
    <row r="42" customHeight="1" spans="28:28">
      <c r="AB42" s="231"/>
    </row>
    <row r="43" customHeight="1" spans="28:28">
      <c r="AB43" s="231"/>
    </row>
    <row r="44" customHeight="1" spans="28:28">
      <c r="AB44" s="231"/>
    </row>
    <row r="45" customHeight="1" spans="28:28">
      <c r="AB45" s="231"/>
    </row>
    <row r="46" customHeight="1" spans="28:28">
      <c r="AB46" s="231"/>
    </row>
    <row r="47" customHeight="1" spans="28:28">
      <c r="AB47" s="231"/>
    </row>
    <row r="48" customHeight="1" spans="28:28">
      <c r="AB48" s="231"/>
    </row>
    <row r="49" customHeight="1" spans="28:28">
      <c r="AB49" s="231"/>
    </row>
    <row r="50" customHeight="1" spans="28:28">
      <c r="AB50" s="231"/>
    </row>
    <row r="51" customHeight="1" spans="28:28">
      <c r="AB51" s="231"/>
    </row>
    <row r="52" customHeight="1" spans="28:28">
      <c r="AB52" s="231"/>
    </row>
    <row r="53" customHeight="1" spans="28:28">
      <c r="AB53" s="231"/>
    </row>
    <row r="54" customHeight="1" spans="28:28">
      <c r="AB54" s="231"/>
    </row>
    <row r="55" customHeight="1" spans="28:28">
      <c r="AB55" s="231"/>
    </row>
    <row r="56" customHeight="1" spans="28:28">
      <c r="AB56" s="231"/>
    </row>
    <row r="57" customHeight="1" spans="28:28">
      <c r="AB57" s="231"/>
    </row>
    <row r="58" customHeight="1" spans="28:28">
      <c r="AB58" s="231"/>
    </row>
    <row r="59" customHeight="1" spans="28:28">
      <c r="AB59" s="231"/>
    </row>
    <row r="60" customHeight="1" spans="28:28">
      <c r="AB60" s="231"/>
    </row>
    <row r="61" customHeight="1" spans="28:28">
      <c r="AB61" s="231"/>
    </row>
    <row r="62" customHeight="1" spans="28:28">
      <c r="AB62" s="231"/>
    </row>
    <row r="63" customHeight="1" spans="28:28">
      <c r="AB63" s="231"/>
    </row>
    <row r="64" customHeight="1" spans="28:28">
      <c r="AB64" s="231"/>
    </row>
    <row r="65" customHeight="1" spans="28:28">
      <c r="AB65" s="231"/>
    </row>
    <row r="66" customHeight="1" spans="28:28">
      <c r="AB66" s="231"/>
    </row>
    <row r="67" customHeight="1" spans="28:28">
      <c r="AB67" s="231"/>
    </row>
    <row r="68" customHeight="1" spans="28:28">
      <c r="AB68" s="231"/>
    </row>
    <row r="69" customHeight="1" spans="28:28">
      <c r="AB69" s="231"/>
    </row>
    <row r="70" customHeight="1" spans="28:28">
      <c r="AB70" s="231"/>
    </row>
    <row r="71" customHeight="1" spans="28:28">
      <c r="AB71" s="231"/>
    </row>
    <row r="72" customHeight="1" spans="28:28">
      <c r="AB72" s="231"/>
    </row>
    <row r="73" customHeight="1" spans="28:28">
      <c r="AB73" s="231"/>
    </row>
    <row r="74" customHeight="1" spans="28:28">
      <c r="AB74" s="231"/>
    </row>
    <row r="75" customHeight="1" spans="28:28">
      <c r="AB75" s="231"/>
    </row>
    <row r="76" customHeight="1" spans="28:28">
      <c r="AB76" s="231"/>
    </row>
    <row r="77" customHeight="1" spans="28:28">
      <c r="AB77" s="231"/>
    </row>
    <row r="78" customHeight="1" spans="28:28">
      <c r="AB78" s="231"/>
    </row>
    <row r="79" customHeight="1" spans="28:28">
      <c r="AB79" s="231"/>
    </row>
    <row r="80" customHeight="1" spans="28:28">
      <c r="AB80" s="231"/>
    </row>
    <row r="81" customHeight="1" spans="28:28">
      <c r="AB81" s="231"/>
    </row>
    <row r="82" customHeight="1" spans="28:28">
      <c r="AB82" s="231"/>
    </row>
    <row r="83" customHeight="1" spans="28:28">
      <c r="AB83" s="231"/>
    </row>
    <row r="84" customHeight="1" spans="28:28">
      <c r="AB84" s="231"/>
    </row>
    <row r="85" customHeight="1" spans="28:28">
      <c r="AB85" s="231"/>
    </row>
    <row r="86" customHeight="1" spans="28:28">
      <c r="AB86" s="231"/>
    </row>
    <row r="87" customHeight="1" spans="28:28">
      <c r="AB87" s="231"/>
    </row>
    <row r="88" customHeight="1" spans="28:28">
      <c r="AB88" s="231"/>
    </row>
    <row r="89" customHeight="1" spans="28:28">
      <c r="AB89" s="231"/>
    </row>
    <row r="90" customHeight="1" spans="28:28">
      <c r="AB90" s="231"/>
    </row>
    <row r="91" customHeight="1" spans="28:28">
      <c r="AB91" s="231"/>
    </row>
    <row r="92" customHeight="1" spans="28:28">
      <c r="AB92" s="231"/>
    </row>
    <row r="93" customHeight="1" spans="28:28">
      <c r="AB93" s="231"/>
    </row>
    <row r="94" customHeight="1" spans="28:28">
      <c r="AB94" s="231"/>
    </row>
    <row r="95" customHeight="1" spans="28:28">
      <c r="AB95" s="231"/>
    </row>
    <row r="96" customHeight="1" spans="28:28">
      <c r="AB96" s="231"/>
    </row>
    <row r="97" customHeight="1" spans="28:28">
      <c r="AB97" s="231"/>
    </row>
    <row r="98" customHeight="1" spans="28:28">
      <c r="AB98" s="231"/>
    </row>
    <row r="99" customHeight="1" spans="28:28">
      <c r="AB99" s="231"/>
    </row>
    <row r="100" customHeight="1" spans="28:28">
      <c r="AB100" s="231"/>
    </row>
    <row r="101" customHeight="1" spans="28:28">
      <c r="AB101" s="231"/>
    </row>
    <row r="102" customHeight="1" spans="28:28">
      <c r="AB102" s="231"/>
    </row>
    <row r="103" customHeight="1" spans="28:28">
      <c r="AB103" s="231"/>
    </row>
    <row r="104" customHeight="1" spans="28:28">
      <c r="AB104" s="231"/>
    </row>
    <row r="105" customHeight="1" spans="28:28">
      <c r="AB105" s="231"/>
    </row>
    <row r="106" customHeight="1" spans="28:28">
      <c r="AB106" s="231"/>
    </row>
    <row r="107" customHeight="1" spans="28:28">
      <c r="AB107" s="231"/>
    </row>
    <row r="108" customHeight="1" spans="28:28">
      <c r="AB108" s="231"/>
    </row>
    <row r="109" customHeight="1" spans="28:28">
      <c r="AB109" s="231"/>
    </row>
    <row r="110" customHeight="1" spans="28:28">
      <c r="AB110" s="231"/>
    </row>
    <row r="111" customHeight="1" spans="28:28">
      <c r="AB111" s="231"/>
    </row>
    <row r="112" customHeight="1" spans="28:28">
      <c r="AB112" s="231"/>
    </row>
    <row r="113" customHeight="1" spans="28:28">
      <c r="AB113" s="231"/>
    </row>
    <row r="114" customHeight="1" spans="28:28">
      <c r="AB114" s="231"/>
    </row>
    <row r="115" customHeight="1" spans="28:28">
      <c r="AB115" s="231"/>
    </row>
    <row r="116" customHeight="1" spans="28:28">
      <c r="AB116" s="231"/>
    </row>
    <row r="117" customHeight="1" spans="28:28">
      <c r="AB117" s="231"/>
    </row>
    <row r="118" customHeight="1" spans="28:28">
      <c r="AB118" s="231"/>
    </row>
    <row r="119" customHeight="1" spans="28:28">
      <c r="AB119" s="231"/>
    </row>
    <row r="120" customHeight="1" spans="28:28">
      <c r="AB120" s="231"/>
    </row>
    <row r="121" customHeight="1" spans="28:28">
      <c r="AB121" s="231"/>
    </row>
    <row r="122" customHeight="1" spans="28:28">
      <c r="AB122" s="231"/>
    </row>
    <row r="123" customHeight="1" spans="28:28">
      <c r="AB123" s="231"/>
    </row>
    <row r="124" customHeight="1" spans="28:28">
      <c r="AB124" s="231"/>
    </row>
    <row r="125" customHeight="1" spans="28:28">
      <c r="AB125" s="231"/>
    </row>
    <row r="126" customHeight="1" spans="28:28">
      <c r="AB126" s="231"/>
    </row>
    <row r="127" customHeight="1" spans="28:28">
      <c r="AB127" s="231"/>
    </row>
    <row r="128" customHeight="1" spans="28:28">
      <c r="AB128" s="231"/>
    </row>
    <row r="129" customHeight="1" spans="28:28">
      <c r="AB129" s="231"/>
    </row>
    <row r="130" customHeight="1" spans="28:28">
      <c r="AB130" s="231"/>
    </row>
    <row r="131" customHeight="1" spans="28:28">
      <c r="AB131" s="231"/>
    </row>
    <row r="132" customHeight="1" spans="28:28">
      <c r="AB132" s="231"/>
    </row>
    <row r="133" customHeight="1" spans="28:28">
      <c r="AB133" s="231"/>
    </row>
    <row r="134" customHeight="1" spans="28:28">
      <c r="AB134" s="231"/>
    </row>
    <row r="135" customHeight="1" spans="28:28">
      <c r="AB135" s="231"/>
    </row>
    <row r="136" customHeight="1" spans="28:28">
      <c r="AB136" s="231"/>
    </row>
    <row r="137" customHeight="1" spans="28:28">
      <c r="AB137" s="231"/>
    </row>
    <row r="138" customHeight="1" spans="28:28">
      <c r="AB138" s="231"/>
    </row>
    <row r="139" customHeight="1" spans="28:28">
      <c r="AB139" s="231"/>
    </row>
    <row r="140" customHeight="1" spans="28:28">
      <c r="AB140" s="231"/>
    </row>
    <row r="141" customHeight="1" spans="28:28">
      <c r="AB141" s="231"/>
    </row>
    <row r="142" customHeight="1" spans="28:28">
      <c r="AB142" s="231"/>
    </row>
    <row r="143" customHeight="1" spans="28:28">
      <c r="AB143" s="231"/>
    </row>
    <row r="144" customHeight="1" spans="28:28">
      <c r="AB144" s="231"/>
    </row>
    <row r="145" customHeight="1" spans="28:28">
      <c r="AB145" s="231"/>
    </row>
    <row r="146" customHeight="1" spans="28:28">
      <c r="AB146" s="231"/>
    </row>
    <row r="147" customHeight="1" spans="28:28">
      <c r="AB147" s="231"/>
    </row>
    <row r="148" customHeight="1" spans="28:28">
      <c r="AB148" s="231"/>
    </row>
    <row r="149" customHeight="1" spans="28:28">
      <c r="AB149" s="231"/>
    </row>
    <row r="150" customHeight="1" spans="28:28">
      <c r="AB150" s="231"/>
    </row>
    <row r="151" customHeight="1" spans="28:28">
      <c r="AB151" s="231"/>
    </row>
    <row r="152" customHeight="1" spans="28:28">
      <c r="AB152" s="231"/>
    </row>
    <row r="153" customHeight="1" spans="28:28">
      <c r="AB153" s="231"/>
    </row>
    <row r="154" customHeight="1" spans="28:28">
      <c r="AB154" s="231"/>
    </row>
    <row r="155" customHeight="1" spans="28:28">
      <c r="AB155" s="231"/>
    </row>
    <row r="156" customHeight="1" spans="28:28">
      <c r="AB156" s="231"/>
    </row>
    <row r="157" customHeight="1" spans="28:28">
      <c r="AB157" s="231"/>
    </row>
    <row r="158" customHeight="1" spans="28:28">
      <c r="AB158" s="231"/>
    </row>
    <row r="159" customHeight="1" spans="28:28">
      <c r="AB159" s="231"/>
    </row>
    <row r="160" customHeight="1" spans="28:28">
      <c r="AB160" s="231"/>
    </row>
    <row r="161" customHeight="1" spans="28:28">
      <c r="AB161" s="231"/>
    </row>
    <row r="162" customHeight="1" spans="28:28">
      <c r="AB162" s="231"/>
    </row>
    <row r="163" customHeight="1" spans="28:28">
      <c r="AB163" s="231"/>
    </row>
    <row r="164" customHeight="1" spans="28:28">
      <c r="AB164" s="231"/>
    </row>
    <row r="165" customHeight="1" spans="28:28">
      <c r="AB165" s="231"/>
    </row>
    <row r="166" customHeight="1" spans="28:28">
      <c r="AB166" s="231"/>
    </row>
    <row r="167" customHeight="1" spans="28:28">
      <c r="AB167" s="231"/>
    </row>
    <row r="168" customHeight="1" spans="28:28">
      <c r="AB168" s="231"/>
    </row>
    <row r="169" customHeight="1" spans="28:28">
      <c r="AB169" s="231"/>
    </row>
    <row r="170" customHeight="1" spans="28:28">
      <c r="AB170" s="231"/>
    </row>
    <row r="171" customHeight="1" spans="28:28">
      <c r="AB171" s="231"/>
    </row>
    <row r="172" customHeight="1" spans="28:28">
      <c r="AB172" s="231"/>
    </row>
    <row r="173" customHeight="1" spans="28:28">
      <c r="AB173" s="231"/>
    </row>
    <row r="174" customHeight="1" spans="28:28">
      <c r="AB174" s="231"/>
    </row>
  </sheetData>
  <autoFilter xmlns:etc="http://www.wps.cn/officeDocument/2017/etCustomData" ref="A4:DM34" etc:filterBottomFollowUsedRange="0">
    <extLst/>
  </autoFilter>
  <mergeCells count="39">
    <mergeCell ref="A2:G2"/>
    <mergeCell ref="H2:K2"/>
    <mergeCell ref="L2:M2"/>
    <mergeCell ref="N2:P2"/>
    <mergeCell ref="Q2:R2"/>
    <mergeCell ref="S2:X2"/>
    <mergeCell ref="Y2:Z2"/>
    <mergeCell ref="AC2:AD2"/>
    <mergeCell ref="AE2:AF2"/>
    <mergeCell ref="A3:A4"/>
    <mergeCell ref="B3:B4"/>
    <mergeCell ref="C3:C4"/>
    <mergeCell ref="D3:D4"/>
    <mergeCell ref="E3:E4"/>
    <mergeCell ref="F3:F4"/>
    <mergeCell ref="G3:G4"/>
    <mergeCell ref="H3:H4"/>
    <mergeCell ref="J3:J4"/>
    <mergeCell ref="K3:K4"/>
    <mergeCell ref="L3:L4"/>
    <mergeCell ref="M3:M4"/>
    <mergeCell ref="N3:N4"/>
    <mergeCell ref="O3:O4"/>
    <mergeCell ref="P3:P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  <mergeCell ref="AC3:AC4"/>
    <mergeCell ref="AD3:AD4"/>
    <mergeCell ref="AE3:AE4"/>
    <mergeCell ref="AF3:AF4"/>
  </mergeCells>
  <pageMargins left="0.75" right="0.75" top="1" bottom="1" header="0.5" footer="0.5"/>
  <headerFooter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J16"/>
  <sheetViews>
    <sheetView tabSelected="1" zoomScale="90" zoomScaleNormal="90" topLeftCell="F1" workbookViewId="0">
      <selection activeCell="Q27" sqref="Q27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4" width="4.38333333333333" style="3" customWidth="1"/>
    <col min="5" max="5" width="5.88333333333333" style="3" customWidth="1"/>
    <col min="6" max="6" width="28.3833333333333" style="4" customWidth="1"/>
    <col min="7" max="7" width="39.3" style="3" customWidth="1"/>
    <col min="8" max="8" width="5" style="3" hidden="1" customWidth="1"/>
    <col min="9" max="9" width="4.50833333333333" style="3" customWidth="1"/>
    <col min="10" max="10" width="86.6666666666667" style="3" customWidth="1"/>
    <col min="11" max="19" width="4.63333333333333" style="121" customWidth="1"/>
    <col min="20" max="20" width="9.75833333333333" style="121" customWidth="1"/>
    <col min="21" max="21" width="6.75833333333333" style="121" customWidth="1"/>
    <col min="22" max="22" width="4.63333333333333" style="121" customWidth="1"/>
    <col min="23" max="16384" width="8" style="121"/>
  </cols>
  <sheetData>
    <row r="1" ht="13.5"/>
    <row r="2" ht="17.25" spans="1:22">
      <c r="A2" s="14" t="s">
        <v>379</v>
      </c>
      <c r="B2" s="13"/>
      <c r="C2" s="13"/>
      <c r="D2" s="13"/>
      <c r="E2" s="13"/>
      <c r="F2" s="13"/>
      <c r="G2" s="143"/>
      <c r="H2" s="15" t="s">
        <v>1384</v>
      </c>
      <c r="I2" s="35"/>
      <c r="J2" s="161" t="s">
        <v>1385</v>
      </c>
      <c r="K2" s="162" t="s">
        <v>80</v>
      </c>
      <c r="L2" s="40"/>
      <c r="M2" s="40"/>
      <c r="N2" s="40"/>
      <c r="O2" s="40"/>
      <c r="P2" s="40"/>
      <c r="Q2" s="53" t="s">
        <v>382</v>
      </c>
      <c r="R2" s="54"/>
      <c r="S2" s="55"/>
      <c r="T2" s="65" t="s">
        <v>81</v>
      </c>
      <c r="U2" s="65"/>
      <c r="V2" s="175" t="s">
        <v>82</v>
      </c>
    </row>
    <row r="3" ht="14.25" spans="1:22">
      <c r="A3" s="116" t="s">
        <v>85</v>
      </c>
      <c r="B3" s="123" t="s">
        <v>87</v>
      </c>
      <c r="C3" s="144" t="s">
        <v>383</v>
      </c>
      <c r="D3" s="144" t="s">
        <v>1386</v>
      </c>
      <c r="E3" s="124" t="s">
        <v>89</v>
      </c>
      <c r="F3" s="124" t="s">
        <v>90</v>
      </c>
      <c r="G3" s="145" t="s">
        <v>91</v>
      </c>
      <c r="H3" s="146" t="s">
        <v>1387</v>
      </c>
      <c r="I3" s="163" t="s">
        <v>388</v>
      </c>
      <c r="J3" s="164"/>
      <c r="K3" s="45" t="s">
        <v>109</v>
      </c>
      <c r="L3" s="56" t="s">
        <v>110</v>
      </c>
      <c r="M3" s="57" t="s">
        <v>111</v>
      </c>
      <c r="N3" s="57" t="s">
        <v>112</v>
      </c>
      <c r="O3" s="56" t="s">
        <v>113</v>
      </c>
      <c r="P3" s="56" t="s">
        <v>114</v>
      </c>
      <c r="Q3" s="58" t="s">
        <v>107</v>
      </c>
      <c r="R3" s="58" t="s">
        <v>108</v>
      </c>
      <c r="S3" s="24" t="s">
        <v>115</v>
      </c>
      <c r="T3" s="68" t="s">
        <v>116</v>
      </c>
      <c r="U3" s="69" t="s">
        <v>117</v>
      </c>
      <c r="V3" s="176"/>
    </row>
    <row r="4" ht="90.95" customHeight="1" spans="1:35">
      <c r="A4" s="69"/>
      <c r="B4" s="147"/>
      <c r="C4" s="69"/>
      <c r="D4" s="69"/>
      <c r="E4" s="130"/>
      <c r="F4" s="130"/>
      <c r="G4" s="148"/>
      <c r="H4" s="149"/>
      <c r="I4" s="165"/>
      <c r="J4" s="166"/>
      <c r="K4" s="45"/>
      <c r="L4" s="56"/>
      <c r="M4" s="136"/>
      <c r="N4" s="136"/>
      <c r="O4" s="56"/>
      <c r="P4" s="56"/>
      <c r="Q4" s="137"/>
      <c r="R4" s="137"/>
      <c r="S4" s="115"/>
      <c r="T4" s="68"/>
      <c r="U4" s="113"/>
      <c r="V4" s="177"/>
      <c r="W4" s="178"/>
      <c r="X4" s="178"/>
      <c r="Y4" s="178"/>
      <c r="Z4" s="178"/>
      <c r="AA4" s="178"/>
      <c r="AB4" s="178"/>
      <c r="AC4" s="178"/>
      <c r="AD4" s="178"/>
      <c r="AE4" s="178"/>
      <c r="AF4" s="178"/>
      <c r="AG4" s="178"/>
      <c r="AH4" s="178"/>
      <c r="AI4" s="178"/>
    </row>
    <row r="5" s="142" customFormat="1" ht="27" customHeight="1" spans="1:36">
      <c r="A5" s="28">
        <v>1</v>
      </c>
      <c r="B5" s="150" t="s">
        <v>120</v>
      </c>
      <c r="C5" s="151" t="s">
        <v>1388</v>
      </c>
      <c r="D5" s="151" t="s">
        <v>1389</v>
      </c>
      <c r="E5" s="152">
        <v>1</v>
      </c>
      <c r="F5" s="153" t="s">
        <v>532</v>
      </c>
      <c r="G5" s="81" t="s">
        <v>1390</v>
      </c>
      <c r="H5" s="154"/>
      <c r="I5" s="157" t="s">
        <v>124</v>
      </c>
      <c r="J5" s="167" t="str">
        <f>CONCATENATE(RemovePunctuation(G5),"_",B5,"_","i4K","_",V5,"_",PROPER(K5),IF(L5="",PROPER(K5),PROPER(L5)),PROPER(M5),PROPER(N5),PROPER(O5),IF(O5&lt;&gt;"","SUB",""),PROPER(P5),IF(P5&lt;&gt;"","SUB",""),"_","Ed","_","M1",".mpg")</f>
        <v>AirPanoramaDomesticOutboundWithAd_0825_i4K_43_ZhoZhoZhoSUB_Ed_M1.mpg</v>
      </c>
      <c r="K5" s="168" t="s">
        <v>130</v>
      </c>
      <c r="L5" s="168"/>
      <c r="M5" s="169"/>
      <c r="N5" s="169"/>
      <c r="O5" s="168" t="s">
        <v>130</v>
      </c>
      <c r="P5" s="170"/>
      <c r="Q5" s="61" t="s">
        <v>129</v>
      </c>
      <c r="R5" s="61" t="s">
        <v>129</v>
      </c>
      <c r="S5" s="118">
        <f t="shared" ref="S5:S10" si="0">ROUNDUP(HOUR(T5)*60+MINUTE(T5)+SECOND(T5)/60,0)</f>
        <v>160</v>
      </c>
      <c r="T5" s="119">
        <v>0.110844907407407</v>
      </c>
      <c r="U5" s="120">
        <f t="shared" ref="U5:U10" si="1">S5*60</f>
        <v>9600</v>
      </c>
      <c r="V5" s="141">
        <v>43</v>
      </c>
      <c r="W5" s="178"/>
      <c r="X5" s="178"/>
      <c r="Y5" s="178"/>
      <c r="Z5" s="178"/>
      <c r="AA5" s="178"/>
      <c r="AB5" s="178"/>
      <c r="AC5" s="178"/>
      <c r="AD5" s="178"/>
      <c r="AE5" s="178"/>
      <c r="AF5" s="178"/>
      <c r="AG5" s="178"/>
      <c r="AH5" s="178"/>
      <c r="AI5" s="178"/>
      <c r="AJ5" s="180"/>
    </row>
    <row r="6" s="142" customFormat="1" ht="21.95" customHeight="1" spans="1:36">
      <c r="A6" s="28">
        <v>2</v>
      </c>
      <c r="B6" s="150" t="s">
        <v>120</v>
      </c>
      <c r="C6" s="151"/>
      <c r="D6" s="151"/>
      <c r="E6" s="155">
        <v>2</v>
      </c>
      <c r="F6" s="153" t="s">
        <v>536</v>
      </c>
      <c r="G6" s="28" t="s">
        <v>1391</v>
      </c>
      <c r="H6" s="154"/>
      <c r="I6" s="157" t="s">
        <v>124</v>
      </c>
      <c r="J6" s="167" t="str">
        <f>CONCATENATE(RemovePunctuation(G6),"_",B6,"_","i4K","_",V6,"_",PROPER(K6),IF(L6="",PROPER(K6),PROPER(L6)),PROPER(M6),PROPER(N6),PROPER(O6),IF(O6&lt;&gt;"","SUB",""),PROPER(P6),IF(P6&lt;&gt;"","SUB",""),"_","Ed","_","M1",".mpg")</f>
        <v>AirPanoramaDomesticInboundWithAd_0825_i4K_43_ZhoZhoZhoSUB_Ed_M1.mpg</v>
      </c>
      <c r="K6" s="168" t="s">
        <v>130</v>
      </c>
      <c r="L6" s="169"/>
      <c r="M6" s="169"/>
      <c r="N6" s="169"/>
      <c r="O6" s="168" t="s">
        <v>130</v>
      </c>
      <c r="P6" s="170"/>
      <c r="Q6" s="61" t="s">
        <v>129</v>
      </c>
      <c r="R6" s="61" t="s">
        <v>129</v>
      </c>
      <c r="S6" s="118">
        <f t="shared" si="0"/>
        <v>155</v>
      </c>
      <c r="T6" s="119">
        <v>0.107523148148148</v>
      </c>
      <c r="U6" s="120">
        <f t="shared" si="1"/>
        <v>9300</v>
      </c>
      <c r="V6" s="141">
        <v>43</v>
      </c>
      <c r="W6" s="178"/>
      <c r="X6" s="178"/>
      <c r="Y6" s="178"/>
      <c r="Z6" s="178"/>
      <c r="AA6" s="178"/>
      <c r="AB6" s="178"/>
      <c r="AC6" s="178"/>
      <c r="AD6" s="178"/>
      <c r="AE6" s="178"/>
      <c r="AF6" s="178"/>
      <c r="AG6" s="178"/>
      <c r="AH6" s="178"/>
      <c r="AI6" s="178"/>
      <c r="AJ6" s="180"/>
    </row>
    <row r="7" ht="18" customHeight="1" spans="1:33">
      <c r="A7" s="28">
        <v>3</v>
      </c>
      <c r="B7" s="150" t="s">
        <v>120</v>
      </c>
      <c r="C7" s="151"/>
      <c r="D7" s="151"/>
      <c r="E7" s="152">
        <v>3</v>
      </c>
      <c r="F7" s="153" t="s">
        <v>524</v>
      </c>
      <c r="G7" s="156" t="s">
        <v>1392</v>
      </c>
      <c r="H7" s="157"/>
      <c r="I7" s="157" t="s">
        <v>124</v>
      </c>
      <c r="J7" s="167" t="str">
        <f>CONCATENATE(RemovePunctuation(G7),"_",B7,"_","i4K","_",V7,"_",PROPER(K7),IF(L7="",PROPER(K7),PROPER(L7)),PROPER(M7),PROPER(N7),PROPER(O7),IF(O7&lt;&gt;"","SUB",""),PROPER(P7),IF(P7&lt;&gt;"","SUB",""),"_","Ed","_","M1",".mpg")</f>
        <v>AirPanoramaInternationalOutboundWithAd_0825_i4K_43_EngZhoEngSUBZhoSUB_Ed_M1.mpg</v>
      </c>
      <c r="K7" s="171" t="s">
        <v>131</v>
      </c>
      <c r="L7" s="171" t="s">
        <v>130</v>
      </c>
      <c r="M7" s="171"/>
      <c r="N7" s="171"/>
      <c r="O7" s="171" t="s">
        <v>131</v>
      </c>
      <c r="P7" s="171" t="s">
        <v>130</v>
      </c>
      <c r="Q7" s="61" t="s">
        <v>129</v>
      </c>
      <c r="R7" s="61" t="s">
        <v>129</v>
      </c>
      <c r="S7" s="118">
        <f t="shared" si="0"/>
        <v>148</v>
      </c>
      <c r="T7" s="119">
        <v>0.102476851851852</v>
      </c>
      <c r="U7" s="120">
        <f t="shared" si="1"/>
        <v>8880</v>
      </c>
      <c r="V7" s="141">
        <v>43</v>
      </c>
      <c r="W7" s="178"/>
      <c r="X7" s="178"/>
      <c r="Y7" s="178"/>
      <c r="Z7" s="178"/>
      <c r="AA7" s="178"/>
      <c r="AB7" s="178"/>
      <c r="AC7" s="178"/>
      <c r="AD7" s="178"/>
      <c r="AE7" s="178"/>
      <c r="AF7" s="178"/>
      <c r="AG7" s="178"/>
    </row>
    <row r="8" ht="18" customHeight="1" spans="1:33">
      <c r="A8" s="28">
        <v>4</v>
      </c>
      <c r="B8" s="150" t="s">
        <v>120</v>
      </c>
      <c r="C8" s="151"/>
      <c r="D8" s="151"/>
      <c r="E8" s="152">
        <v>4</v>
      </c>
      <c r="F8" s="153" t="s">
        <v>528</v>
      </c>
      <c r="G8" s="156" t="s">
        <v>1393</v>
      </c>
      <c r="H8" s="157"/>
      <c r="I8" s="157" t="s">
        <v>124</v>
      </c>
      <c r="J8" s="167" t="str">
        <f>CONCATENATE(RemovePunctuation(G8),"_",B8,"_","i4K","_",V8,"_",PROPER(K8),IF(L8="",PROPER(K8),PROPER(L8)),PROPER(M8),PROPER(N8),PROPER(O8),IF(O8&lt;&gt;"","SUB",""),PROPER(P8),IF(P8&lt;&gt;"","SUB",""),"_","Ed","_","M1",".mpg")</f>
        <v>AirPanoramaInternationalInboundWithAd_0825_i4K_43_EngZhoEngSUBZhoSUB_Ed_M1.mpg</v>
      </c>
      <c r="K8" s="171" t="s">
        <v>131</v>
      </c>
      <c r="L8" s="171" t="s">
        <v>130</v>
      </c>
      <c r="M8" s="171"/>
      <c r="N8" s="171"/>
      <c r="O8" s="171" t="s">
        <v>131</v>
      </c>
      <c r="P8" s="171" t="s">
        <v>130</v>
      </c>
      <c r="Q8" s="61" t="s">
        <v>129</v>
      </c>
      <c r="R8" s="61" t="s">
        <v>129</v>
      </c>
      <c r="S8" s="118">
        <f t="shared" si="0"/>
        <v>148</v>
      </c>
      <c r="T8" s="119">
        <v>0.102372685185185</v>
      </c>
      <c r="U8" s="120">
        <f t="shared" si="1"/>
        <v>8880</v>
      </c>
      <c r="V8" s="141">
        <v>43</v>
      </c>
      <c r="W8" s="178"/>
      <c r="X8" s="178"/>
      <c r="Y8" s="178"/>
      <c r="Z8" s="178"/>
      <c r="AA8" s="178"/>
      <c r="AB8" s="178"/>
      <c r="AC8" s="178"/>
      <c r="AD8" s="178"/>
      <c r="AE8" s="178"/>
      <c r="AF8" s="178"/>
      <c r="AG8" s="178"/>
    </row>
    <row r="9" ht="18" customHeight="1" spans="1:22">
      <c r="A9" s="28">
        <v>5</v>
      </c>
      <c r="B9" s="150" t="s">
        <v>120</v>
      </c>
      <c r="C9" s="151"/>
      <c r="D9" s="151" t="s">
        <v>1394</v>
      </c>
      <c r="E9" s="152">
        <v>5</v>
      </c>
      <c r="F9" s="153" t="s">
        <v>1395</v>
      </c>
      <c r="G9" s="156" t="s">
        <v>1396</v>
      </c>
      <c r="H9" s="157"/>
      <c r="I9" s="157" t="s">
        <v>124</v>
      </c>
      <c r="J9" s="172" t="s">
        <v>1397</v>
      </c>
      <c r="K9" s="171" t="s">
        <v>131</v>
      </c>
      <c r="L9" s="171" t="s">
        <v>130</v>
      </c>
      <c r="M9" s="173"/>
      <c r="N9" s="173"/>
      <c r="O9" s="173"/>
      <c r="P9" s="173"/>
      <c r="Q9" s="61" t="s">
        <v>129</v>
      </c>
      <c r="R9" s="61" t="s">
        <v>129</v>
      </c>
      <c r="S9" s="118">
        <f t="shared" si="0"/>
        <v>0</v>
      </c>
      <c r="T9" s="119"/>
      <c r="U9" s="120">
        <f t="shared" si="1"/>
        <v>0</v>
      </c>
      <c r="V9" s="141">
        <v>43</v>
      </c>
    </row>
    <row r="10" ht="18" customHeight="1" spans="1:22">
      <c r="A10" s="28">
        <v>6</v>
      </c>
      <c r="B10" s="150" t="s">
        <v>120</v>
      </c>
      <c r="C10" s="151"/>
      <c r="D10" s="151" t="s">
        <v>1389</v>
      </c>
      <c r="E10" s="155">
        <v>6</v>
      </c>
      <c r="F10" s="153" t="s">
        <v>435</v>
      </c>
      <c r="G10" s="156" t="s">
        <v>436</v>
      </c>
      <c r="H10" s="157"/>
      <c r="I10" s="157" t="s">
        <v>124</v>
      </c>
      <c r="J10" s="174" t="s">
        <v>1398</v>
      </c>
      <c r="K10" s="173"/>
      <c r="L10" s="173"/>
      <c r="M10" s="173"/>
      <c r="N10" s="173"/>
      <c r="O10" s="173"/>
      <c r="P10" s="173"/>
      <c r="Q10" s="61" t="s">
        <v>129</v>
      </c>
      <c r="R10" s="61" t="s">
        <v>129</v>
      </c>
      <c r="S10" s="118">
        <f t="shared" si="0"/>
        <v>0</v>
      </c>
      <c r="T10" s="119"/>
      <c r="U10" s="118">
        <f t="shared" si="1"/>
        <v>0</v>
      </c>
      <c r="V10" s="179">
        <v>43</v>
      </c>
    </row>
    <row r="11" ht="18" hidden="1" customHeight="1" spans="1:22">
      <c r="A11" s="28">
        <v>1</v>
      </c>
      <c r="B11" s="150" t="s">
        <v>1399</v>
      </c>
      <c r="C11" s="158" t="s">
        <v>1388</v>
      </c>
      <c r="D11" s="158" t="s">
        <v>1400</v>
      </c>
      <c r="E11" s="155">
        <v>1</v>
      </c>
      <c r="F11" s="153" t="s">
        <v>1401</v>
      </c>
      <c r="G11" s="156" t="s">
        <v>1402</v>
      </c>
      <c r="H11" s="157" t="s">
        <v>124</v>
      </c>
      <c r="I11" s="157"/>
      <c r="J11" s="174" t="s">
        <v>1403</v>
      </c>
      <c r="K11" s="173"/>
      <c r="L11" s="173"/>
      <c r="M11" s="173"/>
      <c r="N11" s="173"/>
      <c r="O11" s="173"/>
      <c r="P11" s="173"/>
      <c r="Q11" s="61" t="s">
        <v>129</v>
      </c>
      <c r="R11" s="61" t="s">
        <v>129</v>
      </c>
      <c r="S11" s="118">
        <f t="shared" ref="S11:S16" si="2">ROUNDUP(HOUR(T11)*60+MINUTE(T11)+SECOND(T11)/60,0)</f>
        <v>0</v>
      </c>
      <c r="T11" s="119"/>
      <c r="U11" s="118">
        <f t="shared" ref="U11:U16" si="3">S11*60</f>
        <v>0</v>
      </c>
      <c r="V11" s="179">
        <v>43</v>
      </c>
    </row>
    <row r="12" ht="18" hidden="1" customHeight="1" spans="1:22">
      <c r="A12" s="28">
        <v>2</v>
      </c>
      <c r="B12" s="150" t="s">
        <v>1399</v>
      </c>
      <c r="C12" s="159"/>
      <c r="D12" s="159"/>
      <c r="E12" s="155">
        <v>2</v>
      </c>
      <c r="F12" s="153" t="s">
        <v>1404</v>
      </c>
      <c r="G12" s="156" t="s">
        <v>1405</v>
      </c>
      <c r="H12" s="157" t="s">
        <v>124</v>
      </c>
      <c r="I12" s="157"/>
      <c r="J12" s="174" t="s">
        <v>1403</v>
      </c>
      <c r="K12" s="173"/>
      <c r="L12" s="173"/>
      <c r="M12" s="173"/>
      <c r="N12" s="173"/>
      <c r="O12" s="173"/>
      <c r="P12" s="173"/>
      <c r="Q12" s="61" t="s">
        <v>129</v>
      </c>
      <c r="R12" s="61" t="s">
        <v>129</v>
      </c>
      <c r="S12" s="118">
        <f t="shared" si="2"/>
        <v>0</v>
      </c>
      <c r="T12" s="119"/>
      <c r="U12" s="118">
        <f t="shared" si="3"/>
        <v>0</v>
      </c>
      <c r="V12" s="179">
        <v>43</v>
      </c>
    </row>
    <row r="13" ht="18" hidden="1" customHeight="1" spans="1:22">
      <c r="A13" s="28">
        <v>3</v>
      </c>
      <c r="B13" s="150" t="s">
        <v>1399</v>
      </c>
      <c r="C13" s="159"/>
      <c r="D13" s="159"/>
      <c r="E13" s="155">
        <v>3</v>
      </c>
      <c r="F13" s="153" t="s">
        <v>1406</v>
      </c>
      <c r="G13" s="156" t="s">
        <v>1407</v>
      </c>
      <c r="H13" s="157" t="s">
        <v>124</v>
      </c>
      <c r="I13" s="157"/>
      <c r="J13" s="174" t="s">
        <v>1403</v>
      </c>
      <c r="K13" s="173"/>
      <c r="L13" s="173"/>
      <c r="M13" s="173"/>
      <c r="N13" s="173"/>
      <c r="O13" s="173"/>
      <c r="P13" s="173"/>
      <c r="Q13" s="61" t="s">
        <v>129</v>
      </c>
      <c r="R13" s="61" t="s">
        <v>129</v>
      </c>
      <c r="S13" s="118">
        <f t="shared" si="2"/>
        <v>0</v>
      </c>
      <c r="T13" s="119"/>
      <c r="U13" s="118">
        <f t="shared" si="3"/>
        <v>0</v>
      </c>
      <c r="V13" s="179">
        <v>43</v>
      </c>
    </row>
    <row r="14" ht="18" hidden="1" customHeight="1" spans="1:22">
      <c r="A14" s="28">
        <v>4</v>
      </c>
      <c r="B14" s="150" t="s">
        <v>1399</v>
      </c>
      <c r="C14" s="159"/>
      <c r="D14" s="159"/>
      <c r="E14" s="155">
        <v>4</v>
      </c>
      <c r="F14" s="153" t="s">
        <v>1408</v>
      </c>
      <c r="G14" s="156" t="s">
        <v>1409</v>
      </c>
      <c r="H14" s="157" t="s">
        <v>124</v>
      </c>
      <c r="I14" s="157"/>
      <c r="J14" s="174" t="s">
        <v>1403</v>
      </c>
      <c r="K14" s="173"/>
      <c r="L14" s="173"/>
      <c r="M14" s="173"/>
      <c r="N14" s="173"/>
      <c r="O14" s="173"/>
      <c r="P14" s="173"/>
      <c r="Q14" s="61" t="s">
        <v>129</v>
      </c>
      <c r="R14" s="61" t="s">
        <v>129</v>
      </c>
      <c r="S14" s="118">
        <f t="shared" si="2"/>
        <v>0</v>
      </c>
      <c r="T14" s="119"/>
      <c r="U14" s="118">
        <f t="shared" si="3"/>
        <v>0</v>
      </c>
      <c r="V14" s="179">
        <v>43</v>
      </c>
    </row>
    <row r="15" ht="18" hidden="1" customHeight="1" spans="1:22">
      <c r="A15" s="28">
        <v>5</v>
      </c>
      <c r="B15" s="150" t="s">
        <v>1399</v>
      </c>
      <c r="C15" s="159"/>
      <c r="D15" s="159"/>
      <c r="E15" s="155">
        <v>5</v>
      </c>
      <c r="F15" s="153" t="s">
        <v>1410</v>
      </c>
      <c r="G15" s="156" t="s">
        <v>1411</v>
      </c>
      <c r="H15" s="157" t="s">
        <v>124</v>
      </c>
      <c r="I15" s="157"/>
      <c r="J15" s="174" t="s">
        <v>1403</v>
      </c>
      <c r="K15" s="173"/>
      <c r="L15" s="173"/>
      <c r="M15" s="173"/>
      <c r="N15" s="173"/>
      <c r="O15" s="173"/>
      <c r="P15" s="173"/>
      <c r="Q15" s="61" t="s">
        <v>129</v>
      </c>
      <c r="R15" s="61" t="s">
        <v>129</v>
      </c>
      <c r="S15" s="118">
        <f t="shared" si="2"/>
        <v>0</v>
      </c>
      <c r="T15" s="119"/>
      <c r="U15" s="118">
        <f t="shared" si="3"/>
        <v>0</v>
      </c>
      <c r="V15" s="179">
        <v>43</v>
      </c>
    </row>
    <row r="16" ht="18" hidden="1" customHeight="1" spans="1:22">
      <c r="A16" s="28">
        <v>6</v>
      </c>
      <c r="B16" s="150" t="s">
        <v>1399</v>
      </c>
      <c r="C16" s="160"/>
      <c r="D16" s="160"/>
      <c r="E16" s="155">
        <v>6</v>
      </c>
      <c r="F16" s="153" t="s">
        <v>1412</v>
      </c>
      <c r="G16" s="156" t="s">
        <v>1413</v>
      </c>
      <c r="H16" s="157" t="s">
        <v>124</v>
      </c>
      <c r="I16" s="157"/>
      <c r="J16" s="174" t="s">
        <v>1403</v>
      </c>
      <c r="K16" s="173"/>
      <c r="L16" s="173"/>
      <c r="M16" s="173"/>
      <c r="N16" s="173"/>
      <c r="O16" s="173"/>
      <c r="P16" s="173"/>
      <c r="Q16" s="61" t="s">
        <v>129</v>
      </c>
      <c r="R16" s="61" t="s">
        <v>129</v>
      </c>
      <c r="S16" s="118">
        <f t="shared" si="2"/>
        <v>0</v>
      </c>
      <c r="T16" s="119"/>
      <c r="U16" s="118">
        <f t="shared" si="3"/>
        <v>0</v>
      </c>
      <c r="V16" s="179">
        <v>43</v>
      </c>
    </row>
  </sheetData>
  <mergeCells count="31">
    <mergeCell ref="A2:G2"/>
    <mergeCell ref="H2:I2"/>
    <mergeCell ref="K2:P2"/>
    <mergeCell ref="Q2:R2"/>
    <mergeCell ref="T2:U2"/>
    <mergeCell ref="A3:A4"/>
    <mergeCell ref="B3:B4"/>
    <mergeCell ref="C3:C4"/>
    <mergeCell ref="C5:C10"/>
    <mergeCell ref="C11:C16"/>
    <mergeCell ref="D3:D4"/>
    <mergeCell ref="D5:D8"/>
    <mergeCell ref="D11:D16"/>
    <mergeCell ref="E3:E4"/>
    <mergeCell ref="F3:F4"/>
    <mergeCell ref="G3:G4"/>
    <mergeCell ref="H3:H4"/>
    <mergeCell ref="I3:I4"/>
    <mergeCell ref="J2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2:V4"/>
  </mergeCells>
  <pageMargins left="0.75" right="0.75" top="1" bottom="1" header="0.5" footer="0.5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G31"/>
  <sheetViews>
    <sheetView zoomScale="80" zoomScaleNormal="80" topLeftCell="F1" workbookViewId="0">
      <selection activeCell="S5" sqref="S5:S8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6.5083333333333" style="4" customWidth="1"/>
    <col min="7" max="7" width="48.2" style="3" customWidth="1"/>
    <col min="8" max="8" width="4.50833333333333" style="3" customWidth="1"/>
    <col min="9" max="9" width="85.6166666666667" style="5" customWidth="1"/>
    <col min="10" max="10" width="4.14166666666667" style="3" customWidth="1"/>
    <col min="11" max="13" width="4.14166666666667" style="6" customWidth="1"/>
    <col min="14" max="15" width="4.14166666666667" style="3" customWidth="1"/>
    <col min="16" max="17" width="5.63333333333333" style="7" customWidth="1"/>
    <col min="18" max="18" width="8" style="7" customWidth="1"/>
    <col min="19" max="19" width="11.3833333333333" style="3" customWidth="1"/>
    <col min="20" max="20" width="11.2583333333333" style="3" customWidth="1"/>
    <col min="21" max="21" width="6.14166666666667" style="3" customWidth="1"/>
    <col min="22" max="23" width="5.14166666666667" style="8" customWidth="1"/>
    <col min="24" max="24" width="17.6333333333333" style="9" customWidth="1"/>
    <col min="25" max="25" width="5.14166666666667" style="10" customWidth="1"/>
    <col min="26" max="26" width="5.14166666666667" style="8" customWidth="1"/>
    <col min="27" max="27" width="5.14166666666667" style="11" customWidth="1"/>
    <col min="28" max="29" width="5.14166666666667" style="8" customWidth="1"/>
    <col min="30" max="30" width="5.14166666666667" style="10" customWidth="1"/>
    <col min="31" max="33" width="4.14166666666667" style="12" hidden="1" customWidth="1"/>
    <col min="34" max="16382" width="8" style="2"/>
    <col min="16383" max="16384" width="8" style="121"/>
  </cols>
  <sheetData>
    <row r="1" s="2" customFormat="1" ht="13.5" spans="3:33">
      <c r="C1" s="3"/>
      <c r="D1" s="3"/>
      <c r="E1" s="3"/>
      <c r="F1" s="4"/>
      <c r="G1" s="3"/>
      <c r="H1" s="3"/>
      <c r="I1" s="5"/>
      <c r="J1" s="3"/>
      <c r="K1" s="6"/>
      <c r="L1" s="6"/>
      <c r="M1" s="6"/>
      <c r="N1" s="3"/>
      <c r="O1" s="3"/>
      <c r="P1" s="7"/>
      <c r="Q1" s="7"/>
      <c r="R1" s="7"/>
      <c r="S1" s="3"/>
      <c r="T1" s="3"/>
      <c r="U1" s="3"/>
      <c r="V1" s="8"/>
      <c r="W1" s="8"/>
      <c r="X1" s="9"/>
      <c r="Y1" s="10"/>
      <c r="Z1" s="8"/>
      <c r="AA1" s="11"/>
      <c r="AB1" s="8"/>
      <c r="AC1" s="8"/>
      <c r="AD1" s="10"/>
      <c r="AE1" s="12"/>
      <c r="AF1" s="12"/>
      <c r="AG1" s="12"/>
    </row>
    <row r="2" s="2" customFormat="1" ht="18.95" customHeight="1" spans="1:21">
      <c r="A2" s="14" t="s">
        <v>379</v>
      </c>
      <c r="B2" s="13"/>
      <c r="C2" s="13"/>
      <c r="D2" s="13"/>
      <c r="E2" s="13"/>
      <c r="F2" s="13"/>
      <c r="G2" s="14"/>
      <c r="H2" s="122" t="s">
        <v>74</v>
      </c>
      <c r="I2" s="133" t="s">
        <v>381</v>
      </c>
      <c r="J2" s="40" t="s">
        <v>80</v>
      </c>
      <c r="K2" s="40"/>
      <c r="L2" s="40"/>
      <c r="M2" s="40"/>
      <c r="N2" s="40"/>
      <c r="O2" s="40"/>
      <c r="P2" s="53" t="s">
        <v>382</v>
      </c>
      <c r="Q2" s="54"/>
      <c r="R2" s="55"/>
      <c r="S2" s="65" t="s">
        <v>81</v>
      </c>
      <c r="T2" s="65"/>
      <c r="U2" s="139" t="s">
        <v>82</v>
      </c>
    </row>
    <row r="3" s="2" customFormat="1" ht="18" customHeight="1" spans="1:21">
      <c r="A3" s="116" t="s">
        <v>85</v>
      </c>
      <c r="B3" s="123" t="s">
        <v>87</v>
      </c>
      <c r="C3" s="18" t="s">
        <v>383</v>
      </c>
      <c r="D3" s="17" t="s">
        <v>86</v>
      </c>
      <c r="E3" s="19" t="s">
        <v>89</v>
      </c>
      <c r="F3" s="124" t="s">
        <v>90</v>
      </c>
      <c r="G3" s="20" t="s">
        <v>91</v>
      </c>
      <c r="H3" s="125" t="s">
        <v>96</v>
      </c>
      <c r="I3" s="134"/>
      <c r="J3" s="56" t="s">
        <v>109</v>
      </c>
      <c r="K3" s="56" t="s">
        <v>110</v>
      </c>
      <c r="L3" s="57" t="s">
        <v>111</v>
      </c>
      <c r="M3" s="57" t="s">
        <v>112</v>
      </c>
      <c r="N3" s="56" t="s">
        <v>113</v>
      </c>
      <c r="O3" s="56" t="s">
        <v>114</v>
      </c>
      <c r="P3" s="58" t="s">
        <v>107</v>
      </c>
      <c r="Q3" s="58" t="s">
        <v>108</v>
      </c>
      <c r="R3" s="24" t="s">
        <v>115</v>
      </c>
      <c r="S3" s="68" t="s">
        <v>116</v>
      </c>
      <c r="T3" s="69" t="s">
        <v>117</v>
      </c>
      <c r="U3" s="70"/>
    </row>
    <row r="4" s="2" customFormat="1" ht="111.95" customHeight="1" spans="1:33">
      <c r="A4" s="116"/>
      <c r="B4" s="126"/>
      <c r="C4" s="127"/>
      <c r="D4" s="128"/>
      <c r="E4" s="129"/>
      <c r="F4" s="130"/>
      <c r="G4" s="20"/>
      <c r="H4" s="131"/>
      <c r="I4" s="135"/>
      <c r="J4" s="56"/>
      <c r="K4" s="56"/>
      <c r="L4" s="136"/>
      <c r="M4" s="136"/>
      <c r="N4" s="56"/>
      <c r="O4" s="56"/>
      <c r="P4" s="137"/>
      <c r="Q4" s="137"/>
      <c r="R4" s="115"/>
      <c r="S4" s="68"/>
      <c r="T4" s="113"/>
      <c r="U4" s="140"/>
      <c r="V4" s="8"/>
      <c r="W4" s="8"/>
      <c r="X4" s="9"/>
      <c r="Y4" s="10"/>
      <c r="Z4" s="8"/>
      <c r="AA4" s="11"/>
      <c r="AB4" s="8"/>
      <c r="AC4" s="8"/>
      <c r="AD4" s="10"/>
      <c r="AE4" s="12"/>
      <c r="AF4" s="12"/>
      <c r="AG4" s="12"/>
    </row>
    <row r="5" s="2" customFormat="1" ht="26.1" customHeight="1" spans="1:33">
      <c r="A5" s="81">
        <v>1</v>
      </c>
      <c r="B5" s="82" t="s">
        <v>120</v>
      </c>
      <c r="C5" s="32" t="s">
        <v>1414</v>
      </c>
      <c r="D5" s="82"/>
      <c r="E5" s="81">
        <v>1</v>
      </c>
      <c r="F5" s="84" t="s">
        <v>532</v>
      </c>
      <c r="G5" s="28" t="s">
        <v>1415</v>
      </c>
      <c r="H5" s="132" t="s">
        <v>124</v>
      </c>
      <c r="I5" s="138" t="str">
        <f>CONCATENATE(RemovePunctuation(G5),"_",B5,"_",U5,"_",PROPER(J5),IF(K5="",PROPER(J5),PROPER(K5)),PROPER(L5),PROPER(M5),PROPER(N5),IF(N5&lt;&gt;"","SUB",""),PROPER(O5),IF(O5&lt;&gt;"","SUB",""),"_","Ed","_","M1",".mpg")</f>
        <v>AirPanoramaDomesticOutboundWithAd1_0825_169_EngZhoZhoSUB_Ed_M1.mpg</v>
      </c>
      <c r="J5" s="61" t="s">
        <v>131</v>
      </c>
      <c r="K5" s="61" t="s">
        <v>130</v>
      </c>
      <c r="L5" s="52"/>
      <c r="M5" s="52"/>
      <c r="N5" s="61" t="s">
        <v>130</v>
      </c>
      <c r="O5" s="52"/>
      <c r="P5" s="61" t="s">
        <v>129</v>
      </c>
      <c r="Q5" s="61" t="s">
        <v>129</v>
      </c>
      <c r="R5" s="118">
        <f>ROUNDUP(HOUR(S5)*60+MINUTE(S5)+SECOND(S5)/60,0)</f>
        <v>160</v>
      </c>
      <c r="S5" s="119">
        <v>0.110844907407407</v>
      </c>
      <c r="T5" s="120">
        <f>R5*60</f>
        <v>9600</v>
      </c>
      <c r="U5" s="141">
        <v>169</v>
      </c>
      <c r="V5" s="8"/>
      <c r="W5" s="8"/>
      <c r="X5" s="9"/>
      <c r="Y5" s="10"/>
      <c r="Z5" s="8"/>
      <c r="AA5" s="11"/>
      <c r="AB5" s="8"/>
      <c r="AC5" s="8"/>
      <c r="AD5" s="10"/>
      <c r="AE5" s="12"/>
      <c r="AF5" s="12"/>
      <c r="AG5" s="12"/>
    </row>
    <row r="6" s="2" customFormat="1" ht="26.1" customHeight="1" spans="1:33">
      <c r="A6" s="81">
        <v>2</v>
      </c>
      <c r="B6" s="82" t="s">
        <v>120</v>
      </c>
      <c r="C6" s="32" t="s">
        <v>1414</v>
      </c>
      <c r="D6" s="82"/>
      <c r="E6" s="81">
        <v>2</v>
      </c>
      <c r="F6" s="84" t="s">
        <v>536</v>
      </c>
      <c r="G6" s="28" t="s">
        <v>1416</v>
      </c>
      <c r="H6" s="132" t="s">
        <v>124</v>
      </c>
      <c r="I6" s="138" t="str">
        <f>CONCATENATE(RemovePunctuation(G6),"_",B6,"_",U6,"_",PROPER(J6),IF(K6="",PROPER(J6),PROPER(K6)),PROPER(L6),PROPER(M6),PROPER(N6),IF(N6&lt;&gt;"","SUB",""),PROPER(O6),IF(O6&lt;&gt;"","SUB",""),"_","Ed","_","M1",".mpg")</f>
        <v>AirPanoramaDomesticInboundWithAd1_0825_169_EngZhoZhoSUB_Ed_M1.mpg</v>
      </c>
      <c r="J6" s="61" t="s">
        <v>131</v>
      </c>
      <c r="K6" s="61" t="s">
        <v>130</v>
      </c>
      <c r="L6" s="52"/>
      <c r="M6" s="52"/>
      <c r="N6" s="61" t="s">
        <v>130</v>
      </c>
      <c r="O6" s="52"/>
      <c r="P6" s="61" t="s">
        <v>129</v>
      </c>
      <c r="Q6" s="61" t="s">
        <v>129</v>
      </c>
      <c r="R6" s="118">
        <f>ROUNDUP(HOUR(S6)*60+MINUTE(S6)+SECOND(S6)/60,0)</f>
        <v>155</v>
      </c>
      <c r="S6" s="119">
        <v>0.107523148148148</v>
      </c>
      <c r="T6" s="120">
        <f>R6*60</f>
        <v>9300</v>
      </c>
      <c r="U6" s="141">
        <v>169</v>
      </c>
      <c r="V6" s="8"/>
      <c r="W6" s="8"/>
      <c r="X6" s="9"/>
      <c r="Y6" s="10"/>
      <c r="Z6" s="8"/>
      <c r="AA6" s="11"/>
      <c r="AB6" s="8"/>
      <c r="AC6" s="8"/>
      <c r="AD6" s="10"/>
      <c r="AE6" s="12"/>
      <c r="AF6" s="12"/>
      <c r="AG6" s="12"/>
    </row>
    <row r="7" s="2" customFormat="1" ht="26.1" customHeight="1" spans="1:33">
      <c r="A7" s="81">
        <v>3</v>
      </c>
      <c r="B7" s="82" t="s">
        <v>120</v>
      </c>
      <c r="C7" s="32" t="s">
        <v>1414</v>
      </c>
      <c r="D7" s="82"/>
      <c r="E7" s="81">
        <v>3</v>
      </c>
      <c r="F7" s="84" t="s">
        <v>524</v>
      </c>
      <c r="G7" s="28" t="s">
        <v>1417</v>
      </c>
      <c r="H7" s="132" t="s">
        <v>124</v>
      </c>
      <c r="I7" s="138" t="str">
        <f>CONCATENATE(RemovePunctuation(G7),"_",B7,"_",U7,"_",PROPER(J7),IF(K7="",PROPER(J7),PROPER(K7)),PROPER(L7),PROPER(M7),PROPER(N7),IF(N7&lt;&gt;"","SUB",""),PROPER(O7),IF(O7&lt;&gt;"","SUB",""),"_","Ed","_","M1",".mpg")</f>
        <v>AirPanoramaInternationalOutboundWithAd1_0825_169_EngZhoEngSUBZhoSUB_Ed_M1.mpg</v>
      </c>
      <c r="J7" s="61" t="s">
        <v>131</v>
      </c>
      <c r="K7" s="61" t="s">
        <v>130</v>
      </c>
      <c r="L7" s="52"/>
      <c r="M7" s="52"/>
      <c r="N7" s="61" t="s">
        <v>131</v>
      </c>
      <c r="O7" s="61" t="s">
        <v>130</v>
      </c>
      <c r="P7" s="61" t="s">
        <v>129</v>
      </c>
      <c r="Q7" s="61" t="s">
        <v>129</v>
      </c>
      <c r="R7" s="118">
        <f>ROUNDUP(HOUR(S7)*60+MINUTE(S7)+SECOND(S7)/60,0)</f>
        <v>148</v>
      </c>
      <c r="S7" s="119">
        <v>0.102476851851852</v>
      </c>
      <c r="T7" s="120">
        <f>R7*60</f>
        <v>8880</v>
      </c>
      <c r="U7" s="141">
        <v>169</v>
      </c>
      <c r="V7" s="8"/>
      <c r="W7" s="8"/>
      <c r="X7" s="9"/>
      <c r="Y7" s="10"/>
      <c r="Z7" s="8"/>
      <c r="AA7" s="11"/>
      <c r="AB7" s="8"/>
      <c r="AC7" s="8"/>
      <c r="AD7" s="10"/>
      <c r="AE7" s="12"/>
      <c r="AF7" s="12"/>
      <c r="AG7" s="12"/>
    </row>
    <row r="8" s="2" customFormat="1" ht="20.1" customHeight="1" spans="1:33">
      <c r="A8" s="81">
        <v>4</v>
      </c>
      <c r="B8" s="82" t="s">
        <v>120</v>
      </c>
      <c r="C8" s="32" t="s">
        <v>1414</v>
      </c>
      <c r="D8" s="82"/>
      <c r="E8" s="81">
        <v>4</v>
      </c>
      <c r="F8" s="84" t="s">
        <v>528</v>
      </c>
      <c r="G8" s="28" t="s">
        <v>1418</v>
      </c>
      <c r="H8" s="132" t="s">
        <v>124</v>
      </c>
      <c r="I8" s="138" t="str">
        <f>CONCATENATE(RemovePunctuation(G8),"_",B8,"_",U8,"_",PROPER(J8),IF(K8="",PROPER(J8),PROPER(K8)),PROPER(L8),PROPER(M8),PROPER(N8),IF(N8&lt;&gt;"","SUB",""),PROPER(O8),IF(O8&lt;&gt;"","SUB",""),"_","Ed","_","M1",".mpg")</f>
        <v>AirPanoramaInternationalInboundWithAd1_0825_169_EngZhoEngSUBZhoSUB_Ed_M1.mpg</v>
      </c>
      <c r="J8" s="61" t="s">
        <v>131</v>
      </c>
      <c r="K8" s="61" t="s">
        <v>130</v>
      </c>
      <c r="L8" s="52"/>
      <c r="M8" s="52"/>
      <c r="N8" s="61" t="s">
        <v>131</v>
      </c>
      <c r="O8" s="61" t="s">
        <v>130</v>
      </c>
      <c r="P8" s="61" t="s">
        <v>129</v>
      </c>
      <c r="Q8" s="61" t="s">
        <v>129</v>
      </c>
      <c r="R8" s="118">
        <f>ROUNDUP(HOUR(S8)*60+MINUTE(S8)+SECOND(S8)/60,0)</f>
        <v>148</v>
      </c>
      <c r="S8" s="119">
        <v>0.102372685185185</v>
      </c>
      <c r="T8" s="120">
        <f>R8*60</f>
        <v>8880</v>
      </c>
      <c r="U8" s="141">
        <v>169</v>
      </c>
      <c r="V8" s="8"/>
      <c r="W8" s="8"/>
      <c r="X8" s="9"/>
      <c r="Y8" s="10"/>
      <c r="Z8" s="8"/>
      <c r="AA8" s="11"/>
      <c r="AB8" s="8"/>
      <c r="AC8" s="8"/>
      <c r="AD8" s="10"/>
      <c r="AE8" s="12"/>
      <c r="AF8" s="12"/>
      <c r="AG8" s="12"/>
    </row>
    <row r="9" s="2" customFormat="1" ht="20.25" spans="3:33">
      <c r="C9" s="34"/>
      <c r="D9" s="34"/>
      <c r="E9" s="3"/>
      <c r="F9" s="4"/>
      <c r="G9" s="3"/>
      <c r="H9" s="3"/>
      <c r="I9" s="5"/>
      <c r="J9" s="3"/>
      <c r="K9" s="6"/>
      <c r="L9" s="6"/>
      <c r="M9" s="6"/>
      <c r="N9" s="3"/>
      <c r="O9" s="3"/>
      <c r="P9" s="3"/>
      <c r="Q9" s="3"/>
      <c r="R9" s="3"/>
      <c r="S9" s="3"/>
      <c r="T9" s="3"/>
      <c r="U9" s="3"/>
      <c r="V9" s="8"/>
      <c r="W9" s="8"/>
      <c r="X9" s="9"/>
      <c r="Y9" s="10"/>
      <c r="Z9" s="8"/>
      <c r="AA9" s="11"/>
      <c r="AB9" s="8"/>
      <c r="AC9" s="8"/>
      <c r="AD9" s="10"/>
      <c r="AE9" s="12"/>
      <c r="AF9" s="12"/>
      <c r="AG9" s="12"/>
    </row>
    <row r="10" s="2" customFormat="1" ht="20.25" spans="3:33">
      <c r="C10" s="34"/>
      <c r="D10" s="34"/>
      <c r="E10" s="3"/>
      <c r="F10" s="4"/>
      <c r="G10" s="3"/>
      <c r="H10" s="3"/>
      <c r="I10" s="5"/>
      <c r="J10" s="3"/>
      <c r="K10" s="6"/>
      <c r="L10" s="6"/>
      <c r="M10" s="6"/>
      <c r="N10" s="3"/>
      <c r="O10" s="3"/>
      <c r="P10" s="3"/>
      <c r="Q10" s="3"/>
      <c r="R10" s="3"/>
      <c r="S10" s="3"/>
      <c r="T10" s="3"/>
      <c r="U10" s="3"/>
      <c r="V10" s="8"/>
      <c r="W10" s="8"/>
      <c r="X10" s="9"/>
      <c r="Y10" s="10"/>
      <c r="Z10" s="8"/>
      <c r="AA10" s="11"/>
      <c r="AB10" s="8"/>
      <c r="AC10" s="8"/>
      <c r="AD10" s="10"/>
      <c r="AE10" s="12"/>
      <c r="AF10" s="12"/>
      <c r="AG10" s="12"/>
    </row>
    <row r="11" s="2" customFormat="1" spans="3:33">
      <c r="C11" s="3"/>
      <c r="D11" s="3"/>
      <c r="E11" s="3"/>
      <c r="F11" s="4"/>
      <c r="G11" s="3"/>
      <c r="H11" s="3"/>
      <c r="I11" s="5"/>
      <c r="J11" s="3"/>
      <c r="K11" s="6"/>
      <c r="L11" s="6"/>
      <c r="M11" s="6"/>
      <c r="N11" s="3"/>
      <c r="O11" s="3"/>
      <c r="P11" s="3"/>
      <c r="Q11" s="3"/>
      <c r="R11" s="3"/>
      <c r="S11" s="3"/>
      <c r="T11" s="3"/>
      <c r="U11" s="3"/>
      <c r="V11" s="8"/>
      <c r="W11" s="8"/>
      <c r="X11" s="9"/>
      <c r="Y11" s="10"/>
      <c r="Z11" s="8"/>
      <c r="AA11" s="11"/>
      <c r="AB11" s="8"/>
      <c r="AC11" s="8"/>
      <c r="AD11" s="10"/>
      <c r="AE11" s="12"/>
      <c r="AF11" s="12"/>
      <c r="AG11" s="12"/>
    </row>
    <row r="12" s="2" customFormat="1" spans="3:33">
      <c r="C12" s="3"/>
      <c r="D12" s="3"/>
      <c r="E12" s="3"/>
      <c r="F12" s="4"/>
      <c r="G12" s="3"/>
      <c r="H12" s="3"/>
      <c r="I12" s="5"/>
      <c r="J12" s="3"/>
      <c r="K12" s="6"/>
      <c r="L12" s="6"/>
      <c r="M12" s="6"/>
      <c r="N12" s="3"/>
      <c r="O12" s="3"/>
      <c r="P12" s="3"/>
      <c r="Q12" s="3"/>
      <c r="R12" s="3"/>
      <c r="S12" s="3"/>
      <c r="T12" s="3"/>
      <c r="U12" s="3"/>
      <c r="V12" s="8"/>
      <c r="W12" s="8"/>
      <c r="X12" s="9"/>
      <c r="Y12" s="10"/>
      <c r="Z12" s="8"/>
      <c r="AA12" s="11"/>
      <c r="AB12" s="8"/>
      <c r="AC12" s="8"/>
      <c r="AD12" s="10"/>
      <c r="AE12" s="12"/>
      <c r="AF12" s="12"/>
      <c r="AG12" s="12"/>
    </row>
    <row r="13" s="2" customFormat="1" spans="3:33">
      <c r="C13" s="3"/>
      <c r="D13" s="3"/>
      <c r="E13" s="3"/>
      <c r="F13" s="4"/>
      <c r="G13" s="3"/>
      <c r="H13" s="3"/>
      <c r="I13" s="5"/>
      <c r="J13" s="3"/>
      <c r="K13" s="6"/>
      <c r="L13" s="6"/>
      <c r="M13" s="6"/>
      <c r="N13" s="3"/>
      <c r="O13" s="3"/>
      <c r="P13" s="3"/>
      <c r="Q13" s="3"/>
      <c r="R13" s="3"/>
      <c r="S13" s="3"/>
      <c r="T13" s="3"/>
      <c r="U13" s="3"/>
      <c r="V13" s="8"/>
      <c r="W13" s="8"/>
      <c r="X13" s="9"/>
      <c r="Y13" s="10"/>
      <c r="Z13" s="8"/>
      <c r="AA13" s="11"/>
      <c r="AB13" s="8"/>
      <c r="AC13" s="8"/>
      <c r="AD13" s="10"/>
      <c r="AE13" s="12"/>
      <c r="AF13" s="12"/>
      <c r="AG13" s="12"/>
    </row>
    <row r="14" s="2" customFormat="1" spans="3:33">
      <c r="C14" s="3"/>
      <c r="D14" s="3"/>
      <c r="E14" s="3"/>
      <c r="F14" s="4"/>
      <c r="G14" s="3"/>
      <c r="H14" s="3"/>
      <c r="I14" s="5"/>
      <c r="J14" s="3"/>
      <c r="K14" s="6"/>
      <c r="L14" s="6"/>
      <c r="M14" s="6"/>
      <c r="N14" s="3"/>
      <c r="O14" s="3"/>
      <c r="P14" s="3"/>
      <c r="Q14" s="3"/>
      <c r="R14" s="3"/>
      <c r="S14" s="3"/>
      <c r="T14" s="3"/>
      <c r="U14" s="3"/>
      <c r="V14" s="8"/>
      <c r="W14" s="8"/>
      <c r="X14" s="9"/>
      <c r="Y14" s="10"/>
      <c r="Z14" s="8"/>
      <c r="AA14" s="11"/>
      <c r="AB14" s="8"/>
      <c r="AC14" s="8"/>
      <c r="AD14" s="10"/>
      <c r="AE14" s="12"/>
      <c r="AF14" s="12"/>
      <c r="AG14" s="12"/>
    </row>
    <row r="15" s="2" customFormat="1" spans="3:33">
      <c r="C15" s="3"/>
      <c r="D15" s="3"/>
      <c r="E15" s="3"/>
      <c r="F15" s="4"/>
      <c r="G15" s="3"/>
      <c r="H15" s="3"/>
      <c r="I15" s="5"/>
      <c r="J15" s="3"/>
      <c r="K15" s="6"/>
      <c r="L15" s="6"/>
      <c r="M15" s="6"/>
      <c r="N15" s="3"/>
      <c r="O15" s="3"/>
      <c r="P15" s="3"/>
      <c r="Q15" s="3"/>
      <c r="R15" s="3"/>
      <c r="S15" s="3"/>
      <c r="T15" s="3"/>
      <c r="U15" s="3"/>
      <c r="V15" s="8"/>
      <c r="W15" s="8"/>
      <c r="X15" s="9"/>
      <c r="Y15" s="10"/>
      <c r="Z15" s="8"/>
      <c r="AA15" s="11"/>
      <c r="AB15" s="8"/>
      <c r="AC15" s="8"/>
      <c r="AD15" s="10"/>
      <c r="AE15" s="12"/>
      <c r="AF15" s="12"/>
      <c r="AG15" s="12"/>
    </row>
    <row r="16" s="2" customFormat="1" spans="3:33">
      <c r="C16" s="3"/>
      <c r="D16" s="3"/>
      <c r="E16" s="3"/>
      <c r="F16" s="4"/>
      <c r="G16" s="3"/>
      <c r="H16" s="3"/>
      <c r="I16" s="5"/>
      <c r="J16" s="3"/>
      <c r="K16" s="6"/>
      <c r="L16" s="6"/>
      <c r="M16" s="6"/>
      <c r="N16" s="3"/>
      <c r="O16" s="3"/>
      <c r="P16" s="3"/>
      <c r="Q16" s="3"/>
      <c r="R16" s="3"/>
      <c r="S16" s="3"/>
      <c r="T16" s="3"/>
      <c r="U16" s="3"/>
      <c r="V16" s="8"/>
      <c r="W16" s="8"/>
      <c r="X16" s="9"/>
      <c r="Y16" s="10"/>
      <c r="Z16" s="8"/>
      <c r="AA16" s="11"/>
      <c r="AB16" s="8"/>
      <c r="AC16" s="8"/>
      <c r="AD16" s="10"/>
      <c r="AE16" s="12"/>
      <c r="AF16" s="12"/>
      <c r="AG16" s="12"/>
    </row>
    <row r="17" s="2" customFormat="1" spans="3:33">
      <c r="C17" s="3"/>
      <c r="D17" s="3"/>
      <c r="E17" s="3"/>
      <c r="F17" s="4"/>
      <c r="G17" s="3"/>
      <c r="H17" s="3"/>
      <c r="I17" s="5"/>
      <c r="J17" s="3"/>
      <c r="K17" s="6"/>
      <c r="L17" s="6"/>
      <c r="M17" s="6"/>
      <c r="N17" s="3"/>
      <c r="O17" s="3"/>
      <c r="P17" s="3"/>
      <c r="Q17" s="3"/>
      <c r="R17" s="3"/>
      <c r="S17" s="3"/>
      <c r="T17" s="3"/>
      <c r="U17" s="3"/>
      <c r="V17" s="8"/>
      <c r="W17" s="8"/>
      <c r="X17" s="9"/>
      <c r="Y17" s="10"/>
      <c r="Z17" s="8"/>
      <c r="AA17" s="11"/>
      <c r="AB17" s="8"/>
      <c r="AC17" s="8"/>
      <c r="AD17" s="10"/>
      <c r="AE17" s="12"/>
      <c r="AF17" s="12"/>
      <c r="AG17" s="12"/>
    </row>
    <row r="18" s="2" customFormat="1" spans="3:33">
      <c r="C18" s="3"/>
      <c r="D18" s="3"/>
      <c r="E18" s="3"/>
      <c r="F18" s="4"/>
      <c r="G18" s="3"/>
      <c r="H18" s="3"/>
      <c r="I18" s="5"/>
      <c r="J18" s="3"/>
      <c r="K18" s="6"/>
      <c r="L18" s="6"/>
      <c r="M18" s="6"/>
      <c r="N18" s="3"/>
      <c r="O18" s="3"/>
      <c r="P18" s="3"/>
      <c r="Q18" s="3"/>
      <c r="R18" s="3"/>
      <c r="S18" s="3"/>
      <c r="T18" s="3"/>
      <c r="U18" s="3"/>
      <c r="V18" s="8"/>
      <c r="W18" s="8"/>
      <c r="X18" s="9"/>
      <c r="Y18" s="10"/>
      <c r="Z18" s="8"/>
      <c r="AA18" s="11"/>
      <c r="AB18" s="8"/>
      <c r="AC18" s="8"/>
      <c r="AD18" s="10"/>
      <c r="AE18" s="12"/>
      <c r="AF18" s="12"/>
      <c r="AG18" s="12"/>
    </row>
    <row r="19" s="2" customFormat="1" spans="3:33">
      <c r="C19" s="3"/>
      <c r="D19" s="3"/>
      <c r="E19" s="3"/>
      <c r="F19" s="4"/>
      <c r="G19" s="3"/>
      <c r="H19" s="3"/>
      <c r="I19" s="5"/>
      <c r="J19" s="3"/>
      <c r="K19" s="6"/>
      <c r="L19" s="6"/>
      <c r="M19" s="6"/>
      <c r="N19" s="3"/>
      <c r="O19" s="3"/>
      <c r="P19" s="3"/>
      <c r="Q19" s="3"/>
      <c r="R19" s="3"/>
      <c r="S19" s="3"/>
      <c r="T19" s="3"/>
      <c r="U19" s="3"/>
      <c r="V19" s="8"/>
      <c r="W19" s="8"/>
      <c r="X19" s="9"/>
      <c r="Y19" s="10"/>
      <c r="Z19" s="8"/>
      <c r="AA19" s="11"/>
      <c r="AB19" s="8"/>
      <c r="AC19" s="8"/>
      <c r="AD19" s="10"/>
      <c r="AE19" s="12"/>
      <c r="AF19" s="12"/>
      <c r="AG19" s="12"/>
    </row>
    <row r="20" s="2" customFormat="1" spans="3:33">
      <c r="C20" s="3"/>
      <c r="D20" s="3"/>
      <c r="E20" s="3"/>
      <c r="F20" s="4"/>
      <c r="G20" s="3"/>
      <c r="H20" s="3"/>
      <c r="I20" s="5"/>
      <c r="J20" s="3"/>
      <c r="K20" s="6"/>
      <c r="L20" s="6"/>
      <c r="M20" s="6"/>
      <c r="N20" s="3"/>
      <c r="O20" s="3"/>
      <c r="P20" s="3"/>
      <c r="Q20" s="3"/>
      <c r="R20" s="3"/>
      <c r="S20" s="3"/>
      <c r="T20" s="3"/>
      <c r="U20" s="3"/>
      <c r="V20" s="8"/>
      <c r="W20" s="8"/>
      <c r="X20" s="9"/>
      <c r="Y20" s="10"/>
      <c r="Z20" s="8"/>
      <c r="AA20" s="11"/>
      <c r="AB20" s="8"/>
      <c r="AC20" s="8"/>
      <c r="AD20" s="10"/>
      <c r="AE20" s="12"/>
      <c r="AF20" s="12"/>
      <c r="AG20" s="12"/>
    </row>
    <row r="21" s="2" customFormat="1" spans="3:33">
      <c r="C21" s="3"/>
      <c r="D21" s="3"/>
      <c r="E21" s="3"/>
      <c r="F21" s="4"/>
      <c r="G21" s="3"/>
      <c r="H21" s="3"/>
      <c r="I21" s="5"/>
      <c r="J21" s="3"/>
      <c r="K21" s="6"/>
      <c r="L21" s="6"/>
      <c r="M21" s="6"/>
      <c r="N21" s="3"/>
      <c r="O21" s="3"/>
      <c r="P21" s="3"/>
      <c r="Q21" s="3"/>
      <c r="R21" s="3"/>
      <c r="S21" s="3"/>
      <c r="T21" s="3"/>
      <c r="U21" s="3"/>
      <c r="V21" s="8"/>
      <c r="W21" s="8"/>
      <c r="X21" s="9"/>
      <c r="Y21" s="10"/>
      <c r="Z21" s="8"/>
      <c r="AA21" s="11"/>
      <c r="AB21" s="8"/>
      <c r="AC21" s="8"/>
      <c r="AD21" s="10"/>
      <c r="AE21" s="12"/>
      <c r="AF21" s="12"/>
      <c r="AG21" s="12"/>
    </row>
    <row r="22" s="2" customFormat="1" spans="3:33">
      <c r="C22" s="3"/>
      <c r="D22" s="3"/>
      <c r="E22" s="3"/>
      <c r="F22" s="4"/>
      <c r="G22" s="3"/>
      <c r="H22" s="3"/>
      <c r="I22" s="5"/>
      <c r="J22" s="3"/>
      <c r="K22" s="6"/>
      <c r="L22" s="6"/>
      <c r="M22" s="6"/>
      <c r="N22" s="3"/>
      <c r="O22" s="3"/>
      <c r="P22" s="3"/>
      <c r="Q22" s="3"/>
      <c r="R22" s="3"/>
      <c r="S22" s="3"/>
      <c r="T22" s="3"/>
      <c r="U22" s="3"/>
      <c r="V22" s="8"/>
      <c r="W22" s="8"/>
      <c r="X22" s="9"/>
      <c r="Y22" s="10"/>
      <c r="Z22" s="8"/>
      <c r="AA22" s="11"/>
      <c r="AB22" s="8"/>
      <c r="AC22" s="8"/>
      <c r="AD22" s="10"/>
      <c r="AE22" s="12"/>
      <c r="AF22" s="12"/>
      <c r="AG22" s="12"/>
    </row>
    <row r="23" s="2" customFormat="1" spans="3:33">
      <c r="C23" s="3"/>
      <c r="D23" s="3"/>
      <c r="E23" s="3"/>
      <c r="F23" s="4"/>
      <c r="G23" s="3"/>
      <c r="H23" s="3"/>
      <c r="I23" s="5"/>
      <c r="J23" s="3"/>
      <c r="K23" s="6"/>
      <c r="L23" s="6"/>
      <c r="M23" s="6"/>
      <c r="N23" s="3"/>
      <c r="O23" s="3"/>
      <c r="P23" s="3"/>
      <c r="Q23" s="3"/>
      <c r="R23" s="3"/>
      <c r="S23" s="3"/>
      <c r="T23" s="3"/>
      <c r="U23" s="3"/>
      <c r="V23" s="8"/>
      <c r="W23" s="8"/>
      <c r="X23" s="9"/>
      <c r="Y23" s="10"/>
      <c r="Z23" s="8"/>
      <c r="AA23" s="11"/>
      <c r="AB23" s="8"/>
      <c r="AC23" s="8"/>
      <c r="AD23" s="10"/>
      <c r="AE23" s="12"/>
      <c r="AF23" s="12"/>
      <c r="AG23" s="12"/>
    </row>
    <row r="24" s="2" customFormat="1" spans="3:33">
      <c r="C24" s="3"/>
      <c r="D24" s="3"/>
      <c r="E24" s="3"/>
      <c r="F24" s="4"/>
      <c r="G24" s="3"/>
      <c r="H24" s="3"/>
      <c r="I24" s="5"/>
      <c r="J24" s="3"/>
      <c r="K24" s="6"/>
      <c r="L24" s="6"/>
      <c r="M24" s="6"/>
      <c r="N24" s="3"/>
      <c r="O24" s="3"/>
      <c r="P24" s="3"/>
      <c r="Q24" s="3"/>
      <c r="R24" s="3"/>
      <c r="S24" s="3"/>
      <c r="T24" s="3"/>
      <c r="U24" s="3"/>
      <c r="V24" s="8"/>
      <c r="W24" s="8"/>
      <c r="X24" s="9"/>
      <c r="Y24" s="10"/>
      <c r="Z24" s="8"/>
      <c r="AA24" s="11"/>
      <c r="AB24" s="8"/>
      <c r="AC24" s="8"/>
      <c r="AD24" s="10"/>
      <c r="AE24" s="12"/>
      <c r="AF24" s="12"/>
      <c r="AG24" s="12"/>
    </row>
    <row r="25" s="2" customFormat="1" spans="3:33">
      <c r="C25" s="3"/>
      <c r="D25" s="3"/>
      <c r="E25" s="3"/>
      <c r="F25" s="4"/>
      <c r="G25" s="3"/>
      <c r="H25" s="3"/>
      <c r="I25" s="5"/>
      <c r="J25" s="3"/>
      <c r="K25" s="6"/>
      <c r="L25" s="6"/>
      <c r="M25" s="6"/>
      <c r="N25" s="3"/>
      <c r="O25" s="3"/>
      <c r="P25" s="3"/>
      <c r="Q25" s="3"/>
      <c r="R25" s="3"/>
      <c r="S25" s="3"/>
      <c r="T25" s="3"/>
      <c r="U25" s="3"/>
      <c r="V25" s="8"/>
      <c r="W25" s="8"/>
      <c r="X25" s="9"/>
      <c r="Y25" s="10"/>
      <c r="Z25" s="8"/>
      <c r="AA25" s="11"/>
      <c r="AB25" s="8"/>
      <c r="AC25" s="8"/>
      <c r="AD25" s="10"/>
      <c r="AE25" s="12"/>
      <c r="AF25" s="12"/>
      <c r="AG25" s="12"/>
    </row>
    <row r="26" s="2" customFormat="1" spans="3:33">
      <c r="C26" s="3"/>
      <c r="D26" s="3"/>
      <c r="E26" s="3"/>
      <c r="F26" s="4"/>
      <c r="G26" s="3"/>
      <c r="H26" s="3"/>
      <c r="I26" s="5"/>
      <c r="J26" s="3"/>
      <c r="K26" s="6"/>
      <c r="L26" s="6"/>
      <c r="M26" s="6"/>
      <c r="N26" s="3"/>
      <c r="O26" s="3"/>
      <c r="P26" s="3"/>
      <c r="Q26" s="3"/>
      <c r="R26" s="3"/>
      <c r="S26" s="3"/>
      <c r="T26" s="3"/>
      <c r="U26" s="3"/>
      <c r="V26" s="8"/>
      <c r="W26" s="8"/>
      <c r="X26" s="9"/>
      <c r="Y26" s="10"/>
      <c r="Z26" s="8"/>
      <c r="AA26" s="11"/>
      <c r="AB26" s="8"/>
      <c r="AC26" s="8"/>
      <c r="AD26" s="10"/>
      <c r="AE26" s="12"/>
      <c r="AF26" s="12"/>
      <c r="AG26" s="12"/>
    </row>
    <row r="27" s="2" customFormat="1" spans="3:33">
      <c r="C27" s="3"/>
      <c r="D27" s="3"/>
      <c r="E27" s="3"/>
      <c r="F27" s="4"/>
      <c r="G27" s="3"/>
      <c r="H27" s="3"/>
      <c r="I27" s="5"/>
      <c r="J27" s="3"/>
      <c r="K27" s="6"/>
      <c r="L27" s="6"/>
      <c r="M27" s="6"/>
      <c r="N27" s="3"/>
      <c r="O27" s="3"/>
      <c r="P27" s="3"/>
      <c r="Q27" s="3"/>
      <c r="R27" s="3"/>
      <c r="S27" s="3"/>
      <c r="T27" s="3"/>
      <c r="U27" s="3"/>
      <c r="V27" s="8"/>
      <c r="W27" s="8"/>
      <c r="X27" s="9"/>
      <c r="Y27" s="10"/>
      <c r="Z27" s="8"/>
      <c r="AA27" s="11"/>
      <c r="AB27" s="8"/>
      <c r="AC27" s="8"/>
      <c r="AD27" s="10"/>
      <c r="AE27" s="12"/>
      <c r="AF27" s="12"/>
      <c r="AG27" s="12"/>
    </row>
    <row r="28" s="2" customFormat="1" ht="15.75" spans="3:33">
      <c r="C28" s="3"/>
      <c r="D28" s="3"/>
      <c r="E28" s="3"/>
      <c r="F28" s="4"/>
      <c r="G28" s="3"/>
      <c r="H28" s="3"/>
      <c r="I28" s="5"/>
      <c r="J28" s="3"/>
      <c r="K28" s="6"/>
      <c r="L28" s="6"/>
      <c r="M28" s="6"/>
      <c r="N28" s="3"/>
      <c r="O28" s="3"/>
      <c r="P28" s="63"/>
      <c r="Q28" s="63"/>
      <c r="R28" s="63"/>
      <c r="S28" s="3"/>
      <c r="T28" s="3"/>
      <c r="U28" s="3"/>
      <c r="V28" s="8"/>
      <c r="W28" s="8"/>
      <c r="X28" s="9"/>
      <c r="Y28" s="10"/>
      <c r="Z28" s="8"/>
      <c r="AA28" s="11"/>
      <c r="AB28" s="8"/>
      <c r="AC28" s="8"/>
      <c r="AD28" s="10"/>
      <c r="AE28" s="12"/>
      <c r="AF28" s="12"/>
      <c r="AG28" s="12"/>
    </row>
    <row r="29" s="2" customFormat="1" ht="15.75" spans="3:33">
      <c r="C29" s="3"/>
      <c r="D29" s="3"/>
      <c r="E29" s="3"/>
      <c r="F29" s="4"/>
      <c r="G29" s="3"/>
      <c r="H29" s="3"/>
      <c r="I29" s="5"/>
      <c r="J29" s="3"/>
      <c r="K29" s="6"/>
      <c r="L29" s="6"/>
      <c r="M29" s="6"/>
      <c r="N29" s="3"/>
      <c r="O29" s="3"/>
      <c r="P29" s="63"/>
      <c r="Q29" s="63"/>
      <c r="R29" s="63"/>
      <c r="S29" s="3"/>
      <c r="T29" s="3"/>
      <c r="U29" s="3"/>
      <c r="V29" s="8"/>
      <c r="W29" s="8"/>
      <c r="X29" s="9"/>
      <c r="Y29" s="10"/>
      <c r="Z29" s="8"/>
      <c r="AA29" s="11"/>
      <c r="AB29" s="8"/>
      <c r="AC29" s="8"/>
      <c r="AD29" s="10"/>
      <c r="AE29" s="12"/>
      <c r="AF29" s="12"/>
      <c r="AG29" s="12"/>
    </row>
    <row r="30" s="2" customFormat="1" ht="15.75" spans="3:33">
      <c r="C30" s="3"/>
      <c r="D30" s="3"/>
      <c r="E30" s="3"/>
      <c r="F30" s="4"/>
      <c r="G30" s="3"/>
      <c r="H30" s="3"/>
      <c r="I30" s="5"/>
      <c r="J30" s="3"/>
      <c r="K30" s="6"/>
      <c r="L30" s="6"/>
      <c r="M30" s="6"/>
      <c r="N30" s="3"/>
      <c r="O30" s="3"/>
      <c r="P30" s="64"/>
      <c r="Q30" s="64"/>
      <c r="R30" s="64"/>
      <c r="S30" s="3"/>
      <c r="T30" s="3"/>
      <c r="U30" s="3"/>
      <c r="V30" s="8"/>
      <c r="W30" s="8"/>
      <c r="X30" s="9"/>
      <c r="Y30" s="10"/>
      <c r="Z30" s="8"/>
      <c r="AA30" s="11"/>
      <c r="AB30" s="8"/>
      <c r="AC30" s="8"/>
      <c r="AD30" s="10"/>
      <c r="AE30" s="12"/>
      <c r="AF30" s="12"/>
      <c r="AG30" s="12"/>
    </row>
    <row r="31" s="2" customFormat="1" ht="15.75" spans="3:33">
      <c r="C31" s="3"/>
      <c r="D31" s="3"/>
      <c r="E31" s="3"/>
      <c r="F31" s="4"/>
      <c r="G31" s="3"/>
      <c r="H31" s="3"/>
      <c r="I31" s="5"/>
      <c r="J31" s="3"/>
      <c r="K31" s="6"/>
      <c r="L31" s="6"/>
      <c r="M31" s="6"/>
      <c r="N31" s="3"/>
      <c r="O31" s="3"/>
      <c r="P31" s="64"/>
      <c r="Q31" s="64"/>
      <c r="R31" s="64"/>
      <c r="S31" s="3"/>
      <c r="T31" s="3"/>
      <c r="U31" s="3"/>
      <c r="V31" s="8"/>
      <c r="W31" s="8"/>
      <c r="X31" s="9"/>
      <c r="Y31" s="10"/>
      <c r="Z31" s="8"/>
      <c r="AA31" s="11"/>
      <c r="AB31" s="8"/>
      <c r="AC31" s="8"/>
      <c r="AD31" s="10"/>
      <c r="AE31" s="12"/>
      <c r="AF31" s="12"/>
      <c r="AG31" s="12"/>
    </row>
  </sheetData>
  <mergeCells count="25">
    <mergeCell ref="A2:G2"/>
    <mergeCell ref="J2:O2"/>
    <mergeCell ref="P2:Q2"/>
    <mergeCell ref="S2:T2"/>
    <mergeCell ref="A3:A4"/>
    <mergeCell ref="B3:B4"/>
    <mergeCell ref="C3:C4"/>
    <mergeCell ref="D3:D4"/>
    <mergeCell ref="E3:E4"/>
    <mergeCell ref="F3:F4"/>
    <mergeCell ref="G3:G4"/>
    <mergeCell ref="H3:H4"/>
    <mergeCell ref="I2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2:U4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AN28"/>
  <sheetViews>
    <sheetView zoomScale="80" zoomScaleNormal="80" workbookViewId="0">
      <selection activeCell="S26" sqref="S26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8.44166666666667" style="3" customWidth="1"/>
    <col min="4" max="4" width="11.1416666666667" style="3" customWidth="1"/>
    <col min="5" max="5" width="3.25833333333333" style="3" customWidth="1"/>
    <col min="6" max="6" width="5.15" style="4" customWidth="1"/>
    <col min="7" max="7" width="25.7833333333333" style="3" customWidth="1"/>
    <col min="8" max="8" width="39.8416666666667" style="3" customWidth="1"/>
    <col min="9" max="9" width="4.14166666666667" style="3" customWidth="1"/>
    <col min="10" max="10" width="4.14166666666667" style="3" hidden="1" customWidth="1"/>
    <col min="11" max="11" width="4.99166666666667" style="3" hidden="1" customWidth="1"/>
    <col min="12" max="12" width="4.14166666666667" style="3" hidden="1" customWidth="1"/>
    <col min="13" max="13" width="5.93333333333333" style="3" hidden="1" customWidth="1"/>
    <col min="14" max="14" width="20.625" style="3" customWidth="1"/>
    <col min="15" max="15" width="27.3416666666667" style="3" hidden="1" customWidth="1"/>
    <col min="16" max="16" width="56.5583333333333" style="5" hidden="1" customWidth="1"/>
    <col min="17" max="17" width="56.5583333333333" style="3" hidden="1" customWidth="1"/>
    <col min="18" max="20" width="4.14166666666667" style="6" customWidth="1"/>
    <col min="21" max="22" width="4.14166666666667" style="3" customWidth="1"/>
    <col min="23" max="24" width="5.63333333333333" style="7" customWidth="1"/>
    <col min="25" max="25" width="8" style="7" customWidth="1"/>
    <col min="26" max="26" width="11.3833333333333" style="3" customWidth="1"/>
    <col min="27" max="27" width="11.2583333333333" style="3" customWidth="1"/>
    <col min="28" max="28" width="6.14166666666667" style="3" customWidth="1"/>
    <col min="29" max="29" width="5.88333333333333" style="8" customWidth="1"/>
    <col min="30" max="30" width="5.14166666666667" style="8" customWidth="1"/>
    <col min="31" max="31" width="17.6333333333333" style="9" customWidth="1"/>
    <col min="32" max="32" width="5.14166666666667" style="10" customWidth="1"/>
    <col min="33" max="33" width="5.14166666666667" style="8" customWidth="1"/>
    <col min="34" max="34" width="5.14166666666667" style="11" customWidth="1"/>
    <col min="35" max="36" width="5.14166666666667" style="8" customWidth="1"/>
    <col min="37" max="37" width="5.14166666666667" style="10" customWidth="1"/>
    <col min="38" max="40" width="4.14166666666667" style="12" hidden="1" customWidth="1"/>
    <col min="41" max="16384" width="8" style="2"/>
  </cols>
  <sheetData>
    <row r="1" s="2" customFormat="1" ht="13.5" spans="3:39">
      <c r="C1" s="3"/>
      <c r="D1" s="3"/>
      <c r="E1" s="3"/>
      <c r="F1" s="3"/>
      <c r="G1" s="4"/>
      <c r="H1" s="3"/>
      <c r="I1" s="3"/>
      <c r="J1" s="3"/>
      <c r="K1" s="3"/>
      <c r="L1" s="3"/>
      <c r="M1" s="3"/>
      <c r="N1" s="3"/>
      <c r="O1" s="3"/>
      <c r="P1" s="5"/>
      <c r="Q1" s="5"/>
      <c r="R1" s="3"/>
      <c r="S1" s="6"/>
      <c r="T1" s="6"/>
      <c r="U1" s="6"/>
      <c r="V1" s="3"/>
      <c r="W1" s="3"/>
      <c r="X1" s="7"/>
      <c r="Y1" s="7"/>
      <c r="Z1" s="7"/>
      <c r="AA1" s="3"/>
      <c r="AB1" s="3"/>
      <c r="AC1" s="8"/>
      <c r="AD1" s="9"/>
      <c r="AE1" s="10"/>
      <c r="AF1" s="8"/>
      <c r="AG1" s="11"/>
      <c r="AH1" s="8"/>
      <c r="AI1" s="8"/>
      <c r="AJ1" s="10"/>
      <c r="AK1" s="12"/>
      <c r="AL1" s="12"/>
      <c r="AM1" s="12"/>
    </row>
    <row r="2" s="2" customFormat="1" ht="18.95" customHeight="1" spans="1:28">
      <c r="A2" s="14" t="s">
        <v>379</v>
      </c>
      <c r="B2" s="13"/>
      <c r="C2" s="13"/>
      <c r="D2" s="13"/>
      <c r="E2" s="13"/>
      <c r="F2" s="13"/>
      <c r="G2" s="13"/>
      <c r="H2" s="14"/>
      <c r="I2" s="87" t="s">
        <v>73</v>
      </c>
      <c r="J2" s="88"/>
      <c r="K2" s="89"/>
      <c r="L2" s="87" t="s">
        <v>74</v>
      </c>
      <c r="M2" s="89"/>
      <c r="N2" s="37" t="s">
        <v>380</v>
      </c>
      <c r="O2" s="38"/>
      <c r="P2" s="90" t="s">
        <v>77</v>
      </c>
      <c r="Q2" s="39"/>
      <c r="R2" s="102" t="s">
        <v>80</v>
      </c>
      <c r="S2" s="102"/>
      <c r="T2" s="102"/>
      <c r="U2" s="102"/>
      <c r="V2" s="102"/>
      <c r="W2" s="102"/>
      <c r="X2" s="103" t="s">
        <v>382</v>
      </c>
      <c r="Y2" s="112"/>
      <c r="Z2" s="55"/>
      <c r="AA2" s="37" t="s">
        <v>81</v>
      </c>
      <c r="AB2" s="38"/>
    </row>
    <row r="3" s="2" customFormat="1" ht="18" customHeight="1" spans="1:28">
      <c r="A3" s="68" t="s">
        <v>85</v>
      </c>
      <c r="B3" s="77" t="s">
        <v>87</v>
      </c>
      <c r="C3" s="78" t="s">
        <v>383</v>
      </c>
      <c r="D3" s="77" t="s">
        <v>86</v>
      </c>
      <c r="E3" s="78" t="s">
        <v>89</v>
      </c>
      <c r="F3" s="78" t="s">
        <v>1419</v>
      </c>
      <c r="G3" s="78" t="s">
        <v>90</v>
      </c>
      <c r="H3" s="68" t="s">
        <v>91</v>
      </c>
      <c r="I3" s="91" t="s">
        <v>93</v>
      </c>
      <c r="J3" s="92" t="s">
        <v>1041</v>
      </c>
      <c r="K3" s="92" t="s">
        <v>99</v>
      </c>
      <c r="L3" s="93" t="s">
        <v>96</v>
      </c>
      <c r="M3" s="94" t="s">
        <v>97</v>
      </c>
      <c r="N3" s="43" t="s">
        <v>1420</v>
      </c>
      <c r="O3" s="43" t="s">
        <v>99</v>
      </c>
      <c r="P3" s="44" t="s">
        <v>388</v>
      </c>
      <c r="Q3" s="44" t="s">
        <v>1269</v>
      </c>
      <c r="R3" s="104" t="s">
        <v>109</v>
      </c>
      <c r="S3" s="105" t="s">
        <v>110</v>
      </c>
      <c r="T3" s="106" t="s">
        <v>111</v>
      </c>
      <c r="U3" s="106" t="s">
        <v>112</v>
      </c>
      <c r="V3" s="105" t="s">
        <v>113</v>
      </c>
      <c r="W3" s="105" t="s">
        <v>114</v>
      </c>
      <c r="X3" s="107" t="s">
        <v>107</v>
      </c>
      <c r="Y3" s="107" t="s">
        <v>108</v>
      </c>
      <c r="Z3" s="24" t="s">
        <v>115</v>
      </c>
      <c r="AA3" s="113" t="s">
        <v>116</v>
      </c>
      <c r="AB3" s="114" t="s">
        <v>117</v>
      </c>
    </row>
    <row r="4" s="2" customFormat="1" ht="111.95" customHeight="1" spans="1:39">
      <c r="A4" s="68"/>
      <c r="B4" s="79"/>
      <c r="C4" s="80"/>
      <c r="D4" s="79"/>
      <c r="E4" s="80"/>
      <c r="F4" s="24"/>
      <c r="G4" s="80"/>
      <c r="H4" s="68"/>
      <c r="I4" s="95"/>
      <c r="J4" s="96"/>
      <c r="K4" s="96"/>
      <c r="L4" s="97"/>
      <c r="M4" s="97"/>
      <c r="N4" s="98"/>
      <c r="O4" s="98"/>
      <c r="P4" s="99"/>
      <c r="Q4" s="99"/>
      <c r="R4" s="104"/>
      <c r="S4" s="105"/>
      <c r="T4" s="108"/>
      <c r="U4" s="108"/>
      <c r="V4" s="105"/>
      <c r="W4" s="105"/>
      <c r="X4" s="109"/>
      <c r="Y4" s="109"/>
      <c r="Z4" s="115"/>
      <c r="AA4" s="116"/>
      <c r="AB4" s="117"/>
      <c r="AC4" s="8"/>
      <c r="AD4" s="9"/>
      <c r="AE4" s="10"/>
      <c r="AF4" s="8"/>
      <c r="AG4" s="11"/>
      <c r="AH4" s="8"/>
      <c r="AI4" s="8"/>
      <c r="AJ4" s="10"/>
      <c r="AK4" s="12"/>
      <c r="AL4" s="12"/>
      <c r="AM4" s="12"/>
    </row>
    <row r="5" s="2" customFormat="1" ht="24" hidden="1" customHeight="1" spans="1:39">
      <c r="A5" s="81">
        <v>1</v>
      </c>
      <c r="B5" s="82" t="s">
        <v>1421</v>
      </c>
      <c r="C5" s="32" t="s">
        <v>1422</v>
      </c>
      <c r="D5" s="82"/>
      <c r="E5" s="81">
        <v>1</v>
      </c>
      <c r="F5" s="83" t="s">
        <v>1423</v>
      </c>
      <c r="G5" s="84" t="s">
        <v>1424</v>
      </c>
      <c r="H5" s="28" t="s">
        <v>1425</v>
      </c>
      <c r="I5" s="100" t="s">
        <v>124</v>
      </c>
      <c r="J5" s="100" t="s">
        <v>124</v>
      </c>
      <c r="K5" s="100" t="s">
        <v>124</v>
      </c>
      <c r="L5" s="100" t="s">
        <v>124</v>
      </c>
      <c r="M5" s="100" t="s">
        <v>124</v>
      </c>
      <c r="N5" s="101" t="s">
        <v>1426</v>
      </c>
      <c r="O5" s="101" t="s">
        <v>1427</v>
      </c>
      <c r="P5" s="81" t="str">
        <f>CONCATENATE("VariousArtists_"&amp;RemovePunctuation(H5)&amp;"_i4K_"&amp;B5&amp;"_001.mp3")</f>
        <v>VariousArtists_ONBOARDLOVE_i4K_0624_001.mp3</v>
      </c>
      <c r="Q5" s="81" t="str">
        <f>CONCATENATE("VariousArtists_"&amp;RemovePunctuation(H5)&amp;"_i5K_"&amp;B5&amp;"_001.mpg")</f>
        <v>VariousArtists_ONBOARDLOVE_i5K_0624_001.mpg</v>
      </c>
      <c r="R5" s="110" t="s">
        <v>130</v>
      </c>
      <c r="S5" s="110"/>
      <c r="T5" s="110"/>
      <c r="U5" s="110"/>
      <c r="V5" s="110"/>
      <c r="W5" s="110"/>
      <c r="X5" s="111" t="s">
        <v>129</v>
      </c>
      <c r="Y5" s="111" t="s">
        <v>129</v>
      </c>
      <c r="Z5" s="118">
        <f>ROUNDUP(HOUR(AA5)*60+MINUTE(AA5)+SECOND(AA5)/60,0)</f>
        <v>40</v>
      </c>
      <c r="AA5" s="119">
        <v>0.0277199074074074</v>
      </c>
      <c r="AB5" s="120">
        <f>Z5*60</f>
        <v>2400</v>
      </c>
      <c r="AC5" s="8"/>
      <c r="AD5" s="9"/>
      <c r="AE5" s="10"/>
      <c r="AF5" s="8"/>
      <c r="AG5" s="11"/>
      <c r="AH5" s="8"/>
      <c r="AI5" s="8"/>
      <c r="AJ5" s="10"/>
      <c r="AK5" s="12"/>
      <c r="AL5" s="12"/>
      <c r="AM5" s="12"/>
    </row>
    <row r="6" s="2" customFormat="1" ht="24" hidden="1" customHeight="1" spans="1:39">
      <c r="A6" s="81">
        <v>2</v>
      </c>
      <c r="B6" s="82" t="s">
        <v>1421</v>
      </c>
      <c r="C6" s="32" t="s">
        <v>1422</v>
      </c>
      <c r="D6" s="82"/>
      <c r="E6" s="81">
        <v>2</v>
      </c>
      <c r="F6" s="85"/>
      <c r="G6" s="84" t="s">
        <v>1428</v>
      </c>
      <c r="H6" s="28" t="s">
        <v>1429</v>
      </c>
      <c r="I6" s="100" t="s">
        <v>124</v>
      </c>
      <c r="J6" s="100" t="s">
        <v>124</v>
      </c>
      <c r="K6" s="100" t="s">
        <v>124</v>
      </c>
      <c r="L6" s="100" t="s">
        <v>124</v>
      </c>
      <c r="M6" s="100" t="s">
        <v>124</v>
      </c>
      <c r="N6" s="101" t="s">
        <v>1430</v>
      </c>
      <c r="O6" s="101" t="s">
        <v>1431</v>
      </c>
      <c r="P6" s="81" t="str">
        <f>CONCATENATE("VariousArtists_"&amp;RemovePunctuation(H6)&amp;"_i4K_"&amp;B6&amp;"_001.mp3")</f>
        <v>VariousArtists_DEBOARDLOVE_i4K_0624_001.mp3</v>
      </c>
      <c r="Q6" s="81" t="str">
        <f>CONCATENATE("VariousArtists_"&amp;RemovePunctuation(H6)&amp;"_i5K_"&amp;B6&amp;"_001.mpg")</f>
        <v>VariousArtists_DEBOARDLOVE_i5K_0624_001.mpg</v>
      </c>
      <c r="R6" s="110" t="s">
        <v>130</v>
      </c>
      <c r="S6" s="110"/>
      <c r="T6" s="110"/>
      <c r="U6" s="110"/>
      <c r="V6" s="110"/>
      <c r="W6" s="110"/>
      <c r="X6" s="111" t="s">
        <v>129</v>
      </c>
      <c r="Y6" s="111" t="s">
        <v>129</v>
      </c>
      <c r="Z6" s="118">
        <f>ROUNDUP(HOUR(AA6)*60+MINUTE(AA6)+SECOND(AA6)/60,0)</f>
        <v>43</v>
      </c>
      <c r="AA6" s="119">
        <v>0.0294444444444444</v>
      </c>
      <c r="AB6" s="120">
        <f>Z6*60</f>
        <v>2580</v>
      </c>
      <c r="AC6" s="8"/>
      <c r="AD6" s="9"/>
      <c r="AE6" s="10"/>
      <c r="AF6" s="8"/>
      <c r="AG6" s="11"/>
      <c r="AH6" s="8"/>
      <c r="AI6" s="8"/>
      <c r="AJ6" s="10"/>
      <c r="AK6" s="12"/>
      <c r="AL6" s="12"/>
      <c r="AM6" s="12"/>
    </row>
    <row r="7" s="2" customFormat="1" ht="24" hidden="1" customHeight="1" spans="1:39">
      <c r="A7" s="81">
        <v>3</v>
      </c>
      <c r="B7" s="81" t="s">
        <v>1432</v>
      </c>
      <c r="C7" s="32" t="s">
        <v>1422</v>
      </c>
      <c r="D7" s="82"/>
      <c r="E7" s="81">
        <v>3</v>
      </c>
      <c r="F7" s="86"/>
      <c r="G7" s="84" t="s">
        <v>1433</v>
      </c>
      <c r="H7" s="28" t="s">
        <v>1434</v>
      </c>
      <c r="I7" s="100" t="s">
        <v>124</v>
      </c>
      <c r="J7" s="100" t="s">
        <v>124</v>
      </c>
      <c r="K7" s="100" t="s">
        <v>124</v>
      </c>
      <c r="L7" s="100" t="s">
        <v>124</v>
      </c>
      <c r="M7" s="100" t="s">
        <v>124</v>
      </c>
      <c r="N7" s="101" t="s">
        <v>1435</v>
      </c>
      <c r="O7" s="101" t="s">
        <v>1436</v>
      </c>
      <c r="P7" s="81" t="str">
        <f>CONCATENATE("VariousArtists_"&amp;RemovePunctuation(H7)&amp;"_i4K_"&amp;B7&amp;"_001.mp3")</f>
        <v>VariousArtists_BACKUP_i4K_0424_001.mp3</v>
      </c>
      <c r="Q7" s="81" t="str">
        <f>CONCATENATE("VariousArtists_"&amp;RemovePunctuation(H7)&amp;"_i5K_"&amp;B7&amp;"_001.mpg")</f>
        <v>VariousArtists_BACKUP_i5K_0424_001.mpg</v>
      </c>
      <c r="R7" s="110" t="s">
        <v>130</v>
      </c>
      <c r="S7" s="110"/>
      <c r="T7" s="110"/>
      <c r="U7" s="110"/>
      <c r="V7" s="110"/>
      <c r="W7" s="110"/>
      <c r="X7" s="111" t="s">
        <v>129</v>
      </c>
      <c r="Y7" s="111" t="s">
        <v>129</v>
      </c>
      <c r="Z7" s="118">
        <f>ROUNDUP(HOUR(AA7)*60+MINUTE(AA7)+SECOND(AA7)/60,0)</f>
        <v>46</v>
      </c>
      <c r="AA7" s="119">
        <v>0.0316898148148148</v>
      </c>
      <c r="AB7" s="120">
        <f>Z7*60</f>
        <v>2760</v>
      </c>
      <c r="AC7" s="8"/>
      <c r="AD7" s="9"/>
      <c r="AE7" s="10"/>
      <c r="AF7" s="8"/>
      <c r="AG7" s="11"/>
      <c r="AH7" s="8"/>
      <c r="AI7" s="8"/>
      <c r="AJ7" s="10"/>
      <c r="AK7" s="12"/>
      <c r="AL7" s="12"/>
      <c r="AM7" s="12"/>
    </row>
    <row r="8" s="1" customFormat="1" ht="13.5" spans="23:40">
      <c r="W8" s="3"/>
      <c r="X8" s="3"/>
      <c r="Y8" s="3"/>
      <c r="AC8" s="74"/>
      <c r="AD8" s="74"/>
      <c r="AE8" s="75"/>
      <c r="AF8" s="3"/>
      <c r="AG8" s="74"/>
      <c r="AH8" s="76"/>
      <c r="AI8" s="74"/>
      <c r="AJ8" s="74"/>
      <c r="AK8" s="3"/>
      <c r="AL8" s="5"/>
      <c r="AM8" s="5"/>
      <c r="AN8" s="5"/>
    </row>
    <row r="9" s="2" customFormat="1" spans="3:40">
      <c r="C9" s="3"/>
      <c r="D9" s="3"/>
      <c r="E9" s="3"/>
      <c r="F9" s="4"/>
      <c r="G9" s="3"/>
      <c r="H9" s="3"/>
      <c r="I9" s="3"/>
      <c r="J9" s="3"/>
      <c r="K9" s="3"/>
      <c r="L9" s="3"/>
      <c r="M9" s="3"/>
      <c r="N9" s="3"/>
      <c r="O9" s="3"/>
      <c r="P9" s="5"/>
      <c r="Q9" s="3"/>
      <c r="R9" s="6"/>
      <c r="S9" s="6"/>
      <c r="T9" s="6"/>
      <c r="U9" s="3"/>
      <c r="V9" s="3"/>
      <c r="W9" s="3"/>
      <c r="X9" s="3"/>
      <c r="Y9" s="3"/>
      <c r="Z9" s="3"/>
      <c r="AA9" s="3"/>
      <c r="AB9" s="3"/>
      <c r="AC9" s="8"/>
      <c r="AD9" s="8"/>
      <c r="AE9" s="9"/>
      <c r="AF9" s="10"/>
      <c r="AG9" s="8"/>
      <c r="AH9" s="11"/>
      <c r="AI9" s="8"/>
      <c r="AJ9" s="8"/>
      <c r="AK9" s="10"/>
      <c r="AL9" s="12"/>
      <c r="AM9" s="12"/>
      <c r="AN9" s="12"/>
    </row>
    <row r="10" s="2" customFormat="1" spans="3:40">
      <c r="C10" s="3"/>
      <c r="D10" s="3"/>
      <c r="E10" s="3"/>
      <c r="F10" s="4"/>
      <c r="G10" s="3"/>
      <c r="H10" s="3"/>
      <c r="I10" s="3"/>
      <c r="J10" s="3"/>
      <c r="K10" s="3"/>
      <c r="L10" s="3"/>
      <c r="M10" s="3"/>
      <c r="N10" s="3"/>
      <c r="O10" s="3"/>
      <c r="P10" s="5"/>
      <c r="Q10" s="3"/>
      <c r="R10" s="6"/>
      <c r="S10" s="6"/>
      <c r="T10" s="6"/>
      <c r="U10" s="3"/>
      <c r="V10" s="3"/>
      <c r="W10" s="3"/>
      <c r="X10" s="3"/>
      <c r="Y10" s="3"/>
      <c r="Z10" s="3"/>
      <c r="AA10" s="3"/>
      <c r="AB10" s="3"/>
      <c r="AC10" s="8"/>
      <c r="AD10" s="8"/>
      <c r="AE10" s="9"/>
      <c r="AF10" s="10"/>
      <c r="AG10" s="8"/>
      <c r="AH10" s="11"/>
      <c r="AI10" s="8"/>
      <c r="AJ10" s="8"/>
      <c r="AK10" s="10"/>
      <c r="AL10" s="12"/>
      <c r="AM10" s="12"/>
      <c r="AN10" s="12"/>
    </row>
    <row r="11" s="2" customFormat="1" spans="3:40">
      <c r="C11" s="3"/>
      <c r="D11" s="3"/>
      <c r="E11" s="3"/>
      <c r="F11" s="4"/>
      <c r="G11" s="3"/>
      <c r="H11" s="3"/>
      <c r="I11" s="3"/>
      <c r="J11" s="3"/>
      <c r="K11" s="3"/>
      <c r="L11" s="3"/>
      <c r="M11" s="3"/>
      <c r="N11" s="3"/>
      <c r="O11" s="3"/>
      <c r="P11" s="5"/>
      <c r="Q11" s="3"/>
      <c r="R11" s="6"/>
      <c r="S11" s="6"/>
      <c r="T11" s="6"/>
      <c r="U11" s="3"/>
      <c r="V11" s="3"/>
      <c r="W11" s="3"/>
      <c r="X11" s="3"/>
      <c r="Y11" s="3"/>
      <c r="Z11" s="3"/>
      <c r="AA11" s="3"/>
      <c r="AB11" s="3"/>
      <c r="AC11" s="8"/>
      <c r="AD11" s="8"/>
      <c r="AE11" s="9"/>
      <c r="AF11" s="10"/>
      <c r="AG11" s="8"/>
      <c r="AH11" s="11"/>
      <c r="AI11" s="8"/>
      <c r="AJ11" s="8"/>
      <c r="AK11" s="10"/>
      <c r="AL11" s="12"/>
      <c r="AM11" s="12"/>
      <c r="AN11" s="12"/>
    </row>
    <row r="12" s="2" customFormat="1" spans="3:40">
      <c r="C12" s="3"/>
      <c r="D12" s="3"/>
      <c r="E12" s="3"/>
      <c r="F12" s="4"/>
      <c r="G12" s="3"/>
      <c r="H12" s="3"/>
      <c r="I12" s="3"/>
      <c r="J12" s="3"/>
      <c r="K12" s="3"/>
      <c r="L12" s="3"/>
      <c r="M12" s="3"/>
      <c r="N12" s="3"/>
      <c r="O12" s="3"/>
      <c r="P12" s="5"/>
      <c r="Q12" s="3"/>
      <c r="R12" s="6"/>
      <c r="S12" s="6"/>
      <c r="T12" s="6"/>
      <c r="U12" s="3"/>
      <c r="V12" s="3"/>
      <c r="W12" s="3"/>
      <c r="X12" s="3"/>
      <c r="Y12" s="3"/>
      <c r="Z12" s="3"/>
      <c r="AA12" s="3"/>
      <c r="AB12" s="3"/>
      <c r="AC12" s="8"/>
      <c r="AD12" s="8"/>
      <c r="AE12" s="9"/>
      <c r="AF12" s="10"/>
      <c r="AG12" s="8"/>
      <c r="AH12" s="11"/>
      <c r="AI12" s="8"/>
      <c r="AJ12" s="8"/>
      <c r="AK12" s="10"/>
      <c r="AL12" s="12"/>
      <c r="AM12" s="12"/>
      <c r="AN12" s="12"/>
    </row>
    <row r="13" s="2" customFormat="1" spans="3:40">
      <c r="C13" s="3"/>
      <c r="D13" s="3"/>
      <c r="E13" s="3"/>
      <c r="F13" s="4"/>
      <c r="G13" s="3"/>
      <c r="H13" s="3"/>
      <c r="I13" s="3"/>
      <c r="J13" s="3"/>
      <c r="K13" s="3"/>
      <c r="L13" s="3"/>
      <c r="M13" s="3"/>
      <c r="N13" s="3"/>
      <c r="O13" s="3"/>
      <c r="P13" s="5"/>
      <c r="Q13" s="3"/>
      <c r="R13" s="6"/>
      <c r="S13" s="6"/>
      <c r="T13" s="6"/>
      <c r="U13" s="3"/>
      <c r="V13" s="3"/>
      <c r="W13" s="3"/>
      <c r="X13" s="3"/>
      <c r="Y13" s="3"/>
      <c r="Z13" s="3"/>
      <c r="AA13" s="3"/>
      <c r="AB13" s="3"/>
      <c r="AC13" s="8"/>
      <c r="AD13" s="8"/>
      <c r="AE13" s="9"/>
      <c r="AF13" s="10"/>
      <c r="AG13" s="8"/>
      <c r="AH13" s="11"/>
      <c r="AI13" s="8"/>
      <c r="AJ13" s="8"/>
      <c r="AK13" s="10"/>
      <c r="AL13" s="12"/>
      <c r="AM13" s="12"/>
      <c r="AN13" s="12"/>
    </row>
    <row r="14" s="2" customFormat="1" spans="3:40">
      <c r="C14" s="3"/>
      <c r="D14" s="3"/>
      <c r="E14" s="3"/>
      <c r="F14" s="4"/>
      <c r="G14" s="3"/>
      <c r="H14" s="3"/>
      <c r="I14" s="3"/>
      <c r="J14" s="3"/>
      <c r="K14" s="3"/>
      <c r="L14" s="3"/>
      <c r="M14" s="3"/>
      <c r="N14" s="3"/>
      <c r="O14" s="3"/>
      <c r="P14" s="5"/>
      <c r="Q14" s="3"/>
      <c r="R14" s="6"/>
      <c r="S14" s="6"/>
      <c r="T14" s="6"/>
      <c r="U14" s="3"/>
      <c r="V14" s="3"/>
      <c r="W14" s="3"/>
      <c r="X14" s="3"/>
      <c r="Y14" s="3"/>
      <c r="Z14" s="3"/>
      <c r="AA14" s="3"/>
      <c r="AB14" s="3"/>
      <c r="AC14" s="8"/>
      <c r="AD14" s="8"/>
      <c r="AE14" s="9"/>
      <c r="AF14" s="10"/>
      <c r="AG14" s="8"/>
      <c r="AH14" s="11"/>
      <c r="AI14" s="8"/>
      <c r="AJ14" s="8"/>
      <c r="AK14" s="10"/>
      <c r="AL14" s="12"/>
      <c r="AM14" s="12"/>
      <c r="AN14" s="12"/>
    </row>
    <row r="15" s="2" customFormat="1" spans="3:40">
      <c r="C15" s="3"/>
      <c r="D15" s="3"/>
      <c r="E15" s="3"/>
      <c r="F15" s="4"/>
      <c r="G15" s="3"/>
      <c r="H15" s="3"/>
      <c r="I15" s="3"/>
      <c r="J15" s="3"/>
      <c r="K15" s="3"/>
      <c r="L15" s="3"/>
      <c r="M15" s="3"/>
      <c r="N15" s="3"/>
      <c r="O15" s="3"/>
      <c r="P15" s="5"/>
      <c r="Q15" s="3"/>
      <c r="R15" s="6"/>
      <c r="S15" s="6"/>
      <c r="T15" s="6"/>
      <c r="U15" s="3"/>
      <c r="V15" s="3"/>
      <c r="W15" s="3"/>
      <c r="X15" s="3"/>
      <c r="Y15" s="3"/>
      <c r="Z15" s="3"/>
      <c r="AA15" s="3"/>
      <c r="AB15" s="3"/>
      <c r="AC15" s="8"/>
      <c r="AD15" s="8"/>
      <c r="AE15" s="9"/>
      <c r="AF15" s="10"/>
      <c r="AG15" s="8"/>
      <c r="AH15" s="11"/>
      <c r="AI15" s="8"/>
      <c r="AJ15" s="8"/>
      <c r="AK15" s="10"/>
      <c r="AL15" s="12"/>
      <c r="AM15" s="12"/>
      <c r="AN15" s="12"/>
    </row>
    <row r="16" s="2" customFormat="1" spans="3:40">
      <c r="C16" s="3"/>
      <c r="D16" s="3"/>
      <c r="E16" s="3"/>
      <c r="F16" s="4"/>
      <c r="G16" s="3"/>
      <c r="H16" s="3"/>
      <c r="I16" s="3"/>
      <c r="J16" s="3"/>
      <c r="K16" s="3"/>
      <c r="L16" s="3"/>
      <c r="M16" s="3"/>
      <c r="N16" s="3"/>
      <c r="O16" s="3"/>
      <c r="P16" s="5"/>
      <c r="Q16" s="3"/>
      <c r="R16" s="6"/>
      <c r="S16" s="6"/>
      <c r="T16" s="6"/>
      <c r="U16" s="3"/>
      <c r="V16" s="3"/>
      <c r="W16" s="3"/>
      <c r="X16" s="3"/>
      <c r="Y16" s="3"/>
      <c r="Z16" s="3"/>
      <c r="AA16" s="3"/>
      <c r="AB16" s="3"/>
      <c r="AC16" s="8"/>
      <c r="AD16" s="8"/>
      <c r="AE16" s="9"/>
      <c r="AF16" s="10"/>
      <c r="AG16" s="8"/>
      <c r="AH16" s="11"/>
      <c r="AI16" s="8"/>
      <c r="AJ16" s="8"/>
      <c r="AK16" s="10"/>
      <c r="AL16" s="12"/>
      <c r="AM16" s="12"/>
      <c r="AN16" s="12"/>
    </row>
    <row r="17" s="2" customFormat="1" spans="3:40">
      <c r="C17" s="3"/>
      <c r="D17" s="3"/>
      <c r="E17" s="3"/>
      <c r="F17" s="4"/>
      <c r="G17" s="3"/>
      <c r="H17" s="3"/>
      <c r="I17" s="3"/>
      <c r="J17" s="3"/>
      <c r="K17" s="3"/>
      <c r="L17" s="3"/>
      <c r="M17" s="3"/>
      <c r="N17" s="3"/>
      <c r="O17" s="3"/>
      <c r="P17" s="5"/>
      <c r="Q17" s="3"/>
      <c r="R17" s="6"/>
      <c r="S17" s="6"/>
      <c r="T17" s="6"/>
      <c r="U17" s="3"/>
      <c r="V17" s="3"/>
      <c r="W17" s="3"/>
      <c r="X17" s="3"/>
      <c r="Y17" s="3"/>
      <c r="Z17" s="3"/>
      <c r="AA17" s="3"/>
      <c r="AB17" s="3"/>
      <c r="AC17" s="8"/>
      <c r="AD17" s="8"/>
      <c r="AE17" s="9"/>
      <c r="AF17" s="10"/>
      <c r="AG17" s="8"/>
      <c r="AH17" s="11"/>
      <c r="AI17" s="8"/>
      <c r="AJ17" s="8"/>
      <c r="AK17" s="10"/>
      <c r="AL17" s="12"/>
      <c r="AM17" s="12"/>
      <c r="AN17" s="12"/>
    </row>
    <row r="18" s="2" customFormat="1" spans="3:40">
      <c r="C18" s="3"/>
      <c r="D18" s="3"/>
      <c r="E18" s="3"/>
      <c r="F18" s="4"/>
      <c r="G18" s="3"/>
      <c r="H18" s="3"/>
      <c r="I18" s="3"/>
      <c r="J18" s="3"/>
      <c r="K18" s="3"/>
      <c r="L18" s="3"/>
      <c r="M18" s="3"/>
      <c r="N18" s="3"/>
      <c r="O18" s="3"/>
      <c r="P18" s="5"/>
      <c r="Q18" s="3"/>
      <c r="R18" s="6"/>
      <c r="S18" s="6"/>
      <c r="T18" s="6"/>
      <c r="U18" s="3"/>
      <c r="V18" s="3"/>
      <c r="W18" s="3"/>
      <c r="X18" s="3"/>
      <c r="Y18" s="3"/>
      <c r="Z18" s="3"/>
      <c r="AA18" s="3"/>
      <c r="AB18" s="3"/>
      <c r="AC18" s="8"/>
      <c r="AD18" s="8"/>
      <c r="AE18" s="9"/>
      <c r="AF18" s="10"/>
      <c r="AG18" s="8"/>
      <c r="AH18" s="11"/>
      <c r="AI18" s="8"/>
      <c r="AJ18" s="8"/>
      <c r="AK18" s="10"/>
      <c r="AL18" s="12"/>
      <c r="AM18" s="12"/>
      <c r="AN18" s="12"/>
    </row>
    <row r="19" s="2" customFormat="1" spans="3:40">
      <c r="C19" s="3"/>
      <c r="D19" s="3"/>
      <c r="E19" s="3"/>
      <c r="F19" s="4"/>
      <c r="G19" s="3"/>
      <c r="H19" s="3"/>
      <c r="I19" s="3"/>
      <c r="J19" s="3"/>
      <c r="K19" s="3"/>
      <c r="L19" s="3"/>
      <c r="M19" s="3"/>
      <c r="N19" s="3"/>
      <c r="O19" s="3"/>
      <c r="P19" s="5"/>
      <c r="Q19" s="3"/>
      <c r="R19" s="6"/>
      <c r="S19" s="6"/>
      <c r="T19" s="6"/>
      <c r="U19" s="3"/>
      <c r="V19" s="3"/>
      <c r="W19" s="3"/>
      <c r="X19" s="3"/>
      <c r="Y19" s="3"/>
      <c r="Z19" s="3"/>
      <c r="AA19" s="3"/>
      <c r="AB19" s="3"/>
      <c r="AC19" s="8"/>
      <c r="AD19" s="8"/>
      <c r="AE19" s="9"/>
      <c r="AF19" s="10"/>
      <c r="AG19" s="8"/>
      <c r="AH19" s="11"/>
      <c r="AI19" s="8"/>
      <c r="AJ19" s="8"/>
      <c r="AK19" s="10"/>
      <c r="AL19" s="12"/>
      <c r="AM19" s="12"/>
      <c r="AN19" s="12"/>
    </row>
    <row r="20" s="2" customFormat="1" spans="3:40">
      <c r="C20" s="3"/>
      <c r="D20" s="3"/>
      <c r="E20" s="3"/>
      <c r="F20" s="4"/>
      <c r="G20" s="3"/>
      <c r="H20" s="3"/>
      <c r="I20" s="3"/>
      <c r="J20" s="3"/>
      <c r="K20" s="3"/>
      <c r="L20" s="3"/>
      <c r="M20" s="3"/>
      <c r="N20" s="3"/>
      <c r="O20" s="3"/>
      <c r="P20" s="5"/>
      <c r="Q20" s="3"/>
      <c r="R20" s="6"/>
      <c r="S20" s="6"/>
      <c r="T20" s="6"/>
      <c r="U20" s="3"/>
      <c r="V20" s="3"/>
      <c r="W20" s="3"/>
      <c r="X20" s="3"/>
      <c r="Y20" s="3"/>
      <c r="Z20" s="3"/>
      <c r="AA20" s="3"/>
      <c r="AB20" s="3"/>
      <c r="AC20" s="8"/>
      <c r="AD20" s="8"/>
      <c r="AE20" s="9"/>
      <c r="AF20" s="10"/>
      <c r="AG20" s="8"/>
      <c r="AH20" s="11"/>
      <c r="AI20" s="8"/>
      <c r="AJ20" s="8"/>
      <c r="AK20" s="10"/>
      <c r="AL20" s="12"/>
      <c r="AM20" s="12"/>
      <c r="AN20" s="12"/>
    </row>
    <row r="21" s="2" customFormat="1" spans="3:40">
      <c r="C21" s="3"/>
      <c r="D21" s="3"/>
      <c r="E21" s="3"/>
      <c r="F21" s="4"/>
      <c r="G21" s="3"/>
      <c r="H21" s="3"/>
      <c r="I21" s="3"/>
      <c r="J21" s="3"/>
      <c r="K21" s="3"/>
      <c r="L21" s="3"/>
      <c r="M21" s="3"/>
      <c r="N21" s="3"/>
      <c r="O21" s="3"/>
      <c r="P21" s="5"/>
      <c r="Q21" s="3"/>
      <c r="R21" s="6"/>
      <c r="S21" s="6"/>
      <c r="T21" s="6"/>
      <c r="U21" s="3"/>
      <c r="V21" s="3"/>
      <c r="W21" s="3"/>
      <c r="X21" s="3"/>
      <c r="Y21" s="3"/>
      <c r="Z21" s="3"/>
      <c r="AA21" s="3"/>
      <c r="AB21" s="3"/>
      <c r="AC21" s="8"/>
      <c r="AD21" s="8"/>
      <c r="AE21" s="9"/>
      <c r="AF21" s="10"/>
      <c r="AG21" s="8"/>
      <c r="AH21" s="11"/>
      <c r="AI21" s="8"/>
      <c r="AJ21" s="8"/>
      <c r="AK21" s="10"/>
      <c r="AL21" s="12"/>
      <c r="AM21" s="12"/>
      <c r="AN21" s="12"/>
    </row>
    <row r="22" s="2" customFormat="1" spans="3:40">
      <c r="C22" s="3"/>
      <c r="D22" s="3"/>
      <c r="E22" s="3"/>
      <c r="F22" s="4"/>
      <c r="G22" s="3"/>
      <c r="H22" s="3"/>
      <c r="I22" s="3"/>
      <c r="J22" s="3"/>
      <c r="K22" s="3"/>
      <c r="L22" s="3"/>
      <c r="M22" s="3"/>
      <c r="N22" s="3"/>
      <c r="O22" s="3"/>
      <c r="P22" s="5"/>
      <c r="Q22" s="3"/>
      <c r="R22" s="6"/>
      <c r="S22" s="6"/>
      <c r="T22" s="6"/>
      <c r="U22" s="3"/>
      <c r="V22" s="3"/>
      <c r="W22" s="3"/>
      <c r="X22" s="3"/>
      <c r="Y22" s="3"/>
      <c r="Z22" s="3"/>
      <c r="AA22" s="3"/>
      <c r="AB22" s="3"/>
      <c r="AC22" s="8"/>
      <c r="AD22" s="8"/>
      <c r="AE22" s="9"/>
      <c r="AF22" s="10"/>
      <c r="AG22" s="8"/>
      <c r="AH22" s="11"/>
      <c r="AI22" s="8"/>
      <c r="AJ22" s="8"/>
      <c r="AK22" s="10"/>
      <c r="AL22" s="12"/>
      <c r="AM22" s="12"/>
      <c r="AN22" s="12"/>
    </row>
    <row r="23" s="2" customFormat="1" spans="3:40">
      <c r="C23" s="3"/>
      <c r="D23" s="3"/>
      <c r="E23" s="3"/>
      <c r="F23" s="4"/>
      <c r="G23" s="3"/>
      <c r="H23" s="3"/>
      <c r="I23" s="3"/>
      <c r="J23" s="3"/>
      <c r="K23" s="3"/>
      <c r="L23" s="3"/>
      <c r="M23" s="3"/>
      <c r="N23" s="3"/>
      <c r="O23" s="3"/>
      <c r="P23" s="5"/>
      <c r="Q23" s="3"/>
      <c r="R23" s="6"/>
      <c r="S23" s="6"/>
      <c r="T23" s="6"/>
      <c r="U23" s="3"/>
      <c r="V23" s="3"/>
      <c r="W23" s="3"/>
      <c r="X23" s="3"/>
      <c r="Y23" s="3"/>
      <c r="Z23" s="3"/>
      <c r="AA23" s="3"/>
      <c r="AB23" s="3"/>
      <c r="AC23" s="8"/>
      <c r="AD23" s="8"/>
      <c r="AE23" s="9"/>
      <c r="AF23" s="10"/>
      <c r="AG23" s="8"/>
      <c r="AH23" s="11"/>
      <c r="AI23" s="8"/>
      <c r="AJ23" s="8"/>
      <c r="AK23" s="10"/>
      <c r="AL23" s="12"/>
      <c r="AM23" s="12"/>
      <c r="AN23" s="12"/>
    </row>
    <row r="24" s="2" customFormat="1" spans="3:40">
      <c r="C24" s="3"/>
      <c r="D24" s="3"/>
      <c r="E24" s="3"/>
      <c r="F24" s="4"/>
      <c r="G24" s="3"/>
      <c r="H24" s="3"/>
      <c r="I24" s="3"/>
      <c r="J24" s="3"/>
      <c r="K24" s="3"/>
      <c r="L24" s="3"/>
      <c r="M24" s="3"/>
      <c r="N24" s="3"/>
      <c r="O24" s="3"/>
      <c r="P24" s="5"/>
      <c r="Q24" s="3"/>
      <c r="R24" s="6"/>
      <c r="S24" s="6"/>
      <c r="T24" s="6"/>
      <c r="U24" s="3"/>
      <c r="V24" s="3"/>
      <c r="W24" s="3"/>
      <c r="X24" s="3"/>
      <c r="Y24" s="3"/>
      <c r="Z24" s="3"/>
      <c r="AA24" s="3"/>
      <c r="AB24" s="3"/>
      <c r="AC24" s="8"/>
      <c r="AD24" s="8"/>
      <c r="AE24" s="9"/>
      <c r="AF24" s="10"/>
      <c r="AG24" s="8"/>
      <c r="AH24" s="11"/>
      <c r="AI24" s="8"/>
      <c r="AJ24" s="8"/>
      <c r="AK24" s="10"/>
      <c r="AL24" s="12"/>
      <c r="AM24" s="12"/>
      <c r="AN24" s="12"/>
    </row>
    <row r="25" s="2" customFormat="1" ht="15.75" spans="3:40">
      <c r="C25" s="3"/>
      <c r="D25" s="3"/>
      <c r="E25" s="3"/>
      <c r="F25" s="4"/>
      <c r="G25" s="3"/>
      <c r="H25" s="3"/>
      <c r="I25" s="3"/>
      <c r="J25" s="3"/>
      <c r="K25" s="3"/>
      <c r="L25" s="3"/>
      <c r="M25" s="3"/>
      <c r="N25" s="3"/>
      <c r="O25" s="3"/>
      <c r="P25" s="5"/>
      <c r="Q25" s="3"/>
      <c r="R25" s="6"/>
      <c r="S25" s="6"/>
      <c r="T25" s="6"/>
      <c r="U25" s="3"/>
      <c r="V25" s="3"/>
      <c r="W25" s="63"/>
      <c r="X25" s="63"/>
      <c r="Y25" s="63"/>
      <c r="Z25" s="3"/>
      <c r="AA25" s="3"/>
      <c r="AB25" s="3"/>
      <c r="AC25" s="8"/>
      <c r="AD25" s="8"/>
      <c r="AE25" s="9"/>
      <c r="AF25" s="10"/>
      <c r="AG25" s="8"/>
      <c r="AH25" s="11"/>
      <c r="AI25" s="8"/>
      <c r="AJ25" s="8"/>
      <c r="AK25" s="10"/>
      <c r="AL25" s="12"/>
      <c r="AM25" s="12"/>
      <c r="AN25" s="12"/>
    </row>
    <row r="26" s="2" customFormat="1" ht="15.75" spans="3:40">
      <c r="C26" s="3"/>
      <c r="D26" s="3"/>
      <c r="E26" s="3"/>
      <c r="F26" s="4"/>
      <c r="G26" s="3"/>
      <c r="H26" s="3"/>
      <c r="I26" s="3"/>
      <c r="J26" s="3"/>
      <c r="K26" s="3"/>
      <c r="L26" s="3"/>
      <c r="M26" s="3"/>
      <c r="N26" s="3"/>
      <c r="O26" s="3"/>
      <c r="P26" s="5"/>
      <c r="Q26" s="3"/>
      <c r="R26" s="6"/>
      <c r="S26" s="6"/>
      <c r="T26" s="6"/>
      <c r="U26" s="3"/>
      <c r="V26" s="3"/>
      <c r="W26" s="63"/>
      <c r="X26" s="63"/>
      <c r="Y26" s="63"/>
      <c r="Z26" s="3"/>
      <c r="AA26" s="3"/>
      <c r="AB26" s="3"/>
      <c r="AC26" s="8"/>
      <c r="AD26" s="8"/>
      <c r="AE26" s="9"/>
      <c r="AF26" s="10"/>
      <c r="AG26" s="8"/>
      <c r="AH26" s="11"/>
      <c r="AI26" s="8"/>
      <c r="AJ26" s="8"/>
      <c r="AK26" s="10"/>
      <c r="AL26" s="12"/>
      <c r="AM26" s="12"/>
      <c r="AN26" s="12"/>
    </row>
    <row r="27" s="2" customFormat="1" ht="15.75" spans="3:40">
      <c r="C27" s="3"/>
      <c r="D27" s="3"/>
      <c r="E27" s="3"/>
      <c r="F27" s="4"/>
      <c r="G27" s="3"/>
      <c r="H27" s="3"/>
      <c r="I27" s="3"/>
      <c r="J27" s="3"/>
      <c r="K27" s="3"/>
      <c r="L27" s="3"/>
      <c r="M27" s="3"/>
      <c r="N27" s="3"/>
      <c r="O27" s="3"/>
      <c r="P27" s="5"/>
      <c r="Q27" s="3"/>
      <c r="R27" s="6"/>
      <c r="S27" s="6"/>
      <c r="T27" s="6"/>
      <c r="U27" s="3"/>
      <c r="V27" s="3"/>
      <c r="W27" s="64"/>
      <c r="X27" s="64"/>
      <c r="Y27" s="64"/>
      <c r="Z27" s="3"/>
      <c r="AA27" s="3"/>
      <c r="AB27" s="3"/>
      <c r="AC27" s="8"/>
      <c r="AD27" s="8"/>
      <c r="AE27" s="9"/>
      <c r="AF27" s="10"/>
      <c r="AG27" s="8"/>
      <c r="AH27" s="11"/>
      <c r="AI27" s="8"/>
      <c r="AJ27" s="8"/>
      <c r="AK27" s="10"/>
      <c r="AL27" s="12"/>
      <c r="AM27" s="12"/>
      <c r="AN27" s="12"/>
    </row>
    <row r="28" s="2" customFormat="1" ht="15.75" spans="3:40">
      <c r="C28" s="3"/>
      <c r="D28" s="3"/>
      <c r="E28" s="3"/>
      <c r="F28" s="4"/>
      <c r="G28" s="3"/>
      <c r="H28" s="3"/>
      <c r="I28" s="3"/>
      <c r="J28" s="3"/>
      <c r="K28" s="3"/>
      <c r="L28" s="3"/>
      <c r="M28" s="3"/>
      <c r="N28" s="3"/>
      <c r="O28" s="3"/>
      <c r="P28" s="5"/>
      <c r="Q28" s="3"/>
      <c r="R28" s="6"/>
      <c r="S28" s="6"/>
      <c r="T28" s="6"/>
      <c r="U28" s="3"/>
      <c r="V28" s="3"/>
      <c r="W28" s="64"/>
      <c r="X28" s="64"/>
      <c r="Y28" s="64"/>
      <c r="Z28" s="3"/>
      <c r="AA28" s="3"/>
      <c r="AB28" s="3"/>
      <c r="AC28" s="8"/>
      <c r="AD28" s="8"/>
      <c r="AE28" s="9"/>
      <c r="AF28" s="10"/>
      <c r="AG28" s="8"/>
      <c r="AH28" s="11"/>
      <c r="AI28" s="8"/>
      <c r="AJ28" s="8"/>
      <c r="AK28" s="10"/>
      <c r="AL28" s="12"/>
      <c r="AM28" s="12"/>
      <c r="AN28" s="12"/>
    </row>
  </sheetData>
  <mergeCells count="37">
    <mergeCell ref="A2:H2"/>
    <mergeCell ref="I2:K2"/>
    <mergeCell ref="L2:M2"/>
    <mergeCell ref="N2:O2"/>
    <mergeCell ref="P2:Q2"/>
    <mergeCell ref="R2:W2"/>
    <mergeCell ref="X2:Y2"/>
    <mergeCell ref="AA2:AB2"/>
    <mergeCell ref="A3:A4"/>
    <mergeCell ref="B3:B4"/>
    <mergeCell ref="C3:C4"/>
    <mergeCell ref="D3:D4"/>
    <mergeCell ref="E3:E4"/>
    <mergeCell ref="F3:F4"/>
    <mergeCell ref="F5:F7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AM28"/>
  <sheetViews>
    <sheetView zoomScale="80" zoomScaleNormal="80" workbookViewId="0">
      <selection activeCell="F22" sqref="F22"/>
    </sheetView>
  </sheetViews>
  <sheetFormatPr defaultColWidth="8" defaultRowHeight="12.75"/>
  <cols>
    <col min="1" max="1" width="4.38333333333333" style="2" customWidth="1"/>
    <col min="2" max="2" width="6.88333333333333" style="2" customWidth="1"/>
    <col min="3" max="3" width="4.38333333333333" style="3" customWidth="1"/>
    <col min="4" max="4" width="11.1416666666667" style="3" customWidth="1"/>
    <col min="5" max="5" width="3.25833333333333" style="3" customWidth="1"/>
    <col min="6" max="6" width="27.3416666666667" style="4" customWidth="1"/>
    <col min="7" max="7" width="38.9" style="3" customWidth="1"/>
    <col min="8" max="10" width="4.14166666666667" style="3" customWidth="1"/>
    <col min="11" max="11" width="4.99166666666667" style="3" customWidth="1"/>
    <col min="12" max="12" width="4.14166666666667" style="3" customWidth="1"/>
    <col min="13" max="13" width="23.7416666666667" style="3" customWidth="1"/>
    <col min="14" max="14" width="25.4666666666667" style="3" customWidth="1"/>
    <col min="15" max="15" width="51.0833333333333" style="5" customWidth="1"/>
    <col min="16" max="16" width="4.14166666666667" style="3" customWidth="1"/>
    <col min="17" max="19" width="4.14166666666667" style="6" customWidth="1"/>
    <col min="20" max="21" width="4.14166666666667" style="3" customWidth="1"/>
    <col min="22" max="23" width="5.63333333333333" style="7" customWidth="1"/>
    <col min="24" max="24" width="8" style="7" customWidth="1"/>
    <col min="25" max="25" width="11.3833333333333" style="3" customWidth="1"/>
    <col min="26" max="26" width="11.2583333333333" style="3" customWidth="1"/>
    <col min="27" max="27" width="6.14166666666667" style="3" customWidth="1"/>
    <col min="28" max="28" width="5.88333333333333" style="8" customWidth="1"/>
    <col min="29" max="29" width="5.14166666666667" style="8" customWidth="1"/>
    <col min="30" max="30" width="17.6333333333333" style="9" customWidth="1"/>
    <col min="31" max="31" width="5.14166666666667" style="10" customWidth="1"/>
    <col min="32" max="32" width="5.14166666666667" style="8" customWidth="1"/>
    <col min="33" max="33" width="5.14166666666667" style="11" customWidth="1"/>
    <col min="34" max="35" width="5.14166666666667" style="8" customWidth="1"/>
    <col min="36" max="36" width="5.14166666666667" style="10" customWidth="1"/>
    <col min="37" max="39" width="4.14166666666667" style="12" hidden="1" customWidth="1"/>
    <col min="40" max="16384" width="8" style="2"/>
  </cols>
  <sheetData>
    <row r="1" ht="13.5"/>
    <row r="2" ht="18.95" customHeight="1" spans="1:39">
      <c r="A2" s="13" t="s">
        <v>379</v>
      </c>
      <c r="B2" s="13"/>
      <c r="C2" s="13"/>
      <c r="D2" s="13"/>
      <c r="E2" s="13"/>
      <c r="F2" s="13"/>
      <c r="G2" s="14"/>
      <c r="H2" s="15" t="s">
        <v>73</v>
      </c>
      <c r="I2" s="35"/>
      <c r="J2" s="36"/>
      <c r="K2" s="15" t="s">
        <v>74</v>
      </c>
      <c r="L2" s="36"/>
      <c r="M2" s="37" t="s">
        <v>380</v>
      </c>
      <c r="N2" s="38"/>
      <c r="O2" s="39" t="s">
        <v>77</v>
      </c>
      <c r="P2" s="40" t="s">
        <v>80</v>
      </c>
      <c r="Q2" s="40"/>
      <c r="R2" s="40"/>
      <c r="S2" s="40"/>
      <c r="T2" s="40"/>
      <c r="U2" s="40"/>
      <c r="V2" s="53" t="s">
        <v>382</v>
      </c>
      <c r="W2" s="54"/>
      <c r="X2" s="55"/>
      <c r="Y2" s="65" t="s">
        <v>81</v>
      </c>
      <c r="Z2" s="65"/>
      <c r="AA2" s="66" t="s">
        <v>82</v>
      </c>
      <c r="AB2" s="67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</row>
    <row r="3" ht="18" customHeight="1" spans="1:39">
      <c r="A3" s="16" t="s">
        <v>85</v>
      </c>
      <c r="B3" s="17" t="s">
        <v>87</v>
      </c>
      <c r="C3" s="18" t="s">
        <v>383</v>
      </c>
      <c r="D3" s="17" t="s">
        <v>86</v>
      </c>
      <c r="E3" s="18" t="s">
        <v>89</v>
      </c>
      <c r="F3" s="19" t="s">
        <v>90</v>
      </c>
      <c r="G3" s="20" t="s">
        <v>91</v>
      </c>
      <c r="H3" s="21" t="s">
        <v>93</v>
      </c>
      <c r="I3" s="27" t="s">
        <v>1041</v>
      </c>
      <c r="J3" s="27" t="s">
        <v>99</v>
      </c>
      <c r="K3" s="41" t="s">
        <v>96</v>
      </c>
      <c r="L3" s="42" t="s">
        <v>97</v>
      </c>
      <c r="M3" s="43" t="s">
        <v>98</v>
      </c>
      <c r="N3" s="43" t="s">
        <v>99</v>
      </c>
      <c r="O3" s="44" t="s">
        <v>102</v>
      </c>
      <c r="P3" s="45" t="s">
        <v>109</v>
      </c>
      <c r="Q3" s="56" t="s">
        <v>110</v>
      </c>
      <c r="R3" s="57" t="s">
        <v>111</v>
      </c>
      <c r="S3" s="57" t="s">
        <v>112</v>
      </c>
      <c r="T3" s="56" t="s">
        <v>113</v>
      </c>
      <c r="U3" s="56" t="s">
        <v>114</v>
      </c>
      <c r="V3" s="58" t="s">
        <v>107</v>
      </c>
      <c r="W3" s="58" t="s">
        <v>108</v>
      </c>
      <c r="X3" s="24" t="s">
        <v>115</v>
      </c>
      <c r="Y3" s="68" t="s">
        <v>116</v>
      </c>
      <c r="Z3" s="69" t="s">
        <v>117</v>
      </c>
      <c r="AA3" s="70" t="s">
        <v>1437</v>
      </c>
      <c r="AB3" s="70" t="s">
        <v>1438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ht="111.95" customHeight="1" spans="1:28">
      <c r="A4" s="22"/>
      <c r="B4" s="23"/>
      <c r="C4" s="24"/>
      <c r="D4" s="23"/>
      <c r="E4" s="24"/>
      <c r="F4" s="25"/>
      <c r="G4" s="26"/>
      <c r="H4" s="27"/>
      <c r="I4" s="27"/>
      <c r="J4" s="27"/>
      <c r="K4" s="42"/>
      <c r="L4" s="42"/>
      <c r="M4" s="46"/>
      <c r="N4" s="46"/>
      <c r="O4" s="47"/>
      <c r="P4" s="48"/>
      <c r="Q4" s="57"/>
      <c r="R4" s="59"/>
      <c r="S4" s="59"/>
      <c r="T4" s="57"/>
      <c r="U4" s="57"/>
      <c r="V4" s="60"/>
      <c r="W4" s="60"/>
      <c r="X4" s="23"/>
      <c r="Y4" s="24"/>
      <c r="Z4" s="71"/>
      <c r="AA4" s="70"/>
      <c r="AB4" s="70"/>
    </row>
    <row r="5" ht="28" hidden="1" customHeight="1" spans="1:28">
      <c r="A5" s="28">
        <v>1</v>
      </c>
      <c r="B5" s="29" t="s">
        <v>1432</v>
      </c>
      <c r="C5" s="30" t="s">
        <v>1439</v>
      </c>
      <c r="D5" s="29"/>
      <c r="E5" s="28"/>
      <c r="F5" s="28" t="s">
        <v>1440</v>
      </c>
      <c r="G5" s="28" t="s">
        <v>1441</v>
      </c>
      <c r="H5" s="31" t="s">
        <v>124</v>
      </c>
      <c r="I5" s="31" t="s">
        <v>124</v>
      </c>
      <c r="J5" s="31" t="s">
        <v>124</v>
      </c>
      <c r="K5" s="31" t="s">
        <v>124</v>
      </c>
      <c r="L5" s="31" t="s">
        <v>124</v>
      </c>
      <c r="M5" s="49" t="s">
        <v>1442</v>
      </c>
      <c r="N5" s="50" t="s">
        <v>1442</v>
      </c>
      <c r="O5" s="51" t="str">
        <f>CONCATENATE(RemovePunctuation(G5),"_",B5,"_",AA5,"_",PROPER(P5),IF(Q5="",PROPER(P5),PROPER(Q5)),PROPER(R5),PROPER(S5),PROPER(T5),IF(T5&lt;&gt;"","SUB",""),PROPER(U5),IF(U5&lt;&gt;"","SUB",""),"_","Ed","_","M2",".mpg")</f>
        <v>01CA0424VideoBGM_0424_169_EngZho_Ed_M2.mpg</v>
      </c>
      <c r="P5" s="52" t="s">
        <v>131</v>
      </c>
      <c r="Q5" s="52" t="s">
        <v>130</v>
      </c>
      <c r="R5" s="52"/>
      <c r="S5" s="52"/>
      <c r="T5" s="52"/>
      <c r="U5" s="52"/>
      <c r="V5" s="61" t="s">
        <v>129</v>
      </c>
      <c r="W5" s="61" t="s">
        <v>129</v>
      </c>
      <c r="X5" s="62">
        <f>ROUNDUP(HOUR(Y5)*60+MINUTE(Y5)+SECOND(Y5)/60,0)</f>
        <v>0</v>
      </c>
      <c r="Y5" s="72"/>
      <c r="Z5" s="62">
        <f>X5*60</f>
        <v>0</v>
      </c>
      <c r="AA5" s="73">
        <v>169</v>
      </c>
      <c r="AB5" s="73">
        <v>43</v>
      </c>
    </row>
    <row r="6" ht="28" customHeight="1" spans="1:28">
      <c r="A6" s="28"/>
      <c r="B6" s="29"/>
      <c r="C6" s="32"/>
      <c r="D6" s="29"/>
      <c r="E6" s="28"/>
      <c r="F6" s="33"/>
      <c r="G6" s="28"/>
      <c r="H6" s="31"/>
      <c r="I6" s="31"/>
      <c r="J6" s="31"/>
      <c r="K6" s="31"/>
      <c r="L6" s="31"/>
      <c r="M6" s="49"/>
      <c r="N6" s="50"/>
      <c r="O6" s="51"/>
      <c r="P6" s="52"/>
      <c r="Q6" s="52"/>
      <c r="R6" s="52"/>
      <c r="S6" s="52"/>
      <c r="T6" s="52"/>
      <c r="U6" s="52"/>
      <c r="V6" s="61"/>
      <c r="W6" s="61"/>
      <c r="X6" s="62"/>
      <c r="Y6" s="72"/>
      <c r="Z6" s="62"/>
      <c r="AA6" s="73"/>
      <c r="AB6" s="73"/>
    </row>
    <row r="7" s="1" customFormat="1" ht="20.25" spans="3:39">
      <c r="C7" s="34"/>
      <c r="D7" s="34"/>
      <c r="V7" s="3"/>
      <c r="W7" s="3"/>
      <c r="X7" s="3"/>
      <c r="AB7" s="74"/>
      <c r="AC7" s="74"/>
      <c r="AD7" s="75"/>
      <c r="AE7" s="3"/>
      <c r="AF7" s="74"/>
      <c r="AG7" s="76"/>
      <c r="AH7" s="74"/>
      <c r="AI7" s="74"/>
      <c r="AJ7" s="3"/>
      <c r="AK7" s="5"/>
      <c r="AL7" s="5"/>
      <c r="AM7" s="5"/>
    </row>
    <row r="8" s="1" customFormat="1" ht="13.5" spans="7:39">
      <c r="G8"/>
      <c r="V8" s="3"/>
      <c r="W8" s="3"/>
      <c r="X8" s="3"/>
      <c r="AB8" s="74"/>
      <c r="AC8" s="74"/>
      <c r="AD8" s="75"/>
      <c r="AE8" s="3"/>
      <c r="AF8" s="74"/>
      <c r="AG8" s="76"/>
      <c r="AH8" s="74"/>
      <c r="AI8" s="74"/>
      <c r="AJ8" s="3"/>
      <c r="AK8" s="5"/>
      <c r="AL8" s="5"/>
      <c r="AM8" s="5"/>
    </row>
    <row r="9" spans="22:24">
      <c r="V9" s="3"/>
      <c r="W9" s="3"/>
      <c r="X9" s="3"/>
    </row>
    <row r="10" spans="22:24">
      <c r="V10" s="3"/>
      <c r="W10" s="3"/>
      <c r="X10" s="3"/>
    </row>
    <row r="11" spans="22:24">
      <c r="V11" s="3"/>
      <c r="W11" s="3"/>
      <c r="X11" s="3"/>
    </row>
    <row r="12" spans="22:24">
      <c r="V12" s="3"/>
      <c r="W12" s="3"/>
      <c r="X12" s="3"/>
    </row>
    <row r="13" spans="22:24">
      <c r="V13" s="3"/>
      <c r="W13" s="3"/>
      <c r="X13" s="3"/>
    </row>
    <row r="14" spans="22:24">
      <c r="V14" s="3"/>
      <c r="W14" s="3"/>
      <c r="X14" s="3"/>
    </row>
    <row r="15" spans="22:24">
      <c r="V15" s="3"/>
      <c r="W15" s="3"/>
      <c r="X15" s="3"/>
    </row>
    <row r="16" spans="22:24">
      <c r="V16" s="3"/>
      <c r="W16" s="3"/>
      <c r="X16" s="3"/>
    </row>
    <row r="17" spans="22:24">
      <c r="V17" s="3"/>
      <c r="W17" s="3"/>
      <c r="X17" s="3"/>
    </row>
    <row r="18" spans="22:24">
      <c r="V18" s="3"/>
      <c r="W18" s="3"/>
      <c r="X18" s="3"/>
    </row>
    <row r="19" spans="22:24">
      <c r="V19" s="3"/>
      <c r="W19" s="3"/>
      <c r="X19" s="3"/>
    </row>
    <row r="20" spans="22:24">
      <c r="V20" s="3"/>
      <c r="W20" s="3"/>
      <c r="X20" s="3"/>
    </row>
    <row r="21" spans="22:24">
      <c r="V21" s="3"/>
      <c r="W21" s="3"/>
      <c r="X21" s="3"/>
    </row>
    <row r="22" spans="22:24">
      <c r="V22" s="3"/>
      <c r="W22" s="3"/>
      <c r="X22" s="3"/>
    </row>
    <row r="23" spans="22:24">
      <c r="V23" s="3"/>
      <c r="W23" s="3"/>
      <c r="X23" s="3"/>
    </row>
    <row r="24" spans="22:24">
      <c r="V24" s="3"/>
      <c r="W24" s="3"/>
      <c r="X24" s="3"/>
    </row>
    <row r="25" ht="15.75" spans="22:24">
      <c r="V25" s="63"/>
      <c r="W25" s="63"/>
      <c r="X25" s="63"/>
    </row>
    <row r="26" ht="15.75" spans="22:24">
      <c r="V26" s="63"/>
      <c r="W26" s="63"/>
      <c r="X26" s="63"/>
    </row>
    <row r="27" ht="15.75" spans="22:24">
      <c r="V27" s="64"/>
      <c r="W27" s="64"/>
      <c r="X27" s="64"/>
    </row>
    <row r="28" ht="15.75" spans="22:24">
      <c r="V28" s="64"/>
      <c r="W28" s="64"/>
      <c r="X28" s="64"/>
    </row>
  </sheetData>
  <mergeCells count="36">
    <mergeCell ref="A2:G2"/>
    <mergeCell ref="H2:J2"/>
    <mergeCell ref="K2:L2"/>
    <mergeCell ref="M2:N2"/>
    <mergeCell ref="P2:U2"/>
    <mergeCell ref="V2:W2"/>
    <mergeCell ref="Y2:Z2"/>
    <mergeCell ref="AA2:AB2"/>
    <mergeCell ref="A3:A4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U3:U4"/>
    <mergeCell ref="V3:V4"/>
    <mergeCell ref="W3:W4"/>
    <mergeCell ref="X3:X4"/>
    <mergeCell ref="Y3:Y4"/>
    <mergeCell ref="Z3:Z4"/>
    <mergeCell ref="AA3:AA4"/>
    <mergeCell ref="AB3:AB4"/>
  </mergeCells>
  <pageMargins left="0.75" right="0.75" top="1" bottom="1" header="0.5" footer="0.5"/>
  <pageSetup paperSize="9" orientation="portrait"/>
  <headerFooter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Revision History</vt:lpstr>
      <vt:lpstr>Movie</vt:lpstr>
      <vt:lpstr>TV</vt:lpstr>
      <vt:lpstr>Advertising</vt:lpstr>
      <vt:lpstr>Overhead</vt:lpstr>
      <vt:lpstr>Safety Video </vt:lpstr>
      <vt:lpstr>Safety Video</vt:lpstr>
      <vt:lpstr>Broadcast Video </vt:lpstr>
      <vt:lpstr>Daily News</vt:lpstr>
      <vt:lpstr>Audio BGM</vt:lpstr>
      <vt:lpstr>Video BGM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慎独</cp:lastModifiedBy>
  <dcterms:created xsi:type="dcterms:W3CDTF">2006-09-16T00:00:00Z</dcterms:created>
  <dcterms:modified xsi:type="dcterms:W3CDTF">2025-07-10T00:57:42Z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2052-12.1.0.21541</vt:lpwstr>
  </property>
  <property fmtid="{D5CDD505-2E9C-101B-9397-08002B2CF9AE}" pid="3" name="KSOReadingLayout">
    <vt:bool>true</vt:bool>
  </property>
  <property fmtid="{D5CDD505-2E9C-101B-9397-08002B2CF9AE}" pid="4" name="ICV">
    <vt:lpwstr>D0DF09E48BFC475E877E4123113A708E_13</vt:lpwstr>
  </property>
  <property fmtid="{D5CDD505-2E9C-101B-9397-08002B2CF9AE}" pid="5" name="commondata">
    <vt:lpwstr>eyJoZGlkIjoiNjkyMzAyMzk2OWFmNmU0Yjc2OTQyYjhlMTg5OTA4ZTgifQ==</vt:lpwstr>
  </property>
</Properties>
</file>